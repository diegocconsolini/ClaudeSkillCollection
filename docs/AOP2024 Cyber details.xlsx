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feeandtea-my.sharepoint.com/personal/diego_cavalariconsolini_jdecoffee_com/Documents/Finance/"/>
    </mc:Choice>
  </mc:AlternateContent>
  <xr:revisionPtr revIDLastSave="391" documentId="8_{0E4B30A9-C68F-45BC-A419-87E00BD9916E}" xr6:coauthVersionLast="47" xr6:coauthVersionMax="47" xr10:uidLastSave="{8D65C46F-D882-4882-9BC1-58A3FB05C84B}"/>
  <bookViews>
    <workbookView xWindow="19095" yWindow="0" windowWidth="38610" windowHeight="20985" activeTab="1" xr2:uid="{3D1DE47D-B424-480A-83EA-8EED713A551C}"/>
  </bookViews>
  <sheets>
    <sheet name="Sheet1" sheetId="1" r:id="rId1"/>
    <sheet name="AOP2025" sheetId="2" r:id="rId2"/>
    <sheet name="Sheet2" sheetId="3" r:id="rId3"/>
  </sheets>
  <definedNames>
    <definedName name="_xlnm._FilterDatabase" localSheetId="0" hidden="1">Sheet1!$A$1:$X$22</definedName>
    <definedName name="_xlnm._FilterDatabase" localSheetId="2" hidden="1">Sheet2!$A$1:$K$1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2" l="1"/>
  <c r="M26" i="2"/>
  <c r="N26" i="2"/>
  <c r="O26" i="2"/>
  <c r="P20" i="2"/>
  <c r="Q20" i="2" s="1"/>
  <c r="P22" i="2"/>
  <c r="Q22" i="2" s="1"/>
  <c r="P28" i="2"/>
  <c r="P30" i="2"/>
  <c r="P23" i="2"/>
  <c r="Q23" i="2" s="1"/>
  <c r="P5" i="2"/>
  <c r="Q5" i="2" s="1"/>
  <c r="P24" i="2"/>
  <c r="Q24" i="2" s="1"/>
  <c r="P25" i="2"/>
  <c r="Q25" i="2" s="1"/>
  <c r="P31" i="2"/>
  <c r="P32" i="2"/>
  <c r="P3" i="2"/>
  <c r="Q3" i="2" s="1"/>
  <c r="P8" i="2"/>
  <c r="Q8" i="2" s="1"/>
  <c r="P9" i="2"/>
  <c r="Q9" i="2" s="1"/>
  <c r="P6" i="2"/>
  <c r="Q6" i="2" s="1"/>
  <c r="P10" i="2"/>
  <c r="Q10" i="2" s="1"/>
  <c r="P11" i="2"/>
  <c r="Q11" i="2" s="1"/>
  <c r="P12" i="2"/>
  <c r="Q12" i="2" s="1"/>
  <c r="P13" i="2"/>
  <c r="Q13" i="2" s="1"/>
  <c r="P14" i="2"/>
  <c r="Q14" i="2" s="1"/>
  <c r="P7" i="2"/>
  <c r="Q7" i="2" s="1"/>
  <c r="P15" i="2"/>
  <c r="Q15" i="2" s="1"/>
  <c r="P16" i="2"/>
  <c r="Q16" i="2" s="1"/>
  <c r="P17" i="2"/>
  <c r="Q17" i="2" s="1"/>
  <c r="P18" i="2"/>
  <c r="Q18" i="2" s="1"/>
  <c r="P4" i="2"/>
  <c r="P19" i="2"/>
  <c r="Q19" i="2" s="1"/>
  <c r="P21" i="2"/>
  <c r="Q21" i="2" s="1"/>
  <c r="P2" i="2"/>
  <c r="Q2" i="2" s="1"/>
  <c r="O29" i="2"/>
  <c r="P29" i="2" s="1"/>
  <c r="P26" i="2" l="1"/>
  <c r="Q26" i="2" s="1"/>
  <c r="Q4" i="2"/>
</calcChain>
</file>

<file path=xl/sharedStrings.xml><?xml version="1.0" encoding="utf-8"?>
<sst xmlns="http://schemas.openxmlformats.org/spreadsheetml/2006/main" count="604" uniqueCount="186">
  <si>
    <t>Description</t>
  </si>
  <si>
    <t>Service1</t>
  </si>
  <si>
    <t>Vendor Code</t>
  </si>
  <si>
    <t>Vendor</t>
  </si>
  <si>
    <t>PO</t>
  </si>
  <si>
    <t>Line</t>
  </si>
  <si>
    <t>Owner</t>
  </si>
  <si>
    <t>Consulted</t>
  </si>
  <si>
    <t>Charging Basis</t>
  </si>
  <si>
    <t>FUNCTION</t>
  </si>
  <si>
    <t>AOP 2022</t>
  </si>
  <si>
    <t>AOP 2023</t>
  </si>
  <si>
    <t>AOP 2024</t>
  </si>
  <si>
    <t>Variance</t>
  </si>
  <si>
    <t>% Change</t>
  </si>
  <si>
    <t>Comments</t>
  </si>
  <si>
    <t>Actuals</t>
  </si>
  <si>
    <t>% spent</t>
  </si>
  <si>
    <t>Invoice Schedule</t>
  </si>
  <si>
    <t>Method</t>
  </si>
  <si>
    <t>Timing</t>
  </si>
  <si>
    <t>Comments PMO / FIN</t>
  </si>
  <si>
    <t>Line ID</t>
  </si>
  <si>
    <t>Ad hoc support compliance (AMS)</t>
  </si>
  <si>
    <t>SAP suite</t>
  </si>
  <si>
    <t>Accenture</t>
  </si>
  <si>
    <t>Marcel</t>
  </si>
  <si>
    <t>L-SAP-USERS</t>
  </si>
  <si>
    <t>Security</t>
  </si>
  <si>
    <t>Additional compliance scope</t>
  </si>
  <si>
    <t>Saviynt dedicated support team (EUC)</t>
  </si>
  <si>
    <t>L-PC-USERS</t>
  </si>
  <si>
    <t>Bitsight subscription</t>
  </si>
  <si>
    <t>PC and Connectivity</t>
  </si>
  <si>
    <t>Penetration Testing SAP / Sales Force /Web</t>
  </si>
  <si>
    <t>Accenture SOC services</t>
  </si>
  <si>
    <t>E5 Support contract (EUC)</t>
  </si>
  <si>
    <t>Monthly</t>
  </si>
  <si>
    <t>GR</t>
  </si>
  <si>
    <t>Spot</t>
  </si>
  <si>
    <t xml:space="preserve">SOC (259k), Qualys + AAD (220k) are included now as additions. AD, PKI, VM, EDR, SI are all part of the current user based security price so nothing has been included for them. 
</t>
  </si>
  <si>
    <t>EUS contract not finalized. Same costs as 2023 included</t>
  </si>
  <si>
    <t>Fox IT Services : Recurring service in Security</t>
  </si>
  <si>
    <t>Fox-IT B.V.</t>
  </si>
  <si>
    <t/>
  </si>
  <si>
    <t>Symantec Advanced Threat Protection</t>
  </si>
  <si>
    <t>Insight Enterprise Netherlands B.V.</t>
  </si>
  <si>
    <t>Email Protection</t>
  </si>
  <si>
    <t>Ironscales</t>
  </si>
  <si>
    <t>GRC Access Controls</t>
  </si>
  <si>
    <t>GRC Process Control Support</t>
  </si>
  <si>
    <t>KPMG</t>
  </si>
  <si>
    <t>Yearly</t>
  </si>
  <si>
    <t>Pre Paid</t>
  </si>
  <si>
    <t>Pre</t>
  </si>
  <si>
    <t>Post</t>
  </si>
  <si>
    <t>Mandiant Incident Response</t>
  </si>
  <si>
    <t>Mandiant</t>
  </si>
  <si>
    <t>Avecto</t>
  </si>
  <si>
    <t>IT4IT</t>
  </si>
  <si>
    <t>Protect4S</t>
  </si>
  <si>
    <t>Professional Developm Systems B.V.</t>
  </si>
  <si>
    <t>Recurring Security Assessments</t>
  </si>
  <si>
    <t>PWC Advisory</t>
  </si>
  <si>
    <t>Awareness standard e-training subscription</t>
  </si>
  <si>
    <t>Sans Institute</t>
  </si>
  <si>
    <t>Identity &amp; Access mgt tool Savyint</t>
  </si>
  <si>
    <t>Saviynt Europe Ltd</t>
  </si>
  <si>
    <t>Inflation</t>
  </si>
  <si>
    <t>Snow Managed Service + Hosting</t>
  </si>
  <si>
    <t>Snow Licenses</t>
  </si>
  <si>
    <t>Van Sambeek Org Adviesbureau B.V.</t>
  </si>
  <si>
    <t>Vulnerability scanning: Qualys</t>
  </si>
  <si>
    <t>No contract</t>
  </si>
  <si>
    <t>This will be paid for by the SLR III project</t>
  </si>
  <si>
    <t>Awareness Campaign</t>
  </si>
  <si>
    <t>Cyber Team Owner</t>
  </si>
  <si>
    <t>George</t>
  </si>
  <si>
    <t>Gert-Jan</t>
  </si>
  <si>
    <t>Sameer</t>
  </si>
  <si>
    <t>AOP 2025</t>
  </si>
  <si>
    <t>Diego</t>
  </si>
  <si>
    <t>?</t>
  </si>
  <si>
    <t>Moved to Rohan</t>
  </si>
  <si>
    <t>Moved to Rohan, have confirmation with Roahn, wait Jana confiumation on 28th of may</t>
  </si>
  <si>
    <t>NEW LINE</t>
  </si>
  <si>
    <t>SOW 11 WebApp scanning</t>
  </si>
  <si>
    <t>Depends on EUC contract</t>
  </si>
  <si>
    <t>ICS (AMS) position)</t>
  </si>
  <si>
    <t>Evaluate and get the price with Gravbowsky</t>
  </si>
  <si>
    <t>???</t>
  </si>
  <si>
    <t>Need to be included on Microsoft contract during renewal</t>
  </si>
  <si>
    <t>WO for it compliance</t>
  </si>
  <si>
    <t>Removed Lines</t>
  </si>
  <si>
    <t xml:space="preserve">Keep it </t>
  </si>
  <si>
    <t>Depends on EUC contract (Move to IT4IT?)</t>
  </si>
  <si>
    <t>IT ICS reviwer on AMS Support, Check with Robin how it is going to be billed</t>
  </si>
  <si>
    <t>Stellar ICS</t>
  </si>
  <si>
    <t>Charge to factory Security</t>
  </si>
  <si>
    <t>Confirme the value and keep the service and check how it was pay in 2023/24</t>
  </si>
  <si>
    <t>SAP GRC 12 upgrade</t>
  </si>
  <si>
    <t>All applications support (AMS)</t>
  </si>
  <si>
    <t>Suddha team = 3 people specilized on Savyint in India</t>
  </si>
  <si>
    <t>8 people for all applications support (SAP, SF etc….) Philipsnes</t>
  </si>
  <si>
    <t>Waiting for Iron Scales Quote</t>
  </si>
  <si>
    <t>Will be charger only on AOP2026.  3 years costs covered by SLR</t>
  </si>
  <si>
    <t>No oportunities to reduc the license with Savyiny</t>
  </si>
  <si>
    <t>Wicher</t>
  </si>
  <si>
    <t>6 Months for 2025 after the position coverage from Music is over</t>
  </si>
  <si>
    <t>Total</t>
  </si>
  <si>
    <t>Qualys</t>
  </si>
  <si>
    <t>Grabowsky</t>
  </si>
  <si>
    <t>Microsoft</t>
  </si>
  <si>
    <t>TBD</t>
  </si>
  <si>
    <t>CIS</t>
  </si>
  <si>
    <t>Savyint Specialized</t>
  </si>
  <si>
    <t>Vulnerability scanning: Qualys (License)</t>
  </si>
  <si>
    <r>
      <t xml:space="preserve">Ad hoc support compliance (AMS) </t>
    </r>
    <r>
      <rPr>
        <b/>
        <sz val="11"/>
        <rFont val="Calibri"/>
        <family val="2"/>
        <scheme val="minor"/>
      </rPr>
      <t>(Service)</t>
    </r>
  </si>
  <si>
    <r>
      <t xml:space="preserve">Saviynt dedicated support team (EUC) </t>
    </r>
    <r>
      <rPr>
        <b/>
        <sz val="11"/>
        <rFont val="Calibri"/>
        <family val="2"/>
        <scheme val="minor"/>
      </rPr>
      <t>(Service)</t>
    </r>
  </si>
  <si>
    <r>
      <t xml:space="preserve">PAM managed (Cyberark/Grabowsky) </t>
    </r>
    <r>
      <rPr>
        <b/>
        <sz val="11"/>
        <color theme="1"/>
        <rFont val="Calibri"/>
        <family val="2"/>
        <scheme val="minor"/>
      </rPr>
      <t>(Service)</t>
    </r>
  </si>
  <si>
    <r>
      <t>Accenture SOC</t>
    </r>
    <r>
      <rPr>
        <b/>
        <sz val="11"/>
        <color theme="1"/>
        <rFont val="Calibri"/>
        <family val="2"/>
        <scheme val="minor"/>
      </rPr>
      <t xml:space="preserve"> (Service)</t>
    </r>
  </si>
  <si>
    <r>
      <t xml:space="preserve">Mandiant Incident Response </t>
    </r>
    <r>
      <rPr>
        <b/>
        <sz val="11"/>
        <rFont val="Calibri"/>
        <family val="2"/>
        <scheme val="minor"/>
      </rPr>
      <t>(Service)</t>
    </r>
  </si>
  <si>
    <r>
      <t xml:space="preserve">Bitsight </t>
    </r>
    <r>
      <rPr>
        <i/>
        <u/>
        <sz val="11"/>
        <color theme="1"/>
        <rFont val="Calibri"/>
        <family val="2"/>
        <scheme val="minor"/>
      </rPr>
      <t>(Subscription)</t>
    </r>
  </si>
  <si>
    <r>
      <t xml:space="preserve">Penetration Testing SAP / Sales Force /Web </t>
    </r>
    <r>
      <rPr>
        <b/>
        <sz val="11"/>
        <color theme="1"/>
        <rFont val="Calibri"/>
        <family val="2"/>
        <scheme val="minor"/>
      </rPr>
      <t>(Service)</t>
    </r>
  </si>
  <si>
    <r>
      <t xml:space="preserve">E5 Support contract (EUC) </t>
    </r>
    <r>
      <rPr>
        <i/>
        <u/>
        <sz val="11"/>
        <rFont val="Calibri"/>
        <family val="2"/>
        <scheme val="minor"/>
      </rPr>
      <t>(Subscription)</t>
    </r>
  </si>
  <si>
    <r>
      <t xml:space="preserve">Symantec Advanced Threat Protection </t>
    </r>
    <r>
      <rPr>
        <i/>
        <sz val="11"/>
        <color theme="1"/>
        <rFont val="Calibri"/>
        <family val="2"/>
        <scheme val="minor"/>
      </rPr>
      <t>(Licence)</t>
    </r>
  </si>
  <si>
    <r>
      <t>Email Protection</t>
    </r>
    <r>
      <rPr>
        <i/>
        <u/>
        <sz val="11"/>
        <rFont val="Calibri"/>
        <family val="2"/>
        <scheme val="minor"/>
      </rPr>
      <t xml:space="preserve"> (Subscription)</t>
    </r>
  </si>
  <si>
    <r>
      <t xml:space="preserve">GRC Access Controls </t>
    </r>
    <r>
      <rPr>
        <b/>
        <sz val="11"/>
        <color theme="1"/>
        <rFont val="Calibri"/>
        <family val="2"/>
        <scheme val="minor"/>
      </rPr>
      <t>(Service)</t>
    </r>
  </si>
  <si>
    <r>
      <t xml:space="preserve">GRC Process Control Support </t>
    </r>
    <r>
      <rPr>
        <b/>
        <sz val="11"/>
        <color theme="1"/>
        <rFont val="Calibri"/>
        <family val="2"/>
        <scheme val="minor"/>
      </rPr>
      <t>(Service)</t>
    </r>
  </si>
  <si>
    <r>
      <t>Recurring Security Assessments</t>
    </r>
    <r>
      <rPr>
        <b/>
        <sz val="11"/>
        <color theme="1"/>
        <rFont val="Calibri"/>
        <family val="2"/>
        <scheme val="minor"/>
      </rPr>
      <t xml:space="preserve"> (Service)</t>
    </r>
  </si>
  <si>
    <r>
      <t xml:space="preserve">Qualys RUN support </t>
    </r>
    <r>
      <rPr>
        <b/>
        <sz val="11"/>
        <color theme="1"/>
        <rFont val="Calibri"/>
        <family val="2"/>
        <scheme val="minor"/>
      </rPr>
      <t>(Service)</t>
    </r>
  </si>
  <si>
    <r>
      <t xml:space="preserve">OT Cyber Manager (consultant) </t>
    </r>
    <r>
      <rPr>
        <b/>
        <sz val="11"/>
        <color theme="1"/>
        <rFont val="Calibri"/>
        <family val="2"/>
        <scheme val="minor"/>
      </rPr>
      <t>(Service)</t>
    </r>
  </si>
  <si>
    <r>
      <t xml:space="preserve">Protect4S </t>
    </r>
    <r>
      <rPr>
        <i/>
        <u/>
        <sz val="11"/>
        <rFont val="Calibri"/>
        <family val="2"/>
        <scheme val="minor"/>
      </rPr>
      <t>(Subscription)</t>
    </r>
  </si>
  <si>
    <r>
      <t xml:space="preserve">Awareness Campaign </t>
    </r>
    <r>
      <rPr>
        <i/>
        <u/>
        <sz val="11"/>
        <color theme="1"/>
        <rFont val="Calibri"/>
        <family val="2"/>
        <scheme val="minor"/>
      </rPr>
      <t>(Subscription)</t>
    </r>
  </si>
  <si>
    <r>
      <t xml:space="preserve">RDD Service </t>
    </r>
    <r>
      <rPr>
        <i/>
        <u/>
        <sz val="11"/>
        <color theme="1"/>
        <rFont val="Calibri"/>
        <family val="2"/>
        <scheme val="minor"/>
      </rPr>
      <t>(Subscription)</t>
    </r>
  </si>
  <si>
    <r>
      <t xml:space="preserve">CIS secure suite </t>
    </r>
    <r>
      <rPr>
        <i/>
        <u/>
        <sz val="11"/>
        <color theme="1"/>
        <rFont val="Calibri"/>
        <family val="2"/>
        <scheme val="minor"/>
      </rPr>
      <t>(Subscription)</t>
    </r>
  </si>
  <si>
    <r>
      <t xml:space="preserve">Avecto </t>
    </r>
    <r>
      <rPr>
        <i/>
        <sz val="11"/>
        <color theme="1"/>
        <rFont val="Calibri"/>
        <family val="2"/>
        <scheme val="minor"/>
      </rPr>
      <t>(Licence PxQ)</t>
    </r>
  </si>
  <si>
    <r>
      <t>Defender for servers</t>
    </r>
    <r>
      <rPr>
        <i/>
        <sz val="11"/>
        <color theme="1"/>
        <rFont val="Calibri"/>
        <family val="2"/>
        <scheme val="minor"/>
      </rPr>
      <t xml:space="preserve"> (License PxQ)</t>
    </r>
  </si>
  <si>
    <r>
      <t>Identity &amp; Access mgt tool Savyint</t>
    </r>
    <r>
      <rPr>
        <i/>
        <sz val="11"/>
        <color theme="1"/>
        <rFont val="Calibri"/>
        <family val="2"/>
        <scheme val="minor"/>
      </rPr>
      <t xml:space="preserve"> (Licences PxQ)</t>
    </r>
  </si>
  <si>
    <r>
      <t xml:space="preserve">Awareness standard e-training </t>
    </r>
    <r>
      <rPr>
        <i/>
        <u/>
        <sz val="11"/>
        <color theme="1"/>
        <rFont val="Calibri"/>
        <family val="2"/>
        <scheme val="minor"/>
      </rPr>
      <t>(Subscription)</t>
    </r>
  </si>
  <si>
    <t>Need to keep for 2025 until we fully replace by Stellar one, 2026 might be possible to zero the budget</t>
  </si>
  <si>
    <t>Category</t>
  </si>
  <si>
    <t>Work Unit</t>
  </si>
  <si>
    <t>Handover date M3 to GIS (to be included in GIS charge as of that date)</t>
  </si>
  <si>
    <t>Original budget MUSIC3</t>
  </si>
  <si>
    <t>Quantity</t>
  </si>
  <si>
    <t>Total per year</t>
  </si>
  <si>
    <t>Monthly Recurring Costs - Unit Price</t>
  </si>
  <si>
    <t>OT Business Services</t>
  </si>
  <si>
    <t>Anti Virus - Symantec Service</t>
  </si>
  <si>
    <t>Renewal date 20/March/25 in case EDR solution is not implemented for all centrally managed devices</t>
  </si>
  <si>
    <t>17.06.24: RG: There are no sites in 2025 with centrally managed application servers. The S2D systems will be deployed with the new EDR solution.</t>
  </si>
  <si>
    <t>N/A</t>
  </si>
  <si>
    <t xml:space="preserve">€ -   </t>
  </si>
  <si>
    <t>Licenses</t>
  </si>
  <si>
    <t xml:space="preserve">BeyondTrust </t>
  </si>
  <si>
    <t>OT RAS - BeyondTrust licenses Priviledged Remote Access (PRA)</t>
  </si>
  <si>
    <t>Estimate 1825, to be checked end 2024)</t>
  </si>
  <si>
    <t>OT RAS - BeyondTrust Appliance B Series-VM Subscription</t>
  </si>
  <si>
    <t>OT RAS - SIEM Tool Integration Subscription (PRA) &amp; Advanced Web Access Subscription</t>
  </si>
  <si>
    <t>other license costs - SIEM &amp; Advanced Web access</t>
  </si>
  <si>
    <t>RAS Support</t>
  </si>
  <si>
    <t>OT RAS - (Tech. Account Man.)</t>
  </si>
  <si>
    <t>Renewal Term: August 1, 2024 - January 31, 2025</t>
  </si>
  <si>
    <t>Unknown</t>
  </si>
  <si>
    <t>AV Symantec Licenses (prepaid in the past for 1000 central licenses) local licenses n/a (no charge towards MU's?)</t>
  </si>
  <si>
    <t>Licenses renewal 20/March/25 in case EDR solution is not implemented for all centrally managed devices</t>
  </si>
  <si>
    <t>SoftwareOne</t>
  </si>
  <si>
    <t>EDR Licenses (Stellar ICS)</t>
  </si>
  <si>
    <t>OT/IT Sentinel Lighthouse (DMZ)</t>
  </si>
  <si>
    <t>Support to be part of SOC/SIEM service</t>
  </si>
  <si>
    <t>Avensus</t>
  </si>
  <si>
    <t xml:space="preserve">Entrust Edge F2 HSM with one year of Avensus </t>
  </si>
  <si>
    <t>Advanced Support plus10 Smartcards</t>
  </si>
  <si>
    <t>PKI MU certificates (ceremonies)</t>
  </si>
  <si>
    <t>17.06.24: RG: Each site will receive PKI</t>
  </si>
  <si>
    <t xml:space="preserve">Managed Service </t>
  </si>
  <si>
    <t xml:space="preserve">Multi Factor Authentication (MFA) </t>
  </si>
  <si>
    <t>17.06.24: RG: M3 is making use of the existing MFA policy. As per request Jeffrey using Hello for Windows being investigated. Not for M3?</t>
  </si>
  <si>
    <t>Opswat</t>
  </si>
  <si>
    <t>ICAP File scanning (DMZ)</t>
  </si>
  <si>
    <t>Service not contracted yet expected 15/Jul.</t>
  </si>
  <si>
    <t>Meta Defender licenses + meta scan licenses</t>
  </si>
  <si>
    <t>OT infrastructure Services</t>
  </si>
  <si>
    <t>OT SIEM/SOC Services</t>
  </si>
  <si>
    <t>12/6 Service not contracted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</si>
</sst>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€-2]\ #,##0.00;[Red]\-[$€-2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5" fillId="4" borderId="1" xfId="0" applyFont="1" applyFill="1" applyBorder="1"/>
    <xf numFmtId="0" fontId="0" fillId="4" borderId="1" xfId="0" applyFill="1" applyBorder="1"/>
    <xf numFmtId="3" fontId="5" fillId="4" borderId="2" xfId="0" applyNumberFormat="1" applyFont="1" applyFill="1" applyBorder="1"/>
    <xf numFmtId="3" fontId="5" fillId="4" borderId="3" xfId="0" applyNumberFormat="1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6" fillId="0" borderId="0" xfId="2" applyFont="1" applyFill="1" applyBorder="1"/>
    <xf numFmtId="0" fontId="6" fillId="0" borderId="0" xfId="2" applyFont="1" applyFill="1" applyBorder="1" applyAlignment="1">
      <alignment horizontal="right"/>
    </xf>
    <xf numFmtId="0" fontId="6" fillId="0" borderId="0" xfId="3" applyFont="1" applyFill="1"/>
    <xf numFmtId="0" fontId="6" fillId="5" borderId="0" xfId="2" applyFont="1" applyFill="1" applyBorder="1"/>
    <xf numFmtId="3" fontId="0" fillId="6" borderId="4" xfId="0" applyNumberFormat="1" applyFill="1" applyBorder="1"/>
    <xf numFmtId="9" fontId="0" fillId="0" borderId="0" xfId="1" applyFont="1"/>
    <xf numFmtId="0" fontId="0" fillId="5" borderId="4" xfId="0" applyFill="1" applyBorder="1"/>
    <xf numFmtId="4" fontId="0" fillId="7" borderId="0" xfId="0" applyNumberFormat="1" applyFill="1"/>
    <xf numFmtId="164" fontId="0" fillId="8" borderId="0" xfId="0" applyNumberFormat="1" applyFill="1"/>
    <xf numFmtId="0" fontId="0" fillId="5" borderId="0" xfId="0" applyFill="1"/>
    <xf numFmtId="0" fontId="6" fillId="0" borderId="0" xfId="3" applyFont="1" applyFill="1" applyBorder="1"/>
    <xf numFmtId="0" fontId="0" fillId="9" borderId="0" xfId="0" applyFill="1" applyAlignment="1">
      <alignment horizontal="right"/>
    </xf>
    <xf numFmtId="0" fontId="0" fillId="0" borderId="0" xfId="0" applyAlignment="1">
      <alignment horizontal="right"/>
    </xf>
    <xf numFmtId="0" fontId="4" fillId="5" borderId="4" xfId="0" applyFont="1" applyFill="1" applyBorder="1" applyAlignment="1">
      <alignment wrapText="1"/>
    </xf>
    <xf numFmtId="0" fontId="0" fillId="10" borderId="0" xfId="0" applyFill="1"/>
    <xf numFmtId="0" fontId="4" fillId="5" borderId="4" xfId="0" applyFont="1" applyFill="1" applyBorder="1"/>
    <xf numFmtId="0" fontId="0" fillId="9" borderId="0" xfId="0" quotePrefix="1" applyFill="1" applyAlignment="1">
      <alignment horizontal="right"/>
    </xf>
    <xf numFmtId="0" fontId="0" fillId="0" borderId="4" xfId="0" applyBorder="1"/>
    <xf numFmtId="0" fontId="0" fillId="9" borderId="0" xfId="0" applyFill="1" applyAlignment="1">
      <alignment horizontal="right" vertical="top"/>
    </xf>
    <xf numFmtId="0" fontId="0" fillId="0" borderId="0" xfId="0" applyAlignment="1">
      <alignment horizontal="right" vertical="top"/>
    </xf>
    <xf numFmtId="0" fontId="0" fillId="5" borderId="3" xfId="0" applyFill="1" applyBorder="1"/>
    <xf numFmtId="0" fontId="0" fillId="0" borderId="3" xfId="0" applyBorder="1"/>
    <xf numFmtId="0" fontId="0" fillId="0" borderId="0" xfId="0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/>
    <xf numFmtId="0" fontId="0" fillId="0" borderId="0" xfId="0" quotePrefix="1" applyAlignment="1">
      <alignment horizontal="right"/>
    </xf>
    <xf numFmtId="3" fontId="5" fillId="4" borderId="2" xfId="0" applyNumberFormat="1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11" borderId="0" xfId="0" applyFill="1"/>
    <xf numFmtId="3" fontId="0" fillId="12" borderId="2" xfId="0" applyNumberFormat="1" applyFill="1" applyBorder="1" applyAlignment="1">
      <alignment horizontal="center"/>
    </xf>
    <xf numFmtId="3" fontId="0" fillId="14" borderId="2" xfId="0" applyNumberFormat="1" applyFill="1" applyBorder="1" applyAlignment="1">
      <alignment horizontal="center"/>
    </xf>
    <xf numFmtId="3" fontId="0" fillId="13" borderId="2" xfId="0" applyNumberFormat="1" applyFill="1" applyBorder="1" applyAlignment="1">
      <alignment horizontal="center"/>
    </xf>
    <xf numFmtId="0" fontId="6" fillId="0" borderId="0" xfId="2" applyFont="1" applyFill="1"/>
    <xf numFmtId="3" fontId="0" fillId="6" borderId="2" xfId="0" applyNumberForma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3" fontId="0" fillId="12" borderId="2" xfId="0" applyNumberFormat="1" applyFill="1" applyBorder="1"/>
    <xf numFmtId="3" fontId="0" fillId="14" borderId="4" xfId="0" applyNumberFormat="1" applyFill="1" applyBorder="1"/>
    <xf numFmtId="0" fontId="7" fillId="0" borderId="0" xfId="0" applyFont="1"/>
    <xf numFmtId="0" fontId="7" fillId="0" borderId="2" xfId="0" applyFont="1" applyBorder="1"/>
    <xf numFmtId="3" fontId="7" fillId="14" borderId="2" xfId="0" applyNumberFormat="1" applyFont="1" applyFill="1" applyBorder="1" applyAlignment="1">
      <alignment horizontal="center"/>
    </xf>
    <xf numFmtId="3" fontId="7" fillId="6" borderId="2" xfId="0" applyNumberFormat="1" applyFont="1" applyFill="1" applyBorder="1"/>
    <xf numFmtId="3" fontId="0" fillId="11" borderId="2" xfId="0" applyNumberFormat="1" applyFill="1" applyBorder="1" applyAlignment="1">
      <alignment horizontal="center"/>
    </xf>
    <xf numFmtId="0" fontId="0" fillId="5" borderId="4" xfId="0" applyFill="1" applyBorder="1" applyAlignment="1">
      <alignment wrapText="1"/>
    </xf>
    <xf numFmtId="3" fontId="7" fillId="12" borderId="2" xfId="0" applyNumberFormat="1" applyFont="1" applyFill="1" applyBorder="1" applyAlignment="1">
      <alignment horizontal="center"/>
    </xf>
    <xf numFmtId="3" fontId="7" fillId="12" borderId="2" xfId="0" applyNumberFormat="1" applyFont="1" applyFill="1" applyBorder="1"/>
    <xf numFmtId="0" fontId="5" fillId="0" borderId="0" xfId="0" applyFont="1"/>
    <xf numFmtId="3" fontId="5" fillId="0" borderId="0" xfId="0" applyNumberFormat="1" applyFont="1"/>
    <xf numFmtId="9" fontId="5" fillId="0" borderId="0" xfId="0" applyNumberFormat="1" applyFont="1"/>
    <xf numFmtId="165" fontId="0" fillId="0" borderId="0" xfId="0" applyNumberFormat="1"/>
    <xf numFmtId="14" fontId="0" fillId="0" borderId="0" xfId="0" applyNumberFormat="1"/>
    <xf numFmtId="0" fontId="6" fillId="9" borderId="0" xfId="2" applyFont="1" applyFill="1" applyBorder="1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8CB6-FAD8-450F-B6A9-E03359EC1A7D}">
  <dimension ref="A1:X22"/>
  <sheetViews>
    <sheetView workbookViewId="0">
      <selection sqref="A1:XFD1048576"/>
    </sheetView>
  </sheetViews>
  <sheetFormatPr defaultRowHeight="15" customHeight="1" x14ac:dyDescent="0.25"/>
  <cols>
    <col min="1" max="1" width="37.5703125" bestFit="1" customWidth="1"/>
    <col min="2" max="2" width="17.28515625" bestFit="1" customWidth="1"/>
    <col min="3" max="3" width="12" bestFit="1" customWidth="1"/>
    <col min="4" max="4" width="31" bestFit="1" customWidth="1"/>
    <col min="5" max="5" width="11" bestFit="1" customWidth="1"/>
    <col min="6" max="6" width="4.42578125" bestFit="1" customWidth="1"/>
    <col min="7" max="7" width="6.7109375" bestFit="1" customWidth="1"/>
    <col min="8" max="8" width="9.42578125" bestFit="1" customWidth="1"/>
    <col min="9" max="9" width="19.42578125" bestFit="1" customWidth="1"/>
    <col min="10" max="10" width="13.140625" bestFit="1" customWidth="1"/>
    <col min="11" max="11" width="9.85546875" bestFit="1" customWidth="1"/>
    <col min="12" max="14" width="9.140625" bestFit="1" customWidth="1"/>
    <col min="15" max="15" width="8.28515625" bestFit="1" customWidth="1"/>
    <col min="16" max="16" width="9.28515625" bestFit="1" customWidth="1"/>
    <col min="17" max="17" width="47" bestFit="1" customWidth="1"/>
    <col min="18" max="18" width="7.140625" bestFit="1" customWidth="1"/>
    <col min="19" max="19" width="7.5703125" bestFit="1" customWidth="1"/>
    <col min="20" max="20" width="15.28515625" bestFit="1" customWidth="1"/>
    <col min="21" max="21" width="7.7109375" bestFit="1" customWidth="1"/>
    <col min="22" max="22" width="6.7109375" bestFit="1" customWidth="1"/>
    <col min="23" max="23" width="19.5703125" bestFit="1" customWidth="1"/>
    <col min="24" max="24" width="6.7109375" bestFit="1" customWidth="1"/>
  </cols>
  <sheetData>
    <row r="1" spans="1:2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6" t="s">
        <v>16</v>
      </c>
      <c r="S1" s="6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 ht="15" customHeight="1" x14ac:dyDescent="0.25">
      <c r="A2" s="7" t="s">
        <v>23</v>
      </c>
      <c r="B2" t="s">
        <v>24</v>
      </c>
      <c r="C2">
        <v>187516</v>
      </c>
      <c r="D2" s="7" t="s">
        <v>25</v>
      </c>
      <c r="E2" s="8"/>
      <c r="F2" s="8"/>
      <c r="G2" t="s">
        <v>26</v>
      </c>
      <c r="H2" s="7" t="s">
        <v>26</v>
      </c>
      <c r="I2" s="7"/>
      <c r="J2" s="9" t="s">
        <v>27</v>
      </c>
      <c r="K2" s="10" t="s">
        <v>28</v>
      </c>
      <c r="L2" s="11"/>
      <c r="M2" s="11">
        <v>50000</v>
      </c>
      <c r="N2" s="11">
        <v>150000</v>
      </c>
      <c r="O2" s="11">
        <v>100000</v>
      </c>
      <c r="P2" s="12">
        <v>2</v>
      </c>
      <c r="Q2" s="13" t="s">
        <v>29</v>
      </c>
      <c r="R2" s="14"/>
      <c r="S2" s="15"/>
      <c r="T2" s="16"/>
      <c r="U2" s="16"/>
      <c r="V2" s="16"/>
      <c r="W2" s="16"/>
    </row>
    <row r="3" spans="1:24" ht="15" customHeight="1" x14ac:dyDescent="0.25">
      <c r="A3" s="7" t="s">
        <v>30</v>
      </c>
      <c r="C3">
        <v>187516</v>
      </c>
      <c r="D3" s="17" t="s">
        <v>25</v>
      </c>
      <c r="E3" s="8"/>
      <c r="F3" s="8"/>
      <c r="G3" t="s">
        <v>26</v>
      </c>
      <c r="H3" s="7" t="s">
        <v>26</v>
      </c>
      <c r="I3" s="7" t="s">
        <v>77</v>
      </c>
      <c r="J3" t="s">
        <v>31</v>
      </c>
      <c r="K3" s="10" t="s">
        <v>28</v>
      </c>
      <c r="L3" s="11"/>
      <c r="M3" s="11">
        <v>130000</v>
      </c>
      <c r="N3" s="11">
        <v>130000</v>
      </c>
      <c r="O3" s="11">
        <v>0</v>
      </c>
      <c r="P3" s="12">
        <v>0</v>
      </c>
      <c r="Q3" s="13"/>
      <c r="R3" s="14">
        <v>0</v>
      </c>
      <c r="S3" s="15">
        <v>0</v>
      </c>
      <c r="T3" s="16"/>
      <c r="U3" s="16"/>
      <c r="V3" s="16"/>
      <c r="W3" s="16"/>
      <c r="X3">
        <v>3450</v>
      </c>
    </row>
    <row r="4" spans="1:24" ht="15" customHeight="1" x14ac:dyDescent="0.25">
      <c r="A4" t="s">
        <v>32</v>
      </c>
      <c r="B4" t="s">
        <v>33</v>
      </c>
      <c r="C4">
        <v>187516</v>
      </c>
      <c r="D4" t="s">
        <v>25</v>
      </c>
      <c r="E4" s="18">
        <v>5400881922</v>
      </c>
      <c r="F4" s="19">
        <v>10</v>
      </c>
      <c r="G4" t="s">
        <v>26</v>
      </c>
      <c r="H4" t="s">
        <v>26</v>
      </c>
      <c r="J4" t="s">
        <v>31</v>
      </c>
      <c r="K4" s="16" t="s">
        <v>28</v>
      </c>
      <c r="L4" s="11">
        <v>30000</v>
      </c>
      <c r="M4" s="11">
        <v>30000</v>
      </c>
      <c r="N4" s="11">
        <v>30000</v>
      </c>
      <c r="O4" s="11">
        <v>0</v>
      </c>
      <c r="P4" s="12">
        <v>0</v>
      </c>
      <c r="Q4" s="13"/>
      <c r="R4" s="14">
        <v>0</v>
      </c>
      <c r="S4" s="15">
        <v>0</v>
      </c>
      <c r="T4" s="16" t="s">
        <v>37</v>
      </c>
      <c r="U4" s="16" t="s">
        <v>38</v>
      </c>
      <c r="V4" s="16" t="s">
        <v>39</v>
      </c>
      <c r="W4" s="16"/>
      <c r="X4">
        <v>600</v>
      </c>
    </row>
    <row r="5" spans="1:24" ht="15" customHeight="1" x14ac:dyDescent="0.25">
      <c r="A5" t="s">
        <v>34</v>
      </c>
      <c r="B5" t="s">
        <v>33</v>
      </c>
      <c r="C5">
        <v>187516</v>
      </c>
      <c r="D5" s="17" t="s">
        <v>25</v>
      </c>
      <c r="E5" s="19">
        <v>5400805263</v>
      </c>
      <c r="F5" s="19">
        <v>10</v>
      </c>
      <c r="G5" t="s">
        <v>26</v>
      </c>
      <c r="H5" t="s">
        <v>26</v>
      </c>
      <c r="I5" t="s">
        <v>78</v>
      </c>
      <c r="J5" t="s">
        <v>31</v>
      </c>
      <c r="K5" s="16" t="s">
        <v>28</v>
      </c>
      <c r="L5" s="11">
        <v>200000</v>
      </c>
      <c r="M5" s="11">
        <v>200000</v>
      </c>
      <c r="N5" s="11">
        <v>200000</v>
      </c>
      <c r="O5" s="11">
        <v>0</v>
      </c>
      <c r="P5" s="12">
        <v>0</v>
      </c>
      <c r="Q5" s="13"/>
      <c r="R5" s="14">
        <v>0</v>
      </c>
      <c r="S5" s="15">
        <v>0</v>
      </c>
      <c r="T5" s="16" t="s">
        <v>37</v>
      </c>
      <c r="U5" s="16" t="s">
        <v>38</v>
      </c>
      <c r="V5" s="16" t="s">
        <v>39</v>
      </c>
      <c r="W5" s="16"/>
      <c r="X5">
        <v>602</v>
      </c>
    </row>
    <row r="6" spans="1:24" ht="15" customHeight="1" x14ac:dyDescent="0.25">
      <c r="A6" t="s">
        <v>35</v>
      </c>
      <c r="B6" t="s">
        <v>33</v>
      </c>
      <c r="C6">
        <v>187516</v>
      </c>
      <c r="D6" s="7" t="s">
        <v>25</v>
      </c>
      <c r="E6" s="8">
        <v>5400840950</v>
      </c>
      <c r="F6" s="8">
        <v>10</v>
      </c>
      <c r="G6" s="7" t="s">
        <v>26</v>
      </c>
      <c r="H6" s="17" t="s">
        <v>26</v>
      </c>
      <c r="I6" s="17" t="s">
        <v>79</v>
      </c>
      <c r="J6" t="s">
        <v>31</v>
      </c>
      <c r="K6" s="16" t="s">
        <v>28</v>
      </c>
      <c r="L6" s="11">
        <v>156000</v>
      </c>
      <c r="M6" s="11">
        <v>229000</v>
      </c>
      <c r="N6" s="11">
        <v>479000</v>
      </c>
      <c r="O6" s="11">
        <v>250000</v>
      </c>
      <c r="P6" s="12">
        <v>1.0917030567685591</v>
      </c>
      <c r="Q6" s="20" t="s">
        <v>40</v>
      </c>
      <c r="R6" s="14">
        <v>0</v>
      </c>
      <c r="S6" s="15">
        <v>0</v>
      </c>
      <c r="T6" s="16" t="s">
        <v>37</v>
      </c>
      <c r="U6" s="16" t="s">
        <v>38</v>
      </c>
      <c r="V6" s="16" t="s">
        <v>39</v>
      </c>
      <c r="W6" s="16"/>
      <c r="X6">
        <v>670</v>
      </c>
    </row>
    <row r="7" spans="1:24" ht="15" customHeight="1" x14ac:dyDescent="0.25">
      <c r="A7" s="17" t="s">
        <v>36</v>
      </c>
      <c r="B7" t="s">
        <v>33</v>
      </c>
      <c r="C7">
        <v>187516</v>
      </c>
      <c r="D7" s="7" t="s">
        <v>25</v>
      </c>
      <c r="E7" s="18">
        <v>5400912390</v>
      </c>
      <c r="F7" s="19"/>
      <c r="G7" t="s">
        <v>26</v>
      </c>
      <c r="H7" s="7" t="s">
        <v>26</v>
      </c>
      <c r="I7" s="7"/>
      <c r="J7" s="21" t="s">
        <v>31</v>
      </c>
      <c r="K7" s="10" t="s">
        <v>28</v>
      </c>
      <c r="L7" s="11"/>
      <c r="M7" s="11">
        <v>141000</v>
      </c>
      <c r="N7" s="11">
        <v>141000</v>
      </c>
      <c r="O7" s="11">
        <v>0</v>
      </c>
      <c r="P7" s="12">
        <v>0</v>
      </c>
      <c r="Q7" s="22" t="s">
        <v>41</v>
      </c>
      <c r="R7" s="14">
        <v>0</v>
      </c>
      <c r="S7" s="15">
        <v>0</v>
      </c>
      <c r="T7" s="16"/>
      <c r="U7" s="16"/>
      <c r="V7" s="16"/>
      <c r="W7" s="16"/>
      <c r="X7">
        <v>3460</v>
      </c>
    </row>
    <row r="8" spans="1:24" ht="15" customHeight="1" x14ac:dyDescent="0.25">
      <c r="A8" t="s">
        <v>42</v>
      </c>
      <c r="B8" t="s">
        <v>33</v>
      </c>
      <c r="C8">
        <v>167460</v>
      </c>
      <c r="D8" t="s">
        <v>43</v>
      </c>
      <c r="E8" s="19">
        <v>5400743604</v>
      </c>
      <c r="F8" s="19">
        <v>20</v>
      </c>
      <c r="G8" t="s">
        <v>26</v>
      </c>
      <c r="H8" t="s">
        <v>26</v>
      </c>
      <c r="I8" s="7" t="s">
        <v>78</v>
      </c>
      <c r="J8" t="s">
        <v>31</v>
      </c>
      <c r="K8" s="16" t="s">
        <v>28</v>
      </c>
      <c r="L8" s="11">
        <v>42000</v>
      </c>
      <c r="M8" s="11">
        <v>0</v>
      </c>
      <c r="N8" s="11">
        <v>0</v>
      </c>
      <c r="O8" s="11">
        <v>0</v>
      </c>
      <c r="P8" s="12">
        <v>0</v>
      </c>
      <c r="Q8" s="13"/>
      <c r="R8" s="14">
        <v>0</v>
      </c>
      <c r="S8" s="15" t="s">
        <v>44</v>
      </c>
      <c r="T8" s="16" t="s">
        <v>37</v>
      </c>
      <c r="U8" s="16" t="s">
        <v>38</v>
      </c>
      <c r="V8" s="16" t="s">
        <v>39</v>
      </c>
      <c r="W8" s="16"/>
      <c r="X8">
        <v>610</v>
      </c>
    </row>
    <row r="9" spans="1:24" ht="15" customHeight="1" x14ac:dyDescent="0.25">
      <c r="A9" t="s">
        <v>45</v>
      </c>
      <c r="C9" s="17">
        <v>152539</v>
      </c>
      <c r="D9" s="17" t="s">
        <v>46</v>
      </c>
      <c r="E9" s="23">
        <v>5400922801</v>
      </c>
      <c r="F9" s="19">
        <v>20</v>
      </c>
      <c r="G9" t="s">
        <v>26</v>
      </c>
      <c r="H9" t="s">
        <v>26</v>
      </c>
      <c r="J9" t="s">
        <v>31</v>
      </c>
      <c r="K9" s="16" t="s">
        <v>28</v>
      </c>
      <c r="L9" s="11">
        <v>0</v>
      </c>
      <c r="M9" s="11">
        <v>45000</v>
      </c>
      <c r="N9" s="11">
        <v>45000</v>
      </c>
      <c r="O9" s="11">
        <v>0</v>
      </c>
      <c r="P9" s="12">
        <v>0</v>
      </c>
      <c r="Q9" s="13"/>
      <c r="R9" s="14">
        <v>0</v>
      </c>
      <c r="S9" s="15">
        <v>0</v>
      </c>
      <c r="T9" s="16" t="s">
        <v>37</v>
      </c>
      <c r="U9" s="16" t="s">
        <v>38</v>
      </c>
      <c r="V9" s="16" t="s">
        <v>39</v>
      </c>
      <c r="W9" s="16"/>
      <c r="X9">
        <v>622</v>
      </c>
    </row>
    <row r="10" spans="1:24" ht="15" customHeight="1" x14ac:dyDescent="0.25">
      <c r="A10" s="17" t="s">
        <v>47</v>
      </c>
      <c r="B10" t="s">
        <v>33</v>
      </c>
      <c r="C10" s="17"/>
      <c r="D10" t="s">
        <v>48</v>
      </c>
      <c r="E10" s="23">
        <v>5400913325</v>
      </c>
      <c r="F10" s="19">
        <v>20</v>
      </c>
      <c r="G10" t="s">
        <v>26</v>
      </c>
      <c r="H10" s="7" t="s">
        <v>26</v>
      </c>
      <c r="I10" s="7"/>
      <c r="J10" t="s">
        <v>31</v>
      </c>
      <c r="K10" s="10" t="s">
        <v>28</v>
      </c>
      <c r="L10" s="11"/>
      <c r="M10" s="11">
        <v>250000</v>
      </c>
      <c r="N10" s="11">
        <v>250000</v>
      </c>
      <c r="O10" s="11">
        <v>0</v>
      </c>
      <c r="P10" s="12">
        <v>0</v>
      </c>
      <c r="Q10" s="24"/>
      <c r="R10" s="14">
        <v>0</v>
      </c>
      <c r="S10" s="15">
        <v>0</v>
      </c>
      <c r="T10" s="16"/>
      <c r="U10" s="16"/>
      <c r="V10" s="16"/>
      <c r="W10" s="16"/>
      <c r="X10">
        <v>3480</v>
      </c>
    </row>
    <row r="11" spans="1:24" ht="15" customHeight="1" x14ac:dyDescent="0.25">
      <c r="A11" t="s">
        <v>49</v>
      </c>
      <c r="B11" t="s">
        <v>24</v>
      </c>
      <c r="C11">
        <v>121208</v>
      </c>
      <c r="D11" t="s">
        <v>51</v>
      </c>
      <c r="E11" s="25">
        <v>5400963582</v>
      </c>
      <c r="F11" s="26">
        <v>10</v>
      </c>
      <c r="G11" t="s">
        <v>26</v>
      </c>
      <c r="H11" s="17" t="s">
        <v>26</v>
      </c>
      <c r="I11" s="17" t="s">
        <v>77</v>
      </c>
      <c r="J11" t="s">
        <v>27</v>
      </c>
      <c r="K11" s="16" t="s">
        <v>28</v>
      </c>
      <c r="L11" s="11">
        <v>35000</v>
      </c>
      <c r="M11" s="11">
        <v>35000</v>
      </c>
      <c r="N11" s="11">
        <v>35000</v>
      </c>
      <c r="O11" s="11">
        <v>0</v>
      </c>
      <c r="P11" s="12">
        <v>0</v>
      </c>
      <c r="Q11" s="13"/>
      <c r="R11" s="14">
        <v>0</v>
      </c>
      <c r="S11" s="15">
        <v>0</v>
      </c>
      <c r="T11" s="16" t="s">
        <v>52</v>
      </c>
      <c r="U11" s="16" t="s">
        <v>53</v>
      </c>
      <c r="V11" s="16" t="s">
        <v>54</v>
      </c>
      <c r="W11" s="16"/>
      <c r="X11">
        <v>1141</v>
      </c>
    </row>
    <row r="12" spans="1:24" ht="15" customHeight="1" x14ac:dyDescent="0.25">
      <c r="A12" t="s">
        <v>50</v>
      </c>
      <c r="B12" t="s">
        <v>24</v>
      </c>
      <c r="C12">
        <v>121208</v>
      </c>
      <c r="D12" t="s">
        <v>51</v>
      </c>
      <c r="E12" s="25">
        <v>5400972352</v>
      </c>
      <c r="F12" s="26">
        <v>10</v>
      </c>
      <c r="G12" t="s">
        <v>26</v>
      </c>
      <c r="H12" s="17" t="s">
        <v>26</v>
      </c>
      <c r="I12" s="17" t="s">
        <v>77</v>
      </c>
      <c r="J12" t="s">
        <v>27</v>
      </c>
      <c r="K12" s="16" t="s">
        <v>28</v>
      </c>
      <c r="L12" s="11">
        <v>60000</v>
      </c>
      <c r="M12" s="11">
        <v>60000</v>
      </c>
      <c r="N12" s="11">
        <v>60000</v>
      </c>
      <c r="O12" s="11">
        <v>0</v>
      </c>
      <c r="P12" s="12">
        <v>0</v>
      </c>
      <c r="Q12" s="13"/>
      <c r="R12" s="14">
        <v>0</v>
      </c>
      <c r="S12" s="15">
        <v>0</v>
      </c>
      <c r="T12" s="16" t="s">
        <v>52</v>
      </c>
      <c r="U12" s="16" t="s">
        <v>38</v>
      </c>
      <c r="V12" s="16" t="s">
        <v>55</v>
      </c>
      <c r="W12" s="16"/>
      <c r="X12">
        <v>1150</v>
      </c>
    </row>
    <row r="13" spans="1:24" ht="15" customHeight="1" x14ac:dyDescent="0.25">
      <c r="A13" s="17" t="s">
        <v>56</v>
      </c>
      <c r="B13" t="s">
        <v>33</v>
      </c>
      <c r="C13" s="17"/>
      <c r="D13" s="17" t="s">
        <v>57</v>
      </c>
      <c r="E13" s="23">
        <v>5400978271</v>
      </c>
      <c r="F13" s="19"/>
      <c r="G13" t="s">
        <v>26</v>
      </c>
      <c r="H13" s="7" t="s">
        <v>26</v>
      </c>
      <c r="I13" s="7" t="s">
        <v>79</v>
      </c>
      <c r="J13" t="s">
        <v>31</v>
      </c>
      <c r="K13" s="10" t="s">
        <v>28</v>
      </c>
      <c r="L13" s="11"/>
      <c r="M13" s="11">
        <v>74000</v>
      </c>
      <c r="N13" s="11">
        <v>74000</v>
      </c>
      <c r="O13" s="11">
        <v>0</v>
      </c>
      <c r="P13" s="12">
        <v>0</v>
      </c>
      <c r="Q13" s="24"/>
      <c r="R13" s="14">
        <v>0</v>
      </c>
      <c r="S13" s="15">
        <v>0</v>
      </c>
      <c r="T13" s="16"/>
      <c r="U13" s="16"/>
      <c r="V13" s="16"/>
      <c r="W13" s="16"/>
      <c r="X13">
        <v>3470</v>
      </c>
    </row>
    <row r="14" spans="1:24" ht="15" customHeight="1" x14ac:dyDescent="0.25">
      <c r="A14" t="s">
        <v>58</v>
      </c>
      <c r="B14" t="s">
        <v>59</v>
      </c>
      <c r="C14">
        <v>192268</v>
      </c>
      <c r="D14" t="s">
        <v>61</v>
      </c>
      <c r="E14" s="18">
        <v>5400864541</v>
      </c>
      <c r="F14" s="19">
        <v>20</v>
      </c>
      <c r="G14" t="s">
        <v>26</v>
      </c>
      <c r="H14" s="17" t="s">
        <v>26</v>
      </c>
      <c r="I14" s="17"/>
      <c r="J14" t="s">
        <v>31</v>
      </c>
      <c r="K14" s="16" t="s">
        <v>28</v>
      </c>
      <c r="L14" s="11">
        <v>10700</v>
      </c>
      <c r="M14" s="11">
        <v>10700</v>
      </c>
      <c r="N14" s="11">
        <v>10700</v>
      </c>
      <c r="O14" s="11">
        <v>0</v>
      </c>
      <c r="P14" s="12">
        <v>0</v>
      </c>
      <c r="Q14" s="27"/>
      <c r="R14" s="14">
        <v>0</v>
      </c>
      <c r="S14" s="15">
        <v>0</v>
      </c>
      <c r="T14" s="16" t="s">
        <v>52</v>
      </c>
      <c r="U14" s="16" t="s">
        <v>53</v>
      </c>
      <c r="V14" s="16"/>
      <c r="W14" s="16"/>
      <c r="X14">
        <v>2310</v>
      </c>
    </row>
    <row r="15" spans="1:24" ht="15" customHeight="1" x14ac:dyDescent="0.25">
      <c r="A15" s="17" t="s">
        <v>60</v>
      </c>
      <c r="B15" s="21" t="s">
        <v>24</v>
      </c>
      <c r="C15" s="17"/>
      <c r="D15" s="17" t="s">
        <v>60</v>
      </c>
      <c r="E15" s="23">
        <v>5400978265</v>
      </c>
      <c r="F15" s="19"/>
      <c r="G15" t="s">
        <v>26</v>
      </c>
      <c r="H15" s="7" t="s">
        <v>26</v>
      </c>
      <c r="I15" s="7"/>
      <c r="J15" t="s">
        <v>27</v>
      </c>
      <c r="K15" s="10" t="s">
        <v>28</v>
      </c>
      <c r="L15" s="11"/>
      <c r="M15" s="11">
        <v>85000</v>
      </c>
      <c r="N15" s="11">
        <v>85000</v>
      </c>
      <c r="O15" s="11">
        <v>0</v>
      </c>
      <c r="P15" s="12">
        <v>0</v>
      </c>
      <c r="Q15" s="28"/>
      <c r="R15" s="14">
        <v>0</v>
      </c>
      <c r="S15" s="15">
        <v>0</v>
      </c>
      <c r="T15" s="16"/>
      <c r="U15" s="16"/>
      <c r="V15" s="16"/>
      <c r="W15" s="16"/>
      <c r="X15">
        <v>3490</v>
      </c>
    </row>
    <row r="16" spans="1:24" ht="15" customHeight="1" x14ac:dyDescent="0.25">
      <c r="A16" t="s">
        <v>62</v>
      </c>
      <c r="B16" t="s">
        <v>33</v>
      </c>
      <c r="C16">
        <v>181508</v>
      </c>
      <c r="D16" t="s">
        <v>63</v>
      </c>
      <c r="E16" s="18">
        <v>5400973344</v>
      </c>
      <c r="F16" s="19">
        <v>10</v>
      </c>
      <c r="G16" t="s">
        <v>26</v>
      </c>
      <c r="H16" t="s">
        <v>26</v>
      </c>
      <c r="J16" t="s">
        <v>31</v>
      </c>
      <c r="K16" s="16" t="s">
        <v>28</v>
      </c>
      <c r="L16" s="11">
        <v>50000</v>
      </c>
      <c r="M16" s="11">
        <v>50000</v>
      </c>
      <c r="N16" s="11">
        <v>50000</v>
      </c>
      <c r="O16" s="11">
        <v>0</v>
      </c>
      <c r="P16" s="12">
        <v>0</v>
      </c>
      <c r="Q16" s="27"/>
      <c r="R16" s="14">
        <v>0</v>
      </c>
      <c r="S16" s="15">
        <v>0</v>
      </c>
      <c r="T16" s="16" t="s">
        <v>37</v>
      </c>
      <c r="U16" s="16" t="s">
        <v>38</v>
      </c>
      <c r="V16" s="16" t="s">
        <v>39</v>
      </c>
      <c r="W16" s="16"/>
      <c r="X16">
        <v>621</v>
      </c>
    </row>
    <row r="17" spans="1:24" ht="15" customHeight="1" x14ac:dyDescent="0.25">
      <c r="A17" t="s">
        <v>64</v>
      </c>
      <c r="B17" t="s">
        <v>33</v>
      </c>
      <c r="C17" s="29">
        <v>195870</v>
      </c>
      <c r="D17" t="s">
        <v>65</v>
      </c>
      <c r="E17" s="30">
        <v>5400969346</v>
      </c>
      <c r="F17" s="19">
        <v>10</v>
      </c>
      <c r="G17" t="s">
        <v>26</v>
      </c>
      <c r="H17" s="17" t="s">
        <v>26</v>
      </c>
      <c r="I17" s="17"/>
      <c r="J17" t="s">
        <v>31</v>
      </c>
      <c r="K17" s="16" t="s">
        <v>28</v>
      </c>
      <c r="L17" s="11">
        <v>60000</v>
      </c>
      <c r="M17" s="11">
        <v>80000</v>
      </c>
      <c r="N17" s="11">
        <v>80000</v>
      </c>
      <c r="O17" s="11">
        <v>0</v>
      </c>
      <c r="P17" s="12">
        <v>0</v>
      </c>
      <c r="Q17" s="27"/>
      <c r="R17" s="14">
        <v>0</v>
      </c>
      <c r="S17" s="15">
        <v>0</v>
      </c>
      <c r="T17" s="16" t="s">
        <v>37</v>
      </c>
      <c r="U17" s="16" t="s">
        <v>38</v>
      </c>
      <c r="V17" s="16" t="s">
        <v>39</v>
      </c>
      <c r="W17" s="16"/>
      <c r="X17">
        <v>640</v>
      </c>
    </row>
    <row r="18" spans="1:24" ht="15" customHeight="1" x14ac:dyDescent="0.25">
      <c r="A18" t="s">
        <v>66</v>
      </c>
      <c r="B18">
        <v>0</v>
      </c>
      <c r="C18">
        <v>198668</v>
      </c>
      <c r="D18" t="s">
        <v>67</v>
      </c>
      <c r="E18" s="31">
        <v>5400958294</v>
      </c>
      <c r="F18" s="19">
        <v>10</v>
      </c>
      <c r="G18" s="17" t="s">
        <v>26</v>
      </c>
      <c r="H18" s="17" t="s">
        <v>26</v>
      </c>
      <c r="I18" s="17"/>
      <c r="J18" t="s">
        <v>31</v>
      </c>
      <c r="K18" s="16" t="s">
        <v>28</v>
      </c>
      <c r="L18" s="11">
        <v>300000</v>
      </c>
      <c r="M18" s="11">
        <v>330000</v>
      </c>
      <c r="N18" s="11">
        <v>362000</v>
      </c>
      <c r="O18" s="11">
        <v>32000</v>
      </c>
      <c r="P18" s="12">
        <v>9.696969696969697E-2</v>
      </c>
      <c r="Q18" s="27" t="s">
        <v>68</v>
      </c>
      <c r="R18" s="14">
        <v>0</v>
      </c>
      <c r="S18" s="15">
        <v>0</v>
      </c>
      <c r="T18" s="16" t="s">
        <v>52</v>
      </c>
      <c r="U18" s="16" t="s">
        <v>53</v>
      </c>
      <c r="V18" s="16" t="s">
        <v>54</v>
      </c>
      <c r="W18" s="16"/>
      <c r="X18">
        <v>1520</v>
      </c>
    </row>
    <row r="19" spans="1:24" ht="15" customHeight="1" x14ac:dyDescent="0.25">
      <c r="A19" t="s">
        <v>69</v>
      </c>
      <c r="B19">
        <v>0</v>
      </c>
      <c r="C19">
        <v>189203</v>
      </c>
      <c r="D19" t="s">
        <v>71</v>
      </c>
      <c r="E19" s="18">
        <v>5400904915</v>
      </c>
      <c r="F19" s="19">
        <v>10</v>
      </c>
      <c r="G19" t="s">
        <v>26</v>
      </c>
      <c r="H19" s="17" t="s">
        <v>26</v>
      </c>
      <c r="I19" s="17"/>
      <c r="J19" t="s">
        <v>31</v>
      </c>
      <c r="K19" s="16" t="s">
        <v>28</v>
      </c>
      <c r="L19" s="11">
        <v>310000</v>
      </c>
      <c r="M19" s="11">
        <v>310000</v>
      </c>
      <c r="N19" s="11">
        <v>310000</v>
      </c>
      <c r="O19" s="11">
        <v>0</v>
      </c>
      <c r="P19" s="12">
        <v>0</v>
      </c>
      <c r="Q19" s="27"/>
      <c r="R19" s="14">
        <v>0</v>
      </c>
      <c r="S19" s="15">
        <v>0</v>
      </c>
      <c r="T19" s="16" t="s">
        <v>52</v>
      </c>
      <c r="U19" s="16" t="s">
        <v>38</v>
      </c>
      <c r="V19" s="16" t="s">
        <v>54</v>
      </c>
      <c r="W19" s="16"/>
      <c r="X19">
        <v>1160</v>
      </c>
    </row>
    <row r="20" spans="1:24" ht="15" customHeight="1" x14ac:dyDescent="0.25">
      <c r="A20" t="s">
        <v>70</v>
      </c>
      <c r="B20" t="s">
        <v>59</v>
      </c>
      <c r="C20">
        <v>189203</v>
      </c>
      <c r="D20" t="s">
        <v>71</v>
      </c>
      <c r="E20" s="18">
        <v>5400904915</v>
      </c>
      <c r="F20" s="19">
        <v>10</v>
      </c>
      <c r="G20" t="s">
        <v>26</v>
      </c>
      <c r="H20" s="17" t="s">
        <v>26</v>
      </c>
      <c r="I20" s="17"/>
      <c r="J20" t="s">
        <v>31</v>
      </c>
      <c r="K20" s="16" t="s">
        <v>28</v>
      </c>
      <c r="L20" s="11">
        <v>82000</v>
      </c>
      <c r="M20" s="11">
        <v>82000</v>
      </c>
      <c r="N20" s="11">
        <v>82000</v>
      </c>
      <c r="O20" s="11">
        <v>0</v>
      </c>
      <c r="P20" s="12">
        <v>0</v>
      </c>
      <c r="Q20" s="27"/>
      <c r="R20" s="14">
        <v>0</v>
      </c>
      <c r="S20" s="15">
        <v>0</v>
      </c>
      <c r="T20" s="16"/>
      <c r="U20" s="16"/>
      <c r="V20" s="16"/>
      <c r="W20" s="16"/>
      <c r="X20">
        <v>2320</v>
      </c>
    </row>
    <row r="21" spans="1:24" ht="15" customHeight="1" x14ac:dyDescent="0.25">
      <c r="A21" t="s">
        <v>72</v>
      </c>
      <c r="C21" s="17"/>
      <c r="D21" s="17"/>
      <c r="E21" s="32" t="s">
        <v>73</v>
      </c>
      <c r="F21" s="19"/>
      <c r="G21" t="s">
        <v>26</v>
      </c>
      <c r="H21" t="s">
        <v>26</v>
      </c>
      <c r="J21" t="s">
        <v>31</v>
      </c>
      <c r="K21" s="16" t="s">
        <v>28</v>
      </c>
      <c r="L21" s="11">
        <v>55000</v>
      </c>
      <c r="M21" s="11">
        <v>140000</v>
      </c>
      <c r="N21" s="11">
        <v>0</v>
      </c>
      <c r="O21" s="11">
        <v>-140000</v>
      </c>
      <c r="P21" s="12">
        <v>-1</v>
      </c>
      <c r="Q21" s="27" t="s">
        <v>74</v>
      </c>
      <c r="R21" s="14">
        <v>0</v>
      </c>
      <c r="S21" s="15" t="s">
        <v>44</v>
      </c>
      <c r="T21" s="16" t="s">
        <v>37</v>
      </c>
      <c r="U21" s="16" t="s">
        <v>38</v>
      </c>
      <c r="V21" s="16" t="s">
        <v>39</v>
      </c>
      <c r="W21" s="16"/>
      <c r="X21">
        <v>630</v>
      </c>
    </row>
    <row r="22" spans="1:24" ht="15" customHeight="1" x14ac:dyDescent="0.25">
      <c r="A22" t="s">
        <v>75</v>
      </c>
      <c r="B22" t="s">
        <v>33</v>
      </c>
      <c r="C22" s="17"/>
      <c r="D22" s="17"/>
      <c r="E22" s="32"/>
      <c r="F22" s="19"/>
      <c r="G22" t="s">
        <v>26</v>
      </c>
      <c r="H22" t="s">
        <v>26</v>
      </c>
      <c r="J22" t="s">
        <v>31</v>
      </c>
      <c r="K22" s="16" t="s">
        <v>28</v>
      </c>
      <c r="L22" s="11">
        <v>50000</v>
      </c>
      <c r="M22" s="11">
        <v>70000</v>
      </c>
      <c r="N22" s="11">
        <v>70000</v>
      </c>
      <c r="O22" s="11">
        <v>0</v>
      </c>
      <c r="P22" s="12">
        <v>0</v>
      </c>
      <c r="Q22" s="27"/>
      <c r="R22" s="14">
        <v>0</v>
      </c>
      <c r="S22" s="15">
        <v>0</v>
      </c>
      <c r="T22" s="16" t="s">
        <v>37</v>
      </c>
      <c r="U22" s="16" t="s">
        <v>38</v>
      </c>
      <c r="V22" s="16" t="s">
        <v>39</v>
      </c>
      <c r="W22" s="16"/>
      <c r="X22">
        <v>603</v>
      </c>
    </row>
  </sheetData>
  <autoFilter ref="A1:X22" xr:uid="{5AC18CB6-FAD8-450F-B6A9-E03359EC1A7D}"/>
  <dataValidations count="3">
    <dataValidation type="list" allowBlank="1" showInputMessage="1" showErrorMessage="1" sqref="U2:U22" xr:uid="{135D59A4-6A5D-4753-A332-EE94755A74FC}">
      <formula1>"GR,GR Without Invoice,Pre paid"</formula1>
    </dataValidation>
    <dataValidation type="list" allowBlank="1" showInputMessage="1" showErrorMessage="1" sqref="V2:V22" xr:uid="{C1C85551-85C7-46BF-B295-330C18F1DEDB}">
      <formula1>"Post,Pre,Spot"</formula1>
    </dataValidation>
    <dataValidation type="list" allowBlank="1" showInputMessage="1" showErrorMessage="1" sqref="T2:T22" xr:uid="{B66B1C4A-F1D7-42B1-A7C4-14B9133FA054}">
      <formula1>"Monthly,Quarterly,Half-Year,Yearly,2-Year,3-Year"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4363-DC15-40F2-8C2D-222020C483C6}">
  <dimension ref="A1:Y37"/>
  <sheetViews>
    <sheetView tabSelected="1" zoomScale="85" zoomScaleNormal="85" workbookViewId="0">
      <selection activeCell="A9" sqref="A9"/>
    </sheetView>
  </sheetViews>
  <sheetFormatPr defaultRowHeight="15" customHeight="1" x14ac:dyDescent="0.25"/>
  <cols>
    <col min="1" max="1" width="44.7109375" bestFit="1" customWidth="1"/>
    <col min="2" max="2" width="26.85546875" customWidth="1"/>
    <col min="3" max="3" width="12" customWidth="1"/>
    <col min="4" max="4" width="31" customWidth="1"/>
    <col min="5" max="5" width="11" customWidth="1"/>
    <col min="6" max="6" width="4.42578125" customWidth="1"/>
    <col min="7" max="7" width="6.7109375" customWidth="1"/>
    <col min="8" max="8" width="9.42578125" customWidth="1"/>
    <col min="9" max="9" width="19.42578125" hidden="1" customWidth="1"/>
    <col min="10" max="10" width="13.140625" hidden="1" customWidth="1"/>
    <col min="11" max="11" width="9.85546875" hidden="1" customWidth="1"/>
    <col min="12" max="13" width="9.140625" customWidth="1"/>
    <col min="14" max="14" width="9.140625" bestFit="1" customWidth="1"/>
    <col min="15" max="15" width="9.140625" style="35" customWidth="1"/>
    <col min="16" max="16" width="8.28515625" bestFit="1" customWidth="1"/>
    <col min="17" max="17" width="9.28515625" bestFit="1" customWidth="1"/>
    <col min="18" max="18" width="47" bestFit="1" customWidth="1"/>
    <col min="19" max="19" width="7.140625" bestFit="1" customWidth="1"/>
    <col min="20" max="20" width="7.5703125" bestFit="1" customWidth="1"/>
    <col min="21" max="21" width="15.28515625" bestFit="1" customWidth="1"/>
    <col min="22" max="22" width="7.7109375" bestFit="1" customWidth="1"/>
    <col min="23" max="23" width="6.7109375" bestFit="1" customWidth="1"/>
    <col min="24" max="24" width="19.5703125" bestFit="1" customWidth="1"/>
    <col min="25" max="25" width="6.7109375" bestFit="1" customWidth="1"/>
  </cols>
  <sheetData>
    <row r="1" spans="1:25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76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3" t="s">
        <v>80</v>
      </c>
      <c r="P1" s="3" t="s">
        <v>13</v>
      </c>
      <c r="Q1" s="4" t="s">
        <v>14</v>
      </c>
      <c r="R1" s="5" t="s">
        <v>15</v>
      </c>
      <c r="S1" s="6" t="s">
        <v>16</v>
      </c>
      <c r="T1" s="6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</row>
    <row r="2" spans="1:25" ht="15" customHeight="1" x14ac:dyDescent="0.25">
      <c r="A2" s="59" t="s">
        <v>117</v>
      </c>
      <c r="B2" t="s">
        <v>101</v>
      </c>
      <c r="C2">
        <v>187516</v>
      </c>
      <c r="D2" s="7" t="s">
        <v>25</v>
      </c>
      <c r="E2" s="8"/>
      <c r="F2" s="8"/>
      <c r="G2" t="s">
        <v>81</v>
      </c>
      <c r="H2" t="s">
        <v>81</v>
      </c>
      <c r="I2" s="7" t="s">
        <v>77</v>
      </c>
      <c r="J2" s="9" t="s">
        <v>27</v>
      </c>
      <c r="K2" s="10" t="s">
        <v>28</v>
      </c>
      <c r="L2" s="11"/>
      <c r="M2" s="11">
        <v>50000</v>
      </c>
      <c r="N2" s="11">
        <v>150000</v>
      </c>
      <c r="O2" s="50">
        <v>150000</v>
      </c>
      <c r="P2" s="11">
        <f t="shared" ref="P2:P25" si="0">O2-N2</f>
        <v>0</v>
      </c>
      <c r="Q2" s="56">
        <f t="shared" ref="Q2:Q25" si="1">P2/O2</f>
        <v>0</v>
      </c>
      <c r="R2" s="13" t="s">
        <v>103</v>
      </c>
      <c r="S2" s="14"/>
      <c r="T2" s="15"/>
      <c r="U2" s="16"/>
      <c r="V2" s="16"/>
      <c r="W2" s="16"/>
      <c r="X2" s="16"/>
    </row>
    <row r="3" spans="1:25" ht="15" customHeight="1" x14ac:dyDescent="0.25">
      <c r="A3" s="59" t="s">
        <v>118</v>
      </c>
      <c r="B3" t="s">
        <v>115</v>
      </c>
      <c r="C3">
        <v>187516</v>
      </c>
      <c r="D3" s="17" t="s">
        <v>25</v>
      </c>
      <c r="E3" s="8"/>
      <c r="F3" s="8"/>
      <c r="G3" t="s">
        <v>81</v>
      </c>
      <c r="H3" t="s">
        <v>81</v>
      </c>
      <c r="I3" s="7" t="s">
        <v>77</v>
      </c>
      <c r="J3" t="s">
        <v>31</v>
      </c>
      <c r="K3" s="10" t="s">
        <v>28</v>
      </c>
      <c r="L3" s="11"/>
      <c r="M3" s="11">
        <v>130000</v>
      </c>
      <c r="N3" s="11">
        <v>130000</v>
      </c>
      <c r="O3" s="50">
        <v>130000</v>
      </c>
      <c r="P3" s="11">
        <f t="shared" si="0"/>
        <v>0</v>
      </c>
      <c r="Q3" s="56">
        <f t="shared" si="1"/>
        <v>0</v>
      </c>
      <c r="R3" s="51" t="s">
        <v>102</v>
      </c>
      <c r="S3" s="14">
        <v>0</v>
      </c>
      <c r="T3" s="15">
        <v>0</v>
      </c>
      <c r="U3" s="16"/>
      <c r="V3" s="16"/>
      <c r="W3" s="16"/>
      <c r="X3" s="16"/>
      <c r="Y3">
        <v>3450</v>
      </c>
    </row>
    <row r="4" spans="1:25" ht="15" customHeight="1" x14ac:dyDescent="0.25">
      <c r="A4" t="s">
        <v>138</v>
      </c>
      <c r="B4">
        <v>0</v>
      </c>
      <c r="C4">
        <v>198668</v>
      </c>
      <c r="D4" t="s">
        <v>67</v>
      </c>
      <c r="E4">
        <v>5400958294</v>
      </c>
      <c r="F4" s="19">
        <v>10</v>
      </c>
      <c r="G4" t="s">
        <v>81</v>
      </c>
      <c r="H4" t="s">
        <v>81</v>
      </c>
      <c r="I4" s="17" t="s">
        <v>77</v>
      </c>
      <c r="J4" t="s">
        <v>31</v>
      </c>
      <c r="K4" s="16" t="s">
        <v>28</v>
      </c>
      <c r="L4" s="11">
        <v>300000</v>
      </c>
      <c r="M4" s="11">
        <v>330000</v>
      </c>
      <c r="N4" s="11">
        <v>362000</v>
      </c>
      <c r="O4" s="50">
        <v>362000</v>
      </c>
      <c r="P4" s="11">
        <f t="shared" si="0"/>
        <v>0</v>
      </c>
      <c r="Q4" s="56">
        <f>P4/O4</f>
        <v>0</v>
      </c>
      <c r="R4" s="27" t="s">
        <v>106</v>
      </c>
      <c r="S4" s="14">
        <v>0</v>
      </c>
      <c r="T4" s="15">
        <v>0</v>
      </c>
      <c r="U4" s="16" t="s">
        <v>52</v>
      </c>
      <c r="V4" s="16" t="s">
        <v>53</v>
      </c>
      <c r="W4" s="16" t="s">
        <v>54</v>
      </c>
      <c r="X4" s="16"/>
      <c r="Y4">
        <v>1520</v>
      </c>
    </row>
    <row r="5" spans="1:25" ht="15" customHeight="1" x14ac:dyDescent="0.25">
      <c r="A5" t="s">
        <v>119</v>
      </c>
      <c r="D5" t="s">
        <v>111</v>
      </c>
      <c r="G5" t="s">
        <v>81</v>
      </c>
      <c r="H5" t="s">
        <v>81</v>
      </c>
      <c r="I5" s="36" t="s">
        <v>85</v>
      </c>
      <c r="J5" t="s">
        <v>31</v>
      </c>
      <c r="K5" s="16" t="s">
        <v>28</v>
      </c>
      <c r="L5" s="42"/>
      <c r="M5" s="42"/>
      <c r="N5" s="42"/>
      <c r="O5" s="37">
        <v>0</v>
      </c>
      <c r="P5" s="44">
        <f t="shared" si="0"/>
        <v>0</v>
      </c>
      <c r="Q5" s="56" t="e">
        <f>P5/O5</f>
        <v>#DIV/0!</v>
      </c>
      <c r="R5" t="s">
        <v>89</v>
      </c>
    </row>
    <row r="6" spans="1:25" ht="15" customHeight="1" x14ac:dyDescent="0.25">
      <c r="A6" t="s">
        <v>120</v>
      </c>
      <c r="B6" t="s">
        <v>33</v>
      </c>
      <c r="C6">
        <v>187516</v>
      </c>
      <c r="D6" s="7" t="s">
        <v>25</v>
      </c>
      <c r="E6" s="8">
        <v>5400840950</v>
      </c>
      <c r="F6" s="8">
        <v>10</v>
      </c>
      <c r="G6" t="s">
        <v>81</v>
      </c>
      <c r="H6" t="s">
        <v>81</v>
      </c>
      <c r="I6" s="17" t="s">
        <v>79</v>
      </c>
      <c r="J6" t="s">
        <v>31</v>
      </c>
      <c r="K6" s="16" t="s">
        <v>28</v>
      </c>
      <c r="L6" s="11">
        <v>156000</v>
      </c>
      <c r="M6" s="11">
        <v>229000</v>
      </c>
      <c r="N6" s="11">
        <v>479000</v>
      </c>
      <c r="O6" s="38">
        <v>479000</v>
      </c>
      <c r="P6" s="11">
        <f t="shared" si="0"/>
        <v>0</v>
      </c>
      <c r="Q6" s="56">
        <f>P6/O6</f>
        <v>0</v>
      </c>
      <c r="R6" s="20"/>
      <c r="S6" s="14">
        <v>0</v>
      </c>
      <c r="T6" s="15">
        <v>0</v>
      </c>
      <c r="U6" s="16" t="s">
        <v>37</v>
      </c>
      <c r="V6" s="16" t="s">
        <v>38</v>
      </c>
      <c r="W6" s="16" t="s">
        <v>39</v>
      </c>
      <c r="X6" s="16"/>
      <c r="Y6">
        <v>670</v>
      </c>
    </row>
    <row r="7" spans="1:25" ht="15" customHeight="1" x14ac:dyDescent="0.25">
      <c r="A7" s="17" t="s">
        <v>121</v>
      </c>
      <c r="B7" t="s">
        <v>33</v>
      </c>
      <c r="C7" s="17"/>
      <c r="D7" s="17" t="s">
        <v>57</v>
      </c>
      <c r="E7" s="32">
        <v>5400978271</v>
      </c>
      <c r="F7" s="19"/>
      <c r="G7" t="s">
        <v>81</v>
      </c>
      <c r="H7" t="s">
        <v>81</v>
      </c>
      <c r="I7" s="7" t="s">
        <v>79</v>
      </c>
      <c r="J7" t="s">
        <v>31</v>
      </c>
      <c r="K7" s="10" t="s">
        <v>28</v>
      </c>
      <c r="L7" s="11"/>
      <c r="M7" s="11">
        <v>74000</v>
      </c>
      <c r="N7" s="11">
        <v>74000</v>
      </c>
      <c r="O7" s="38">
        <v>74000</v>
      </c>
      <c r="P7" s="11">
        <f t="shared" si="0"/>
        <v>0</v>
      </c>
      <c r="Q7" s="56">
        <f>P7/O7</f>
        <v>0</v>
      </c>
      <c r="R7" s="24"/>
      <c r="S7" s="14">
        <v>0</v>
      </c>
      <c r="T7" s="15">
        <v>0</v>
      </c>
      <c r="U7" s="16"/>
      <c r="V7" s="16"/>
      <c r="W7" s="16"/>
      <c r="X7" s="16"/>
      <c r="Y7">
        <v>3470</v>
      </c>
    </row>
    <row r="8" spans="1:25" ht="15" customHeight="1" x14ac:dyDescent="0.25">
      <c r="A8" t="s">
        <v>122</v>
      </c>
      <c r="B8" t="s">
        <v>33</v>
      </c>
      <c r="C8">
        <v>187516</v>
      </c>
      <c r="D8" t="s">
        <v>25</v>
      </c>
      <c r="E8" s="19">
        <v>5400881922</v>
      </c>
      <c r="F8" s="19">
        <v>10</v>
      </c>
      <c r="G8" t="s">
        <v>81</v>
      </c>
      <c r="H8" t="s">
        <v>81</v>
      </c>
      <c r="I8" t="s">
        <v>78</v>
      </c>
      <c r="J8" t="s">
        <v>31</v>
      </c>
      <c r="K8" s="16" t="s">
        <v>28</v>
      </c>
      <c r="L8" s="11">
        <v>30000</v>
      </c>
      <c r="M8" s="11">
        <v>30000</v>
      </c>
      <c r="N8" s="11">
        <v>30000</v>
      </c>
      <c r="O8" s="38">
        <v>31500</v>
      </c>
      <c r="P8" s="11">
        <f t="shared" si="0"/>
        <v>1500</v>
      </c>
      <c r="Q8" s="56">
        <f t="shared" si="1"/>
        <v>4.7619047619047616E-2</v>
      </c>
      <c r="R8" s="13"/>
      <c r="S8" s="14">
        <v>0</v>
      </c>
      <c r="T8" s="15">
        <v>0</v>
      </c>
      <c r="U8" s="16" t="s">
        <v>37</v>
      </c>
      <c r="V8" s="16" t="s">
        <v>38</v>
      </c>
      <c r="W8" s="16" t="s">
        <v>39</v>
      </c>
      <c r="X8" s="16"/>
      <c r="Y8">
        <v>600</v>
      </c>
    </row>
    <row r="9" spans="1:25" ht="15" customHeight="1" x14ac:dyDescent="0.25">
      <c r="A9" t="s">
        <v>123</v>
      </c>
      <c r="B9" t="s">
        <v>33</v>
      </c>
      <c r="C9">
        <v>187516</v>
      </c>
      <c r="D9" s="17" t="s">
        <v>25</v>
      </c>
      <c r="E9" s="19">
        <v>5400805263</v>
      </c>
      <c r="F9" s="19">
        <v>10</v>
      </c>
      <c r="G9" t="s">
        <v>81</v>
      </c>
      <c r="H9" t="s">
        <v>81</v>
      </c>
      <c r="I9" t="s">
        <v>78</v>
      </c>
      <c r="J9" t="s">
        <v>31</v>
      </c>
      <c r="K9" s="16" t="s">
        <v>28</v>
      </c>
      <c r="L9" s="11">
        <v>200000</v>
      </c>
      <c r="M9" s="11">
        <v>200000</v>
      </c>
      <c r="N9" s="11">
        <v>200000</v>
      </c>
      <c r="O9" s="38">
        <v>200000</v>
      </c>
      <c r="P9" s="11">
        <f t="shared" si="0"/>
        <v>0</v>
      </c>
      <c r="Q9" s="56">
        <f t="shared" si="1"/>
        <v>0</v>
      </c>
      <c r="R9" s="13"/>
      <c r="S9" s="14">
        <v>0</v>
      </c>
      <c r="T9" s="15">
        <v>0</v>
      </c>
      <c r="U9" s="16" t="s">
        <v>37</v>
      </c>
      <c r="V9" s="16" t="s">
        <v>38</v>
      </c>
      <c r="W9" s="16" t="s">
        <v>39</v>
      </c>
      <c r="X9" s="16"/>
      <c r="Y9">
        <v>602</v>
      </c>
    </row>
    <row r="10" spans="1:25" ht="15" customHeight="1" x14ac:dyDescent="0.25">
      <c r="A10" s="17" t="s">
        <v>124</v>
      </c>
      <c r="B10" t="s">
        <v>33</v>
      </c>
      <c r="C10">
        <v>187516</v>
      </c>
      <c r="D10" s="7" t="s">
        <v>25</v>
      </c>
      <c r="E10" s="19">
        <v>5400912390</v>
      </c>
      <c r="F10" s="19"/>
      <c r="G10" t="s">
        <v>81</v>
      </c>
      <c r="H10" t="s">
        <v>81</v>
      </c>
      <c r="I10" s="7" t="s">
        <v>78</v>
      </c>
      <c r="J10" s="21" t="s">
        <v>31</v>
      </c>
      <c r="K10" s="10" t="s">
        <v>28</v>
      </c>
      <c r="L10" s="11"/>
      <c r="M10" s="11">
        <v>141000</v>
      </c>
      <c r="N10" s="11">
        <v>141000</v>
      </c>
      <c r="O10" s="38">
        <v>141000</v>
      </c>
      <c r="P10" s="11">
        <f t="shared" si="0"/>
        <v>0</v>
      </c>
      <c r="Q10" s="56">
        <f t="shared" si="1"/>
        <v>0</v>
      </c>
      <c r="R10" s="22" t="s">
        <v>41</v>
      </c>
      <c r="S10" s="14">
        <v>0</v>
      </c>
      <c r="T10" s="15">
        <v>0</v>
      </c>
      <c r="U10" s="16"/>
      <c r="V10" s="16"/>
      <c r="W10" s="16"/>
      <c r="X10" s="16"/>
      <c r="Y10">
        <v>3460</v>
      </c>
    </row>
    <row r="11" spans="1:25" ht="15" customHeight="1" x14ac:dyDescent="0.25">
      <c r="A11" t="s">
        <v>125</v>
      </c>
      <c r="C11" s="17">
        <v>152539</v>
      </c>
      <c r="D11" s="17" t="s">
        <v>46</v>
      </c>
      <c r="E11" s="32">
        <v>5400922801</v>
      </c>
      <c r="F11" s="19">
        <v>20</v>
      </c>
      <c r="G11" t="s">
        <v>81</v>
      </c>
      <c r="H11" t="s">
        <v>81</v>
      </c>
      <c r="I11" s="7" t="s">
        <v>78</v>
      </c>
      <c r="J11" t="s">
        <v>31</v>
      </c>
      <c r="K11" s="16" t="s">
        <v>28</v>
      </c>
      <c r="L11" s="11">
        <v>0</v>
      </c>
      <c r="M11" s="11">
        <v>45000</v>
      </c>
      <c r="N11" s="11">
        <v>45000</v>
      </c>
      <c r="O11" s="38">
        <v>45000</v>
      </c>
      <c r="P11" s="11">
        <f t="shared" si="0"/>
        <v>0</v>
      </c>
      <c r="Q11" s="56">
        <f t="shared" si="1"/>
        <v>0</v>
      </c>
      <c r="R11" s="13" t="s">
        <v>140</v>
      </c>
      <c r="S11" s="14">
        <v>0</v>
      </c>
      <c r="T11" s="15">
        <v>0</v>
      </c>
      <c r="U11" s="16" t="s">
        <v>37</v>
      </c>
      <c r="V11" s="16" t="s">
        <v>38</v>
      </c>
      <c r="W11" s="16" t="s">
        <v>39</v>
      </c>
      <c r="X11" s="16"/>
      <c r="Y11">
        <v>622</v>
      </c>
    </row>
    <row r="12" spans="1:25" ht="15" customHeight="1" x14ac:dyDescent="0.25">
      <c r="A12" s="17" t="s">
        <v>126</v>
      </c>
      <c r="B12" t="s">
        <v>33</v>
      </c>
      <c r="C12" s="17"/>
      <c r="D12" t="s">
        <v>48</v>
      </c>
      <c r="E12" s="32">
        <v>5400913325</v>
      </c>
      <c r="F12" s="19">
        <v>20</v>
      </c>
      <c r="G12" t="s">
        <v>81</v>
      </c>
      <c r="H12" t="s">
        <v>81</v>
      </c>
      <c r="I12" s="7" t="s">
        <v>107</v>
      </c>
      <c r="J12" t="s">
        <v>31</v>
      </c>
      <c r="K12" s="10" t="s">
        <v>28</v>
      </c>
      <c r="L12" s="11"/>
      <c r="M12" s="11">
        <v>250000</v>
      </c>
      <c r="N12" s="11">
        <v>250000</v>
      </c>
      <c r="O12" s="39">
        <v>250000</v>
      </c>
      <c r="P12" s="11">
        <f t="shared" si="0"/>
        <v>0</v>
      </c>
      <c r="Q12" s="56">
        <f t="shared" si="1"/>
        <v>0</v>
      </c>
      <c r="R12" s="24" t="s">
        <v>104</v>
      </c>
      <c r="S12" s="14">
        <v>0</v>
      </c>
      <c r="T12" s="15">
        <v>0</v>
      </c>
      <c r="U12" s="16"/>
      <c r="V12" s="16"/>
      <c r="W12" s="16"/>
      <c r="X12" s="16"/>
      <c r="Y12">
        <v>3480</v>
      </c>
    </row>
    <row r="13" spans="1:25" ht="15" customHeight="1" x14ac:dyDescent="0.25">
      <c r="A13" t="s">
        <v>127</v>
      </c>
      <c r="B13" t="s">
        <v>24</v>
      </c>
      <c r="C13">
        <v>121208</v>
      </c>
      <c r="D13" t="s">
        <v>51</v>
      </c>
      <c r="E13" s="26">
        <v>5400963582</v>
      </c>
      <c r="F13" s="26">
        <v>10</v>
      </c>
      <c r="G13" t="s">
        <v>81</v>
      </c>
      <c r="H13" t="s">
        <v>81</v>
      </c>
      <c r="I13" s="17" t="s">
        <v>77</v>
      </c>
      <c r="J13" t="s">
        <v>27</v>
      </c>
      <c r="K13" s="16" t="s">
        <v>28</v>
      </c>
      <c r="L13" s="11">
        <v>35000</v>
      </c>
      <c r="M13" s="11">
        <v>35000</v>
      </c>
      <c r="N13" s="11">
        <v>35000</v>
      </c>
      <c r="O13" s="45">
        <v>35000</v>
      </c>
      <c r="P13" s="11">
        <f t="shared" si="0"/>
        <v>0</v>
      </c>
      <c r="Q13" s="56">
        <f t="shared" si="1"/>
        <v>0</v>
      </c>
      <c r="R13" s="13" t="s">
        <v>94</v>
      </c>
      <c r="S13" s="14">
        <v>0</v>
      </c>
      <c r="T13" s="15">
        <v>0</v>
      </c>
      <c r="U13" s="16" t="s">
        <v>52</v>
      </c>
      <c r="V13" s="16" t="s">
        <v>53</v>
      </c>
      <c r="W13" s="16" t="s">
        <v>54</v>
      </c>
      <c r="X13" s="16"/>
      <c r="Y13">
        <v>1141</v>
      </c>
    </row>
    <row r="14" spans="1:25" ht="15" customHeight="1" x14ac:dyDescent="0.25">
      <c r="A14" t="s">
        <v>128</v>
      </c>
      <c r="B14" t="s">
        <v>24</v>
      </c>
      <c r="C14">
        <v>121208</v>
      </c>
      <c r="D14" t="s">
        <v>51</v>
      </c>
      <c r="E14" s="26">
        <v>5400972352</v>
      </c>
      <c r="F14" s="26">
        <v>10</v>
      </c>
      <c r="G14" t="s">
        <v>81</v>
      </c>
      <c r="H14" t="s">
        <v>81</v>
      </c>
      <c r="I14" s="17" t="s">
        <v>77</v>
      </c>
      <c r="J14" t="s">
        <v>27</v>
      </c>
      <c r="K14" s="16" t="s">
        <v>28</v>
      </c>
      <c r="L14" s="11">
        <v>60000</v>
      </c>
      <c r="M14" s="11">
        <v>60000</v>
      </c>
      <c r="N14" s="11">
        <v>60000</v>
      </c>
      <c r="O14" s="45">
        <v>60000</v>
      </c>
      <c r="P14" s="11">
        <f t="shared" si="0"/>
        <v>0</v>
      </c>
      <c r="Q14" s="56">
        <f t="shared" si="1"/>
        <v>0</v>
      </c>
      <c r="R14" s="13" t="s">
        <v>94</v>
      </c>
      <c r="S14" s="14">
        <v>0</v>
      </c>
      <c r="T14" s="15">
        <v>0</v>
      </c>
      <c r="U14" s="16" t="s">
        <v>52</v>
      </c>
      <c r="V14" s="16" t="s">
        <v>38</v>
      </c>
      <c r="W14" s="16" t="s">
        <v>55</v>
      </c>
      <c r="X14" s="16"/>
      <c r="Y14">
        <v>1150</v>
      </c>
    </row>
    <row r="15" spans="1:25" ht="15" customHeight="1" x14ac:dyDescent="0.25">
      <c r="A15" t="s">
        <v>136</v>
      </c>
      <c r="B15" t="s">
        <v>59</v>
      </c>
      <c r="C15">
        <v>192268</v>
      </c>
      <c r="D15" t="s">
        <v>61</v>
      </c>
      <c r="E15" s="19">
        <v>5400864541</v>
      </c>
      <c r="F15" s="19">
        <v>20</v>
      </c>
      <c r="G15" t="s">
        <v>81</v>
      </c>
      <c r="H15" t="s">
        <v>81</v>
      </c>
      <c r="I15" s="17" t="s">
        <v>78</v>
      </c>
      <c r="J15" t="s">
        <v>31</v>
      </c>
      <c r="K15" s="16" t="s">
        <v>28</v>
      </c>
      <c r="L15" s="11">
        <v>10700</v>
      </c>
      <c r="M15" s="11">
        <v>10700</v>
      </c>
      <c r="N15" s="11">
        <v>10700</v>
      </c>
      <c r="O15" s="38">
        <v>11000</v>
      </c>
      <c r="P15" s="11">
        <f t="shared" si="0"/>
        <v>300</v>
      </c>
      <c r="Q15" s="56">
        <f t="shared" si="1"/>
        <v>2.7272727272727271E-2</v>
      </c>
      <c r="R15" s="27"/>
      <c r="S15" s="14">
        <v>0</v>
      </c>
      <c r="T15" s="15">
        <v>0</v>
      </c>
      <c r="U15" s="16" t="s">
        <v>52</v>
      </c>
      <c r="V15" s="16" t="s">
        <v>53</v>
      </c>
      <c r="W15" s="16"/>
      <c r="X15" s="16"/>
      <c r="Y15">
        <v>2310</v>
      </c>
    </row>
    <row r="16" spans="1:25" ht="15" customHeight="1" x14ac:dyDescent="0.25">
      <c r="A16" s="17" t="s">
        <v>132</v>
      </c>
      <c r="B16" t="s">
        <v>24</v>
      </c>
      <c r="C16" s="17"/>
      <c r="D16" s="17" t="s">
        <v>60</v>
      </c>
      <c r="E16" s="32">
        <v>5400978265</v>
      </c>
      <c r="F16" s="19"/>
      <c r="G16" t="s">
        <v>81</v>
      </c>
      <c r="H16" t="s">
        <v>81</v>
      </c>
      <c r="I16" s="7" t="s">
        <v>77</v>
      </c>
      <c r="J16" t="s">
        <v>27</v>
      </c>
      <c r="K16" s="10" t="s">
        <v>28</v>
      </c>
      <c r="L16" s="11"/>
      <c r="M16" s="11">
        <v>85000</v>
      </c>
      <c r="N16" s="11">
        <v>85000</v>
      </c>
      <c r="O16" s="38">
        <v>85000</v>
      </c>
      <c r="P16" s="11">
        <f t="shared" si="0"/>
        <v>0</v>
      </c>
      <c r="Q16" s="56">
        <f t="shared" si="1"/>
        <v>0</v>
      </c>
      <c r="R16" s="28"/>
      <c r="S16" s="14">
        <v>0</v>
      </c>
      <c r="T16" s="15">
        <v>0</v>
      </c>
      <c r="U16" s="16"/>
      <c r="V16" s="16"/>
      <c r="W16" s="16"/>
      <c r="X16" s="16"/>
      <c r="Y16">
        <v>3490</v>
      </c>
    </row>
    <row r="17" spans="1:25" ht="15" customHeight="1" x14ac:dyDescent="0.25">
      <c r="A17" t="s">
        <v>129</v>
      </c>
      <c r="B17" t="s">
        <v>33</v>
      </c>
      <c r="C17">
        <v>181508</v>
      </c>
      <c r="D17" t="s">
        <v>63</v>
      </c>
      <c r="E17" s="19">
        <v>5400973344</v>
      </c>
      <c r="F17" s="19">
        <v>10</v>
      </c>
      <c r="G17" t="s">
        <v>81</v>
      </c>
      <c r="H17" t="s">
        <v>81</v>
      </c>
      <c r="I17" s="7" t="s">
        <v>78</v>
      </c>
      <c r="J17" t="s">
        <v>31</v>
      </c>
      <c r="K17" s="16" t="s">
        <v>28</v>
      </c>
      <c r="L17" s="11">
        <v>50000</v>
      </c>
      <c r="M17" s="11">
        <v>50000</v>
      </c>
      <c r="N17" s="11">
        <v>50000</v>
      </c>
      <c r="O17" s="38">
        <v>50000</v>
      </c>
      <c r="P17" s="11">
        <f t="shared" si="0"/>
        <v>0</v>
      </c>
      <c r="Q17" s="56">
        <f t="shared" si="1"/>
        <v>0</v>
      </c>
      <c r="R17" s="27"/>
      <c r="S17" s="14">
        <v>0</v>
      </c>
      <c r="T17" s="15">
        <v>0</v>
      </c>
      <c r="U17" s="16" t="s">
        <v>37</v>
      </c>
      <c r="V17" s="16" t="s">
        <v>38</v>
      </c>
      <c r="W17" s="16" t="s">
        <v>39</v>
      </c>
      <c r="X17" s="16"/>
      <c r="Y17">
        <v>621</v>
      </c>
    </row>
    <row r="18" spans="1:25" ht="15" customHeight="1" x14ac:dyDescent="0.25">
      <c r="A18" t="s">
        <v>139</v>
      </c>
      <c r="B18" t="s">
        <v>33</v>
      </c>
      <c r="C18" s="29">
        <v>195870</v>
      </c>
      <c r="D18" t="s">
        <v>65</v>
      </c>
      <c r="E18" s="29">
        <v>5400969346</v>
      </c>
      <c r="F18" s="19">
        <v>10</v>
      </c>
      <c r="G18" t="s">
        <v>81</v>
      </c>
      <c r="H18" t="s">
        <v>81</v>
      </c>
      <c r="I18" s="17" t="s">
        <v>77</v>
      </c>
      <c r="J18" t="s">
        <v>31</v>
      </c>
      <c r="K18" s="16" t="s">
        <v>28</v>
      </c>
      <c r="L18" s="11">
        <v>60000</v>
      </c>
      <c r="M18" s="11">
        <v>80000</v>
      </c>
      <c r="N18" s="11">
        <v>80000</v>
      </c>
      <c r="O18" s="38">
        <v>80000</v>
      </c>
      <c r="P18" s="11">
        <f t="shared" si="0"/>
        <v>0</v>
      </c>
      <c r="Q18" s="56">
        <f t="shared" si="1"/>
        <v>0</v>
      </c>
      <c r="R18" s="27"/>
      <c r="S18" s="14">
        <v>0</v>
      </c>
      <c r="T18" s="15">
        <v>0</v>
      </c>
      <c r="U18" s="16" t="s">
        <v>37</v>
      </c>
      <c r="V18" s="16" t="s">
        <v>38</v>
      </c>
      <c r="W18" s="16" t="s">
        <v>39</v>
      </c>
      <c r="X18" s="16"/>
      <c r="Y18">
        <v>640</v>
      </c>
    </row>
    <row r="19" spans="1:25" ht="15" customHeight="1" x14ac:dyDescent="0.25">
      <c r="A19" t="s">
        <v>116</v>
      </c>
      <c r="C19" s="17"/>
      <c r="D19" s="17" t="s">
        <v>110</v>
      </c>
      <c r="E19" s="32" t="s">
        <v>73</v>
      </c>
      <c r="F19" s="19"/>
      <c r="G19" t="s">
        <v>81</v>
      </c>
      <c r="H19" t="s">
        <v>81</v>
      </c>
      <c r="I19" s="17" t="s">
        <v>78</v>
      </c>
      <c r="J19" t="s">
        <v>31</v>
      </c>
      <c r="K19" s="16" t="s">
        <v>28</v>
      </c>
      <c r="L19" s="11">
        <v>55000</v>
      </c>
      <c r="M19" s="11">
        <v>140000</v>
      </c>
      <c r="N19" s="11">
        <v>0</v>
      </c>
      <c r="O19" s="38">
        <v>0</v>
      </c>
      <c r="P19" s="11">
        <f t="shared" si="0"/>
        <v>0</v>
      </c>
      <c r="Q19" s="56" t="e">
        <f t="shared" si="1"/>
        <v>#DIV/0!</v>
      </c>
      <c r="R19" s="27" t="s">
        <v>105</v>
      </c>
      <c r="S19" s="14">
        <v>0</v>
      </c>
      <c r="T19" s="15" t="s">
        <v>44</v>
      </c>
      <c r="U19" s="16" t="s">
        <v>37</v>
      </c>
      <c r="V19" s="16" t="s">
        <v>38</v>
      </c>
      <c r="W19" s="16" t="s">
        <v>39</v>
      </c>
      <c r="X19" s="16"/>
      <c r="Y19">
        <v>630</v>
      </c>
    </row>
    <row r="20" spans="1:25" ht="15" customHeight="1" x14ac:dyDescent="0.25">
      <c r="A20" t="s">
        <v>130</v>
      </c>
      <c r="C20" s="17"/>
      <c r="D20" s="17" t="s">
        <v>25</v>
      </c>
      <c r="E20" s="32"/>
      <c r="F20" s="19"/>
      <c r="G20" t="s">
        <v>81</v>
      </c>
      <c r="H20" t="s">
        <v>81</v>
      </c>
      <c r="I20" s="36" t="s">
        <v>85</v>
      </c>
      <c r="J20" t="s">
        <v>31</v>
      </c>
      <c r="K20" s="16" t="s">
        <v>28</v>
      </c>
      <c r="L20" s="41"/>
      <c r="M20" s="41"/>
      <c r="N20" s="41"/>
      <c r="O20" s="38">
        <v>0</v>
      </c>
      <c r="P20" s="41">
        <f t="shared" si="0"/>
        <v>0</v>
      </c>
      <c r="Q20" s="56" t="e">
        <f>P20/O20</f>
        <v>#DIV/0!</v>
      </c>
      <c r="R20" t="s">
        <v>87</v>
      </c>
      <c r="S20" s="14"/>
      <c r="T20" s="15"/>
      <c r="U20" s="16"/>
      <c r="V20" s="16"/>
      <c r="W20" s="16"/>
      <c r="X20" s="16"/>
    </row>
    <row r="21" spans="1:25" ht="15" customHeight="1" x14ac:dyDescent="0.25">
      <c r="A21" t="s">
        <v>133</v>
      </c>
      <c r="B21" t="s">
        <v>33</v>
      </c>
      <c r="C21" s="17"/>
      <c r="D21" s="17"/>
      <c r="E21" s="32"/>
      <c r="F21" s="19"/>
      <c r="G21" t="s">
        <v>81</v>
      </c>
      <c r="H21" t="s">
        <v>81</v>
      </c>
      <c r="I21" s="17" t="s">
        <v>107</v>
      </c>
      <c r="J21" t="s">
        <v>31</v>
      </c>
      <c r="K21" s="16" t="s">
        <v>28</v>
      </c>
      <c r="L21" s="11">
        <v>50000</v>
      </c>
      <c r="M21" s="11">
        <v>70000</v>
      </c>
      <c r="N21" s="11">
        <v>70000</v>
      </c>
      <c r="O21" s="38">
        <v>70000</v>
      </c>
      <c r="P21" s="11">
        <f t="shared" si="0"/>
        <v>0</v>
      </c>
      <c r="Q21" s="56">
        <f t="shared" si="1"/>
        <v>0</v>
      </c>
      <c r="R21" s="27"/>
      <c r="S21" s="14">
        <v>0</v>
      </c>
      <c r="T21" s="15">
        <v>0</v>
      </c>
      <c r="U21" s="16" t="s">
        <v>37</v>
      </c>
      <c r="V21" s="16" t="s">
        <v>38</v>
      </c>
      <c r="W21" s="16" t="s">
        <v>39</v>
      </c>
      <c r="X21" s="16"/>
      <c r="Y21">
        <v>603</v>
      </c>
    </row>
    <row r="22" spans="1:25" ht="15" customHeight="1" x14ac:dyDescent="0.25">
      <c r="A22" t="s">
        <v>135</v>
      </c>
      <c r="D22" s="17" t="s">
        <v>114</v>
      </c>
      <c r="G22" t="s">
        <v>81</v>
      </c>
      <c r="H22" t="s">
        <v>81</v>
      </c>
      <c r="I22" s="36" t="s">
        <v>85</v>
      </c>
      <c r="J22" t="s">
        <v>31</v>
      </c>
      <c r="K22" s="16" t="s">
        <v>28</v>
      </c>
      <c r="L22" s="42"/>
      <c r="M22" s="42"/>
      <c r="N22" s="42"/>
      <c r="O22" s="38">
        <v>0</v>
      </c>
      <c r="P22" s="41">
        <f t="shared" si="0"/>
        <v>0</v>
      </c>
      <c r="Q22" s="56" t="e">
        <f t="shared" si="1"/>
        <v>#DIV/0!</v>
      </c>
      <c r="R22" t="s">
        <v>85</v>
      </c>
    </row>
    <row r="23" spans="1:25" ht="15" customHeight="1" x14ac:dyDescent="0.25">
      <c r="A23" t="s">
        <v>134</v>
      </c>
      <c r="D23" t="s">
        <v>113</v>
      </c>
      <c r="G23" t="s">
        <v>81</v>
      </c>
      <c r="H23" t="s">
        <v>81</v>
      </c>
      <c r="I23" s="36" t="s">
        <v>85</v>
      </c>
      <c r="J23" t="s">
        <v>31</v>
      </c>
      <c r="K23" s="16" t="s">
        <v>28</v>
      </c>
      <c r="L23" s="42"/>
      <c r="M23" s="42"/>
      <c r="N23" s="43"/>
      <c r="O23" s="38">
        <v>0</v>
      </c>
      <c r="P23" s="41">
        <f t="shared" si="0"/>
        <v>0</v>
      </c>
      <c r="Q23" s="56" t="e">
        <f t="shared" si="1"/>
        <v>#DIV/0!</v>
      </c>
      <c r="R23" t="s">
        <v>99</v>
      </c>
    </row>
    <row r="24" spans="1:25" ht="15" customHeight="1" x14ac:dyDescent="0.25">
      <c r="A24" t="s">
        <v>131</v>
      </c>
      <c r="D24" t="s">
        <v>113</v>
      </c>
      <c r="G24" t="s">
        <v>81</v>
      </c>
      <c r="H24" t="s">
        <v>81</v>
      </c>
      <c r="I24" s="36" t="s">
        <v>85</v>
      </c>
      <c r="J24" t="s">
        <v>31</v>
      </c>
      <c r="K24" s="16" t="s">
        <v>28</v>
      </c>
      <c r="L24" s="42"/>
      <c r="M24" s="42"/>
      <c r="N24" s="42"/>
      <c r="O24" s="38">
        <v>0</v>
      </c>
      <c r="P24" s="41">
        <f t="shared" si="0"/>
        <v>0</v>
      </c>
      <c r="Q24" s="56" t="e">
        <f t="shared" si="1"/>
        <v>#DIV/0!</v>
      </c>
      <c r="R24" t="s">
        <v>108</v>
      </c>
    </row>
    <row r="25" spans="1:25" ht="15" customHeight="1" x14ac:dyDescent="0.25">
      <c r="A25" t="s">
        <v>137</v>
      </c>
      <c r="D25" t="s">
        <v>112</v>
      </c>
      <c r="G25" t="s">
        <v>81</v>
      </c>
      <c r="H25" t="s">
        <v>81</v>
      </c>
      <c r="I25" s="36" t="s">
        <v>85</v>
      </c>
      <c r="J25" t="s">
        <v>31</v>
      </c>
      <c r="K25" s="16" t="s">
        <v>28</v>
      </c>
      <c r="L25" s="42"/>
      <c r="M25" s="42"/>
      <c r="N25" s="42"/>
      <c r="O25" s="38">
        <v>0</v>
      </c>
      <c r="P25" s="41">
        <f t="shared" si="0"/>
        <v>0</v>
      </c>
      <c r="Q25" s="56" t="e">
        <f t="shared" si="1"/>
        <v>#DIV/0!</v>
      </c>
      <c r="R25" t="s">
        <v>91</v>
      </c>
    </row>
    <row r="26" spans="1:25" ht="15" customHeight="1" x14ac:dyDescent="0.25">
      <c r="A26" s="54" t="s">
        <v>109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>
        <f>SUM(L1:L25)</f>
        <v>1006700</v>
      </c>
      <c r="M26" s="55">
        <f>SUM(M1:M25)</f>
        <v>2009700</v>
      </c>
      <c r="N26" s="55">
        <f>SUM(N1:N25)</f>
        <v>2251700</v>
      </c>
      <c r="O26" s="55">
        <f>SUM(O1:O25)</f>
        <v>2253500</v>
      </c>
      <c r="P26" s="55">
        <f>SUM(P1:P25)</f>
        <v>1800</v>
      </c>
      <c r="Q26" s="56">
        <f>P26/O26</f>
        <v>7.9875748835145333E-4</v>
      </c>
    </row>
    <row r="28" spans="1:25" ht="15" customHeight="1" x14ac:dyDescent="0.25">
      <c r="A28" s="46" t="s">
        <v>86</v>
      </c>
      <c r="B28" s="46"/>
      <c r="C28" s="46"/>
      <c r="D28" s="46"/>
      <c r="E28" s="46"/>
      <c r="F28" s="46"/>
      <c r="G28" s="46" t="s">
        <v>81</v>
      </c>
      <c r="H28" s="46" t="s">
        <v>81</v>
      </c>
      <c r="I28" s="46" t="s">
        <v>85</v>
      </c>
      <c r="L28" s="42"/>
      <c r="M28" s="42"/>
      <c r="N28" s="42"/>
      <c r="O28" s="37">
        <v>46200</v>
      </c>
      <c r="P28" s="41">
        <f>O28-N28</f>
        <v>46200</v>
      </c>
      <c r="R28" t="s">
        <v>95</v>
      </c>
    </row>
    <row r="29" spans="1:25" ht="15" customHeight="1" x14ac:dyDescent="0.25">
      <c r="A29" s="46" t="s">
        <v>88</v>
      </c>
      <c r="B29" s="46"/>
      <c r="C29" s="46"/>
      <c r="D29" s="46"/>
      <c r="E29" s="46"/>
      <c r="F29" s="46"/>
      <c r="G29" s="46" t="s">
        <v>81</v>
      </c>
      <c r="H29" s="46" t="s">
        <v>81</v>
      </c>
      <c r="I29" s="46" t="s">
        <v>85</v>
      </c>
      <c r="L29" s="42"/>
      <c r="M29" s="42"/>
      <c r="N29" s="42"/>
      <c r="O29" s="37">
        <f>35000*4</f>
        <v>140000</v>
      </c>
      <c r="P29" s="41">
        <f>O29-N29</f>
        <v>140000</v>
      </c>
      <c r="R29" t="s">
        <v>96</v>
      </c>
    </row>
    <row r="30" spans="1:25" ht="15" customHeight="1" x14ac:dyDescent="0.25">
      <c r="A30" s="46" t="s">
        <v>97</v>
      </c>
      <c r="B30" s="46"/>
      <c r="C30" s="46"/>
      <c r="D30" s="46"/>
      <c r="E30" s="46"/>
      <c r="F30" s="46"/>
      <c r="G30" s="46" t="s">
        <v>81</v>
      </c>
      <c r="H30" s="46" t="s">
        <v>81</v>
      </c>
      <c r="I30" s="46" t="s">
        <v>85</v>
      </c>
      <c r="L30" s="42"/>
      <c r="M30" s="42"/>
      <c r="N30" s="42"/>
      <c r="O30" s="37">
        <v>0</v>
      </c>
      <c r="P30" s="44">
        <f>O30-N30</f>
        <v>0</v>
      </c>
      <c r="R30" t="s">
        <v>98</v>
      </c>
    </row>
    <row r="31" spans="1:25" ht="15" customHeight="1" x14ac:dyDescent="0.25">
      <c r="A31" s="46" t="s">
        <v>100</v>
      </c>
      <c r="B31" s="46"/>
      <c r="C31" s="46"/>
      <c r="D31" s="46"/>
      <c r="E31" s="46"/>
      <c r="F31" s="46"/>
      <c r="G31" s="46" t="s">
        <v>81</v>
      </c>
      <c r="H31" s="46" t="s">
        <v>81</v>
      </c>
      <c r="I31" s="46" t="s">
        <v>85</v>
      </c>
      <c r="J31" s="46"/>
      <c r="K31" s="46"/>
      <c r="L31" s="47"/>
      <c r="M31" s="47"/>
      <c r="N31" s="47"/>
      <c r="O31" s="52" t="s">
        <v>82</v>
      </c>
      <c r="P31" s="53" t="e">
        <f>O31-N31</f>
        <v>#VALUE!</v>
      </c>
      <c r="R31" t="s">
        <v>90</v>
      </c>
    </row>
    <row r="32" spans="1:25" ht="15" customHeight="1" x14ac:dyDescent="0.25">
      <c r="A32" s="46" t="s">
        <v>92</v>
      </c>
      <c r="B32" s="46"/>
      <c r="C32" s="46"/>
      <c r="D32" s="46"/>
      <c r="E32" s="46"/>
      <c r="F32" s="46"/>
      <c r="G32" s="46" t="s">
        <v>81</v>
      </c>
      <c r="H32" s="46" t="s">
        <v>81</v>
      </c>
      <c r="I32" s="46" t="s">
        <v>85</v>
      </c>
      <c r="J32" s="46"/>
      <c r="K32" s="46"/>
      <c r="L32" s="47"/>
      <c r="M32" s="47"/>
      <c r="N32" s="47"/>
      <c r="O32" s="48">
        <v>300000</v>
      </c>
      <c r="P32" s="49">
        <f>O32-N32</f>
        <v>300000</v>
      </c>
    </row>
    <row r="35" spans="1:25" ht="15" customHeight="1" x14ac:dyDescent="0.25">
      <c r="A35" t="s">
        <v>42</v>
      </c>
      <c r="B35" t="s">
        <v>33</v>
      </c>
      <c r="C35">
        <v>167460</v>
      </c>
      <c r="D35" t="s">
        <v>43</v>
      </c>
      <c r="E35" s="19">
        <v>5400743604</v>
      </c>
      <c r="F35" s="19">
        <v>20</v>
      </c>
      <c r="G35" t="s">
        <v>81</v>
      </c>
      <c r="H35" t="s">
        <v>81</v>
      </c>
      <c r="I35" s="7" t="s">
        <v>93</v>
      </c>
      <c r="J35" t="s">
        <v>31</v>
      </c>
      <c r="K35" s="16" t="s">
        <v>28</v>
      </c>
      <c r="L35" s="11">
        <v>42000</v>
      </c>
      <c r="M35" s="11">
        <v>0</v>
      </c>
      <c r="N35" s="11">
        <v>0</v>
      </c>
      <c r="O35" s="34">
        <v>0</v>
      </c>
      <c r="P35" s="11">
        <v>0</v>
      </c>
      <c r="Q35" s="12">
        <v>0</v>
      </c>
      <c r="R35" s="13"/>
      <c r="S35" s="14">
        <v>0</v>
      </c>
      <c r="T35" s="15" t="s">
        <v>44</v>
      </c>
      <c r="U35" s="16" t="s">
        <v>37</v>
      </c>
      <c r="V35" s="16" t="s">
        <v>38</v>
      </c>
      <c r="W35" s="16" t="s">
        <v>39</v>
      </c>
      <c r="X35" s="16"/>
      <c r="Y35">
        <v>610</v>
      </c>
    </row>
    <row r="36" spans="1:25" ht="15" customHeight="1" x14ac:dyDescent="0.25">
      <c r="A36" t="s">
        <v>69</v>
      </c>
      <c r="B36">
        <v>0</v>
      </c>
      <c r="C36">
        <v>189203</v>
      </c>
      <c r="D36" t="s">
        <v>71</v>
      </c>
      <c r="E36" s="18">
        <v>5400904915</v>
      </c>
      <c r="F36" s="19">
        <v>10</v>
      </c>
      <c r="G36" t="s">
        <v>81</v>
      </c>
      <c r="H36" t="s">
        <v>81</v>
      </c>
      <c r="I36" s="40" t="s">
        <v>93</v>
      </c>
      <c r="J36" t="s">
        <v>31</v>
      </c>
      <c r="K36" s="16" t="s">
        <v>28</v>
      </c>
      <c r="L36" s="11">
        <v>310000</v>
      </c>
      <c r="M36" s="11">
        <v>310000</v>
      </c>
      <c r="N36" s="11">
        <v>310000</v>
      </c>
      <c r="O36" s="34">
        <v>0</v>
      </c>
      <c r="P36" s="11">
        <v>0</v>
      </c>
      <c r="Q36" s="12">
        <v>0</v>
      </c>
      <c r="R36" s="27" t="s">
        <v>84</v>
      </c>
      <c r="S36" s="14">
        <v>0</v>
      </c>
      <c r="T36" s="15">
        <v>0</v>
      </c>
      <c r="U36" s="16" t="s">
        <v>52</v>
      </c>
      <c r="V36" s="16" t="s">
        <v>38</v>
      </c>
      <c r="W36" s="16" t="s">
        <v>54</v>
      </c>
      <c r="X36" s="16"/>
      <c r="Y36">
        <v>1160</v>
      </c>
    </row>
    <row r="37" spans="1:25" ht="15" customHeight="1" x14ac:dyDescent="0.25">
      <c r="A37" t="s">
        <v>70</v>
      </c>
      <c r="B37" t="s">
        <v>59</v>
      </c>
      <c r="C37">
        <v>189203</v>
      </c>
      <c r="D37" t="s">
        <v>71</v>
      </c>
      <c r="E37" s="18">
        <v>5400904915</v>
      </c>
      <c r="F37" s="19">
        <v>10</v>
      </c>
      <c r="G37" t="s">
        <v>81</v>
      </c>
      <c r="H37" t="s">
        <v>81</v>
      </c>
      <c r="I37" s="40" t="s">
        <v>93</v>
      </c>
      <c r="J37" t="s">
        <v>31</v>
      </c>
      <c r="K37" s="16" t="s">
        <v>28</v>
      </c>
      <c r="L37" s="11">
        <v>82000</v>
      </c>
      <c r="M37" s="11">
        <v>82000</v>
      </c>
      <c r="N37" s="11">
        <v>82000</v>
      </c>
      <c r="O37" s="34">
        <v>0</v>
      </c>
      <c r="P37" s="11">
        <v>0</v>
      </c>
      <c r="Q37" s="12">
        <v>0</v>
      </c>
      <c r="R37" s="27" t="s">
        <v>83</v>
      </c>
      <c r="S37" s="14">
        <v>0</v>
      </c>
      <c r="T37" s="15">
        <v>0</v>
      </c>
      <c r="U37" s="16"/>
      <c r="V37" s="16"/>
      <c r="W37" s="16"/>
      <c r="X37" s="16"/>
      <c r="Y37">
        <v>2320</v>
      </c>
    </row>
  </sheetData>
  <dataValidations disablePrompts="1" count="3">
    <dataValidation type="list" allowBlank="1" showInputMessage="1" showErrorMessage="1" sqref="U35:U37 U2:U21" xr:uid="{100EE92B-F9C4-44CE-9290-9B172A5D15E3}">
      <formula1>"Monthly,Quarterly,Half-Year,Yearly,2-Year,3-Year"</formula1>
    </dataValidation>
    <dataValidation type="list" allowBlank="1" showInputMessage="1" showErrorMessage="1" sqref="W35:W37 W2:W21" xr:uid="{B07B21DA-6958-4CB2-AD19-E17F4D65F54F}">
      <formula1>"Post,Pre,Spot"</formula1>
    </dataValidation>
    <dataValidation type="list" allowBlank="1" showInputMessage="1" showErrorMessage="1" sqref="V35:V37 V2:V21" xr:uid="{D82F75CC-1C30-406A-9476-C4538657794E}">
      <formula1>"GR,GR Without Invoice,Pre paid"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83EE9-2F36-4402-8A6B-2374B4CFE150}">
  <dimension ref="A1:K17"/>
  <sheetViews>
    <sheetView workbookViewId="0">
      <selection activeCell="C21" sqref="C21"/>
    </sheetView>
  </sheetViews>
  <sheetFormatPr defaultRowHeight="15" x14ac:dyDescent="0.25"/>
  <cols>
    <col min="1" max="1" width="132.42578125" bestFit="1" customWidth="1"/>
    <col min="2" max="2" width="30.5703125" bestFit="1" customWidth="1"/>
    <col min="3" max="3" width="102.85546875" bestFit="1" customWidth="1"/>
    <col min="4" max="4" width="125.5703125" bestFit="1" customWidth="1"/>
    <col min="5" max="5" width="63.85546875" bestFit="1" customWidth="1"/>
    <col min="6" max="6" width="22.28515625" bestFit="1" customWidth="1"/>
    <col min="7" max="7" width="8.7109375" bestFit="1" customWidth="1"/>
    <col min="8" max="8" width="13.28515625" bestFit="1" customWidth="1"/>
    <col min="9" max="9" width="33.28515625" bestFit="1" customWidth="1"/>
    <col min="10" max="10" width="8.7109375" bestFit="1" customWidth="1"/>
    <col min="11" max="11" width="13.28515625" bestFit="1" customWidth="1"/>
  </cols>
  <sheetData>
    <row r="1" spans="1:11" x14ac:dyDescent="0.25">
      <c r="A1" t="s">
        <v>141</v>
      </c>
      <c r="B1" t="s">
        <v>3</v>
      </c>
      <c r="C1" t="s">
        <v>142</v>
      </c>
      <c r="D1" t="s">
        <v>15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145</v>
      </c>
      <c r="K1" t="s">
        <v>146</v>
      </c>
    </row>
    <row r="2" spans="1:11" x14ac:dyDescent="0.25">
      <c r="A2" t="s">
        <v>148</v>
      </c>
      <c r="B2" t="s">
        <v>25</v>
      </c>
      <c r="C2" t="s">
        <v>149</v>
      </c>
      <c r="D2" t="s">
        <v>150</v>
      </c>
    </row>
    <row r="3" spans="1:11" x14ac:dyDescent="0.25">
      <c r="A3" t="s">
        <v>151</v>
      </c>
      <c r="B3" t="s">
        <v>152</v>
      </c>
      <c r="D3">
        <v>1</v>
      </c>
      <c r="E3" s="57">
        <v>20832</v>
      </c>
      <c r="F3" s="57">
        <v>1736</v>
      </c>
      <c r="G3">
        <v>0</v>
      </c>
      <c r="H3" t="s">
        <v>153</v>
      </c>
    </row>
    <row r="4" spans="1:11" x14ac:dyDescent="0.25">
      <c r="A4" t="s">
        <v>154</v>
      </c>
      <c r="B4" t="s">
        <v>155</v>
      </c>
      <c r="C4" t="s">
        <v>156</v>
      </c>
      <c r="D4" t="s">
        <v>157</v>
      </c>
      <c r="E4" s="58">
        <v>45870</v>
      </c>
      <c r="F4" s="57">
        <v>28800</v>
      </c>
      <c r="G4">
        <v>1000</v>
      </c>
      <c r="H4" s="57">
        <v>93740</v>
      </c>
      <c r="I4" s="57">
        <v>7.81</v>
      </c>
      <c r="J4">
        <v>1825</v>
      </c>
      <c r="K4" s="57">
        <v>171075.5</v>
      </c>
    </row>
    <row r="5" spans="1:11" x14ac:dyDescent="0.25">
      <c r="A5" t="s">
        <v>154</v>
      </c>
      <c r="B5" t="s">
        <v>155</v>
      </c>
      <c r="C5" t="s">
        <v>158</v>
      </c>
      <c r="E5" s="58">
        <v>45870</v>
      </c>
      <c r="G5">
        <v>2</v>
      </c>
      <c r="H5" s="57">
        <v>3661.94</v>
      </c>
      <c r="I5" s="57">
        <v>305.16000000000003</v>
      </c>
      <c r="J5">
        <v>2</v>
      </c>
      <c r="K5" s="57">
        <v>3661.94</v>
      </c>
    </row>
    <row r="6" spans="1:11" x14ac:dyDescent="0.25">
      <c r="A6" t="s">
        <v>154</v>
      </c>
      <c r="B6" t="s">
        <v>155</v>
      </c>
      <c r="C6" t="s">
        <v>159</v>
      </c>
      <c r="D6" t="s">
        <v>160</v>
      </c>
      <c r="E6" s="58">
        <v>45870</v>
      </c>
      <c r="G6">
        <v>2</v>
      </c>
      <c r="H6" s="57">
        <v>14269.62</v>
      </c>
      <c r="I6" s="57">
        <v>653.24</v>
      </c>
      <c r="J6">
        <v>2</v>
      </c>
      <c r="K6" s="57">
        <v>14269.62</v>
      </c>
    </row>
    <row r="7" spans="1:11" x14ac:dyDescent="0.25">
      <c r="A7" t="s">
        <v>161</v>
      </c>
      <c r="B7" t="s">
        <v>155</v>
      </c>
      <c r="C7" t="s">
        <v>162</v>
      </c>
      <c r="D7" t="s">
        <v>163</v>
      </c>
      <c r="E7" s="58">
        <v>45689</v>
      </c>
      <c r="G7">
        <v>1</v>
      </c>
      <c r="H7" s="57">
        <v>34425</v>
      </c>
      <c r="I7" s="57">
        <v>2868.75</v>
      </c>
      <c r="J7">
        <v>1</v>
      </c>
      <c r="K7" s="57">
        <v>11925</v>
      </c>
    </row>
    <row r="8" spans="1:11" x14ac:dyDescent="0.25">
      <c r="A8" t="s">
        <v>154</v>
      </c>
      <c r="B8" t="s">
        <v>164</v>
      </c>
      <c r="C8" t="s">
        <v>165</v>
      </c>
      <c r="D8" t="s">
        <v>166</v>
      </c>
      <c r="E8" s="58">
        <v>45736</v>
      </c>
      <c r="G8" t="s">
        <v>152</v>
      </c>
    </row>
    <row r="9" spans="1:11" x14ac:dyDescent="0.25">
      <c r="A9" t="s">
        <v>154</v>
      </c>
      <c r="B9" t="s">
        <v>167</v>
      </c>
      <c r="C9" t="s">
        <v>168</v>
      </c>
      <c r="E9" s="58">
        <v>45765</v>
      </c>
      <c r="G9">
        <v>1625</v>
      </c>
      <c r="H9" s="57">
        <v>78000</v>
      </c>
      <c r="I9" s="57">
        <v>4</v>
      </c>
      <c r="J9">
        <v>1825</v>
      </c>
      <c r="K9" s="57">
        <v>87600</v>
      </c>
    </row>
    <row r="10" spans="1:11" x14ac:dyDescent="0.25">
      <c r="A10" t="s">
        <v>154</v>
      </c>
      <c r="B10" t="s">
        <v>112</v>
      </c>
      <c r="C10" t="s">
        <v>169</v>
      </c>
      <c r="D10" t="s">
        <v>170</v>
      </c>
      <c r="E10" t="s">
        <v>113</v>
      </c>
    </row>
    <row r="11" spans="1:11" x14ac:dyDescent="0.25">
      <c r="A11" t="s">
        <v>154</v>
      </c>
      <c r="B11" t="s">
        <v>171</v>
      </c>
      <c r="C11" t="s">
        <v>172</v>
      </c>
    </row>
    <row r="12" spans="1:11" x14ac:dyDescent="0.25">
      <c r="A12" t="s">
        <v>173</v>
      </c>
      <c r="B12" t="s">
        <v>174</v>
      </c>
    </row>
    <row r="13" spans="1:11" x14ac:dyDescent="0.25">
      <c r="A13" t="s">
        <v>175</v>
      </c>
      <c r="B13" s="58">
        <v>45557</v>
      </c>
      <c r="D13">
        <v>1</v>
      </c>
      <c r="E13" s="57">
        <v>892.5</v>
      </c>
      <c r="F13" s="57">
        <v>74.38</v>
      </c>
      <c r="G13">
        <v>1</v>
      </c>
      <c r="H13" s="57">
        <v>892.5</v>
      </c>
    </row>
    <row r="14" spans="1:11" x14ac:dyDescent="0.25">
      <c r="A14" t="s">
        <v>176</v>
      </c>
      <c r="B14" t="s">
        <v>25</v>
      </c>
      <c r="C14" t="s">
        <v>177</v>
      </c>
      <c r="D14" t="s">
        <v>178</v>
      </c>
      <c r="E14" t="s">
        <v>113</v>
      </c>
    </row>
    <row r="15" spans="1:11" x14ac:dyDescent="0.25">
      <c r="A15" t="s">
        <v>154</v>
      </c>
      <c r="B15" t="s">
        <v>179</v>
      </c>
      <c r="C15" t="s">
        <v>180</v>
      </c>
      <c r="D15" t="s">
        <v>181</v>
      </c>
    </row>
    <row r="16" spans="1:11" x14ac:dyDescent="0.25">
      <c r="A16" t="s">
        <v>182</v>
      </c>
      <c r="B16" t="s">
        <v>113</v>
      </c>
      <c r="D16">
        <v>2</v>
      </c>
      <c r="E16" s="57">
        <v>126660</v>
      </c>
      <c r="F16" s="57">
        <v>5277.5</v>
      </c>
      <c r="G16">
        <v>2</v>
      </c>
      <c r="H16" s="57">
        <v>126660</v>
      </c>
    </row>
    <row r="17" spans="1:11" x14ac:dyDescent="0.25">
      <c r="A17" t="s">
        <v>183</v>
      </c>
      <c r="B17" t="s">
        <v>25</v>
      </c>
      <c r="C17" t="s">
        <v>184</v>
      </c>
      <c r="D17" t="s">
        <v>185</v>
      </c>
      <c r="E17" s="58">
        <v>45658</v>
      </c>
      <c r="G17">
        <v>1</v>
      </c>
      <c r="H17" s="57">
        <v>150000</v>
      </c>
      <c r="I17" s="57">
        <v>12500</v>
      </c>
      <c r="J17">
        <v>1</v>
      </c>
      <c r="K17" s="57">
        <v>150000</v>
      </c>
    </row>
  </sheetData>
  <autoFilter ref="A1:K1" xr:uid="{13283EE9-2F36-4402-8A6B-2374B4CFE1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AOP2025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Cavalari Consolini, Diego</dc:creator>
  <cp:lastModifiedBy>Cavalari Consolini, Diego</cp:lastModifiedBy>
  <dcterms:created xsi:type="dcterms:W3CDTF">2023-12-13T10:25:03Z</dcterms:created>
  <dcterms:modified xsi:type="dcterms:W3CDTF">2024-10-14T08:23:53Z</dcterms:modified>
</cp:coreProperties>
</file>