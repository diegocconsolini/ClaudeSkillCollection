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ffeeandtea-my.sharepoint.com/personal/diego_cavalariconsolini_jdecoffee_com/Documents/Finance/"/>
    </mc:Choice>
  </mc:AlternateContent>
  <xr:revisionPtr revIDLastSave="205" documentId="8_{DA4C9197-9D65-4684-B97D-ED8F21C12F47}" xr6:coauthVersionLast="47" xr6:coauthVersionMax="47" xr10:uidLastSave="{687B6180-AB33-4FE5-A571-61A9FF3F4404}"/>
  <bookViews>
    <workbookView xWindow="19095" yWindow="0" windowWidth="38610" windowHeight="20985" xr2:uid="{A898821C-F6E5-4286-A97F-83B27687C895}"/>
  </bookViews>
  <sheets>
    <sheet name="AOP26 Forecast" sheetId="1" r:id="rId1"/>
  </sheets>
  <externalReferences>
    <externalReference r:id="rId2"/>
  </externalReferences>
  <definedNames>
    <definedName name="_xlnm._FilterDatabase" localSheetId="0" hidden="1">'AOP26 Forecast'!$A$1:$AI$41</definedName>
    <definedName name="_FiltroDatabase" localSheetId="0" hidden="1">'AOP26 Forecast'!$1:$33</definedName>
    <definedName name="EPMWorkbookOptions_1" hidden="1">"P0cAAB+LCAAAAAAABADtnF1vokwUgO832f9gvFdmBFEa64Z3xC2JAhHc7aZpDMjYklXwHbC2/35H1AqKXW3dRpAbY2bOmTk8no+ZEWh8e56MC0+Y+I7nXhdhGRQL2B16tuM+XBdnwagE+eK35tcvjZ8e+W153m91GlBRv0D1XP/q2Xeui49BML1imPl8Xp6zZY88MBUAIHPb7ejDRzwxS47rB6Y7xMVXLfvvWkU6a6HQQJ7r4uFiTsNDM0Kw"</definedName>
    <definedName name="EPMWorkbookOptions_2" hidden="1">"G/xw8DzsjHW3zMBctdJ2xZzg5WyvMwV4Mp0RJ5yq72OiETzCdLwhLlODis1BW+sO/tOQ8hOCwd1KyTenz/PprOzOH8ruuOybxBxjXLJxeehNruqQhwsRxpoOmfvBHdWmn21ZERUk0W8jc+zj+wazsGZjmzidjp2hGeF4sI3rMeKjRJpXl95c2bA19RLZhmKB2dt149g2dlvOBLt+aOh+0Y2RfkyGSumP3vx1DOSNPdIMyAw3mISOt1TDq0jQ"</definedName>
    <definedName name="EPMWorkbookOptions_3" hidden="1">"3Lm6lSJ1iwA/B23zySNOQO0Kf4ml8k7fAfpth/hBxIDk/q2BXq3cD+hQqahc33X+n+HwykWE1L5iNJikzrfGWBKnwV0FkK3DyABJv0WoqxIbkyZoMMsviaP707H5ohFviknw0oRVvjrC1qhU5W2uxFVGQqlepcEDTFzhbKvG1Sx2MXNcK2HgjukHOh7TOMd2F08smq4SxOJOmShARZb6EUx3K4j35TtN7EmKcQPpVxHAQR0IgkCjd0dlz9A3"</definedName>
    <definedName name="EPMWorkbookOptions_4" hidden="1">"DiYmGT6+bEQLNEFeuc74urjwneJWEL396x6m22D+dtEnpMINFFXRkJ5DiUBBoibd5kSiwSMAIMAcyVY+4YQM5JMGc0g2jhSUf1b8WqIh6mq/t1jlvLf+AcDVATi8/MHslb8NxrjHGqohdpCqXGyy3wdGVrS+kUOJQ2nJqCsa6EZWvudo4mg6KhI7mXCaM8r9kiHKnXfnfZatVjmOOzzvVzKY90OEW1GMOmranfSkPNpijiOa5BUt7TzOJ4dR"</definedName>
    <definedName name="EPMWorkbookOptions_5" hidden="1">"qrLx6905jK9BUK/XDs9hbPZy2BJh3EmlcOGadjc9KRG+xl7sbjwRCACgkgOJAoG1ag4kGjJ1LvUecj6l7ntP7Wv6R45peJ5ljzin4bJX65YM4276fZHIOijtjnpKJKqGLnYLs8dFINRzF4kjqQB0sedUiUhYHmQAyflUPBlpn/ivfDV75Y4C3Dp2v+h93S4ORVWktNM4n3jVemqrjz7zTho+ezG7ghh3VO2i4zYZSR67p4zdnmagfo/SRe8/"</definedName>
    <definedName name="EPMWorkbookOptions_6" hidden="1">"TT0+fmvZi98IyK3jkH4v7e56cibp33afTwTrSFLEnqx+YvjWjwhfEwuWIHBCybYstsRVYb1kjWpmyeRt1hLYaqUyss8gfNcUt+48Q0b7FvKp99aTU+lf7qrkLSapP/b+F1C0G1GXWjmZGBk1vxkg2cz3VEBNQnJbRqIhq8oH/ik5ug4K2VvGxlnGnVa/6N3om2TyTekpA9qQux+4L/3oMIbHPJiVkvXsAmHcRysA8mUAQdrd9ORELnbRtpfI"</definedName>
    <definedName name="EPMWorkbookOptions_7" hidden="1">"xd7wtI8IqOdEtojkD2Mlm/mOcteVRL3fkz5z5QqPeRgrJSVvjZH66MJjJbrpaslo0O0oaXfV0xLJaSxo/DIu9khiB0QWYuSE6fwAoZg1yUINJuktI7HWtTgdbfdVLNHG3de3NHp4RLD/qLrqFLvrV3TEG0M5NMYmWQyqurr5hNeS282h7Po9NTSHByHGtfRuRygv+z9M4pjWGHcxediI77R//bIZY/USnOYf5RTQWj9HAAA="</definedName>
    <definedName name="EPMWorkbookOptions_9" hidden="1">"oZNTWTgMfQCYTNx2pceg4TB0UBAOMR6PSAOIROgIAiIbIqhRAveeqHuHw79hQTj8u6rP2CnPYKFuhyff1PDEwe69Yinz1wMGdJkvJkyx4Sz7VKye8fSyRz9c6ov+sJ2HoW0/EKX0fIgvm/K3K3x5yf1uOKYxnOIudu424lvlnz9t+lDmq4n/B3b711l9hQAA"</definedName>
    <definedName name="EV__EVCOM_OPTIONS__" hidden="1">8</definedName>
    <definedName name="EV__EXPOPTIONS__" hidden="1">1</definedName>
    <definedName name="EV__MAXEXPCOLS__" hidden="1">100</definedName>
    <definedName name="EV__MAXEXPROWS__" hidden="1">1000</definedName>
    <definedName name="EV__USERCHANGEOPTIONS__" hidden="1">1</definedName>
    <definedName name="EV__WBEVMODE__" hidden="1">0</definedName>
    <definedName name="EV__WBREFOPTIONS__" hidden="1">134217735</definedName>
    <definedName name="Ext_Serv">#REF!</definedName>
    <definedName name="Function">#REF!</definedName>
    <definedName name="MEWarning" hidden="1">1</definedName>
    <definedName name="SAPCrosstab1">#REF!</definedName>
    <definedName name="SUBF_LIST">#REF!</definedName>
    <definedName name="TRADINGP">#REF!</definedName>
    <definedName name="VENDR">#REF!</definedName>
    <definedName name="Ye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3" i="1" l="1"/>
  <c r="AB13" i="1"/>
  <c r="Z19" i="1"/>
  <c r="Y19" i="1"/>
  <c r="X9" i="1"/>
  <c r="X6" i="1"/>
  <c r="X5" i="1"/>
  <c r="X3" i="1"/>
  <c r="X32" i="1"/>
  <c r="W2" i="1" l="1"/>
  <c r="Z2" i="1" s="1"/>
  <c r="Y2" i="1"/>
  <c r="AA2" i="1" s="1"/>
  <c r="AD2" i="1"/>
  <c r="AE2" i="1" s="1"/>
  <c r="B3" i="1"/>
  <c r="Y3" i="1"/>
  <c r="Z3" i="1"/>
  <c r="AB3" i="1" s="1"/>
  <c r="AD3" i="1"/>
  <c r="AE3" i="1" s="1"/>
  <c r="B4" i="1"/>
  <c r="W4" i="1"/>
  <c r="X4" i="1" s="1"/>
  <c r="Y4" i="1" s="1"/>
  <c r="AD4" i="1"/>
  <c r="AE4" i="1" s="1"/>
  <c r="B5" i="1"/>
  <c r="Y5" i="1"/>
  <c r="Z5" i="1"/>
  <c r="AB5" i="1" s="1"/>
  <c r="AD5" i="1"/>
  <c r="AE5" i="1" s="1"/>
  <c r="Z6" i="1"/>
  <c r="AB6" i="1" s="1"/>
  <c r="AD6" i="1"/>
  <c r="AE6" i="1" s="1"/>
  <c r="B7" i="1"/>
  <c r="W7" i="1"/>
  <c r="AD7" i="1"/>
  <c r="AE7" i="1" s="1"/>
  <c r="B8" i="1"/>
  <c r="W8" i="1"/>
  <c r="X8" i="1" s="1"/>
  <c r="Y8" i="1" s="1"/>
  <c r="AA8" i="1" s="1"/>
  <c r="AD8" i="1"/>
  <c r="AE8" i="1" s="1"/>
  <c r="B9" i="1"/>
  <c r="Z9" i="1"/>
  <c r="AB9" i="1" s="1"/>
  <c r="AD9" i="1"/>
  <c r="AE9" i="1" s="1"/>
  <c r="B10" i="1"/>
  <c r="Y10" i="1"/>
  <c r="Z10" i="1"/>
  <c r="AB10" i="1" s="1"/>
  <c r="AD10" i="1"/>
  <c r="AE10" i="1" s="1"/>
  <c r="Y11" i="1"/>
  <c r="Z11" i="1"/>
  <c r="B12" i="1"/>
  <c r="W12" i="1"/>
  <c r="Z12" i="1" s="1"/>
  <c r="AB12" i="1" s="1"/>
  <c r="Y12" i="1"/>
  <c r="AD12" i="1"/>
  <c r="AE12" i="1" s="1"/>
  <c r="B18" i="1"/>
  <c r="W18" i="1"/>
  <c r="Z18" i="1" s="1"/>
  <c r="Y18" i="1"/>
  <c r="AD18" i="1"/>
  <c r="AE18" i="1" s="1"/>
  <c r="B20" i="1"/>
  <c r="W20" i="1"/>
  <c r="Z20" i="1" s="1"/>
  <c r="AB20" i="1" s="1"/>
  <c r="Y20" i="1"/>
  <c r="AD20" i="1"/>
  <c r="AE20" i="1" s="1"/>
  <c r="B21" i="1"/>
  <c r="W21" i="1"/>
  <c r="Z21" i="1" s="1"/>
  <c r="AB21" i="1" s="1"/>
  <c r="Y21" i="1"/>
  <c r="AD21" i="1"/>
  <c r="AE21" i="1" s="1"/>
  <c r="B22" i="1"/>
  <c r="W22" i="1"/>
  <c r="Z22" i="1" s="1"/>
  <c r="AB22" i="1" s="1"/>
  <c r="Y22" i="1"/>
  <c r="AD22" i="1"/>
  <c r="AE22" i="1" s="1"/>
  <c r="B23" i="1"/>
  <c r="W23" i="1"/>
  <c r="Z23" i="1" s="1"/>
  <c r="AB23" i="1" s="1"/>
  <c r="Y23" i="1"/>
  <c r="AD23" i="1"/>
  <c r="AE23" i="1" s="1"/>
  <c r="B24" i="1"/>
  <c r="Y24" i="1"/>
  <c r="Z24" i="1"/>
  <c r="AB24" i="1" s="1"/>
  <c r="AD24" i="1"/>
  <c r="AE24" i="1" s="1"/>
  <c r="B25" i="1"/>
  <c r="W25" i="1"/>
  <c r="Z25" i="1" s="1"/>
  <c r="AB25" i="1" s="1"/>
  <c r="Y25" i="1"/>
  <c r="AD25" i="1"/>
  <c r="AE25" i="1" s="1"/>
  <c r="Y26" i="1"/>
  <c r="Z26" i="1"/>
  <c r="Y17" i="1"/>
  <c r="Z17" i="1"/>
  <c r="Y14" i="1"/>
  <c r="Z14" i="1"/>
  <c r="Y15" i="1"/>
  <c r="Z15" i="1"/>
  <c r="Y16" i="1"/>
  <c r="Z16" i="1"/>
  <c r="V27" i="1"/>
  <c r="B27" i="1" s="1"/>
  <c r="Y27" i="1"/>
  <c r="Z27" i="1"/>
  <c r="AB27" i="1"/>
  <c r="AD27" i="1"/>
  <c r="AE27" i="1" s="1"/>
  <c r="B28" i="1"/>
  <c r="W28" i="1"/>
  <c r="Z28" i="1" s="1"/>
  <c r="AB28" i="1" s="1"/>
  <c r="Y28" i="1"/>
  <c r="AD28" i="1"/>
  <c r="AE28" i="1" s="1"/>
  <c r="W29" i="1"/>
  <c r="X29" i="1" s="1"/>
  <c r="Y29" i="1" s="1"/>
  <c r="AA29" i="1" s="1"/>
  <c r="AD29" i="1"/>
  <c r="AE29" i="1" s="1"/>
  <c r="B30" i="1"/>
  <c r="W30" i="1"/>
  <c r="X30" i="1" s="1"/>
  <c r="Y30" i="1" s="1"/>
  <c r="AD30" i="1"/>
  <c r="AE30" i="1" s="1"/>
  <c r="B31" i="1"/>
  <c r="W31" i="1"/>
  <c r="AD31" i="1"/>
  <c r="AE31" i="1" s="1"/>
  <c r="B32" i="1"/>
  <c r="Z32" i="1"/>
  <c r="AB32" i="1" s="1"/>
  <c r="AD32" i="1"/>
  <c r="AE32" i="1" s="1"/>
  <c r="B33" i="1"/>
  <c r="Z33" i="1"/>
  <c r="AB33" i="1" s="1"/>
  <c r="Y33" i="1"/>
  <c r="AD33" i="1"/>
  <c r="AE33" i="1"/>
  <c r="Y34" i="1"/>
  <c r="Z34" i="1"/>
  <c r="AB34" i="1" s="1"/>
  <c r="Y35" i="1"/>
  <c r="AA35" i="1" s="1"/>
  <c r="Z35" i="1"/>
  <c r="AB35" i="1" s="1"/>
  <c r="AD35" i="1"/>
  <c r="AE35" i="1" s="1"/>
  <c r="B36" i="1"/>
  <c r="W36" i="1"/>
  <c r="X36" i="1" s="1"/>
  <c r="AD36" i="1"/>
  <c r="AE36" i="1" s="1"/>
  <c r="W37" i="1"/>
  <c r="Z37" i="1" s="1"/>
  <c r="AB37" i="1" s="1"/>
  <c r="Y37" i="1"/>
  <c r="AA37" i="1" s="1"/>
  <c r="AD37" i="1"/>
  <c r="AE37" i="1" s="1"/>
  <c r="Y38" i="1"/>
  <c r="AA38" i="1" s="1"/>
  <c r="Z38" i="1"/>
  <c r="AB38" i="1" s="1"/>
  <c r="AE38" i="1"/>
  <c r="V39" i="1"/>
  <c r="AA3" i="1" l="1"/>
  <c r="X7" i="1"/>
  <c r="Y7" i="1" s="1"/>
  <c r="AA7" i="1" s="1"/>
  <c r="X31" i="1"/>
  <c r="Y31" i="1" s="1"/>
  <c r="AA31" i="1" s="1"/>
  <c r="AA5" i="1"/>
  <c r="AA4" i="1"/>
  <c r="AA28" i="1"/>
  <c r="Z36" i="1"/>
  <c r="AB36" i="1" s="1"/>
  <c r="AA33" i="1"/>
  <c r="AA25" i="1"/>
  <c r="Y9" i="1"/>
  <c r="AA9" i="1" s="1"/>
  <c r="AA27" i="1"/>
  <c r="Z8" i="1"/>
  <c r="AB8" i="1" s="1"/>
  <c r="Y32" i="1"/>
  <c r="AA32" i="1"/>
  <c r="Y6" i="1"/>
  <c r="AA6" i="1" s="1"/>
  <c r="AA30" i="1"/>
  <c r="Y36" i="1"/>
  <c r="AA36" i="1" s="1"/>
  <c r="Z29" i="1"/>
  <c r="AB29" i="1" s="1"/>
  <c r="AA10" i="1"/>
  <c r="W39" i="1"/>
  <c r="AB2" i="1"/>
  <c r="Z4" i="1"/>
  <c r="AB4" i="1" s="1"/>
  <c r="Z30" i="1"/>
  <c r="AB30" i="1" s="1"/>
  <c r="X39" i="1" l="1"/>
  <c r="Y39" i="1"/>
  <c r="Y40" i="1" s="1"/>
  <c r="Z31" i="1"/>
  <c r="AB31" i="1" s="1"/>
  <c r="Z7" i="1"/>
  <c r="AB7" i="1" s="1"/>
  <c r="AA39" i="1"/>
  <c r="Z39" i="1"/>
  <c r="Z40" i="1" s="1"/>
  <c r="AB39" i="1"/>
</calcChain>
</file>

<file path=xl/sharedStrings.xml><?xml version="1.0" encoding="utf-8"?>
<sst xmlns="http://schemas.openxmlformats.org/spreadsheetml/2006/main" count="535" uniqueCount="162">
  <si>
    <t>Columns ( X - W ) 
W/ AOP25 Reduction</t>
  </si>
  <si>
    <t>Columns ( X - V ) 
W/O AOP25 Reduction</t>
  </si>
  <si>
    <t xml:space="preserve"> </t>
  </si>
  <si>
    <t>Variation ----&gt;</t>
  </si>
  <si>
    <t>adding 2000 inboxes from integrations (Peets and other companies)</t>
  </si>
  <si>
    <t>Security</t>
  </si>
  <si>
    <t>L-PC-USERS</t>
  </si>
  <si>
    <t>Diego</t>
  </si>
  <si>
    <t>Wicher</t>
  </si>
  <si>
    <t>Ironscales Ltd.</t>
  </si>
  <si>
    <t>PCConnectivity</t>
  </si>
  <si>
    <t>PC and Connectivity</t>
  </si>
  <si>
    <t>485073034</t>
  </si>
  <si>
    <t>CW13839</t>
  </si>
  <si>
    <t>Email Protection</t>
  </si>
  <si>
    <t>Increase</t>
  </si>
  <si>
    <t>Active</t>
  </si>
  <si>
    <t>Spot</t>
  </si>
  <si>
    <t>GR</t>
  </si>
  <si>
    <t>Monthly</t>
  </si>
  <si>
    <t>SANS  Contract</t>
  </si>
  <si>
    <t>Sans Institute</t>
  </si>
  <si>
    <t>Application Support</t>
  </si>
  <si>
    <t>CW11529</t>
  </si>
  <si>
    <t>Awareness standard e-training subscription</t>
  </si>
  <si>
    <t>IT Awareness Position Costs (+-80k) + OT Awareness Execution (100k)</t>
  </si>
  <si>
    <t>Awareness and Campaign (IT + OT Local)</t>
  </si>
  <si>
    <t>Pricing model and quotation still pending from Microsoft.</t>
  </si>
  <si>
    <t>Sameer</t>
  </si>
  <si>
    <t>Cloud Security Posture Management (Microrosft)</t>
  </si>
  <si>
    <t>New</t>
  </si>
  <si>
    <t>Need to do a new quotation to confirm the costs Qualys expiration around MID 2026.</t>
  </si>
  <si>
    <t>APP000007</t>
  </si>
  <si>
    <t>L-SAP-USERS</t>
  </si>
  <si>
    <t>Erp Security B.V.</t>
  </si>
  <si>
    <t>APP002949</t>
  </si>
  <si>
    <t>SAP suite</t>
  </si>
  <si>
    <t>CW13797</t>
  </si>
  <si>
    <t>Protect4S</t>
  </si>
  <si>
    <t>Google Cloud Emea Limited</t>
  </si>
  <si>
    <t>CW14704</t>
  </si>
  <si>
    <t>Mandiant Incident Response</t>
  </si>
  <si>
    <t>Cloud Security Posture Management need to be added, pricing in pending from MS, CSMP Line</t>
  </si>
  <si>
    <t>Accenture B.V</t>
  </si>
  <si>
    <t>CW13771</t>
  </si>
  <si>
    <t>E5 Support contract (EUC)</t>
  </si>
  <si>
    <t>Add Mycelium / TPRM / Bitsight monitoring costs here (Diego)</t>
  </si>
  <si>
    <t>CW12936</t>
  </si>
  <si>
    <t>Bitsight subscription</t>
  </si>
  <si>
    <t>No Change</t>
  </si>
  <si>
    <t>Pre Paid</t>
  </si>
  <si>
    <t>Yearly</t>
  </si>
  <si>
    <t>Migration to Beyond trust Priv Mangement SaaS included in 2026 + proportinal licenses in a 3 years model. Licenses 15k Migration 5K for 2026</t>
  </si>
  <si>
    <t>Professional Developm Systems B.V.</t>
  </si>
  <si>
    <t>APP001977</t>
  </si>
  <si>
    <t>IT4IT</t>
  </si>
  <si>
    <t>Software li oth appl</t>
  </si>
  <si>
    <t>485074005</t>
  </si>
  <si>
    <t>CW10007</t>
  </si>
  <si>
    <t>Avecto</t>
  </si>
  <si>
    <t>HCL Estimation</t>
  </si>
  <si>
    <t>CW11420</t>
  </si>
  <si>
    <t>Accenture SOC services (HCL after TnT)</t>
  </si>
  <si>
    <t>OT Security</t>
  </si>
  <si>
    <t>ICAP File scanning (DMZ) - Meta Defender Platform</t>
  </si>
  <si>
    <t>ICAP File scanning (DMZ) - MetaDefender ICAP Scanner</t>
  </si>
  <si>
    <t>ICAP File scanning (DMZ) - Metascan 8 Engines</t>
  </si>
  <si>
    <t>Opswat licenses (ICAP File scanning DMZ)</t>
  </si>
  <si>
    <t>HCL</t>
  </si>
  <si>
    <t>EDR Service (Stellar ICS) Managed Services</t>
  </si>
  <si>
    <t>Insight Enterprise Netherlands B.V.</t>
  </si>
  <si>
    <t>APP002630</t>
  </si>
  <si>
    <t>CW9402</t>
  </si>
  <si>
    <t>Symantec Advanced Threat Protection</t>
  </si>
  <si>
    <t>L-FACTORIES-SIZE</t>
  </si>
  <si>
    <t>TxOne</t>
  </si>
  <si>
    <t>FactorySec</t>
  </si>
  <si>
    <t>Factory Security</t>
  </si>
  <si>
    <t>OT SOC support</t>
  </si>
  <si>
    <t>Beyondtrust Corporation</t>
  </si>
  <si>
    <t>OT RAS - SIEM Tool Integration Subscription (PRA) &amp; Advanced Web Access Subscription</t>
  </si>
  <si>
    <t>CW59585</t>
  </si>
  <si>
    <t>OT RAS - BeyondTrust licenses Priviledged Remote Access (PRA)</t>
  </si>
  <si>
    <t>OT RAS - BeyondTrust Appliance B Series-VM Subscription</t>
  </si>
  <si>
    <t>OPSWAT</t>
  </si>
  <si>
    <t>ICAP File scanning Managed Service</t>
  </si>
  <si>
    <t>George</t>
  </si>
  <si>
    <t>CyberArk (Grabowsky Support)</t>
  </si>
  <si>
    <t>APP002649</t>
  </si>
  <si>
    <t>Accenture Appl. supp</t>
  </si>
  <si>
    <t>485074001</t>
  </si>
  <si>
    <t>CW62675</t>
  </si>
  <si>
    <t>Saviynt dedicated support team (EUC)</t>
  </si>
  <si>
    <t>Pre</t>
  </si>
  <si>
    <t>Saviynt Europe Ltd</t>
  </si>
  <si>
    <t>Other Sup Appl Sup</t>
  </si>
  <si>
    <t>485074003</t>
  </si>
  <si>
    <t>CW10840</t>
  </si>
  <si>
    <t>Identity &amp; Access mgt tool Savyint (Licenses)</t>
  </si>
  <si>
    <t>Post</t>
  </si>
  <si>
    <t>KPMG</t>
  </si>
  <si>
    <t>APP000026</t>
  </si>
  <si>
    <t>CW9851</t>
  </si>
  <si>
    <t>GRC Process Control Support</t>
  </si>
  <si>
    <t>GRC Access Controls</t>
  </si>
  <si>
    <t>Microsoft B.V.</t>
  </si>
  <si>
    <t>APP003224</t>
  </si>
  <si>
    <t>CW60827</t>
  </si>
  <si>
    <t>Cyberark (Licenses)</t>
  </si>
  <si>
    <t>APP000018</t>
  </si>
  <si>
    <t>Ad hoc support compliance (AMS/IAM) (On going support for Authorization)</t>
  </si>
  <si>
    <t>PWC Advisory</t>
  </si>
  <si>
    <t>CW63996</t>
  </si>
  <si>
    <t>Recurring Security Assessments</t>
  </si>
  <si>
    <t>5400868906 / 5401093321</t>
  </si>
  <si>
    <t>CW6296</t>
  </si>
  <si>
    <t>Security tests, pentests, threat inteligence etc…</t>
  </si>
  <si>
    <t>ICS (AMS) position)</t>
  </si>
  <si>
    <t>Comments PMO / FIN</t>
  </si>
  <si>
    <t>Timing</t>
  </si>
  <si>
    <t>Method</t>
  </si>
  <si>
    <t>Invoice Schedule</t>
  </si>
  <si>
    <t>% spent</t>
  </si>
  <si>
    <t>Actuals</t>
  </si>
  <si>
    <t>Comments</t>
  </si>
  <si>
    <t>% Change after Reduction</t>
  </si>
  <si>
    <t>% Change</t>
  </si>
  <si>
    <t>Variance 25 &gt;  reduction</t>
  </si>
  <si>
    <t>Variance 25 &gt; 26</t>
  </si>
  <si>
    <t>AOP 2026 Forecast</t>
  </si>
  <si>
    <t>AOP 2025 Reduced</t>
  </si>
  <si>
    <t>AOP 2025</t>
  </si>
  <si>
    <t>AOP 2024</t>
  </si>
  <si>
    <t>AOP 2023</t>
  </si>
  <si>
    <t>FUNCTION</t>
  </si>
  <si>
    <t>Charging Basis</t>
  </si>
  <si>
    <t>Consulted</t>
  </si>
  <si>
    <t>Owner</t>
  </si>
  <si>
    <t>Team</t>
  </si>
  <si>
    <t>Line</t>
  </si>
  <si>
    <t>PO</t>
  </si>
  <si>
    <t>Vendor</t>
  </si>
  <si>
    <t>Vendor Code</t>
  </si>
  <si>
    <t>Service2</t>
  </si>
  <si>
    <t>Service1</t>
  </si>
  <si>
    <t>Line in AOP template</t>
  </si>
  <si>
    <t>Category</t>
  </si>
  <si>
    <t>GL</t>
  </si>
  <si>
    <t>Cost Center</t>
  </si>
  <si>
    <t>Contract ID</t>
  </si>
  <si>
    <t>Description</t>
  </si>
  <si>
    <t>Trend</t>
  </si>
  <si>
    <t>Status</t>
  </si>
  <si>
    <t>Added the costs for Follow-Ups with Owners activity in PwC contract.</t>
  </si>
  <si>
    <t>Vulnerability scanning: Licenses</t>
  </si>
  <si>
    <t>Keep the Line, budget still needed for 2026 support</t>
  </si>
  <si>
    <t xml:space="preserve">Costs will be affected by the decision of Savyint using GRC funtion to replace SAP GRC. </t>
  </si>
  <si>
    <t>Security assesments (NIST i.e.)</t>
  </si>
  <si>
    <t>OT RAS - BeyondTrust Licenses</t>
  </si>
  <si>
    <t>ICAP File scanning Liceses</t>
  </si>
  <si>
    <t>OT RAS - Services (Tech. Account Man.)</t>
  </si>
  <si>
    <t>SoftwareOne EDR Licenses (TxOen Stellar 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</si>
</sst>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€-2]\ #,##0.00"/>
    <numFmt numFmtId="165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65"/>
        <bgColor theme="1"/>
      </patternFill>
    </fill>
    <fill>
      <patternFill patternType="gray125">
        <fgColor theme="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auto="1"/>
        <bgColor theme="1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E0000"/>
        <bgColor indexed="64"/>
      </patternFill>
    </fill>
    <fill>
      <patternFill patternType="gray125">
        <fgColor theme="1"/>
        <bgColor theme="5" tint="0.79998168889431442"/>
      </patternFill>
    </fill>
    <fill>
      <patternFill patternType="solid">
        <fgColor theme="5" tint="0.79998168889431442"/>
        <bgColor theme="1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slantDashDot">
        <color theme="1"/>
      </left>
      <right style="slantDashDot">
        <color theme="1"/>
      </right>
      <top style="slantDashDot">
        <color theme="1"/>
      </top>
      <bottom style="slantDashDot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slantDashDot">
        <color theme="1"/>
      </left>
      <right/>
      <top style="slantDashDot">
        <color theme="1"/>
      </top>
      <bottom style="slantDashDot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8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0" fillId="0" borderId="0" xfId="0" applyAlignment="1">
      <alignment horizontal="right"/>
    </xf>
    <xf numFmtId="3" fontId="5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9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/>
    <xf numFmtId="4" fontId="0" fillId="0" borderId="0" xfId="0" applyNumberFormat="1"/>
    <xf numFmtId="9" fontId="5" fillId="0" borderId="2" xfId="1" applyFont="1" applyBorder="1"/>
    <xf numFmtId="164" fontId="5" fillId="0" borderId="3" xfId="0" applyNumberFormat="1" applyFont="1" applyBorder="1"/>
    <xf numFmtId="164" fontId="5" fillId="0" borderId="1" xfId="0" applyNumberFormat="1" applyFont="1" applyBorder="1"/>
    <xf numFmtId="0" fontId="6" fillId="0" borderId="0" xfId="3" applyFont="1" applyFill="1" applyAlignment="1">
      <alignment horizontal="right"/>
    </xf>
    <xf numFmtId="0" fontId="6" fillId="0" borderId="0" xfId="3" applyFont="1" applyFill="1"/>
    <xf numFmtId="0" fontId="0" fillId="5" borderId="0" xfId="0" applyFill="1"/>
    <xf numFmtId="0" fontId="0" fillId="6" borderId="4" xfId="0" applyFill="1" applyBorder="1"/>
    <xf numFmtId="165" fontId="0" fillId="6" borderId="4" xfId="0" applyNumberFormat="1" applyFill="1" applyBorder="1"/>
    <xf numFmtId="4" fontId="0" fillId="6" borderId="4" xfId="0" applyNumberFormat="1" applyFill="1" applyBorder="1"/>
    <xf numFmtId="0" fontId="0" fillId="7" borderId="4" xfId="0" applyFill="1" applyBorder="1" applyAlignment="1">
      <alignment wrapText="1"/>
    </xf>
    <xf numFmtId="9" fontId="0" fillId="0" borderId="5" xfId="1" applyFont="1" applyBorder="1"/>
    <xf numFmtId="9" fontId="0" fillId="0" borderId="2" xfId="1" applyFont="1" applyBorder="1"/>
    <xf numFmtId="3" fontId="0" fillId="8" borderId="6" xfId="0" applyNumberFormat="1" applyFill="1" applyBorder="1"/>
    <xf numFmtId="3" fontId="0" fillId="8" borderId="7" xfId="0" applyNumberFormat="1" applyFill="1" applyBorder="1"/>
    <xf numFmtId="3" fontId="0" fillId="8" borderId="8" xfId="0" applyNumberFormat="1" applyFill="1" applyBorder="1"/>
    <xf numFmtId="0" fontId="6" fillId="0" borderId="0" xfId="2" applyFont="1" applyFill="1"/>
    <xf numFmtId="3" fontId="0" fillId="8" borderId="9" xfId="0" applyNumberFormat="1" applyFill="1" applyBorder="1"/>
    <xf numFmtId="3" fontId="0" fillId="9" borderId="8" xfId="0" applyNumberFormat="1" applyFill="1" applyBorder="1"/>
    <xf numFmtId="0" fontId="6" fillId="0" borderId="10" xfId="2" applyFont="1" applyFill="1" applyBorder="1"/>
    <xf numFmtId="0" fontId="0" fillId="0" borderId="10" xfId="0" applyBorder="1"/>
    <xf numFmtId="0" fontId="0" fillId="0" borderId="10" xfId="0" applyBorder="1" applyAlignment="1">
      <alignment horizontal="right"/>
    </xf>
    <xf numFmtId="0" fontId="6" fillId="0" borderId="10" xfId="3" applyFont="1" applyFill="1" applyBorder="1"/>
    <xf numFmtId="0" fontId="0" fillId="0" borderId="10" xfId="0" quotePrefix="1" applyBorder="1"/>
    <xf numFmtId="0" fontId="0" fillId="0" borderId="10" xfId="0" applyBorder="1" applyAlignment="1">
      <alignment vertical="center"/>
    </xf>
    <xf numFmtId="0" fontId="4" fillId="7" borderId="4" xfId="0" applyFont="1" applyFill="1" applyBorder="1" applyAlignment="1">
      <alignment wrapText="1"/>
    </xf>
    <xf numFmtId="0" fontId="6" fillId="7" borderId="4" xfId="0" applyFont="1" applyFill="1" applyBorder="1" applyAlignment="1">
      <alignment wrapText="1"/>
    </xf>
    <xf numFmtId="3" fontId="0" fillId="10" borderId="8" xfId="0" applyNumberFormat="1" applyFill="1" applyBorder="1"/>
    <xf numFmtId="3" fontId="0" fillId="11" borderId="9" xfId="0" applyNumberFormat="1" applyFill="1" applyBorder="1"/>
    <xf numFmtId="3" fontId="0" fillId="11" borderId="8" xfId="0" applyNumberFormat="1" applyFill="1" applyBorder="1"/>
    <xf numFmtId="0" fontId="6" fillId="12" borderId="10" xfId="2" applyFont="1" applyFill="1" applyBorder="1"/>
    <xf numFmtId="0" fontId="0" fillId="12" borderId="10" xfId="0" applyFill="1" applyBorder="1" applyAlignment="1">
      <alignment horizontal="right"/>
    </xf>
    <xf numFmtId="0" fontId="6" fillId="12" borderId="10" xfId="3" applyFont="1" applyFill="1" applyBorder="1"/>
    <xf numFmtId="0" fontId="0" fillId="12" borderId="10" xfId="0" applyFill="1" applyBorder="1"/>
    <xf numFmtId="3" fontId="0" fillId="13" borderId="8" xfId="0" applyNumberFormat="1" applyFill="1" applyBorder="1"/>
    <xf numFmtId="0" fontId="0" fillId="12" borderId="10" xfId="0" quotePrefix="1" applyFill="1" applyBorder="1"/>
    <xf numFmtId="0" fontId="6" fillId="14" borderId="10" xfId="2" applyFont="1" applyFill="1" applyBorder="1"/>
    <xf numFmtId="0" fontId="0" fillId="14" borderId="10" xfId="0" applyFill="1" applyBorder="1" applyAlignment="1">
      <alignment horizontal="right"/>
    </xf>
    <xf numFmtId="0" fontId="6" fillId="14" borderId="10" xfId="3" applyFont="1" applyFill="1" applyBorder="1"/>
    <xf numFmtId="0" fontId="0" fillId="14" borderId="10" xfId="0" applyFill="1" applyBorder="1"/>
    <xf numFmtId="0" fontId="0" fillId="14" borderId="10" xfId="0" quotePrefix="1" applyFill="1" applyBorder="1"/>
    <xf numFmtId="0" fontId="0" fillId="15" borderId="10" xfId="0" applyFill="1" applyBorder="1"/>
    <xf numFmtId="0" fontId="6" fillId="14" borderId="10" xfId="2" applyFont="1" applyFill="1" applyBorder="1" applyAlignment="1">
      <alignment horizontal="right"/>
    </xf>
    <xf numFmtId="0" fontId="6" fillId="14" borderId="10" xfId="0" applyFont="1" applyFill="1" applyBorder="1" applyAlignment="1">
      <alignment horizontal="right"/>
    </xf>
    <xf numFmtId="0" fontId="0" fillId="14" borderId="10" xfId="0" applyFill="1" applyBorder="1" applyAlignment="1">
      <alignment horizontal="right" vertical="top"/>
    </xf>
    <xf numFmtId="3" fontId="5" fillId="16" borderId="11" xfId="0" applyNumberFormat="1" applyFont="1" applyFill="1" applyBorder="1"/>
    <xf numFmtId="0" fontId="5" fillId="16" borderId="11" xfId="0" applyFont="1" applyFill="1" applyBorder="1"/>
    <xf numFmtId="0" fontId="5" fillId="16" borderId="12" xfId="0" applyFont="1" applyFill="1" applyBorder="1" applyAlignment="1">
      <alignment wrapText="1"/>
    </xf>
    <xf numFmtId="3" fontId="5" fillId="16" borderId="2" xfId="0" applyNumberFormat="1" applyFont="1" applyFill="1" applyBorder="1"/>
    <xf numFmtId="3" fontId="5" fillId="16" borderId="13" xfId="0" applyNumberFormat="1" applyFont="1" applyFill="1" applyBorder="1"/>
    <xf numFmtId="3" fontId="5" fillId="16" borderId="10" xfId="0" applyNumberFormat="1" applyFont="1" applyFill="1" applyBorder="1"/>
    <xf numFmtId="0" fontId="0" fillId="16" borderId="14" xfId="0" applyFill="1" applyBorder="1"/>
    <xf numFmtId="0" fontId="5" fillId="16" borderId="12" xfId="0" applyFont="1" applyFill="1" applyBorder="1"/>
    <xf numFmtId="0" fontId="5" fillId="16" borderId="10" xfId="0" applyFont="1" applyFill="1" applyBorder="1"/>
    <xf numFmtId="3" fontId="0" fillId="17" borderId="8" xfId="0" applyNumberFormat="1" applyFill="1" applyBorder="1"/>
    <xf numFmtId="3" fontId="0" fillId="4" borderId="8" xfId="0" applyNumberFormat="1" applyFill="1" applyBorder="1"/>
    <xf numFmtId="0" fontId="0" fillId="18" borderId="10" xfId="0" applyFill="1" applyBorder="1"/>
    <xf numFmtId="0" fontId="0" fillId="18" borderId="10" xfId="0" quotePrefix="1" applyFill="1" applyBorder="1"/>
    <xf numFmtId="0" fontId="6" fillId="18" borderId="10" xfId="2" applyFont="1" applyFill="1" applyBorder="1"/>
    <xf numFmtId="0" fontId="6" fillId="18" borderId="10" xfId="2" applyFont="1" applyFill="1" applyBorder="1" applyAlignment="1">
      <alignment horizontal="right"/>
    </xf>
    <xf numFmtId="0" fontId="0" fillId="18" borderId="10" xfId="0" applyFill="1" applyBorder="1" applyAlignment="1">
      <alignment horizontal="right"/>
    </xf>
    <xf numFmtId="0" fontId="6" fillId="18" borderId="10" xfId="3" applyFont="1" applyFill="1" applyBorder="1"/>
    <xf numFmtId="3" fontId="0" fillId="19" borderId="8" xfId="0" applyNumberFormat="1" applyFill="1" applyBorder="1"/>
    <xf numFmtId="3" fontId="0" fillId="20" borderId="8" xfId="0" applyNumberFormat="1" applyFill="1" applyBorder="1"/>
    <xf numFmtId="3" fontId="0" fillId="20" borderId="9" xfId="0" applyNumberFormat="1" applyFill="1" applyBorder="1"/>
    <xf numFmtId="0" fontId="0" fillId="21" borderId="10" xfId="0" applyFill="1" applyBorder="1"/>
    <xf numFmtId="0" fontId="0" fillId="22" borderId="10" xfId="0" applyFill="1" applyBorder="1"/>
    <xf numFmtId="0" fontId="0" fillId="22" borderId="10" xfId="0" quotePrefix="1" applyFill="1" applyBorder="1"/>
    <xf numFmtId="0" fontId="6" fillId="22" borderId="10" xfId="2" applyFont="1" applyFill="1" applyBorder="1"/>
    <xf numFmtId="0" fontId="6" fillId="22" borderId="10" xfId="3" applyFont="1" applyFill="1" applyBorder="1"/>
    <xf numFmtId="3" fontId="0" fillId="23" borderId="8" xfId="0" applyNumberFormat="1" applyFill="1" applyBorder="1"/>
    <xf numFmtId="3" fontId="0" fillId="23" borderId="9" xfId="0" applyNumberFormat="1" applyFill="1" applyBorder="1"/>
    <xf numFmtId="3" fontId="0" fillId="17" borderId="9" xfId="0" applyNumberFormat="1" applyFill="1" applyBorder="1"/>
    <xf numFmtId="0" fontId="0" fillId="24" borderId="10" xfId="0" applyFill="1" applyBorder="1"/>
    <xf numFmtId="0" fontId="6" fillId="24" borderId="10" xfId="3" applyFont="1" applyFill="1" applyBorder="1"/>
    <xf numFmtId="0" fontId="0" fillId="24" borderId="10" xfId="0" quotePrefix="1" applyFill="1" applyBorder="1"/>
    <xf numFmtId="0" fontId="0" fillId="24" borderId="10" xfId="0" applyFill="1" applyBorder="1" applyAlignment="1">
      <alignment horizontal="right"/>
    </xf>
    <xf numFmtId="0" fontId="6" fillId="24" borderId="10" xfId="2" applyFont="1" applyFill="1" applyBorder="1"/>
    <xf numFmtId="0" fontId="6" fillId="0" borderId="13" xfId="3" applyFont="1" applyFill="1" applyBorder="1"/>
    <xf numFmtId="0" fontId="0" fillId="0" borderId="13" xfId="0" applyBorder="1"/>
    <xf numFmtId="0" fontId="6" fillId="0" borderId="13" xfId="2" applyFont="1" applyFill="1" applyBorder="1"/>
    <xf numFmtId="3" fontId="0" fillId="8" borderId="15" xfId="0" applyNumberFormat="1" applyFill="1" applyBorder="1"/>
    <xf numFmtId="0" fontId="6" fillId="24" borderId="13" xfId="2" applyFont="1" applyFill="1" applyBorder="1"/>
    <xf numFmtId="3" fontId="0" fillId="24" borderId="15" xfId="0" applyNumberFormat="1" applyFill="1" applyBorder="1"/>
    <xf numFmtId="3" fontId="0" fillId="24" borderId="8" xfId="0" applyNumberFormat="1" applyFill="1" applyBorder="1"/>
    <xf numFmtId="3" fontId="0" fillId="24" borderId="9" xfId="0" applyNumberFormat="1" applyFill="1" applyBorder="1"/>
    <xf numFmtId="9" fontId="0" fillId="24" borderId="2" xfId="1" applyFont="1" applyFill="1" applyBorder="1"/>
    <xf numFmtId="9" fontId="0" fillId="24" borderId="5" xfId="1" applyFont="1" applyFill="1" applyBorder="1"/>
  </cellXfs>
  <cellStyles count="4">
    <cellStyle name="Good" xfId="2" builtinId="26"/>
    <cellStyle name="Neutral" xfId="3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ffeeandtea-my.sharepoint.com/personal/diego_cavalariconsolini_jdecoffee_com/Documents/Finance/AOP26%20preview%20IT%20Operations%20Financials%20Final.xlsm" TargetMode="External"/><Relationship Id="rId1" Type="http://schemas.openxmlformats.org/officeDocument/2006/relationships/externalLinkPath" Target="AOP26%20preview%20IT%20Operations%20Financials%20Fin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com.sap.ip.bi.xl.hiddensheet"/>
      <sheetName val="Summary"/>
      <sheetName val="Summary incl price reduction"/>
      <sheetName val="LE"/>
      <sheetName val="BW Summary"/>
      <sheetName val="Change log"/>
      <sheetName val="AOP25"/>
      <sheetName val="ListBoxValues"/>
      <sheetName val="BIdetails"/>
      <sheetName val="POs not in AOP"/>
      <sheetName val="AOP 2025 Summary"/>
      <sheetName val="Cross charge Agreements 2023"/>
      <sheetName val="Documentation"/>
      <sheetName val="New File Creation"/>
      <sheetName val="Improvements 2023"/>
      <sheetName val="Infra Cost Non Sap 2024"/>
      <sheetName val="Cross charge agreements"/>
      <sheetName val="AOP25Reduced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J5" t="str">
            <v>5400868906</v>
          </cell>
          <cell r="K5" t="str">
            <v>20</v>
          </cell>
          <cell r="M5">
            <v>4004</v>
          </cell>
        </row>
        <row r="6">
          <cell r="J6" t="str">
            <v>5401087933</v>
          </cell>
          <cell r="K6" t="str">
            <v>10</v>
          </cell>
          <cell r="M6">
            <v>4659.8</v>
          </cell>
        </row>
        <row r="7">
          <cell r="J7" t="str">
            <v>5401058468</v>
          </cell>
          <cell r="K7" t="str">
            <v>20</v>
          </cell>
          <cell r="M7">
            <v>-11000</v>
          </cell>
        </row>
        <row r="8">
          <cell r="J8" t="str">
            <v>5401058468</v>
          </cell>
          <cell r="K8" t="str">
            <v>20</v>
          </cell>
          <cell r="M8">
            <v>10372.5</v>
          </cell>
        </row>
        <row r="9">
          <cell r="J9" t="str">
            <v>5400868906</v>
          </cell>
          <cell r="K9" t="str">
            <v>20</v>
          </cell>
          <cell r="M9">
            <v>4004</v>
          </cell>
        </row>
        <row r="10">
          <cell r="J10" t="str">
            <v>5401087933</v>
          </cell>
          <cell r="K10" t="str">
            <v>10</v>
          </cell>
          <cell r="M10">
            <v>4671.33</v>
          </cell>
        </row>
        <row r="11">
          <cell r="J11" t="str">
            <v>5401087931</v>
          </cell>
          <cell r="K11" t="str">
            <v>10</v>
          </cell>
          <cell r="M11">
            <v>12000</v>
          </cell>
        </row>
        <row r="12">
          <cell r="J12" t="str">
            <v>5400868906</v>
          </cell>
          <cell r="K12" t="str">
            <v>20</v>
          </cell>
          <cell r="M12">
            <v>4004</v>
          </cell>
        </row>
        <row r="13">
          <cell r="J13" t="str">
            <v>5401087933</v>
          </cell>
          <cell r="K13" t="str">
            <v>10</v>
          </cell>
          <cell r="M13">
            <v>4682.87</v>
          </cell>
        </row>
        <row r="14">
          <cell r="J14" t="str">
            <v>5401023605</v>
          </cell>
          <cell r="K14" t="str">
            <v>10</v>
          </cell>
          <cell r="M14">
            <v>-2500</v>
          </cell>
        </row>
        <row r="15">
          <cell r="J15" t="str">
            <v>5401023605</v>
          </cell>
          <cell r="K15" t="str">
            <v>10</v>
          </cell>
          <cell r="M15">
            <v>-2500</v>
          </cell>
        </row>
        <row r="16">
          <cell r="J16" t="str">
            <v>5401023605</v>
          </cell>
          <cell r="K16" t="str">
            <v>10</v>
          </cell>
          <cell r="M16">
            <v>-2500</v>
          </cell>
        </row>
        <row r="17">
          <cell r="J17" t="str">
            <v>5401087933</v>
          </cell>
          <cell r="K17" t="str">
            <v>10</v>
          </cell>
          <cell r="M17">
            <v>4671.33</v>
          </cell>
        </row>
        <row r="18">
          <cell r="J18" t="str">
            <v>5400868906</v>
          </cell>
          <cell r="K18" t="str">
            <v>20</v>
          </cell>
          <cell r="M18">
            <v>4004</v>
          </cell>
        </row>
        <row r="19">
          <cell r="J19" t="str">
            <v>5400868906</v>
          </cell>
          <cell r="K19" t="str">
            <v>20</v>
          </cell>
          <cell r="M19">
            <v>4004</v>
          </cell>
        </row>
        <row r="20">
          <cell r="J20" t="str">
            <v>5401087933</v>
          </cell>
          <cell r="K20" t="str">
            <v>10</v>
          </cell>
          <cell r="M20">
            <v>4682.87</v>
          </cell>
        </row>
        <row r="21">
          <cell r="J21" t="str">
            <v>5400868906</v>
          </cell>
          <cell r="K21" t="str">
            <v>20</v>
          </cell>
          <cell r="M21">
            <v>4004</v>
          </cell>
        </row>
        <row r="22">
          <cell r="J22" t="str">
            <v>5401087933</v>
          </cell>
          <cell r="K22" t="str">
            <v>10</v>
          </cell>
          <cell r="M22">
            <v>4671.33</v>
          </cell>
        </row>
        <row r="23">
          <cell r="J23" t="str">
            <v>5401060729</v>
          </cell>
          <cell r="K23" t="str">
            <v>10</v>
          </cell>
          <cell r="M23">
            <v>-80000</v>
          </cell>
        </row>
        <row r="24">
          <cell r="J24" t="str">
            <v>5401060729</v>
          </cell>
          <cell r="K24" t="str">
            <v>10</v>
          </cell>
          <cell r="M24">
            <v>70256.100000000006</v>
          </cell>
        </row>
        <row r="25">
          <cell r="J25" t="str">
            <v>5401060729</v>
          </cell>
          <cell r="K25" t="str">
            <v>10</v>
          </cell>
          <cell r="M25">
            <v>80000</v>
          </cell>
        </row>
        <row r="26">
          <cell r="J26" t="str">
            <v>5401060727</v>
          </cell>
          <cell r="K26" t="str">
            <v>10</v>
          </cell>
          <cell r="M26">
            <v>-25000</v>
          </cell>
        </row>
        <row r="27">
          <cell r="J27" t="str">
            <v>5401060727</v>
          </cell>
          <cell r="K27" t="str">
            <v>10</v>
          </cell>
          <cell r="M27">
            <v>26318.16</v>
          </cell>
        </row>
        <row r="28">
          <cell r="J28" t="str">
            <v>5401060727</v>
          </cell>
          <cell r="K28" t="str">
            <v>10</v>
          </cell>
          <cell r="M28">
            <v>28000</v>
          </cell>
        </row>
        <row r="29">
          <cell r="J29" t="str">
            <v>5401060725</v>
          </cell>
          <cell r="K29" t="str">
            <v>10</v>
          </cell>
          <cell r="M29">
            <v>-285000</v>
          </cell>
        </row>
        <row r="30">
          <cell r="J30" t="str">
            <v>5401060725</v>
          </cell>
          <cell r="K30" t="str">
            <v>10</v>
          </cell>
          <cell r="M30">
            <v>288038.03000000003</v>
          </cell>
        </row>
        <row r="31">
          <cell r="J31" t="str">
            <v>5401060725</v>
          </cell>
          <cell r="K31" t="str">
            <v>10</v>
          </cell>
          <cell r="M31">
            <v>290000</v>
          </cell>
        </row>
        <row r="32">
          <cell r="J32" t="str">
            <v>5401095571</v>
          </cell>
          <cell r="K32" t="str">
            <v>10</v>
          </cell>
          <cell r="M32">
            <v>4492.8</v>
          </cell>
        </row>
        <row r="33">
          <cell r="J33" t="str">
            <v>5401060727</v>
          </cell>
          <cell r="K33" t="str">
            <v>10</v>
          </cell>
          <cell r="M33">
            <v>80000</v>
          </cell>
        </row>
        <row r="34">
          <cell r="J34" t="str">
            <v>5401060727</v>
          </cell>
          <cell r="K34" t="str">
            <v>10</v>
          </cell>
          <cell r="M34">
            <v>-80000</v>
          </cell>
        </row>
        <row r="35">
          <cell r="J35" t="str">
            <v>5401060727</v>
          </cell>
          <cell r="K35" t="str">
            <v>10</v>
          </cell>
          <cell r="M35">
            <v>28000</v>
          </cell>
        </row>
        <row r="36">
          <cell r="J36" t="str">
            <v>5401060729</v>
          </cell>
          <cell r="K36" t="str">
            <v>10</v>
          </cell>
          <cell r="M36">
            <v>-80000</v>
          </cell>
        </row>
        <row r="37">
          <cell r="J37" t="str">
            <v>5401060729</v>
          </cell>
          <cell r="K37" t="str">
            <v>10</v>
          </cell>
          <cell r="M37">
            <v>70528.08</v>
          </cell>
        </row>
        <row r="38">
          <cell r="J38" t="str">
            <v>5401060729</v>
          </cell>
          <cell r="K38" t="str">
            <v>10</v>
          </cell>
          <cell r="M38">
            <v>80000</v>
          </cell>
        </row>
        <row r="39">
          <cell r="J39" t="str">
            <v>5401060727</v>
          </cell>
          <cell r="K39" t="str">
            <v>10</v>
          </cell>
          <cell r="M39">
            <v>-28000</v>
          </cell>
        </row>
        <row r="40">
          <cell r="J40" t="str">
            <v>5401060727</v>
          </cell>
          <cell r="K40" t="str">
            <v>10</v>
          </cell>
          <cell r="M40">
            <v>25841.14</v>
          </cell>
        </row>
        <row r="41">
          <cell r="J41" t="str">
            <v>5401060725</v>
          </cell>
          <cell r="K41" t="str">
            <v>10</v>
          </cell>
          <cell r="M41">
            <v>-290000</v>
          </cell>
        </row>
        <row r="42">
          <cell r="J42" t="str">
            <v>5401060725</v>
          </cell>
          <cell r="K42" t="str">
            <v>10</v>
          </cell>
          <cell r="M42">
            <v>297368.27</v>
          </cell>
        </row>
        <row r="43">
          <cell r="J43" t="str">
            <v>5401060725</v>
          </cell>
          <cell r="K43" t="str">
            <v>10</v>
          </cell>
          <cell r="M43">
            <v>300000</v>
          </cell>
        </row>
        <row r="44">
          <cell r="J44" t="str">
            <v>5401060729</v>
          </cell>
          <cell r="K44" t="str">
            <v>10</v>
          </cell>
          <cell r="M44">
            <v>-80000</v>
          </cell>
        </row>
        <row r="45">
          <cell r="J45" t="str">
            <v>5401060729</v>
          </cell>
          <cell r="K45" t="str">
            <v>10</v>
          </cell>
          <cell r="M45">
            <v>66387.06</v>
          </cell>
        </row>
        <row r="46">
          <cell r="J46" t="str">
            <v>5401060729</v>
          </cell>
          <cell r="K46" t="str">
            <v>10</v>
          </cell>
          <cell r="M46">
            <v>80000</v>
          </cell>
        </row>
        <row r="47">
          <cell r="J47" t="str">
            <v>5401060727</v>
          </cell>
          <cell r="K47" t="str">
            <v>10</v>
          </cell>
          <cell r="M47">
            <v>-28000</v>
          </cell>
        </row>
        <row r="48">
          <cell r="J48" t="str">
            <v>5401060727</v>
          </cell>
          <cell r="K48" t="str">
            <v>10</v>
          </cell>
          <cell r="M48">
            <v>23683.55</v>
          </cell>
        </row>
        <row r="49">
          <cell r="J49" t="str">
            <v>5401060727</v>
          </cell>
          <cell r="K49" t="str">
            <v>10</v>
          </cell>
          <cell r="M49">
            <v>28000</v>
          </cell>
        </row>
        <row r="50">
          <cell r="J50" t="str">
            <v>5401060725</v>
          </cell>
          <cell r="K50" t="str">
            <v>10</v>
          </cell>
          <cell r="M50">
            <v>-300000</v>
          </cell>
        </row>
        <row r="51">
          <cell r="J51" t="str">
            <v>5401060725</v>
          </cell>
          <cell r="K51" t="str">
            <v>10</v>
          </cell>
          <cell r="M51">
            <v>265976.51</v>
          </cell>
        </row>
        <row r="52">
          <cell r="J52" t="str">
            <v>5401060725</v>
          </cell>
          <cell r="K52" t="str">
            <v>10</v>
          </cell>
          <cell r="M52">
            <v>275000</v>
          </cell>
        </row>
        <row r="53">
          <cell r="J53" t="str">
            <v>5401060725</v>
          </cell>
          <cell r="K53" t="str">
            <v>10</v>
          </cell>
          <cell r="M53">
            <v>-275000</v>
          </cell>
        </row>
        <row r="54">
          <cell r="J54" t="str">
            <v>5401060725</v>
          </cell>
          <cell r="K54" t="str">
            <v>10</v>
          </cell>
          <cell r="M54">
            <v>275000</v>
          </cell>
        </row>
        <row r="55">
          <cell r="J55" t="str">
            <v>5401060725</v>
          </cell>
          <cell r="K55" t="str">
            <v>10</v>
          </cell>
          <cell r="M55">
            <v>-265976.51</v>
          </cell>
        </row>
        <row r="56">
          <cell r="J56" t="str">
            <v>5401060725</v>
          </cell>
          <cell r="K56" t="str">
            <v>10</v>
          </cell>
          <cell r="M56">
            <v>265968.08</v>
          </cell>
        </row>
        <row r="57">
          <cell r="J57" t="str">
            <v>5401060729</v>
          </cell>
          <cell r="K57" t="str">
            <v>10</v>
          </cell>
          <cell r="M57">
            <v>-80000</v>
          </cell>
        </row>
        <row r="58">
          <cell r="J58" t="str">
            <v>5401060727</v>
          </cell>
          <cell r="K58" t="str">
            <v>10</v>
          </cell>
          <cell r="M58">
            <v>-28000</v>
          </cell>
        </row>
        <row r="59">
          <cell r="J59" t="str">
            <v>5401060727</v>
          </cell>
          <cell r="K59" t="str">
            <v>10</v>
          </cell>
          <cell r="M59">
            <v>26071.37</v>
          </cell>
        </row>
        <row r="60">
          <cell r="J60" t="str">
            <v>5401060727</v>
          </cell>
          <cell r="K60" t="str">
            <v>10</v>
          </cell>
          <cell r="M60">
            <v>28000</v>
          </cell>
        </row>
        <row r="61">
          <cell r="J61" t="str">
            <v>5401060725</v>
          </cell>
          <cell r="K61" t="str">
            <v>10</v>
          </cell>
          <cell r="M61">
            <v>-275000</v>
          </cell>
        </row>
        <row r="62">
          <cell r="J62" t="str">
            <v>5401060725</v>
          </cell>
          <cell r="K62" t="str">
            <v>10</v>
          </cell>
          <cell r="M62">
            <v>282450.39</v>
          </cell>
        </row>
        <row r="63">
          <cell r="J63" t="str">
            <v>5401060725</v>
          </cell>
          <cell r="K63" t="str">
            <v>10</v>
          </cell>
          <cell r="M63">
            <v>285000</v>
          </cell>
        </row>
        <row r="64">
          <cell r="J64" t="str">
            <v>5401105308</v>
          </cell>
          <cell r="K64" t="str">
            <v>10</v>
          </cell>
          <cell r="M64">
            <v>560</v>
          </cell>
        </row>
        <row r="65">
          <cell r="J65" t="str">
            <v>5401107565</v>
          </cell>
          <cell r="K65" t="str">
            <v>10</v>
          </cell>
          <cell r="M65">
            <v>954.72</v>
          </cell>
        </row>
        <row r="66">
          <cell r="J66" t="str">
            <v>5401108482</v>
          </cell>
          <cell r="K66" t="str">
            <v>10</v>
          </cell>
          <cell r="M66">
            <v>56</v>
          </cell>
        </row>
        <row r="67">
          <cell r="J67" t="str">
            <v>5401060727</v>
          </cell>
          <cell r="K67" t="str">
            <v>10</v>
          </cell>
          <cell r="M67">
            <v>-28000</v>
          </cell>
        </row>
        <row r="68">
          <cell r="J68" t="str">
            <v>5401060727</v>
          </cell>
          <cell r="K68" t="str">
            <v>10</v>
          </cell>
          <cell r="M68">
            <v>24790.09</v>
          </cell>
        </row>
        <row r="69">
          <cell r="J69" t="str">
            <v>5401060725</v>
          </cell>
          <cell r="K69" t="str">
            <v>10</v>
          </cell>
          <cell r="M69">
            <v>-285000</v>
          </cell>
        </row>
        <row r="70">
          <cell r="J70" t="str">
            <v>5401060725</v>
          </cell>
          <cell r="K70" t="str">
            <v>10</v>
          </cell>
          <cell r="M70">
            <v>285309.17</v>
          </cell>
        </row>
        <row r="71">
          <cell r="J71" t="str">
            <v>5401060725</v>
          </cell>
          <cell r="K71" t="str">
            <v>10</v>
          </cell>
          <cell r="M71">
            <v>285000</v>
          </cell>
        </row>
        <row r="72">
          <cell r="J72" t="str">
            <v>5401060727</v>
          </cell>
          <cell r="K72" t="str">
            <v>10</v>
          </cell>
          <cell r="M72">
            <v>26000</v>
          </cell>
        </row>
        <row r="73">
          <cell r="J73" t="str">
            <v>5401060725</v>
          </cell>
          <cell r="K73" t="str">
            <v>10</v>
          </cell>
          <cell r="M73">
            <v>-285309.17</v>
          </cell>
        </row>
        <row r="74">
          <cell r="J74" t="str">
            <v>5401060725</v>
          </cell>
          <cell r="K74" t="str">
            <v>10</v>
          </cell>
          <cell r="M74">
            <v>260519.08</v>
          </cell>
        </row>
        <row r="75">
          <cell r="J75" t="str">
            <v>5401060727</v>
          </cell>
          <cell r="K75" t="str">
            <v>10</v>
          </cell>
          <cell r="M75">
            <v>-26000</v>
          </cell>
        </row>
        <row r="76">
          <cell r="J76" t="str">
            <v>5401060727</v>
          </cell>
          <cell r="K76" t="str">
            <v>10</v>
          </cell>
          <cell r="M76">
            <v>23345.360000000001</v>
          </cell>
        </row>
        <row r="77">
          <cell r="J77" t="str">
            <v>5401060727</v>
          </cell>
          <cell r="K77" t="str">
            <v>10</v>
          </cell>
          <cell r="M77">
            <v>25000</v>
          </cell>
        </row>
        <row r="78">
          <cell r="J78" t="str">
            <v>5401060725</v>
          </cell>
          <cell r="K78" t="str">
            <v>10</v>
          </cell>
          <cell r="M78">
            <v>-285000</v>
          </cell>
        </row>
        <row r="79">
          <cell r="J79" t="str">
            <v>5401060725</v>
          </cell>
          <cell r="K79" t="str">
            <v>10</v>
          </cell>
          <cell r="M79">
            <v>255518.85</v>
          </cell>
        </row>
        <row r="80">
          <cell r="J80" t="str">
            <v>5401060725</v>
          </cell>
          <cell r="K80" t="str">
            <v>10</v>
          </cell>
          <cell r="M80">
            <v>270000</v>
          </cell>
        </row>
        <row r="81">
          <cell r="J81" t="str">
            <v>#</v>
          </cell>
          <cell r="K81" t="str">
            <v>#</v>
          </cell>
          <cell r="M81">
            <v>236111.25</v>
          </cell>
        </row>
        <row r="82">
          <cell r="J82" t="str">
            <v>#</v>
          </cell>
          <cell r="K82" t="str">
            <v>#</v>
          </cell>
          <cell r="M82">
            <v>36000</v>
          </cell>
        </row>
        <row r="83">
          <cell r="J83" t="str">
            <v>#</v>
          </cell>
          <cell r="K83" t="str">
            <v>#</v>
          </cell>
          <cell r="M83">
            <v>194891</v>
          </cell>
        </row>
        <row r="84">
          <cell r="J84" t="str">
            <v>#</v>
          </cell>
          <cell r="K84" t="str">
            <v>#</v>
          </cell>
          <cell r="M84">
            <v>12447.94</v>
          </cell>
        </row>
        <row r="85">
          <cell r="J85" t="str">
            <v>#</v>
          </cell>
          <cell r="K85" t="str">
            <v>#</v>
          </cell>
          <cell r="M85">
            <v>14795</v>
          </cell>
        </row>
        <row r="86">
          <cell r="J86" t="str">
            <v>#</v>
          </cell>
          <cell r="K86" t="str">
            <v>#</v>
          </cell>
          <cell r="M86">
            <v>-4492.8</v>
          </cell>
        </row>
        <row r="87">
          <cell r="J87" t="str">
            <v>#</v>
          </cell>
          <cell r="K87" t="str">
            <v>#</v>
          </cell>
          <cell r="M87">
            <v>194892</v>
          </cell>
        </row>
        <row r="88">
          <cell r="J88" t="str">
            <v>#</v>
          </cell>
          <cell r="K88" t="str">
            <v>#</v>
          </cell>
          <cell r="M88">
            <v>2567976</v>
          </cell>
        </row>
        <row r="89">
          <cell r="J89" t="str">
            <v>#</v>
          </cell>
          <cell r="K89" t="str">
            <v>#</v>
          </cell>
          <cell r="M89">
            <v>100830</v>
          </cell>
        </row>
        <row r="90">
          <cell r="J90" t="str">
            <v>#</v>
          </cell>
          <cell r="K90" t="str">
            <v>#</v>
          </cell>
          <cell r="M90">
            <v>14796</v>
          </cell>
        </row>
        <row r="91">
          <cell r="J91" t="str">
            <v>#</v>
          </cell>
          <cell r="K91" t="str">
            <v>#</v>
          </cell>
          <cell r="M91">
            <v>252498</v>
          </cell>
        </row>
        <row r="92">
          <cell r="J92" t="str">
            <v>#</v>
          </cell>
          <cell r="K92" t="str">
            <v>#</v>
          </cell>
          <cell r="M92">
            <v>39102</v>
          </cell>
        </row>
        <row r="93">
          <cell r="J93" t="str">
            <v>#</v>
          </cell>
          <cell r="K93" t="str">
            <v>#</v>
          </cell>
          <cell r="M93">
            <v>13872</v>
          </cell>
        </row>
        <row r="94">
          <cell r="J94" t="str">
            <v>#</v>
          </cell>
          <cell r="K94" t="str">
            <v>#</v>
          </cell>
          <cell r="M94">
            <v>-323631.03000000003</v>
          </cell>
        </row>
        <row r="95">
          <cell r="J95" t="str">
            <v>#</v>
          </cell>
          <cell r="K95" t="str">
            <v>#</v>
          </cell>
          <cell r="M95">
            <v>-36000</v>
          </cell>
        </row>
        <row r="96">
          <cell r="J96" t="str">
            <v>#</v>
          </cell>
          <cell r="K96" t="str">
            <v>#</v>
          </cell>
          <cell r="M96">
            <v>-194891</v>
          </cell>
        </row>
        <row r="97">
          <cell r="J97" t="str">
            <v>#</v>
          </cell>
          <cell r="K97" t="str">
            <v>#</v>
          </cell>
          <cell r="M97">
            <v>-12447.94</v>
          </cell>
        </row>
        <row r="98">
          <cell r="J98" t="str">
            <v>#</v>
          </cell>
          <cell r="K98" t="str">
            <v>#</v>
          </cell>
          <cell r="M98">
            <v>-24180.2</v>
          </cell>
        </row>
        <row r="99">
          <cell r="J99" t="str">
            <v>#</v>
          </cell>
          <cell r="K99" t="str">
            <v>#</v>
          </cell>
          <cell r="M99">
            <v>-194892</v>
          </cell>
        </row>
        <row r="100">
          <cell r="J100" t="str">
            <v>#</v>
          </cell>
          <cell r="K100" t="str">
            <v>#</v>
          </cell>
          <cell r="M100">
            <v>-14796</v>
          </cell>
        </row>
        <row r="101">
          <cell r="J101" t="str">
            <v>#</v>
          </cell>
          <cell r="K101" t="str">
            <v>#</v>
          </cell>
          <cell r="M101">
            <v>-13872</v>
          </cell>
        </row>
        <row r="102">
          <cell r="J102" t="str">
            <v>#</v>
          </cell>
          <cell r="K102" t="str">
            <v>#</v>
          </cell>
          <cell r="M102">
            <v>-70528.08</v>
          </cell>
        </row>
        <row r="103">
          <cell r="J103" t="str">
            <v>#</v>
          </cell>
          <cell r="K103" t="str">
            <v>#</v>
          </cell>
          <cell r="M103">
            <v>-66387.06</v>
          </cell>
        </row>
        <row r="104">
          <cell r="J104" t="str">
            <v>#</v>
          </cell>
          <cell r="K104" t="str">
            <v>#</v>
          </cell>
          <cell r="M104">
            <v>9743.9</v>
          </cell>
        </row>
        <row r="105">
          <cell r="J105" t="str">
            <v>5401087930</v>
          </cell>
          <cell r="K105" t="str">
            <v>10</v>
          </cell>
          <cell r="M105">
            <v>12870.46</v>
          </cell>
        </row>
        <row r="106">
          <cell r="J106" t="str">
            <v>5401087908</v>
          </cell>
          <cell r="K106" t="str">
            <v>10</v>
          </cell>
          <cell r="M106">
            <v>10290</v>
          </cell>
        </row>
        <row r="107">
          <cell r="J107" t="str">
            <v>5401087930</v>
          </cell>
          <cell r="K107" t="str">
            <v>10</v>
          </cell>
          <cell r="M107">
            <v>12894.86</v>
          </cell>
        </row>
        <row r="108">
          <cell r="J108" t="str">
            <v>5401087908</v>
          </cell>
          <cell r="K108" t="str">
            <v>10</v>
          </cell>
          <cell r="M108">
            <v>10290</v>
          </cell>
        </row>
        <row r="109">
          <cell r="J109" t="str">
            <v>5401087908</v>
          </cell>
          <cell r="K109" t="str">
            <v>10</v>
          </cell>
          <cell r="M109">
            <v>10290</v>
          </cell>
        </row>
        <row r="110">
          <cell r="J110" t="str">
            <v>5401087930</v>
          </cell>
          <cell r="K110" t="str">
            <v>10</v>
          </cell>
          <cell r="M110">
            <v>12697.84</v>
          </cell>
        </row>
        <row r="111">
          <cell r="J111" t="str">
            <v>5401087930</v>
          </cell>
          <cell r="K111" t="str">
            <v>10</v>
          </cell>
          <cell r="M111">
            <v>12741.76</v>
          </cell>
        </row>
        <row r="112">
          <cell r="J112" t="str">
            <v>5401087908</v>
          </cell>
          <cell r="K112" t="str">
            <v>10</v>
          </cell>
          <cell r="M112">
            <v>10290</v>
          </cell>
        </row>
        <row r="113">
          <cell r="J113" t="str">
            <v>5401087930</v>
          </cell>
          <cell r="K113" t="str">
            <v>10</v>
          </cell>
          <cell r="M113">
            <v>12827.16</v>
          </cell>
        </row>
        <row r="114">
          <cell r="J114" t="str">
            <v>5401087908</v>
          </cell>
          <cell r="K114" t="str">
            <v>10</v>
          </cell>
          <cell r="M114">
            <v>10290</v>
          </cell>
        </row>
        <row r="115">
          <cell r="J115" t="str">
            <v>5401087908</v>
          </cell>
          <cell r="K115" t="str">
            <v>10</v>
          </cell>
          <cell r="M115">
            <v>10290</v>
          </cell>
        </row>
        <row r="116">
          <cell r="J116" t="str">
            <v>5401087930</v>
          </cell>
          <cell r="K116" t="str">
            <v>10</v>
          </cell>
          <cell r="M116">
            <v>12392.86</v>
          </cell>
        </row>
        <row r="117">
          <cell r="J117" t="str">
            <v>5401087922</v>
          </cell>
          <cell r="K117" t="str">
            <v>10</v>
          </cell>
          <cell r="M117">
            <v>220862.4</v>
          </cell>
        </row>
        <row r="118">
          <cell r="J118" t="str">
            <v>5401087922</v>
          </cell>
          <cell r="K118" t="str">
            <v>10</v>
          </cell>
          <cell r="M118">
            <v>2066</v>
          </cell>
        </row>
        <row r="119">
          <cell r="J119" t="str">
            <v>5401087922</v>
          </cell>
          <cell r="K119" t="str">
            <v>10</v>
          </cell>
          <cell r="M119">
            <v>52874</v>
          </cell>
        </row>
        <row r="120">
          <cell r="J120" t="str">
            <v>5401087922</v>
          </cell>
          <cell r="K120" t="str">
            <v>10</v>
          </cell>
          <cell r="M120">
            <v>431</v>
          </cell>
        </row>
        <row r="121">
          <cell r="J121" t="str">
            <v>5401087922</v>
          </cell>
          <cell r="K121" t="str">
            <v>10</v>
          </cell>
          <cell r="M121">
            <v>2462</v>
          </cell>
        </row>
        <row r="122">
          <cell r="J122" t="str">
            <v>5401087922</v>
          </cell>
          <cell r="K122" t="str">
            <v>10</v>
          </cell>
          <cell r="M122">
            <v>23</v>
          </cell>
        </row>
        <row r="123">
          <cell r="J123" t="str">
            <v>5401087923</v>
          </cell>
          <cell r="K123" t="str">
            <v>10</v>
          </cell>
          <cell r="M123">
            <v>44906.52</v>
          </cell>
        </row>
        <row r="124">
          <cell r="J124" t="str">
            <v>5401087923</v>
          </cell>
          <cell r="K124" t="str">
            <v>10</v>
          </cell>
          <cell r="M124">
            <v>429</v>
          </cell>
        </row>
        <row r="125">
          <cell r="J125" t="str">
            <v>5401087923</v>
          </cell>
          <cell r="K125" t="str">
            <v>10</v>
          </cell>
          <cell r="M125">
            <v>456.3</v>
          </cell>
        </row>
        <row r="126">
          <cell r="J126" t="str">
            <v>5401087924</v>
          </cell>
          <cell r="K126" t="str">
            <v>10</v>
          </cell>
          <cell r="M126">
            <v>33138.99</v>
          </cell>
        </row>
        <row r="127">
          <cell r="J127" t="str">
            <v>5401087924</v>
          </cell>
          <cell r="K127" t="str">
            <v>10</v>
          </cell>
          <cell r="M127">
            <v>294</v>
          </cell>
        </row>
        <row r="128">
          <cell r="J128" t="str">
            <v>5401087924</v>
          </cell>
          <cell r="K128" t="str">
            <v>10</v>
          </cell>
          <cell r="M128">
            <v>4580</v>
          </cell>
        </row>
        <row r="129">
          <cell r="J129" t="str">
            <v>5401087924</v>
          </cell>
          <cell r="K129" t="str">
            <v>10</v>
          </cell>
          <cell r="M129">
            <v>42</v>
          </cell>
        </row>
        <row r="130">
          <cell r="J130" t="str">
            <v>5401087924</v>
          </cell>
          <cell r="K130" t="str">
            <v>10</v>
          </cell>
          <cell r="M130">
            <v>42462.01</v>
          </cell>
        </row>
        <row r="131">
          <cell r="J131" t="str">
            <v>5401087924</v>
          </cell>
          <cell r="K131" t="str">
            <v>10</v>
          </cell>
          <cell r="M131">
            <v>388</v>
          </cell>
        </row>
        <row r="132">
          <cell r="J132" t="str">
            <v>5401087927</v>
          </cell>
          <cell r="K132" t="str">
            <v>10</v>
          </cell>
          <cell r="M132">
            <v>2242</v>
          </cell>
        </row>
        <row r="133">
          <cell r="J133" t="str">
            <v>5401087927</v>
          </cell>
          <cell r="K133" t="str">
            <v>10</v>
          </cell>
          <cell r="M133">
            <v>20</v>
          </cell>
        </row>
        <row r="134">
          <cell r="J134" t="str">
            <v>5401087928</v>
          </cell>
          <cell r="K134" t="str">
            <v>10</v>
          </cell>
          <cell r="M134">
            <v>21178</v>
          </cell>
        </row>
        <row r="135">
          <cell r="J135" t="str">
            <v>5401087928</v>
          </cell>
          <cell r="K135" t="str">
            <v>10</v>
          </cell>
          <cell r="M135">
            <v>204</v>
          </cell>
        </row>
        <row r="136">
          <cell r="J136" t="str">
            <v>5401087928</v>
          </cell>
          <cell r="K136" t="str">
            <v>10</v>
          </cell>
          <cell r="M136">
            <v>1381</v>
          </cell>
        </row>
        <row r="137">
          <cell r="J137" t="str">
            <v>5401087928</v>
          </cell>
          <cell r="K137" t="str">
            <v>10</v>
          </cell>
          <cell r="M137">
            <v>13</v>
          </cell>
        </row>
        <row r="138">
          <cell r="J138" t="str">
            <v>5401087929</v>
          </cell>
          <cell r="K138" t="str">
            <v>10</v>
          </cell>
          <cell r="M138">
            <v>1703.15</v>
          </cell>
        </row>
        <row r="139">
          <cell r="J139" t="str">
            <v>5401087929</v>
          </cell>
          <cell r="K139" t="str">
            <v>10</v>
          </cell>
          <cell r="M139">
            <v>25</v>
          </cell>
        </row>
        <row r="140">
          <cell r="J140" t="str">
            <v>5401023597</v>
          </cell>
          <cell r="K140" t="str">
            <v>10</v>
          </cell>
          <cell r="M140">
            <v>58</v>
          </cell>
        </row>
        <row r="141">
          <cell r="J141" t="str">
            <v>5401059853</v>
          </cell>
          <cell r="K141" t="str">
            <v>10</v>
          </cell>
          <cell r="M141">
            <v>6937.5</v>
          </cell>
        </row>
        <row r="142">
          <cell r="J142" t="str">
            <v>5401059853</v>
          </cell>
          <cell r="K142" t="str">
            <v>10</v>
          </cell>
          <cell r="M142">
            <v>63</v>
          </cell>
        </row>
        <row r="143">
          <cell r="J143" t="str">
            <v>5401077845</v>
          </cell>
          <cell r="K143" t="str">
            <v>10</v>
          </cell>
          <cell r="M143">
            <v>17098.62</v>
          </cell>
        </row>
        <row r="144">
          <cell r="J144" t="str">
            <v>5401087922</v>
          </cell>
          <cell r="K144" t="str">
            <v>10</v>
          </cell>
          <cell r="M144">
            <v>227886.29</v>
          </cell>
        </row>
        <row r="145">
          <cell r="J145" t="str">
            <v>5401087922</v>
          </cell>
          <cell r="K145" t="str">
            <v>10</v>
          </cell>
          <cell r="M145">
            <v>2066</v>
          </cell>
        </row>
        <row r="146">
          <cell r="J146" t="str">
            <v>5401087922</v>
          </cell>
          <cell r="K146" t="str">
            <v>10</v>
          </cell>
          <cell r="M146">
            <v>52874</v>
          </cell>
        </row>
        <row r="147">
          <cell r="J147" t="str">
            <v>5401087922</v>
          </cell>
          <cell r="K147" t="str">
            <v>10</v>
          </cell>
          <cell r="M147">
            <v>431</v>
          </cell>
        </row>
        <row r="148">
          <cell r="J148" t="str">
            <v>5401087922</v>
          </cell>
          <cell r="K148" t="str">
            <v>10</v>
          </cell>
          <cell r="M148">
            <v>2462</v>
          </cell>
        </row>
        <row r="149">
          <cell r="J149" t="str">
            <v>5401087922</v>
          </cell>
          <cell r="K149" t="str">
            <v>10</v>
          </cell>
          <cell r="M149">
            <v>23</v>
          </cell>
        </row>
        <row r="150">
          <cell r="J150" t="str">
            <v>5401087923</v>
          </cell>
          <cell r="K150" t="str">
            <v>10</v>
          </cell>
          <cell r="M150">
            <v>44906.52</v>
          </cell>
        </row>
        <row r="151">
          <cell r="J151" t="str">
            <v>5401087923</v>
          </cell>
          <cell r="K151" t="str">
            <v>10</v>
          </cell>
          <cell r="M151">
            <v>429</v>
          </cell>
        </row>
        <row r="152">
          <cell r="J152" t="str">
            <v>5401087923</v>
          </cell>
          <cell r="K152" t="str">
            <v>10</v>
          </cell>
          <cell r="M152">
            <v>456.3</v>
          </cell>
        </row>
        <row r="153">
          <cell r="J153" t="str">
            <v>5401087924</v>
          </cell>
          <cell r="K153" t="str">
            <v>10</v>
          </cell>
          <cell r="M153">
            <v>33138.99</v>
          </cell>
        </row>
        <row r="154">
          <cell r="J154" t="str">
            <v>5401087924</v>
          </cell>
          <cell r="K154" t="str">
            <v>10</v>
          </cell>
          <cell r="M154">
            <v>294</v>
          </cell>
        </row>
        <row r="155">
          <cell r="J155" t="str">
            <v>5401087924</v>
          </cell>
          <cell r="K155" t="str">
            <v>10</v>
          </cell>
          <cell r="M155">
            <v>4580</v>
          </cell>
        </row>
        <row r="156">
          <cell r="J156" t="str">
            <v>5401087924</v>
          </cell>
          <cell r="K156" t="str">
            <v>10</v>
          </cell>
          <cell r="M156">
            <v>42</v>
          </cell>
        </row>
        <row r="157">
          <cell r="J157" t="str">
            <v>5401087924</v>
          </cell>
          <cell r="K157" t="str">
            <v>10</v>
          </cell>
          <cell r="M157">
            <v>42462.01</v>
          </cell>
        </row>
        <row r="158">
          <cell r="J158" t="str">
            <v>5401087924</v>
          </cell>
          <cell r="K158" t="str">
            <v>10</v>
          </cell>
          <cell r="M158">
            <v>388</v>
          </cell>
        </row>
        <row r="159">
          <cell r="J159" t="str">
            <v>5401087928</v>
          </cell>
          <cell r="K159" t="str">
            <v>10</v>
          </cell>
          <cell r="M159">
            <v>21178</v>
          </cell>
        </row>
        <row r="160">
          <cell r="J160" t="str">
            <v>5401087928</v>
          </cell>
          <cell r="K160" t="str">
            <v>10</v>
          </cell>
          <cell r="M160">
            <v>204</v>
          </cell>
        </row>
        <row r="161">
          <cell r="J161" t="str">
            <v>5401087928</v>
          </cell>
          <cell r="K161" t="str">
            <v>10</v>
          </cell>
          <cell r="M161">
            <v>1381</v>
          </cell>
        </row>
        <row r="162">
          <cell r="J162" t="str">
            <v>5401087928</v>
          </cell>
          <cell r="K162" t="str">
            <v>10</v>
          </cell>
          <cell r="M162">
            <v>13</v>
          </cell>
        </row>
        <row r="163">
          <cell r="J163" t="str">
            <v>5401087927</v>
          </cell>
          <cell r="K163" t="str">
            <v>10</v>
          </cell>
          <cell r="M163">
            <v>2242</v>
          </cell>
        </row>
        <row r="164">
          <cell r="J164" t="str">
            <v>5401087927</v>
          </cell>
          <cell r="K164" t="str">
            <v>10</v>
          </cell>
          <cell r="M164">
            <v>20</v>
          </cell>
        </row>
        <row r="165">
          <cell r="J165" t="str">
            <v>5401087929</v>
          </cell>
          <cell r="K165" t="str">
            <v>10</v>
          </cell>
          <cell r="M165">
            <v>1703.15</v>
          </cell>
        </row>
        <row r="166">
          <cell r="J166" t="str">
            <v>5401087929</v>
          </cell>
          <cell r="K166" t="str">
            <v>10</v>
          </cell>
          <cell r="M166">
            <v>25</v>
          </cell>
        </row>
        <row r="167">
          <cell r="J167" t="str">
            <v>5401077845</v>
          </cell>
          <cell r="K167" t="str">
            <v>10</v>
          </cell>
          <cell r="M167">
            <v>183</v>
          </cell>
        </row>
        <row r="168">
          <cell r="J168" t="str">
            <v>5401087929</v>
          </cell>
          <cell r="K168" t="str">
            <v>10</v>
          </cell>
          <cell r="M168">
            <v>10</v>
          </cell>
        </row>
        <row r="169">
          <cell r="J169" t="str">
            <v>5401087922</v>
          </cell>
          <cell r="K169" t="str">
            <v>10</v>
          </cell>
          <cell r="M169">
            <v>2462</v>
          </cell>
        </row>
        <row r="170">
          <cell r="J170" t="str">
            <v>5401087922</v>
          </cell>
          <cell r="K170" t="str">
            <v>10</v>
          </cell>
          <cell r="M170">
            <v>23</v>
          </cell>
        </row>
        <row r="171">
          <cell r="J171" t="str">
            <v>5401087924</v>
          </cell>
          <cell r="K171" t="str">
            <v>10</v>
          </cell>
          <cell r="M171">
            <v>8437</v>
          </cell>
        </row>
        <row r="172">
          <cell r="J172" t="str">
            <v>5401087924</v>
          </cell>
          <cell r="K172" t="str">
            <v>10</v>
          </cell>
          <cell r="M172">
            <v>77</v>
          </cell>
        </row>
        <row r="173">
          <cell r="J173" t="str">
            <v>5401087923</v>
          </cell>
          <cell r="K173" t="str">
            <v>10</v>
          </cell>
          <cell r="M173">
            <v>44906.52</v>
          </cell>
        </row>
        <row r="174">
          <cell r="J174" t="str">
            <v>5401087923</v>
          </cell>
          <cell r="K174" t="str">
            <v>10</v>
          </cell>
          <cell r="M174">
            <v>429</v>
          </cell>
        </row>
        <row r="175">
          <cell r="J175" t="str">
            <v>5401087927</v>
          </cell>
          <cell r="K175" t="str">
            <v>10</v>
          </cell>
          <cell r="M175">
            <v>2242</v>
          </cell>
        </row>
        <row r="176">
          <cell r="J176" t="str">
            <v>5401087927</v>
          </cell>
          <cell r="K176" t="str">
            <v>10</v>
          </cell>
          <cell r="M176">
            <v>20</v>
          </cell>
        </row>
        <row r="177">
          <cell r="J177" t="str">
            <v>5401087923</v>
          </cell>
          <cell r="K177" t="str">
            <v>10</v>
          </cell>
          <cell r="M177">
            <v>456.3</v>
          </cell>
        </row>
        <row r="178">
          <cell r="J178" t="str">
            <v>5401098578</v>
          </cell>
          <cell r="K178" t="str">
            <v>10</v>
          </cell>
          <cell r="M178">
            <v>33090</v>
          </cell>
        </row>
        <row r="179">
          <cell r="J179" t="str">
            <v>5401098578</v>
          </cell>
          <cell r="K179" t="str">
            <v>10</v>
          </cell>
          <cell r="M179">
            <v>251</v>
          </cell>
        </row>
        <row r="180">
          <cell r="J180" t="str">
            <v>5401087928</v>
          </cell>
          <cell r="K180" t="str">
            <v>10</v>
          </cell>
          <cell r="M180">
            <v>1381</v>
          </cell>
        </row>
        <row r="181">
          <cell r="J181" t="str">
            <v>5401087928</v>
          </cell>
          <cell r="K181" t="str">
            <v>10</v>
          </cell>
          <cell r="M181">
            <v>13</v>
          </cell>
        </row>
        <row r="182">
          <cell r="J182" t="str">
            <v>5401087924</v>
          </cell>
          <cell r="K182" t="str">
            <v>10</v>
          </cell>
          <cell r="M182">
            <v>42462.01</v>
          </cell>
        </row>
        <row r="183">
          <cell r="J183" t="str">
            <v>5401087924</v>
          </cell>
          <cell r="K183" t="str">
            <v>10</v>
          </cell>
          <cell r="M183">
            <v>388</v>
          </cell>
        </row>
        <row r="184">
          <cell r="J184" t="str">
            <v>5401087924</v>
          </cell>
          <cell r="K184" t="str">
            <v>10</v>
          </cell>
          <cell r="M184">
            <v>4580</v>
          </cell>
        </row>
        <row r="185">
          <cell r="J185" t="str">
            <v>5401087924</v>
          </cell>
          <cell r="K185" t="str">
            <v>10</v>
          </cell>
          <cell r="M185">
            <v>42</v>
          </cell>
        </row>
        <row r="186">
          <cell r="J186" t="str">
            <v>5401087928</v>
          </cell>
          <cell r="K186" t="str">
            <v>10</v>
          </cell>
          <cell r="M186">
            <v>21178</v>
          </cell>
        </row>
        <row r="187">
          <cell r="J187" t="str">
            <v>5401087928</v>
          </cell>
          <cell r="K187" t="str">
            <v>10</v>
          </cell>
          <cell r="M187">
            <v>204</v>
          </cell>
        </row>
        <row r="188">
          <cell r="J188" t="str">
            <v>5401087922</v>
          </cell>
          <cell r="K188" t="str">
            <v>10</v>
          </cell>
          <cell r="M188">
            <v>44617.33</v>
          </cell>
        </row>
        <row r="189">
          <cell r="J189" t="str">
            <v>5401087922</v>
          </cell>
          <cell r="K189" t="str">
            <v>10</v>
          </cell>
          <cell r="M189">
            <v>431</v>
          </cell>
        </row>
        <row r="190">
          <cell r="J190" t="str">
            <v>5401087922</v>
          </cell>
          <cell r="K190" t="str">
            <v>10</v>
          </cell>
          <cell r="M190">
            <v>227886.29</v>
          </cell>
        </row>
        <row r="191">
          <cell r="J191" t="str">
            <v>5401087922</v>
          </cell>
          <cell r="K191" t="str">
            <v>10</v>
          </cell>
          <cell r="M191">
            <v>2066</v>
          </cell>
        </row>
        <row r="192">
          <cell r="J192" t="str">
            <v>5401087929</v>
          </cell>
          <cell r="K192" t="str">
            <v>10</v>
          </cell>
          <cell r="M192">
            <v>1703.15</v>
          </cell>
        </row>
        <row r="193">
          <cell r="J193" t="str">
            <v>5401087929</v>
          </cell>
          <cell r="K193" t="str">
            <v>10</v>
          </cell>
          <cell r="M193">
            <v>10</v>
          </cell>
        </row>
        <row r="194">
          <cell r="J194" t="str">
            <v>5401087925</v>
          </cell>
          <cell r="K194" t="str">
            <v>10</v>
          </cell>
          <cell r="M194">
            <v>2862.97</v>
          </cell>
        </row>
        <row r="195">
          <cell r="J195" t="str">
            <v>5401087922</v>
          </cell>
          <cell r="K195" t="str">
            <v>10</v>
          </cell>
          <cell r="M195">
            <v>227515.97</v>
          </cell>
        </row>
        <row r="196">
          <cell r="J196" t="str">
            <v>5401087922</v>
          </cell>
          <cell r="K196" t="str">
            <v>10</v>
          </cell>
          <cell r="M196">
            <v>49264.97</v>
          </cell>
        </row>
        <row r="197">
          <cell r="J197" t="str">
            <v>5401087922</v>
          </cell>
          <cell r="K197" t="str">
            <v>10</v>
          </cell>
          <cell r="M197">
            <v>2462</v>
          </cell>
        </row>
        <row r="198">
          <cell r="J198" t="str">
            <v>5401087923</v>
          </cell>
          <cell r="K198" t="str">
            <v>10</v>
          </cell>
          <cell r="M198">
            <v>44906.52</v>
          </cell>
        </row>
        <row r="199">
          <cell r="J199" t="str">
            <v>5401087923</v>
          </cell>
          <cell r="K199" t="str">
            <v>10</v>
          </cell>
          <cell r="M199">
            <v>456.3</v>
          </cell>
        </row>
        <row r="200">
          <cell r="J200" t="str">
            <v>5401087924</v>
          </cell>
          <cell r="K200" t="str">
            <v>10</v>
          </cell>
          <cell r="M200">
            <v>8437</v>
          </cell>
        </row>
        <row r="201">
          <cell r="J201" t="str">
            <v>5401087924</v>
          </cell>
          <cell r="K201" t="str">
            <v>10</v>
          </cell>
          <cell r="M201">
            <v>4580</v>
          </cell>
        </row>
        <row r="202">
          <cell r="J202" t="str">
            <v>5401087924</v>
          </cell>
          <cell r="K202" t="str">
            <v>10</v>
          </cell>
          <cell r="M202">
            <v>42462.01</v>
          </cell>
        </row>
        <row r="203">
          <cell r="J203" t="str">
            <v>5401098578</v>
          </cell>
          <cell r="K203" t="str">
            <v>10</v>
          </cell>
          <cell r="M203">
            <v>27404</v>
          </cell>
        </row>
        <row r="204">
          <cell r="J204" t="str">
            <v>5401087927</v>
          </cell>
          <cell r="K204" t="str">
            <v>10</v>
          </cell>
          <cell r="M204">
            <v>2242</v>
          </cell>
        </row>
        <row r="205">
          <cell r="J205" t="str">
            <v>5401087928</v>
          </cell>
          <cell r="K205" t="str">
            <v>10</v>
          </cell>
          <cell r="M205">
            <v>21178</v>
          </cell>
        </row>
        <row r="206">
          <cell r="J206" t="str">
            <v>5401087928</v>
          </cell>
          <cell r="K206" t="str">
            <v>10</v>
          </cell>
          <cell r="M206">
            <v>1381</v>
          </cell>
        </row>
        <row r="207">
          <cell r="J207" t="str">
            <v>5401087929</v>
          </cell>
          <cell r="K207" t="str">
            <v>10</v>
          </cell>
          <cell r="M207">
            <v>1703.15</v>
          </cell>
        </row>
        <row r="208">
          <cell r="J208" t="str">
            <v>5401087922</v>
          </cell>
          <cell r="K208" t="str">
            <v>10</v>
          </cell>
          <cell r="M208">
            <v>227820.72</v>
          </cell>
        </row>
        <row r="209">
          <cell r="J209" t="str">
            <v>5401087922</v>
          </cell>
          <cell r="K209" t="str">
            <v>10</v>
          </cell>
          <cell r="M209">
            <v>43171.97</v>
          </cell>
        </row>
        <row r="210">
          <cell r="J210" t="str">
            <v>5401087922</v>
          </cell>
          <cell r="K210" t="str">
            <v>10</v>
          </cell>
          <cell r="M210">
            <v>2462</v>
          </cell>
        </row>
        <row r="211">
          <cell r="J211" t="str">
            <v>5401087923</v>
          </cell>
          <cell r="K211" t="str">
            <v>10</v>
          </cell>
          <cell r="M211">
            <v>44508.52</v>
          </cell>
        </row>
        <row r="212">
          <cell r="J212" t="str">
            <v>5401087923</v>
          </cell>
          <cell r="K212" t="str">
            <v>10</v>
          </cell>
          <cell r="M212">
            <v>456.3</v>
          </cell>
        </row>
        <row r="213">
          <cell r="J213" t="str">
            <v>5401087924</v>
          </cell>
          <cell r="K213" t="str">
            <v>10</v>
          </cell>
          <cell r="M213">
            <v>8437</v>
          </cell>
        </row>
        <row r="214">
          <cell r="J214" t="str">
            <v>5401087924</v>
          </cell>
          <cell r="K214" t="str">
            <v>10</v>
          </cell>
          <cell r="M214">
            <v>4580</v>
          </cell>
        </row>
        <row r="215">
          <cell r="J215" t="str">
            <v>5401087924</v>
          </cell>
          <cell r="K215" t="str">
            <v>10</v>
          </cell>
          <cell r="M215">
            <v>42462.01</v>
          </cell>
        </row>
        <row r="216">
          <cell r="J216" t="str">
            <v>5401098578</v>
          </cell>
          <cell r="K216" t="str">
            <v>10</v>
          </cell>
          <cell r="M216">
            <v>27404</v>
          </cell>
        </row>
        <row r="217">
          <cell r="J217" t="str">
            <v>5401087927</v>
          </cell>
          <cell r="K217" t="str">
            <v>10</v>
          </cell>
          <cell r="M217">
            <v>2242</v>
          </cell>
        </row>
        <row r="218">
          <cell r="J218" t="str">
            <v>5401087928</v>
          </cell>
          <cell r="K218" t="str">
            <v>10</v>
          </cell>
          <cell r="M218">
            <v>21178</v>
          </cell>
        </row>
        <row r="219">
          <cell r="J219" t="str">
            <v>5401087928</v>
          </cell>
          <cell r="K219" t="str">
            <v>10</v>
          </cell>
          <cell r="M219">
            <v>1381</v>
          </cell>
        </row>
        <row r="220">
          <cell r="J220" t="str">
            <v>5401087929</v>
          </cell>
          <cell r="K220" t="str">
            <v>10</v>
          </cell>
          <cell r="M220">
            <v>1703.15</v>
          </cell>
        </row>
        <row r="221">
          <cell r="J221" t="str">
            <v>5401087925</v>
          </cell>
          <cell r="K221" t="str">
            <v>10</v>
          </cell>
          <cell r="M221">
            <v>462.5</v>
          </cell>
        </row>
        <row r="222">
          <cell r="J222" t="str">
            <v>5401087925</v>
          </cell>
          <cell r="K222" t="str">
            <v>10</v>
          </cell>
          <cell r="M222">
            <v>1583.82</v>
          </cell>
        </row>
        <row r="223">
          <cell r="J223" t="str">
            <v>5401087923</v>
          </cell>
          <cell r="K223" t="str">
            <v>10</v>
          </cell>
          <cell r="M223">
            <v>-44508.52</v>
          </cell>
        </row>
        <row r="224">
          <cell r="J224" t="str">
            <v>5401087923</v>
          </cell>
          <cell r="K224" t="str">
            <v>10</v>
          </cell>
          <cell r="M224">
            <v>44580.52</v>
          </cell>
        </row>
        <row r="225">
          <cell r="J225" t="str">
            <v>5401087922</v>
          </cell>
          <cell r="K225" t="str">
            <v>10</v>
          </cell>
          <cell r="M225">
            <v>232228.48000000001</v>
          </cell>
        </row>
        <row r="226">
          <cell r="J226" t="str">
            <v>5401087922</v>
          </cell>
          <cell r="K226" t="str">
            <v>10</v>
          </cell>
          <cell r="M226">
            <v>48070</v>
          </cell>
        </row>
        <row r="227">
          <cell r="J227" t="str">
            <v>5401087922</v>
          </cell>
          <cell r="K227" t="str">
            <v>10</v>
          </cell>
          <cell r="M227">
            <v>2462</v>
          </cell>
        </row>
        <row r="228">
          <cell r="J228" t="str">
            <v>5401087923</v>
          </cell>
          <cell r="K228" t="str">
            <v>10</v>
          </cell>
          <cell r="M228">
            <v>456.3</v>
          </cell>
        </row>
        <row r="229">
          <cell r="J229" t="str">
            <v>5401087923</v>
          </cell>
          <cell r="K229" t="str">
            <v>10</v>
          </cell>
          <cell r="M229">
            <v>44580.52</v>
          </cell>
        </row>
        <row r="230">
          <cell r="J230" t="str">
            <v>5401087924</v>
          </cell>
          <cell r="K230" t="str">
            <v>10</v>
          </cell>
          <cell r="M230">
            <v>8437</v>
          </cell>
        </row>
        <row r="231">
          <cell r="J231" t="str">
            <v>5401087924</v>
          </cell>
          <cell r="K231" t="str">
            <v>10</v>
          </cell>
          <cell r="M231">
            <v>4580</v>
          </cell>
        </row>
        <row r="232">
          <cell r="J232" t="str">
            <v>5401087924</v>
          </cell>
          <cell r="K232" t="str">
            <v>10</v>
          </cell>
          <cell r="M232">
            <v>42462.01</v>
          </cell>
        </row>
        <row r="233">
          <cell r="J233" t="str">
            <v>5401098578</v>
          </cell>
          <cell r="K233" t="str">
            <v>10</v>
          </cell>
          <cell r="M233">
            <v>27404</v>
          </cell>
        </row>
        <row r="234">
          <cell r="J234" t="str">
            <v>5401087927</v>
          </cell>
          <cell r="K234" t="str">
            <v>10</v>
          </cell>
          <cell r="M234">
            <v>2242</v>
          </cell>
        </row>
        <row r="235">
          <cell r="J235" t="str">
            <v>5401087928</v>
          </cell>
          <cell r="K235" t="str">
            <v>10</v>
          </cell>
          <cell r="M235">
            <v>21178</v>
          </cell>
        </row>
        <row r="236">
          <cell r="J236" t="str">
            <v>5401087928</v>
          </cell>
          <cell r="K236" t="str">
            <v>10</v>
          </cell>
          <cell r="M236">
            <v>1381</v>
          </cell>
        </row>
        <row r="237">
          <cell r="J237" t="str">
            <v>5401087929</v>
          </cell>
          <cell r="K237" t="str">
            <v>10</v>
          </cell>
          <cell r="M237">
            <v>1597.05</v>
          </cell>
        </row>
        <row r="238">
          <cell r="J238" t="str">
            <v>5401087929</v>
          </cell>
          <cell r="K238" t="str">
            <v>10</v>
          </cell>
          <cell r="M238">
            <v>-15</v>
          </cell>
        </row>
        <row r="239">
          <cell r="J239" t="str">
            <v>5401087929</v>
          </cell>
          <cell r="K239" t="str">
            <v>10</v>
          </cell>
          <cell r="M239">
            <v>15</v>
          </cell>
        </row>
        <row r="240">
          <cell r="J240" t="str">
            <v>5401087929</v>
          </cell>
          <cell r="K240" t="str">
            <v>10</v>
          </cell>
          <cell r="M240">
            <v>-15</v>
          </cell>
        </row>
        <row r="241">
          <cell r="J241" t="str">
            <v>5401087929</v>
          </cell>
          <cell r="K241" t="str">
            <v>10</v>
          </cell>
          <cell r="M241">
            <v>15</v>
          </cell>
        </row>
        <row r="242">
          <cell r="J242" t="str">
            <v>5401087929</v>
          </cell>
          <cell r="K242" t="str">
            <v>10</v>
          </cell>
          <cell r="M242">
            <v>-15</v>
          </cell>
        </row>
        <row r="243">
          <cell r="J243" t="str">
            <v>5401087929</v>
          </cell>
          <cell r="K243" t="str">
            <v>10</v>
          </cell>
          <cell r="M243">
            <v>15</v>
          </cell>
        </row>
        <row r="244">
          <cell r="J244" t="str">
            <v>5401087922</v>
          </cell>
          <cell r="K244" t="str">
            <v>10</v>
          </cell>
          <cell r="M244">
            <v>-5937.33</v>
          </cell>
        </row>
        <row r="245">
          <cell r="J245" t="str">
            <v>5401079380</v>
          </cell>
          <cell r="K245" t="str">
            <v>10</v>
          </cell>
          <cell r="M245">
            <v>1800</v>
          </cell>
        </row>
        <row r="246">
          <cell r="J246" t="str">
            <v>5400941603</v>
          </cell>
          <cell r="K246" t="str">
            <v>10</v>
          </cell>
          <cell r="M246">
            <v>4758.03</v>
          </cell>
        </row>
        <row r="247">
          <cell r="J247" t="str">
            <v>5400941603</v>
          </cell>
          <cell r="K247" t="str">
            <v>20</v>
          </cell>
          <cell r="M247">
            <v>4545.8500000000004</v>
          </cell>
        </row>
        <row r="248">
          <cell r="J248" t="str">
            <v>5400941603</v>
          </cell>
          <cell r="K248" t="str">
            <v>10</v>
          </cell>
          <cell r="M248">
            <v>4758.03</v>
          </cell>
        </row>
        <row r="249">
          <cell r="J249" t="str">
            <v>5400941603</v>
          </cell>
          <cell r="K249" t="str">
            <v>20</v>
          </cell>
          <cell r="M249">
            <v>4545.8500000000004</v>
          </cell>
        </row>
        <row r="250">
          <cell r="J250" t="str">
            <v>5400941603</v>
          </cell>
          <cell r="K250" t="str">
            <v>10</v>
          </cell>
          <cell r="M250">
            <v>82.5</v>
          </cell>
        </row>
        <row r="251">
          <cell r="J251" t="str">
            <v>5400941603</v>
          </cell>
          <cell r="K251" t="str">
            <v>10</v>
          </cell>
          <cell r="M251">
            <v>4758.03</v>
          </cell>
        </row>
        <row r="252">
          <cell r="J252" t="str">
            <v>5400941603</v>
          </cell>
          <cell r="K252" t="str">
            <v>20</v>
          </cell>
          <cell r="M252">
            <v>4545.8500000000004</v>
          </cell>
        </row>
        <row r="253">
          <cell r="J253" t="str">
            <v>5400941603</v>
          </cell>
          <cell r="K253" t="str">
            <v>10</v>
          </cell>
          <cell r="M253">
            <v>4895.07</v>
          </cell>
        </row>
        <row r="254">
          <cell r="J254" t="str">
            <v>5400941603</v>
          </cell>
          <cell r="K254" t="str">
            <v>20</v>
          </cell>
          <cell r="M254">
            <v>4676.53</v>
          </cell>
        </row>
        <row r="255">
          <cell r="J255" t="str">
            <v>5400941603</v>
          </cell>
          <cell r="K255" t="str">
            <v>20</v>
          </cell>
          <cell r="M255">
            <v>4676.53</v>
          </cell>
        </row>
        <row r="256">
          <cell r="J256" t="str">
            <v>5400941603</v>
          </cell>
          <cell r="K256" t="str">
            <v>10</v>
          </cell>
          <cell r="M256">
            <v>4895.07</v>
          </cell>
        </row>
        <row r="257">
          <cell r="J257" t="str">
            <v>5400941603</v>
          </cell>
          <cell r="K257" t="str">
            <v>10</v>
          </cell>
          <cell r="M257">
            <v>4895.07</v>
          </cell>
        </row>
        <row r="258">
          <cell r="J258" t="str">
            <v>5400941603</v>
          </cell>
          <cell r="K258" t="str">
            <v>20</v>
          </cell>
          <cell r="M258">
            <v>4676.53</v>
          </cell>
        </row>
        <row r="259">
          <cell r="J259" t="str">
            <v>5400918923</v>
          </cell>
          <cell r="K259" t="str">
            <v>20</v>
          </cell>
          <cell r="M259">
            <v>310</v>
          </cell>
        </row>
        <row r="260">
          <cell r="J260" t="str">
            <v>5400918923</v>
          </cell>
          <cell r="K260" t="str">
            <v>20</v>
          </cell>
          <cell r="M260">
            <v>310</v>
          </cell>
        </row>
        <row r="261">
          <cell r="J261" t="str">
            <v>5400918923</v>
          </cell>
          <cell r="K261" t="str">
            <v>20</v>
          </cell>
          <cell r="M261">
            <v>310</v>
          </cell>
        </row>
        <row r="262">
          <cell r="J262" t="str">
            <v>5401063675</v>
          </cell>
          <cell r="K262" t="str">
            <v>10</v>
          </cell>
          <cell r="M262">
            <v>-536.4</v>
          </cell>
        </row>
        <row r="263">
          <cell r="J263" t="str">
            <v>#</v>
          </cell>
          <cell r="K263" t="str">
            <v>#</v>
          </cell>
          <cell r="M263">
            <v>0</v>
          </cell>
        </row>
        <row r="264">
          <cell r="J264" t="str">
            <v>5401111762</v>
          </cell>
          <cell r="K264" t="str">
            <v>10</v>
          </cell>
          <cell r="M264">
            <v>310</v>
          </cell>
        </row>
        <row r="265">
          <cell r="J265" t="str">
            <v>5401111762</v>
          </cell>
          <cell r="K265" t="str">
            <v>10</v>
          </cell>
          <cell r="M265">
            <v>310</v>
          </cell>
        </row>
        <row r="266">
          <cell r="J266" t="str">
            <v>5401111762</v>
          </cell>
          <cell r="K266" t="str">
            <v>10</v>
          </cell>
          <cell r="M266">
            <v>310</v>
          </cell>
        </row>
        <row r="267">
          <cell r="J267" t="str">
            <v>5401058431</v>
          </cell>
          <cell r="K267" t="str">
            <v>20</v>
          </cell>
          <cell r="M267">
            <v>10000</v>
          </cell>
        </row>
        <row r="268">
          <cell r="J268" t="str">
            <v>5401058431</v>
          </cell>
          <cell r="K268" t="str">
            <v>20</v>
          </cell>
          <cell r="M268">
            <v>5500</v>
          </cell>
        </row>
        <row r="269">
          <cell r="J269" t="str">
            <v>5401058431</v>
          </cell>
          <cell r="K269" t="str">
            <v>20</v>
          </cell>
          <cell r="M269">
            <v>162.11000000000001</v>
          </cell>
        </row>
        <row r="270">
          <cell r="J270" t="str">
            <v>5401058431</v>
          </cell>
          <cell r="K270" t="str">
            <v>20</v>
          </cell>
          <cell r="M270">
            <v>10000</v>
          </cell>
        </row>
        <row r="271">
          <cell r="J271" t="str">
            <v>5401058431</v>
          </cell>
          <cell r="K271" t="str">
            <v>20</v>
          </cell>
          <cell r="M271">
            <v>5500</v>
          </cell>
        </row>
        <row r="272">
          <cell r="J272" t="str">
            <v>5401058431</v>
          </cell>
          <cell r="K272" t="str">
            <v>20</v>
          </cell>
          <cell r="M272">
            <v>10000</v>
          </cell>
        </row>
        <row r="273">
          <cell r="J273" t="str">
            <v>5401058431</v>
          </cell>
          <cell r="K273" t="str">
            <v>20</v>
          </cell>
          <cell r="M273">
            <v>5500</v>
          </cell>
        </row>
        <row r="274">
          <cell r="J274" t="str">
            <v>5401058431</v>
          </cell>
          <cell r="K274" t="str">
            <v>20</v>
          </cell>
          <cell r="M274">
            <v>-10000</v>
          </cell>
        </row>
        <row r="275">
          <cell r="J275" t="str">
            <v>5401058431</v>
          </cell>
          <cell r="K275" t="str">
            <v>20</v>
          </cell>
          <cell r="M275">
            <v>9303.7099999999991</v>
          </cell>
        </row>
        <row r="276">
          <cell r="J276" t="str">
            <v>5401058431</v>
          </cell>
          <cell r="K276" t="str">
            <v>20</v>
          </cell>
          <cell r="M276">
            <v>55.55</v>
          </cell>
        </row>
        <row r="277">
          <cell r="J277" t="str">
            <v>5401058431</v>
          </cell>
          <cell r="K277" t="str">
            <v>20</v>
          </cell>
          <cell r="M277">
            <v>88.11</v>
          </cell>
        </row>
        <row r="278">
          <cell r="J278" t="str">
            <v>5401058431</v>
          </cell>
          <cell r="K278" t="str">
            <v>20</v>
          </cell>
          <cell r="M278">
            <v>171.5</v>
          </cell>
        </row>
        <row r="279">
          <cell r="J279" t="str">
            <v>5401058431</v>
          </cell>
          <cell r="K279" t="str">
            <v>20</v>
          </cell>
          <cell r="M279">
            <v>708.71</v>
          </cell>
        </row>
        <row r="280">
          <cell r="J280" t="str">
            <v>5401058431</v>
          </cell>
          <cell r="K280" t="str">
            <v>20</v>
          </cell>
          <cell r="M280">
            <v>-5500</v>
          </cell>
        </row>
        <row r="281">
          <cell r="J281" t="str">
            <v>5401058431</v>
          </cell>
          <cell r="K281" t="str">
            <v>20</v>
          </cell>
          <cell r="M281">
            <v>5250.12</v>
          </cell>
        </row>
        <row r="282">
          <cell r="J282" t="str">
            <v>5401058431</v>
          </cell>
          <cell r="K282" t="str">
            <v>20</v>
          </cell>
          <cell r="M282">
            <v>5253.73</v>
          </cell>
        </row>
        <row r="283">
          <cell r="J283" t="str">
            <v>5401058431</v>
          </cell>
          <cell r="K283" t="str">
            <v>20</v>
          </cell>
          <cell r="M283">
            <v>10000</v>
          </cell>
        </row>
        <row r="284">
          <cell r="J284" t="str">
            <v>5401058431</v>
          </cell>
          <cell r="K284" t="str">
            <v>20</v>
          </cell>
          <cell r="M284">
            <v>250.91</v>
          </cell>
        </row>
        <row r="285">
          <cell r="J285" t="str">
            <v>5401058431</v>
          </cell>
          <cell r="K285" t="str">
            <v>20</v>
          </cell>
          <cell r="M285">
            <v>5360.3</v>
          </cell>
        </row>
        <row r="286">
          <cell r="J286" t="str">
            <v>5401058431</v>
          </cell>
          <cell r="K286" t="str">
            <v>20</v>
          </cell>
          <cell r="M286">
            <v>5222.71</v>
          </cell>
        </row>
        <row r="287">
          <cell r="J287" t="str">
            <v>5401058431</v>
          </cell>
          <cell r="K287" t="str">
            <v>20</v>
          </cell>
          <cell r="M287">
            <v>10265.709999999999</v>
          </cell>
        </row>
        <row r="288">
          <cell r="J288" t="str">
            <v>5401058431</v>
          </cell>
          <cell r="K288" t="str">
            <v>20</v>
          </cell>
          <cell r="M288">
            <v>10233.15</v>
          </cell>
        </row>
        <row r="289">
          <cell r="J289" t="str">
            <v>5401058431</v>
          </cell>
          <cell r="K289" t="str">
            <v>20</v>
          </cell>
          <cell r="M289">
            <v>5223.33</v>
          </cell>
        </row>
        <row r="290">
          <cell r="J290" t="str">
            <v>5401058431</v>
          </cell>
          <cell r="K290" t="str">
            <v>20</v>
          </cell>
          <cell r="M290">
            <v>-500</v>
          </cell>
        </row>
        <row r="291">
          <cell r="J291" t="str">
            <v>5400960037</v>
          </cell>
          <cell r="K291" t="str">
            <v>10</v>
          </cell>
          <cell r="M291">
            <v>7290</v>
          </cell>
        </row>
        <row r="292">
          <cell r="J292" t="str">
            <v>5400960037</v>
          </cell>
          <cell r="K292" t="str">
            <v>10</v>
          </cell>
          <cell r="M292">
            <v>7290</v>
          </cell>
        </row>
        <row r="293">
          <cell r="J293" t="str">
            <v>5400853131</v>
          </cell>
          <cell r="K293" t="str">
            <v>20</v>
          </cell>
          <cell r="M293">
            <v>5985</v>
          </cell>
        </row>
        <row r="294">
          <cell r="J294" t="str">
            <v>5400853131</v>
          </cell>
          <cell r="K294" t="str">
            <v>20</v>
          </cell>
          <cell r="M294">
            <v>5985</v>
          </cell>
        </row>
        <row r="295">
          <cell r="J295" t="str">
            <v>5400853131</v>
          </cell>
          <cell r="K295" t="str">
            <v>20</v>
          </cell>
          <cell r="M295">
            <v>5985</v>
          </cell>
        </row>
        <row r="296">
          <cell r="J296" t="str">
            <v>5400853131</v>
          </cell>
          <cell r="K296" t="str">
            <v>20</v>
          </cell>
          <cell r="M296">
            <v>5985</v>
          </cell>
        </row>
        <row r="297">
          <cell r="J297" t="str">
            <v>5400853131</v>
          </cell>
          <cell r="K297" t="str">
            <v>20</v>
          </cell>
          <cell r="M297">
            <v>5985</v>
          </cell>
        </row>
        <row r="298">
          <cell r="J298" t="str">
            <v>5400853131</v>
          </cell>
          <cell r="K298" t="str">
            <v>20</v>
          </cell>
          <cell r="M298">
            <v>5985</v>
          </cell>
        </row>
        <row r="299">
          <cell r="J299" t="str">
            <v>5401023590</v>
          </cell>
          <cell r="K299" t="str">
            <v>10</v>
          </cell>
          <cell r="M299">
            <v>8571.9699999999993</v>
          </cell>
        </row>
        <row r="300">
          <cell r="J300" t="str">
            <v>5401087887</v>
          </cell>
          <cell r="K300" t="str">
            <v>10</v>
          </cell>
          <cell r="M300">
            <v>150000</v>
          </cell>
        </row>
        <row r="301">
          <cell r="J301" t="str">
            <v>5401023592</v>
          </cell>
          <cell r="K301" t="str">
            <v>10</v>
          </cell>
          <cell r="M301">
            <v>-5000</v>
          </cell>
        </row>
        <row r="302">
          <cell r="J302" t="str">
            <v>5401023592</v>
          </cell>
          <cell r="K302" t="str">
            <v>10</v>
          </cell>
          <cell r="M302">
            <v>1029.05</v>
          </cell>
        </row>
        <row r="303">
          <cell r="J303" t="str">
            <v>5401023592</v>
          </cell>
          <cell r="K303" t="str">
            <v>10</v>
          </cell>
          <cell r="M303">
            <v>3970.95</v>
          </cell>
        </row>
        <row r="304">
          <cell r="J304" t="str">
            <v>5401023592</v>
          </cell>
          <cell r="K304" t="str">
            <v>10</v>
          </cell>
          <cell r="M304">
            <v>277.2</v>
          </cell>
        </row>
        <row r="305">
          <cell r="J305" t="str">
            <v>5401023590</v>
          </cell>
          <cell r="K305" t="str">
            <v>10</v>
          </cell>
          <cell r="M305">
            <v>8675.51</v>
          </cell>
        </row>
        <row r="306">
          <cell r="J306" t="str">
            <v>5401023592</v>
          </cell>
          <cell r="K306" t="str">
            <v>10</v>
          </cell>
          <cell r="M306">
            <v>-3970.95</v>
          </cell>
        </row>
        <row r="307">
          <cell r="J307" t="str">
            <v>5401023592</v>
          </cell>
          <cell r="K307" t="str">
            <v>10</v>
          </cell>
          <cell r="M307">
            <v>221.64</v>
          </cell>
        </row>
        <row r="308">
          <cell r="J308" t="str">
            <v>5401023592</v>
          </cell>
          <cell r="K308" t="str">
            <v>10</v>
          </cell>
          <cell r="M308">
            <v>1322.64</v>
          </cell>
        </row>
        <row r="309">
          <cell r="J309" t="str">
            <v>5401087887</v>
          </cell>
          <cell r="K309" t="str">
            <v>10</v>
          </cell>
          <cell r="M309">
            <v>150000</v>
          </cell>
        </row>
        <row r="310">
          <cell r="J310" t="str">
            <v>5401087891</v>
          </cell>
          <cell r="K310" t="str">
            <v>10</v>
          </cell>
          <cell r="M310">
            <v>8000</v>
          </cell>
        </row>
        <row r="311">
          <cell r="J311" t="str">
            <v>5401087887</v>
          </cell>
          <cell r="K311" t="str">
            <v>10</v>
          </cell>
          <cell r="M311">
            <v>3602.19</v>
          </cell>
        </row>
        <row r="312">
          <cell r="J312" t="str">
            <v>5401087891</v>
          </cell>
          <cell r="K312" t="str">
            <v>10</v>
          </cell>
          <cell r="M312">
            <v>1758.74</v>
          </cell>
        </row>
        <row r="313">
          <cell r="J313" t="str">
            <v>5401087891</v>
          </cell>
          <cell r="K313" t="str">
            <v>10</v>
          </cell>
          <cell r="M313">
            <v>437.51</v>
          </cell>
        </row>
        <row r="314">
          <cell r="J314" t="str">
            <v>5401087887</v>
          </cell>
          <cell r="K314" t="str">
            <v>10</v>
          </cell>
          <cell r="M314">
            <v>4819.2700000000004</v>
          </cell>
        </row>
        <row r="315">
          <cell r="J315" t="str">
            <v>5401087887</v>
          </cell>
          <cell r="K315" t="str">
            <v>10</v>
          </cell>
          <cell r="M315">
            <v>150000</v>
          </cell>
        </row>
        <row r="316">
          <cell r="J316" t="str">
            <v>5401087891</v>
          </cell>
          <cell r="K316" t="str">
            <v>10</v>
          </cell>
          <cell r="M316">
            <v>1707.56</v>
          </cell>
        </row>
        <row r="317">
          <cell r="J317" t="str">
            <v>5401087891</v>
          </cell>
          <cell r="K317" t="str">
            <v>10</v>
          </cell>
          <cell r="M317">
            <v>1424.48</v>
          </cell>
        </row>
        <row r="318">
          <cell r="J318" t="str">
            <v>5401087891</v>
          </cell>
          <cell r="K318" t="str">
            <v>10</v>
          </cell>
          <cell r="M318">
            <v>1039.04</v>
          </cell>
        </row>
        <row r="319">
          <cell r="J319" t="str">
            <v>5401023590</v>
          </cell>
          <cell r="K319" t="str">
            <v>10</v>
          </cell>
          <cell r="M319">
            <v>3500</v>
          </cell>
        </row>
        <row r="320">
          <cell r="J320" t="str">
            <v>5401023590</v>
          </cell>
          <cell r="K320" t="str">
            <v>10</v>
          </cell>
          <cell r="M320">
            <v>-3500</v>
          </cell>
        </row>
        <row r="321">
          <cell r="J321" t="str">
            <v>5401023590</v>
          </cell>
          <cell r="K321" t="str">
            <v>10</v>
          </cell>
          <cell r="M321">
            <v>3500</v>
          </cell>
        </row>
        <row r="322">
          <cell r="J322" t="str">
            <v>5401087887</v>
          </cell>
          <cell r="K322" t="str">
            <v>10</v>
          </cell>
          <cell r="M322">
            <v>1827.77</v>
          </cell>
        </row>
        <row r="323">
          <cell r="J323" t="str">
            <v>5401087891</v>
          </cell>
          <cell r="K323" t="str">
            <v>10</v>
          </cell>
          <cell r="M323">
            <v>3852.96</v>
          </cell>
        </row>
        <row r="324">
          <cell r="J324" t="str">
            <v>5401087891</v>
          </cell>
          <cell r="K324" t="str">
            <v>10</v>
          </cell>
          <cell r="M324">
            <v>2084.04</v>
          </cell>
        </row>
        <row r="325">
          <cell r="J325" t="str">
            <v>5401087887</v>
          </cell>
          <cell r="K325" t="str">
            <v>10</v>
          </cell>
          <cell r="M325">
            <v>150000</v>
          </cell>
        </row>
        <row r="326">
          <cell r="J326" t="str">
            <v>5401087887</v>
          </cell>
          <cell r="K326" t="str">
            <v>10</v>
          </cell>
          <cell r="M326">
            <v>150000</v>
          </cell>
        </row>
        <row r="327">
          <cell r="J327" t="str">
            <v>5401087887</v>
          </cell>
          <cell r="K327" t="str">
            <v>10</v>
          </cell>
          <cell r="M327">
            <v>1842.33</v>
          </cell>
        </row>
        <row r="328">
          <cell r="J328" t="str">
            <v>5401087891</v>
          </cell>
          <cell r="K328" t="str">
            <v>10</v>
          </cell>
          <cell r="M328">
            <v>10094.620000000001</v>
          </cell>
        </row>
        <row r="329">
          <cell r="J329" t="str">
            <v>5401087891</v>
          </cell>
          <cell r="K329" t="str">
            <v>10</v>
          </cell>
          <cell r="M329">
            <v>1205.19</v>
          </cell>
        </row>
        <row r="330">
          <cell r="J330" t="str">
            <v>5401087887</v>
          </cell>
          <cell r="K330" t="str">
            <v>10</v>
          </cell>
          <cell r="M330">
            <v>987.05</v>
          </cell>
        </row>
        <row r="331">
          <cell r="J331" t="str">
            <v>5401087887</v>
          </cell>
          <cell r="K331" t="str">
            <v>10</v>
          </cell>
          <cell r="M331">
            <v>150000</v>
          </cell>
        </row>
        <row r="332">
          <cell r="J332" t="str">
            <v>5401087891</v>
          </cell>
          <cell r="K332" t="str">
            <v>10</v>
          </cell>
          <cell r="M332">
            <v>5000</v>
          </cell>
        </row>
        <row r="333">
          <cell r="J333" t="str">
            <v>5401087891</v>
          </cell>
          <cell r="K333" t="str">
            <v>10</v>
          </cell>
          <cell r="M333">
            <v>5054.17</v>
          </cell>
        </row>
        <row r="334">
          <cell r="J334" t="str">
            <v>5401087891</v>
          </cell>
          <cell r="K334" t="str">
            <v>10</v>
          </cell>
          <cell r="M334">
            <v>8000</v>
          </cell>
        </row>
        <row r="335">
          <cell r="J335" t="str">
            <v>5401087891</v>
          </cell>
          <cell r="K335" t="str">
            <v>10</v>
          </cell>
          <cell r="M335">
            <v>0.3</v>
          </cell>
        </row>
        <row r="336">
          <cell r="J336" t="str">
            <v>#</v>
          </cell>
          <cell r="K336" t="str">
            <v>#</v>
          </cell>
          <cell r="M336">
            <v>-3500</v>
          </cell>
        </row>
        <row r="337">
          <cell r="J337" t="str">
            <v>5401047705</v>
          </cell>
          <cell r="K337" t="str">
            <v>30</v>
          </cell>
          <cell r="M337">
            <v>14560</v>
          </cell>
        </row>
        <row r="338">
          <cell r="J338" t="str">
            <v>5401047705</v>
          </cell>
          <cell r="K338" t="str">
            <v>30</v>
          </cell>
          <cell r="M338">
            <v>3600</v>
          </cell>
        </row>
        <row r="339">
          <cell r="J339" t="str">
            <v>5401087657</v>
          </cell>
          <cell r="K339" t="str">
            <v>10</v>
          </cell>
          <cell r="M339">
            <v>15000</v>
          </cell>
        </row>
        <row r="340">
          <cell r="J340" t="str">
            <v>5401087657</v>
          </cell>
          <cell r="K340" t="str">
            <v>10</v>
          </cell>
          <cell r="M340">
            <v>15000</v>
          </cell>
        </row>
        <row r="341">
          <cell r="J341" t="str">
            <v>5401087657</v>
          </cell>
          <cell r="K341" t="str">
            <v>10</v>
          </cell>
          <cell r="M341">
            <v>15000</v>
          </cell>
        </row>
        <row r="342">
          <cell r="J342" t="str">
            <v>5401087657</v>
          </cell>
          <cell r="K342" t="str">
            <v>10</v>
          </cell>
          <cell r="M342">
            <v>-15000</v>
          </cell>
        </row>
        <row r="343">
          <cell r="J343" t="str">
            <v>5401087657</v>
          </cell>
          <cell r="K343" t="str">
            <v>10</v>
          </cell>
          <cell r="M343">
            <v>13769.6</v>
          </cell>
        </row>
        <row r="344">
          <cell r="J344" t="str">
            <v>5401087657</v>
          </cell>
          <cell r="K344" t="str">
            <v>10</v>
          </cell>
          <cell r="M344">
            <v>9856</v>
          </cell>
        </row>
        <row r="345">
          <cell r="J345" t="str">
            <v>5401087657</v>
          </cell>
          <cell r="K345" t="str">
            <v>10</v>
          </cell>
          <cell r="M345">
            <v>3096</v>
          </cell>
        </row>
        <row r="346">
          <cell r="J346" t="str">
            <v>5401087657</v>
          </cell>
          <cell r="K346" t="str">
            <v>10</v>
          </cell>
          <cell r="M346">
            <v>11336</v>
          </cell>
        </row>
        <row r="347">
          <cell r="J347" t="str">
            <v>5401087657</v>
          </cell>
          <cell r="K347" t="str">
            <v>20</v>
          </cell>
          <cell r="M347">
            <v>28745.599999999999</v>
          </cell>
        </row>
        <row r="348">
          <cell r="J348" t="str">
            <v>5401023588</v>
          </cell>
          <cell r="K348" t="str">
            <v>10</v>
          </cell>
          <cell r="M348">
            <v>15785.86</v>
          </cell>
        </row>
        <row r="349">
          <cell r="J349" t="str">
            <v>5401087886</v>
          </cell>
          <cell r="K349" t="str">
            <v>10</v>
          </cell>
          <cell r="M349">
            <v>60000</v>
          </cell>
        </row>
        <row r="350">
          <cell r="J350" t="str">
            <v>5401065646</v>
          </cell>
          <cell r="K350" t="str">
            <v>10</v>
          </cell>
          <cell r="M350">
            <v>1407.75</v>
          </cell>
        </row>
        <row r="351">
          <cell r="J351" t="str">
            <v>5401023591</v>
          </cell>
          <cell r="K351" t="str">
            <v>10</v>
          </cell>
          <cell r="M351">
            <v>-350</v>
          </cell>
        </row>
        <row r="352">
          <cell r="J352" t="str">
            <v>5401023591</v>
          </cell>
          <cell r="K352" t="str">
            <v>10</v>
          </cell>
          <cell r="M352">
            <v>415.84</v>
          </cell>
        </row>
        <row r="353">
          <cell r="J353" t="str">
            <v>5401023588</v>
          </cell>
          <cell r="K353" t="str">
            <v>10</v>
          </cell>
          <cell r="M353">
            <v>17242.36</v>
          </cell>
        </row>
        <row r="354">
          <cell r="J354" t="str">
            <v>5401023591</v>
          </cell>
          <cell r="K354" t="str">
            <v>10</v>
          </cell>
          <cell r="M354">
            <v>524.54999999999995</v>
          </cell>
        </row>
        <row r="355">
          <cell r="J355" t="str">
            <v>5401023591</v>
          </cell>
          <cell r="K355" t="str">
            <v>10</v>
          </cell>
          <cell r="M355">
            <v>-350</v>
          </cell>
        </row>
        <row r="356">
          <cell r="J356" t="str">
            <v>5401087886</v>
          </cell>
          <cell r="K356" t="str">
            <v>10</v>
          </cell>
          <cell r="M356">
            <v>60000</v>
          </cell>
        </row>
        <row r="357">
          <cell r="J357" t="str">
            <v>5401087890</v>
          </cell>
          <cell r="K357" t="str">
            <v>10</v>
          </cell>
          <cell r="M357">
            <v>8000</v>
          </cell>
        </row>
        <row r="358">
          <cell r="J358" t="str">
            <v>5401087886</v>
          </cell>
          <cell r="K358" t="str">
            <v>10</v>
          </cell>
          <cell r="M358">
            <v>15175.29</v>
          </cell>
        </row>
        <row r="359">
          <cell r="J359" t="str">
            <v>5401087890</v>
          </cell>
          <cell r="K359" t="str">
            <v>10</v>
          </cell>
          <cell r="M359">
            <v>427.32</v>
          </cell>
        </row>
        <row r="360">
          <cell r="J360" t="str">
            <v>5401087890</v>
          </cell>
          <cell r="K360" t="str">
            <v>10</v>
          </cell>
          <cell r="M360">
            <v>35.4</v>
          </cell>
        </row>
        <row r="361">
          <cell r="J361" t="str">
            <v>5401087886</v>
          </cell>
          <cell r="K361" t="str">
            <v>10</v>
          </cell>
          <cell r="M361">
            <v>13010.5</v>
          </cell>
        </row>
        <row r="362">
          <cell r="J362" t="str">
            <v>5401065646</v>
          </cell>
          <cell r="K362" t="str">
            <v>10</v>
          </cell>
          <cell r="M362">
            <v>641.02</v>
          </cell>
        </row>
        <row r="363">
          <cell r="J363" t="str">
            <v>5401087890</v>
          </cell>
          <cell r="K363" t="str">
            <v>10</v>
          </cell>
          <cell r="M363">
            <v>160.36000000000001</v>
          </cell>
        </row>
        <row r="364">
          <cell r="J364" t="str">
            <v>5401087886</v>
          </cell>
          <cell r="K364" t="str">
            <v>10</v>
          </cell>
          <cell r="M364">
            <v>60000</v>
          </cell>
        </row>
        <row r="365">
          <cell r="J365" t="str">
            <v>5401087886</v>
          </cell>
          <cell r="K365" t="str">
            <v>10</v>
          </cell>
          <cell r="M365">
            <v>-60000</v>
          </cell>
        </row>
        <row r="366">
          <cell r="J366" t="str">
            <v>5401087886</v>
          </cell>
          <cell r="K366" t="str">
            <v>10</v>
          </cell>
          <cell r="M366">
            <v>60000</v>
          </cell>
        </row>
        <row r="367">
          <cell r="J367" t="str">
            <v>5401087886</v>
          </cell>
          <cell r="K367" t="str">
            <v>10</v>
          </cell>
          <cell r="M367">
            <v>13086.59</v>
          </cell>
        </row>
        <row r="368">
          <cell r="J368" t="str">
            <v>5401087886</v>
          </cell>
          <cell r="K368" t="str">
            <v>10</v>
          </cell>
          <cell r="M368">
            <v>60000</v>
          </cell>
        </row>
        <row r="369">
          <cell r="J369" t="str">
            <v>5401087890</v>
          </cell>
          <cell r="K369" t="str">
            <v>10</v>
          </cell>
          <cell r="M369">
            <v>573.75</v>
          </cell>
        </row>
        <row r="370">
          <cell r="J370" t="str">
            <v>5401087890</v>
          </cell>
          <cell r="K370" t="str">
            <v>10</v>
          </cell>
          <cell r="M370">
            <v>109.34</v>
          </cell>
        </row>
        <row r="371">
          <cell r="J371" t="str">
            <v>5401065646</v>
          </cell>
          <cell r="K371" t="str">
            <v>10</v>
          </cell>
          <cell r="M371">
            <v>106.84</v>
          </cell>
        </row>
        <row r="372">
          <cell r="J372" t="str">
            <v>5401087886</v>
          </cell>
          <cell r="K372" t="str">
            <v>10</v>
          </cell>
          <cell r="M372">
            <v>60000</v>
          </cell>
        </row>
        <row r="373">
          <cell r="J373" t="str">
            <v>5401087890</v>
          </cell>
          <cell r="K373" t="str">
            <v>10</v>
          </cell>
          <cell r="M373">
            <v>8000</v>
          </cell>
        </row>
        <row r="374">
          <cell r="J374" t="str">
            <v>5401087886</v>
          </cell>
          <cell r="K374" t="str">
            <v>10</v>
          </cell>
          <cell r="M374">
            <v>12696.03</v>
          </cell>
        </row>
        <row r="375">
          <cell r="J375" t="str">
            <v>5401087890</v>
          </cell>
          <cell r="K375" t="str">
            <v>10</v>
          </cell>
          <cell r="M375">
            <v>35.4</v>
          </cell>
        </row>
        <row r="376">
          <cell r="J376" t="str">
            <v>5401087886</v>
          </cell>
          <cell r="K376" t="str">
            <v>10</v>
          </cell>
          <cell r="M376">
            <v>12890.3</v>
          </cell>
        </row>
        <row r="377">
          <cell r="J377" t="str">
            <v>5401087886</v>
          </cell>
          <cell r="K377" t="str">
            <v>10</v>
          </cell>
          <cell r="M377">
            <v>60000</v>
          </cell>
        </row>
        <row r="378">
          <cell r="J378" t="str">
            <v>5401113577</v>
          </cell>
          <cell r="K378" t="str">
            <v>10</v>
          </cell>
          <cell r="M378">
            <v>3172.17</v>
          </cell>
        </row>
        <row r="379">
          <cell r="J379" t="str">
            <v>#</v>
          </cell>
          <cell r="K379" t="str">
            <v>#</v>
          </cell>
          <cell r="M379">
            <v>0</v>
          </cell>
        </row>
        <row r="380">
          <cell r="J380" t="str">
            <v>#</v>
          </cell>
          <cell r="K380" t="str">
            <v>#</v>
          </cell>
          <cell r="M380">
            <v>0</v>
          </cell>
        </row>
        <row r="381">
          <cell r="J381" t="str">
            <v>#</v>
          </cell>
          <cell r="K381" t="str">
            <v>#</v>
          </cell>
          <cell r="M381">
            <v>0</v>
          </cell>
        </row>
        <row r="382">
          <cell r="J382" t="str">
            <v>#</v>
          </cell>
          <cell r="K382" t="str">
            <v>#</v>
          </cell>
          <cell r="M382">
            <v>0</v>
          </cell>
        </row>
        <row r="383">
          <cell r="J383" t="str">
            <v>#</v>
          </cell>
          <cell r="K383" t="str">
            <v>#</v>
          </cell>
          <cell r="M383">
            <v>25000</v>
          </cell>
        </row>
        <row r="384">
          <cell r="J384" t="str">
            <v>5401068208</v>
          </cell>
          <cell r="K384" t="str">
            <v>10</v>
          </cell>
          <cell r="M384">
            <v>-24000</v>
          </cell>
        </row>
        <row r="385">
          <cell r="J385" t="str">
            <v>5401068208</v>
          </cell>
          <cell r="K385" t="str">
            <v>10</v>
          </cell>
          <cell r="M385">
            <v>23649.89</v>
          </cell>
        </row>
        <row r="386">
          <cell r="J386" t="str">
            <v>5401098602</v>
          </cell>
          <cell r="K386" t="str">
            <v>10</v>
          </cell>
          <cell r="M386">
            <v>23290.92</v>
          </cell>
        </row>
        <row r="387">
          <cell r="J387" t="str">
            <v>5401098602</v>
          </cell>
          <cell r="K387" t="str">
            <v>10</v>
          </cell>
          <cell r="M387">
            <v>24000</v>
          </cell>
        </row>
        <row r="388">
          <cell r="J388" t="str">
            <v>5401098602</v>
          </cell>
          <cell r="K388" t="str">
            <v>10</v>
          </cell>
          <cell r="M388">
            <v>24000</v>
          </cell>
        </row>
        <row r="389">
          <cell r="J389" t="str">
            <v>5401098602</v>
          </cell>
          <cell r="K389" t="str">
            <v>10</v>
          </cell>
          <cell r="M389">
            <v>-24000</v>
          </cell>
        </row>
        <row r="390">
          <cell r="J390" t="str">
            <v>5401098602</v>
          </cell>
          <cell r="K390" t="str">
            <v>10</v>
          </cell>
          <cell r="M390">
            <v>23232.06</v>
          </cell>
        </row>
        <row r="391">
          <cell r="J391" t="str">
            <v>5401098602</v>
          </cell>
          <cell r="K391" t="str">
            <v>10</v>
          </cell>
          <cell r="M391">
            <v>-24000</v>
          </cell>
        </row>
        <row r="392">
          <cell r="J392" t="str">
            <v>5401098602</v>
          </cell>
          <cell r="K392" t="str">
            <v>10</v>
          </cell>
          <cell r="M392">
            <v>23188.77</v>
          </cell>
        </row>
        <row r="393">
          <cell r="J393" t="str">
            <v>5401098602</v>
          </cell>
          <cell r="K393" t="str">
            <v>10</v>
          </cell>
          <cell r="M393">
            <v>23000</v>
          </cell>
        </row>
        <row r="394">
          <cell r="J394" t="str">
            <v>5401098602</v>
          </cell>
          <cell r="K394" t="str">
            <v>10</v>
          </cell>
          <cell r="M394">
            <v>-23000</v>
          </cell>
        </row>
        <row r="395">
          <cell r="J395" t="str">
            <v>5401098602</v>
          </cell>
          <cell r="K395" t="str">
            <v>10</v>
          </cell>
          <cell r="M395">
            <v>22686.71</v>
          </cell>
        </row>
        <row r="396">
          <cell r="J396" t="str">
            <v>5401098602</v>
          </cell>
          <cell r="K396" t="str">
            <v>10</v>
          </cell>
          <cell r="M396">
            <v>22000</v>
          </cell>
        </row>
        <row r="397">
          <cell r="J397" t="str">
            <v>5401098602</v>
          </cell>
          <cell r="K397" t="str">
            <v>10</v>
          </cell>
          <cell r="M397">
            <v>22000</v>
          </cell>
        </row>
        <row r="398">
          <cell r="J398" t="str">
            <v>5401098602</v>
          </cell>
          <cell r="K398" t="str">
            <v>10</v>
          </cell>
          <cell r="M398">
            <v>-22000</v>
          </cell>
        </row>
        <row r="399">
          <cell r="J399" t="str">
            <v>5401098602</v>
          </cell>
          <cell r="K399" t="str">
            <v>10</v>
          </cell>
          <cell r="M399">
            <v>22000</v>
          </cell>
        </row>
        <row r="400">
          <cell r="J400" t="str">
            <v>5401098602</v>
          </cell>
          <cell r="K400" t="str">
            <v>10</v>
          </cell>
          <cell r="M400">
            <v>-0.9</v>
          </cell>
        </row>
        <row r="401">
          <cell r="J401" t="str">
            <v>5401070316</v>
          </cell>
          <cell r="K401" t="str">
            <v>10</v>
          </cell>
          <cell r="M401">
            <v>6667</v>
          </cell>
        </row>
        <row r="402">
          <cell r="J402" t="str">
            <v>5401070316</v>
          </cell>
          <cell r="K402" t="str">
            <v>10</v>
          </cell>
          <cell r="M402">
            <v>6667</v>
          </cell>
        </row>
        <row r="403">
          <cell r="J403" t="str">
            <v>5401070316</v>
          </cell>
          <cell r="K403" t="str">
            <v>10</v>
          </cell>
          <cell r="M403">
            <v>6667</v>
          </cell>
        </row>
        <row r="404">
          <cell r="J404" t="str">
            <v>5401070316</v>
          </cell>
          <cell r="K404" t="str">
            <v>10</v>
          </cell>
          <cell r="M404">
            <v>6667</v>
          </cell>
        </row>
        <row r="405">
          <cell r="J405" t="str">
            <v>5401070316</v>
          </cell>
          <cell r="K405" t="str">
            <v>10</v>
          </cell>
          <cell r="M405">
            <v>6667</v>
          </cell>
        </row>
        <row r="406">
          <cell r="J406" t="str">
            <v>5401070316</v>
          </cell>
          <cell r="K406" t="str">
            <v>10</v>
          </cell>
          <cell r="M406">
            <v>6667</v>
          </cell>
        </row>
        <row r="407">
          <cell r="J407" t="str">
            <v>5401109430</v>
          </cell>
          <cell r="K407" t="str">
            <v>10</v>
          </cell>
          <cell r="M407">
            <v>23760</v>
          </cell>
        </row>
        <row r="408">
          <cell r="J408" t="str">
            <v>5401098805</v>
          </cell>
          <cell r="K408" t="str">
            <v>10</v>
          </cell>
          <cell r="M408">
            <v>33027.82</v>
          </cell>
        </row>
        <row r="409">
          <cell r="J409" t="str">
            <v>5401116343</v>
          </cell>
          <cell r="K409" t="str">
            <v>10</v>
          </cell>
          <cell r="M409">
            <v>610</v>
          </cell>
        </row>
        <row r="410">
          <cell r="J410" t="str">
            <v>5401053722</v>
          </cell>
          <cell r="K410" t="str">
            <v>20</v>
          </cell>
          <cell r="M410">
            <v>1834</v>
          </cell>
        </row>
        <row r="411">
          <cell r="J411" t="str">
            <v>5400840950</v>
          </cell>
          <cell r="K411" t="str">
            <v>80</v>
          </cell>
          <cell r="M411">
            <v>-10098.91</v>
          </cell>
        </row>
        <row r="412">
          <cell r="J412" t="str">
            <v>5400840950</v>
          </cell>
          <cell r="K412" t="str">
            <v>80</v>
          </cell>
          <cell r="M412">
            <v>8000</v>
          </cell>
        </row>
        <row r="413">
          <cell r="J413" t="str">
            <v>5400840950</v>
          </cell>
          <cell r="K413" t="str">
            <v>80</v>
          </cell>
          <cell r="M413">
            <v>2098.91</v>
          </cell>
        </row>
        <row r="414">
          <cell r="J414" t="str">
            <v>5400912390</v>
          </cell>
          <cell r="K414" t="str">
            <v>10</v>
          </cell>
          <cell r="M414">
            <v>7402.75</v>
          </cell>
        </row>
        <row r="415">
          <cell r="J415" t="str">
            <v>5401002572</v>
          </cell>
          <cell r="K415" t="str">
            <v>30</v>
          </cell>
          <cell r="M415">
            <v>4567.68</v>
          </cell>
        </row>
        <row r="416">
          <cell r="J416" t="str">
            <v>5401002572</v>
          </cell>
          <cell r="K416" t="str">
            <v>30</v>
          </cell>
          <cell r="M416">
            <v>4930</v>
          </cell>
        </row>
        <row r="417">
          <cell r="J417" t="str">
            <v>5400840950</v>
          </cell>
          <cell r="K417" t="str">
            <v>70</v>
          </cell>
          <cell r="M417">
            <v>18720</v>
          </cell>
        </row>
        <row r="418">
          <cell r="J418" t="str">
            <v>5401093332</v>
          </cell>
          <cell r="K418" t="str">
            <v>50</v>
          </cell>
          <cell r="M418">
            <v>1736</v>
          </cell>
        </row>
        <row r="419">
          <cell r="J419" t="str">
            <v>5400840950</v>
          </cell>
          <cell r="K419" t="str">
            <v>80</v>
          </cell>
          <cell r="M419">
            <v>8000</v>
          </cell>
        </row>
        <row r="420">
          <cell r="J420" t="str">
            <v>5400840950</v>
          </cell>
          <cell r="K420" t="str">
            <v>80</v>
          </cell>
          <cell r="M420">
            <v>2098.91</v>
          </cell>
        </row>
        <row r="421">
          <cell r="J421" t="str">
            <v>5400912390</v>
          </cell>
          <cell r="K421" t="str">
            <v>10</v>
          </cell>
          <cell r="M421">
            <v>7402.75</v>
          </cell>
        </row>
        <row r="422">
          <cell r="J422" t="str">
            <v>5401002572</v>
          </cell>
          <cell r="K422" t="str">
            <v>30</v>
          </cell>
          <cell r="M422">
            <v>4567.68</v>
          </cell>
        </row>
        <row r="423">
          <cell r="J423" t="str">
            <v>5401002572</v>
          </cell>
          <cell r="K423" t="str">
            <v>30</v>
          </cell>
          <cell r="M423">
            <v>4930</v>
          </cell>
        </row>
        <row r="424">
          <cell r="J424" t="str">
            <v>5400840950</v>
          </cell>
          <cell r="K424" t="str">
            <v>70</v>
          </cell>
          <cell r="M424">
            <v>18720</v>
          </cell>
        </row>
        <row r="425">
          <cell r="J425" t="str">
            <v>5400840950</v>
          </cell>
          <cell r="K425" t="str">
            <v>80</v>
          </cell>
          <cell r="M425">
            <v>8000</v>
          </cell>
        </row>
        <row r="426">
          <cell r="J426" t="str">
            <v>5400840950</v>
          </cell>
          <cell r="K426" t="str">
            <v>80</v>
          </cell>
          <cell r="M426">
            <v>2098.91</v>
          </cell>
        </row>
        <row r="427">
          <cell r="J427" t="str">
            <v>5401093332</v>
          </cell>
          <cell r="K427" t="str">
            <v>50</v>
          </cell>
          <cell r="M427">
            <v>1736</v>
          </cell>
        </row>
        <row r="428">
          <cell r="J428" t="str">
            <v>5400912390</v>
          </cell>
          <cell r="K428" t="str">
            <v>10</v>
          </cell>
          <cell r="M428">
            <v>7402.75</v>
          </cell>
        </row>
        <row r="429">
          <cell r="J429" t="str">
            <v>5401002572</v>
          </cell>
          <cell r="K429" t="str">
            <v>30</v>
          </cell>
          <cell r="M429">
            <v>4567.68</v>
          </cell>
        </row>
        <row r="430">
          <cell r="J430" t="str">
            <v>5401002572</v>
          </cell>
          <cell r="K430" t="str">
            <v>30</v>
          </cell>
          <cell r="M430">
            <v>4930</v>
          </cell>
        </row>
        <row r="431">
          <cell r="J431" t="str">
            <v>5400840950</v>
          </cell>
          <cell r="K431" t="str">
            <v>70</v>
          </cell>
          <cell r="M431">
            <v>18720</v>
          </cell>
        </row>
        <row r="432">
          <cell r="J432" t="str">
            <v>5400840950</v>
          </cell>
          <cell r="K432" t="str">
            <v>80</v>
          </cell>
          <cell r="M432">
            <v>2098.91</v>
          </cell>
        </row>
        <row r="433">
          <cell r="J433" t="str">
            <v>5401002572</v>
          </cell>
          <cell r="K433" t="str">
            <v>30</v>
          </cell>
          <cell r="M433">
            <v>4930</v>
          </cell>
        </row>
        <row r="434">
          <cell r="J434" t="str">
            <v>5400840950</v>
          </cell>
          <cell r="K434" t="str">
            <v>80</v>
          </cell>
          <cell r="M434">
            <v>8000</v>
          </cell>
        </row>
        <row r="435">
          <cell r="J435" t="str">
            <v>5400840950</v>
          </cell>
          <cell r="K435" t="str">
            <v>80</v>
          </cell>
          <cell r="M435">
            <v>2098.91</v>
          </cell>
        </row>
        <row r="436">
          <cell r="J436" t="str">
            <v>5400840950</v>
          </cell>
          <cell r="K436" t="str">
            <v>80</v>
          </cell>
          <cell r="M436">
            <v>8000</v>
          </cell>
        </row>
        <row r="437">
          <cell r="J437" t="str">
            <v>5400840950</v>
          </cell>
          <cell r="K437" t="str">
            <v>70</v>
          </cell>
          <cell r="M437">
            <v>18720</v>
          </cell>
        </row>
        <row r="438">
          <cell r="J438" t="str">
            <v>5400912390</v>
          </cell>
          <cell r="K438" t="str">
            <v>10</v>
          </cell>
          <cell r="M438">
            <v>7402.75</v>
          </cell>
        </row>
        <row r="439">
          <cell r="J439" t="str">
            <v>5401002572</v>
          </cell>
          <cell r="K439" t="str">
            <v>30</v>
          </cell>
          <cell r="M439">
            <v>4567.68</v>
          </cell>
        </row>
        <row r="440">
          <cell r="J440" t="str">
            <v>5401002572</v>
          </cell>
          <cell r="K440" t="str">
            <v>30</v>
          </cell>
          <cell r="M440">
            <v>4930</v>
          </cell>
        </row>
        <row r="441">
          <cell r="J441" t="str">
            <v>5401002572</v>
          </cell>
          <cell r="K441" t="str">
            <v>30</v>
          </cell>
          <cell r="M441">
            <v>4567.68</v>
          </cell>
        </row>
        <row r="442">
          <cell r="J442" t="str">
            <v>5401002572</v>
          </cell>
          <cell r="K442" t="str">
            <v>30</v>
          </cell>
          <cell r="M442">
            <v>4930</v>
          </cell>
        </row>
        <row r="443">
          <cell r="J443" t="str">
            <v>5400912390</v>
          </cell>
          <cell r="K443" t="str">
            <v>10</v>
          </cell>
          <cell r="M443">
            <v>7402.75</v>
          </cell>
        </row>
        <row r="444">
          <cell r="J444" t="str">
            <v>5400840950</v>
          </cell>
          <cell r="K444" t="str">
            <v>80</v>
          </cell>
          <cell r="M444">
            <v>8000</v>
          </cell>
        </row>
        <row r="445">
          <cell r="J445" t="str">
            <v>5400840950</v>
          </cell>
          <cell r="K445" t="str">
            <v>80</v>
          </cell>
          <cell r="M445">
            <v>2098.91</v>
          </cell>
        </row>
        <row r="446">
          <cell r="J446" t="str">
            <v>5400840950</v>
          </cell>
          <cell r="K446" t="str">
            <v>70</v>
          </cell>
          <cell r="M446">
            <v>18720</v>
          </cell>
        </row>
        <row r="447">
          <cell r="J447" t="str">
            <v>5401093332</v>
          </cell>
          <cell r="K447" t="str">
            <v>50</v>
          </cell>
          <cell r="M447">
            <v>1736</v>
          </cell>
        </row>
        <row r="448">
          <cell r="J448" t="str">
            <v>5401093332</v>
          </cell>
          <cell r="K448" t="str">
            <v>50</v>
          </cell>
          <cell r="M448">
            <v>1736</v>
          </cell>
        </row>
        <row r="449">
          <cell r="J449" t="str">
            <v>5401093332</v>
          </cell>
          <cell r="K449" t="str">
            <v>50</v>
          </cell>
          <cell r="M449">
            <v>1736</v>
          </cell>
        </row>
        <row r="450">
          <cell r="J450" t="str">
            <v>5400840950</v>
          </cell>
          <cell r="K450" t="str">
            <v>70</v>
          </cell>
          <cell r="M450">
            <v>18720</v>
          </cell>
        </row>
        <row r="451">
          <cell r="J451" t="str">
            <v>5400840950</v>
          </cell>
          <cell r="K451" t="str">
            <v>80</v>
          </cell>
          <cell r="M451">
            <v>8000</v>
          </cell>
        </row>
        <row r="452">
          <cell r="J452" t="str">
            <v>5400840950</v>
          </cell>
          <cell r="K452" t="str">
            <v>80</v>
          </cell>
          <cell r="M452">
            <v>2098.91</v>
          </cell>
        </row>
        <row r="453">
          <cell r="J453" t="str">
            <v>5400912390</v>
          </cell>
          <cell r="K453" t="str">
            <v>10</v>
          </cell>
          <cell r="M453">
            <v>7402.75</v>
          </cell>
        </row>
        <row r="454">
          <cell r="J454" t="str">
            <v>5401002572</v>
          </cell>
          <cell r="K454" t="str">
            <v>30</v>
          </cell>
          <cell r="M454">
            <v>4567.68</v>
          </cell>
        </row>
        <row r="455">
          <cell r="J455" t="str">
            <v>5401002572</v>
          </cell>
          <cell r="K455" t="str">
            <v>30</v>
          </cell>
          <cell r="M455">
            <v>4930</v>
          </cell>
        </row>
        <row r="456">
          <cell r="J456" t="str">
            <v>5401093332</v>
          </cell>
          <cell r="K456" t="str">
            <v>50</v>
          </cell>
          <cell r="M456">
            <v>1736</v>
          </cell>
        </row>
        <row r="457">
          <cell r="J457" t="str">
            <v>5400912390</v>
          </cell>
          <cell r="K457" t="str">
            <v>10</v>
          </cell>
          <cell r="M457">
            <v>-0.03</v>
          </cell>
        </row>
        <row r="458">
          <cell r="J458" t="str">
            <v>5400912390</v>
          </cell>
          <cell r="K458" t="str">
            <v>10</v>
          </cell>
          <cell r="M458">
            <v>-0.03</v>
          </cell>
        </row>
        <row r="459">
          <cell r="J459" t="str">
            <v>5400912390</v>
          </cell>
          <cell r="K459" t="str">
            <v>10</v>
          </cell>
          <cell r="M459">
            <v>-0.03</v>
          </cell>
        </row>
        <row r="460">
          <cell r="J460" t="str">
            <v>5400912390</v>
          </cell>
          <cell r="K460" t="str">
            <v>10</v>
          </cell>
          <cell r="M460">
            <v>-0.03</v>
          </cell>
        </row>
        <row r="461">
          <cell r="J461" t="str">
            <v>5400912390</v>
          </cell>
          <cell r="K461" t="str">
            <v>10</v>
          </cell>
          <cell r="M461">
            <v>-0.03</v>
          </cell>
        </row>
        <row r="462">
          <cell r="J462" t="str">
            <v>5401093332</v>
          </cell>
          <cell r="K462" t="str">
            <v>50</v>
          </cell>
          <cell r="M462">
            <v>0.9</v>
          </cell>
        </row>
        <row r="463">
          <cell r="J463" t="str">
            <v>5401102234</v>
          </cell>
          <cell r="K463" t="str">
            <v>10</v>
          </cell>
          <cell r="M463">
            <v>104911.78</v>
          </cell>
        </row>
        <row r="464">
          <cell r="J464" t="str">
            <v>5401090239</v>
          </cell>
          <cell r="K464" t="str">
            <v>10</v>
          </cell>
          <cell r="M464">
            <v>6400</v>
          </cell>
        </row>
        <row r="465">
          <cell r="J465" t="str">
            <v>5401090239</v>
          </cell>
          <cell r="K465" t="str">
            <v>10</v>
          </cell>
          <cell r="M465">
            <v>58</v>
          </cell>
        </row>
        <row r="466">
          <cell r="J466" t="str">
            <v>5401090239</v>
          </cell>
          <cell r="K466" t="str">
            <v>10</v>
          </cell>
          <cell r="M466">
            <v>3200</v>
          </cell>
        </row>
        <row r="467">
          <cell r="J467" t="str">
            <v>5401090239</v>
          </cell>
          <cell r="K467" t="str">
            <v>10</v>
          </cell>
          <cell r="M467">
            <v>29</v>
          </cell>
        </row>
        <row r="468">
          <cell r="J468" t="str">
            <v>5401090239</v>
          </cell>
          <cell r="K468" t="str">
            <v>10</v>
          </cell>
          <cell r="M468">
            <v>3200</v>
          </cell>
        </row>
        <row r="469">
          <cell r="J469" t="str">
            <v>5401090239</v>
          </cell>
          <cell r="K469" t="str">
            <v>10</v>
          </cell>
          <cell r="M469">
            <v>3200</v>
          </cell>
        </row>
        <row r="470">
          <cell r="J470" t="str">
            <v>5401090239</v>
          </cell>
          <cell r="K470" t="str">
            <v>10</v>
          </cell>
          <cell r="M470">
            <v>3200</v>
          </cell>
        </row>
        <row r="471">
          <cell r="J471" t="str">
            <v>5401093321</v>
          </cell>
          <cell r="K471" t="str">
            <v>10</v>
          </cell>
          <cell r="M471">
            <v>1640</v>
          </cell>
        </row>
        <row r="472">
          <cell r="J472" t="str">
            <v>5401087958</v>
          </cell>
          <cell r="K472" t="str">
            <v>10</v>
          </cell>
          <cell r="M472">
            <v>240711.66</v>
          </cell>
        </row>
        <row r="473">
          <cell r="J473" t="str">
            <v>#</v>
          </cell>
          <cell r="K473" t="str">
            <v>#</v>
          </cell>
          <cell r="M473">
            <v>50065.68</v>
          </cell>
        </row>
        <row r="474">
          <cell r="J474" t="str">
            <v>#</v>
          </cell>
          <cell r="K474" t="str">
            <v>#</v>
          </cell>
          <cell r="M474">
            <v>5575</v>
          </cell>
        </row>
        <row r="475">
          <cell r="J475" t="str">
            <v>#</v>
          </cell>
          <cell r="K475" t="str">
            <v>#</v>
          </cell>
          <cell r="M475">
            <v>9642</v>
          </cell>
        </row>
        <row r="476">
          <cell r="J476" t="str">
            <v>#</v>
          </cell>
          <cell r="K476" t="str">
            <v>#</v>
          </cell>
          <cell r="M476">
            <v>10726</v>
          </cell>
        </row>
        <row r="477">
          <cell r="J477" t="str">
            <v>#</v>
          </cell>
          <cell r="K477" t="str">
            <v>#</v>
          </cell>
          <cell r="M477">
            <v>40222</v>
          </cell>
        </row>
        <row r="478">
          <cell r="J478" t="str">
            <v>#</v>
          </cell>
          <cell r="K478" t="str">
            <v>#</v>
          </cell>
          <cell r="M478">
            <v>-240711.66</v>
          </cell>
        </row>
        <row r="479">
          <cell r="J479" t="str">
            <v>#</v>
          </cell>
          <cell r="K479" t="str">
            <v>#</v>
          </cell>
          <cell r="M479">
            <v>80237.240000000005</v>
          </cell>
        </row>
        <row r="480">
          <cell r="J480" t="str">
            <v>#</v>
          </cell>
          <cell r="K480" t="str">
            <v>#</v>
          </cell>
          <cell r="M480">
            <v>-104911.78</v>
          </cell>
        </row>
        <row r="481">
          <cell r="J481" t="str">
            <v>#</v>
          </cell>
          <cell r="K481" t="str">
            <v>#</v>
          </cell>
          <cell r="M481">
            <v>41964.72</v>
          </cell>
        </row>
        <row r="482">
          <cell r="J482" t="str">
            <v>#</v>
          </cell>
          <cell r="K482" t="str">
            <v>#</v>
          </cell>
          <cell r="M482">
            <v>-8000</v>
          </cell>
        </row>
        <row r="483">
          <cell r="J483" t="str">
            <v>#</v>
          </cell>
          <cell r="K483" t="str">
            <v>#</v>
          </cell>
          <cell r="M483">
            <v>12515</v>
          </cell>
        </row>
        <row r="484">
          <cell r="J484" t="str">
            <v>#</v>
          </cell>
          <cell r="K484" t="str">
            <v>#</v>
          </cell>
          <cell r="M484">
            <v>0</v>
          </cell>
        </row>
        <row r="485">
          <cell r="J485" t="str">
            <v>#</v>
          </cell>
          <cell r="K485" t="str">
            <v>#</v>
          </cell>
          <cell r="M485">
            <v>0</v>
          </cell>
        </row>
        <row r="486">
          <cell r="J486" t="str">
            <v>#</v>
          </cell>
          <cell r="K486" t="str">
            <v>#</v>
          </cell>
          <cell r="M486">
            <v>0</v>
          </cell>
        </row>
        <row r="487">
          <cell r="J487" t="str">
            <v>#</v>
          </cell>
          <cell r="K487" t="str">
            <v>#</v>
          </cell>
          <cell r="M487">
            <v>12450.9</v>
          </cell>
        </row>
        <row r="488">
          <cell r="J488" t="str">
            <v>#</v>
          </cell>
          <cell r="K488" t="str">
            <v>#</v>
          </cell>
          <cell r="M488">
            <v>17549.099999999999</v>
          </cell>
        </row>
        <row r="489">
          <cell r="J489" t="str">
            <v>5401045581</v>
          </cell>
          <cell r="K489" t="str">
            <v>10</v>
          </cell>
          <cell r="M489">
            <v>-10000</v>
          </cell>
        </row>
        <row r="490">
          <cell r="J490" t="str">
            <v>5401045581</v>
          </cell>
          <cell r="K490" t="str">
            <v>10</v>
          </cell>
          <cell r="M490">
            <v>7950</v>
          </cell>
        </row>
        <row r="491">
          <cell r="J491" t="str">
            <v>5400853128</v>
          </cell>
          <cell r="K491" t="str">
            <v>10</v>
          </cell>
          <cell r="M491">
            <v>45333</v>
          </cell>
        </row>
        <row r="492">
          <cell r="J492" t="str">
            <v>5401023508</v>
          </cell>
          <cell r="K492" t="str">
            <v>230</v>
          </cell>
          <cell r="M492">
            <v>1498</v>
          </cell>
        </row>
        <row r="493">
          <cell r="J493" t="str">
            <v>5401023508</v>
          </cell>
          <cell r="K493" t="str">
            <v>250</v>
          </cell>
          <cell r="M493">
            <v>-5807.16</v>
          </cell>
        </row>
        <row r="494">
          <cell r="J494" t="str">
            <v>5401023508</v>
          </cell>
          <cell r="K494" t="str">
            <v>250</v>
          </cell>
          <cell r="M494">
            <v>2441.0500000000002</v>
          </cell>
        </row>
        <row r="495">
          <cell r="J495" t="str">
            <v>5400836551</v>
          </cell>
          <cell r="K495" t="str">
            <v>20</v>
          </cell>
          <cell r="M495">
            <v>1875</v>
          </cell>
        </row>
        <row r="496">
          <cell r="J496" t="str">
            <v>5400980360</v>
          </cell>
          <cell r="K496" t="str">
            <v>10</v>
          </cell>
          <cell r="M496">
            <v>16365.79</v>
          </cell>
        </row>
        <row r="497">
          <cell r="J497" t="str">
            <v>5401045581</v>
          </cell>
          <cell r="K497" t="str">
            <v>10</v>
          </cell>
          <cell r="M497">
            <v>-10000</v>
          </cell>
        </row>
        <row r="498">
          <cell r="J498" t="str">
            <v>5401045581</v>
          </cell>
          <cell r="K498" t="str">
            <v>10</v>
          </cell>
          <cell r="M498">
            <v>7420</v>
          </cell>
        </row>
        <row r="499">
          <cell r="J499" t="str">
            <v>5401045581</v>
          </cell>
          <cell r="K499" t="str">
            <v>10</v>
          </cell>
          <cell r="M499">
            <v>10000</v>
          </cell>
        </row>
        <row r="500">
          <cell r="J500" t="str">
            <v>5401046469</v>
          </cell>
          <cell r="K500" t="str">
            <v>10</v>
          </cell>
          <cell r="M500">
            <v>-10000</v>
          </cell>
        </row>
        <row r="501">
          <cell r="J501" t="str">
            <v>5401046469</v>
          </cell>
          <cell r="K501" t="str">
            <v>10</v>
          </cell>
          <cell r="M501">
            <v>3850</v>
          </cell>
        </row>
        <row r="502">
          <cell r="J502" t="str">
            <v>5401046469</v>
          </cell>
          <cell r="K502" t="str">
            <v>10</v>
          </cell>
          <cell r="M502">
            <v>6150</v>
          </cell>
        </row>
        <row r="503">
          <cell r="J503" t="str">
            <v>5401088459</v>
          </cell>
          <cell r="K503" t="str">
            <v>10</v>
          </cell>
          <cell r="M503">
            <v>28177.5</v>
          </cell>
        </row>
        <row r="504">
          <cell r="J504" t="str">
            <v>5401088459</v>
          </cell>
          <cell r="K504" t="str">
            <v>20</v>
          </cell>
          <cell r="M504">
            <v>3892</v>
          </cell>
        </row>
        <row r="505">
          <cell r="J505" t="str">
            <v>5401088459</v>
          </cell>
          <cell r="K505" t="str">
            <v>30</v>
          </cell>
          <cell r="M505">
            <v>33330.92</v>
          </cell>
        </row>
        <row r="506">
          <cell r="J506" t="str">
            <v>5401088459</v>
          </cell>
          <cell r="K506" t="str">
            <v>40</v>
          </cell>
          <cell r="M506">
            <v>4726.33</v>
          </cell>
        </row>
        <row r="507">
          <cell r="J507" t="str">
            <v>5401088459</v>
          </cell>
          <cell r="K507" t="str">
            <v>50</v>
          </cell>
          <cell r="M507">
            <v>64683.17</v>
          </cell>
        </row>
        <row r="508">
          <cell r="J508" t="str">
            <v>5401088459</v>
          </cell>
          <cell r="K508" t="str">
            <v>60</v>
          </cell>
          <cell r="M508">
            <v>6131</v>
          </cell>
        </row>
        <row r="509">
          <cell r="J509" t="str">
            <v>5401088459</v>
          </cell>
          <cell r="K509" t="str">
            <v>70</v>
          </cell>
          <cell r="M509">
            <v>12262</v>
          </cell>
        </row>
        <row r="510">
          <cell r="J510" t="str">
            <v>5401088459</v>
          </cell>
          <cell r="K510" t="str">
            <v>80</v>
          </cell>
          <cell r="M510">
            <v>62652.69</v>
          </cell>
        </row>
        <row r="511">
          <cell r="J511" t="str">
            <v>5401088459</v>
          </cell>
          <cell r="K511" t="str">
            <v>90</v>
          </cell>
          <cell r="M511">
            <v>37055.82</v>
          </cell>
        </row>
        <row r="512">
          <cell r="J512" t="str">
            <v>5401088459</v>
          </cell>
          <cell r="K512" t="str">
            <v>110</v>
          </cell>
          <cell r="M512">
            <v>5833.33</v>
          </cell>
        </row>
        <row r="513">
          <cell r="J513" t="str">
            <v>5401088459</v>
          </cell>
          <cell r="K513" t="str">
            <v>120</v>
          </cell>
          <cell r="M513">
            <v>5250</v>
          </cell>
        </row>
        <row r="514">
          <cell r="J514" t="str">
            <v>5401088459</v>
          </cell>
          <cell r="K514" t="str">
            <v>130</v>
          </cell>
          <cell r="M514">
            <v>27081.58</v>
          </cell>
        </row>
        <row r="515">
          <cell r="J515" t="str">
            <v>5401088459</v>
          </cell>
          <cell r="K515" t="str">
            <v>150</v>
          </cell>
          <cell r="M515">
            <v>7071.53</v>
          </cell>
        </row>
        <row r="516">
          <cell r="J516" t="str">
            <v>5401088459</v>
          </cell>
          <cell r="K516" t="str">
            <v>160</v>
          </cell>
          <cell r="M516">
            <v>9979.5</v>
          </cell>
        </row>
        <row r="517">
          <cell r="J517" t="str">
            <v>5401088459</v>
          </cell>
          <cell r="K517" t="str">
            <v>170</v>
          </cell>
          <cell r="M517">
            <v>1319.25</v>
          </cell>
        </row>
        <row r="518">
          <cell r="J518" t="str">
            <v>5401088459</v>
          </cell>
          <cell r="K518" t="str">
            <v>180</v>
          </cell>
          <cell r="M518">
            <v>6365.08</v>
          </cell>
        </row>
        <row r="519">
          <cell r="J519" t="str">
            <v>5401088459</v>
          </cell>
          <cell r="K519" t="str">
            <v>190</v>
          </cell>
          <cell r="M519">
            <v>20670.240000000002</v>
          </cell>
        </row>
        <row r="520">
          <cell r="J520" t="str">
            <v>5401088459</v>
          </cell>
          <cell r="K520" t="str">
            <v>200</v>
          </cell>
          <cell r="M520">
            <v>33528.04</v>
          </cell>
        </row>
        <row r="521">
          <cell r="J521" t="str">
            <v>5401088459</v>
          </cell>
          <cell r="K521" t="str">
            <v>210</v>
          </cell>
          <cell r="M521">
            <v>27403.14</v>
          </cell>
        </row>
        <row r="522">
          <cell r="J522" t="str">
            <v>5401088459</v>
          </cell>
          <cell r="K522" t="str">
            <v>220</v>
          </cell>
          <cell r="M522">
            <v>5923.44</v>
          </cell>
        </row>
        <row r="523">
          <cell r="J523" t="str">
            <v>5401088459</v>
          </cell>
          <cell r="K523" t="str">
            <v>230</v>
          </cell>
          <cell r="M523">
            <v>3166.2</v>
          </cell>
        </row>
        <row r="524">
          <cell r="J524" t="str">
            <v>5401088459</v>
          </cell>
          <cell r="K524" t="str">
            <v>250</v>
          </cell>
          <cell r="M524">
            <v>16144.11</v>
          </cell>
        </row>
        <row r="525">
          <cell r="J525" t="str">
            <v>5401088459</v>
          </cell>
          <cell r="K525" t="str">
            <v>260</v>
          </cell>
          <cell r="M525">
            <v>10000</v>
          </cell>
        </row>
        <row r="526">
          <cell r="J526" t="str">
            <v>5401001779</v>
          </cell>
          <cell r="K526" t="str">
            <v>40</v>
          </cell>
          <cell r="M526">
            <v>16100</v>
          </cell>
        </row>
        <row r="527">
          <cell r="J527" t="str">
            <v>5401030676</v>
          </cell>
          <cell r="K527" t="str">
            <v>30</v>
          </cell>
          <cell r="M527">
            <v>1736</v>
          </cell>
        </row>
        <row r="528">
          <cell r="J528" t="str">
            <v>5401080603</v>
          </cell>
          <cell r="K528" t="str">
            <v>10</v>
          </cell>
          <cell r="M528">
            <v>11300</v>
          </cell>
        </row>
        <row r="529">
          <cell r="J529" t="str">
            <v>5401082177</v>
          </cell>
          <cell r="K529" t="str">
            <v>10</v>
          </cell>
          <cell r="M529">
            <v>18000</v>
          </cell>
        </row>
        <row r="530">
          <cell r="J530" t="str">
            <v>5400836551</v>
          </cell>
          <cell r="K530" t="str">
            <v>20</v>
          </cell>
          <cell r="M530">
            <v>1875</v>
          </cell>
        </row>
        <row r="531">
          <cell r="J531" t="str">
            <v>5400853128</v>
          </cell>
          <cell r="K531" t="str">
            <v>10</v>
          </cell>
          <cell r="M531">
            <v>45333</v>
          </cell>
        </row>
        <row r="532">
          <cell r="J532" t="str">
            <v>5400980360</v>
          </cell>
          <cell r="K532" t="str">
            <v>10</v>
          </cell>
          <cell r="M532">
            <v>8000</v>
          </cell>
        </row>
        <row r="533">
          <cell r="J533" t="str">
            <v>5401001779</v>
          </cell>
          <cell r="K533" t="str">
            <v>40</v>
          </cell>
          <cell r="M533">
            <v>16100</v>
          </cell>
        </row>
        <row r="534">
          <cell r="J534" t="str">
            <v>5400877269</v>
          </cell>
          <cell r="K534" t="str">
            <v>40</v>
          </cell>
          <cell r="M534">
            <v>2787.43</v>
          </cell>
        </row>
        <row r="535">
          <cell r="J535" t="str">
            <v>5400877269</v>
          </cell>
          <cell r="K535" t="str">
            <v>40</v>
          </cell>
          <cell r="M535">
            <v>2787.43</v>
          </cell>
        </row>
        <row r="536">
          <cell r="J536" t="str">
            <v>5401045581</v>
          </cell>
          <cell r="K536" t="str">
            <v>10</v>
          </cell>
          <cell r="M536">
            <v>1130</v>
          </cell>
        </row>
        <row r="537">
          <cell r="J537" t="str">
            <v>5401045581</v>
          </cell>
          <cell r="K537" t="str">
            <v>10</v>
          </cell>
          <cell r="M537">
            <v>10000</v>
          </cell>
        </row>
        <row r="538">
          <cell r="J538" t="str">
            <v>5401094857</v>
          </cell>
          <cell r="K538" t="str">
            <v>10</v>
          </cell>
          <cell r="M538">
            <v>7284.42</v>
          </cell>
        </row>
        <row r="539">
          <cell r="J539" t="str">
            <v>5401094867</v>
          </cell>
          <cell r="K539" t="str">
            <v>10</v>
          </cell>
          <cell r="M539">
            <v>8277</v>
          </cell>
        </row>
        <row r="540">
          <cell r="J540" t="str">
            <v>5401088459</v>
          </cell>
          <cell r="K540" t="str">
            <v>10</v>
          </cell>
          <cell r="M540">
            <v>28177.5</v>
          </cell>
        </row>
        <row r="541">
          <cell r="J541" t="str">
            <v>5401088459</v>
          </cell>
          <cell r="K541" t="str">
            <v>20</v>
          </cell>
          <cell r="M541">
            <v>3892</v>
          </cell>
        </row>
        <row r="542">
          <cell r="J542" t="str">
            <v>5401088459</v>
          </cell>
          <cell r="K542" t="str">
            <v>30</v>
          </cell>
          <cell r="M542">
            <v>33330.92</v>
          </cell>
        </row>
        <row r="543">
          <cell r="J543" t="str">
            <v>5401088459</v>
          </cell>
          <cell r="K543" t="str">
            <v>40</v>
          </cell>
          <cell r="M543">
            <v>4726.33</v>
          </cell>
        </row>
        <row r="544">
          <cell r="J544" t="str">
            <v>5401088459</v>
          </cell>
          <cell r="K544" t="str">
            <v>50</v>
          </cell>
          <cell r="M544">
            <v>64683.17</v>
          </cell>
        </row>
        <row r="545">
          <cell r="J545" t="str">
            <v>5401088459</v>
          </cell>
          <cell r="K545" t="str">
            <v>60</v>
          </cell>
          <cell r="M545">
            <v>6131</v>
          </cell>
        </row>
        <row r="546">
          <cell r="J546" t="str">
            <v>5401088459</v>
          </cell>
          <cell r="K546" t="str">
            <v>70</v>
          </cell>
          <cell r="M546">
            <v>12262</v>
          </cell>
        </row>
        <row r="547">
          <cell r="J547" t="str">
            <v>5401088459</v>
          </cell>
          <cell r="K547" t="str">
            <v>80</v>
          </cell>
          <cell r="M547">
            <v>62652.69</v>
          </cell>
        </row>
        <row r="548">
          <cell r="J548" t="str">
            <v>5401088459</v>
          </cell>
          <cell r="K548" t="str">
            <v>90</v>
          </cell>
          <cell r="M548">
            <v>37055.82</v>
          </cell>
        </row>
        <row r="549">
          <cell r="J549" t="str">
            <v>5401088459</v>
          </cell>
          <cell r="K549" t="str">
            <v>110</v>
          </cell>
          <cell r="M549">
            <v>5833.33</v>
          </cell>
        </row>
        <row r="550">
          <cell r="J550" t="str">
            <v>5401088459</v>
          </cell>
          <cell r="K550" t="str">
            <v>120</v>
          </cell>
          <cell r="M550">
            <v>5250</v>
          </cell>
        </row>
        <row r="551">
          <cell r="J551" t="str">
            <v>5401088459</v>
          </cell>
          <cell r="K551" t="str">
            <v>130</v>
          </cell>
          <cell r="M551">
            <v>27081.58</v>
          </cell>
        </row>
        <row r="552">
          <cell r="J552" t="str">
            <v>5401088459</v>
          </cell>
          <cell r="K552" t="str">
            <v>150</v>
          </cell>
          <cell r="M552">
            <v>7071.53</v>
          </cell>
        </row>
        <row r="553">
          <cell r="J553" t="str">
            <v>5401088459</v>
          </cell>
          <cell r="K553" t="str">
            <v>160</v>
          </cell>
          <cell r="M553">
            <v>9979.5</v>
          </cell>
        </row>
        <row r="554">
          <cell r="J554" t="str">
            <v>5401088459</v>
          </cell>
          <cell r="K554" t="str">
            <v>170</v>
          </cell>
          <cell r="M554">
            <v>1319.25</v>
          </cell>
        </row>
        <row r="555">
          <cell r="J555" t="str">
            <v>5401088459</v>
          </cell>
          <cell r="K555" t="str">
            <v>180</v>
          </cell>
          <cell r="M555">
            <v>6365.08</v>
          </cell>
        </row>
        <row r="556">
          <cell r="J556" t="str">
            <v>5401088459</v>
          </cell>
          <cell r="K556" t="str">
            <v>190</v>
          </cell>
          <cell r="M556">
            <v>20670.240000000002</v>
          </cell>
        </row>
        <row r="557">
          <cell r="J557" t="str">
            <v>5401088459</v>
          </cell>
          <cell r="K557" t="str">
            <v>200</v>
          </cell>
          <cell r="M557">
            <v>33528.04</v>
          </cell>
        </row>
        <row r="558">
          <cell r="J558" t="str">
            <v>5401088459</v>
          </cell>
          <cell r="K558" t="str">
            <v>210</v>
          </cell>
          <cell r="M558">
            <v>27403.14</v>
          </cell>
        </row>
        <row r="559">
          <cell r="J559" t="str">
            <v>5401088459</v>
          </cell>
          <cell r="K559" t="str">
            <v>220</v>
          </cell>
          <cell r="M559">
            <v>5923.44</v>
          </cell>
        </row>
        <row r="560">
          <cell r="J560" t="str">
            <v>5401088459</v>
          </cell>
          <cell r="K560" t="str">
            <v>230</v>
          </cell>
          <cell r="M560">
            <v>3166.2</v>
          </cell>
        </row>
        <row r="561">
          <cell r="J561" t="str">
            <v>5401088459</v>
          </cell>
          <cell r="K561" t="str">
            <v>240</v>
          </cell>
          <cell r="M561">
            <v>14655.6</v>
          </cell>
        </row>
        <row r="562">
          <cell r="J562" t="str">
            <v>5401088459</v>
          </cell>
          <cell r="K562" t="str">
            <v>250</v>
          </cell>
          <cell r="M562">
            <v>16144.11</v>
          </cell>
        </row>
        <row r="563">
          <cell r="J563" t="str">
            <v>5401088459</v>
          </cell>
          <cell r="K563" t="str">
            <v>260</v>
          </cell>
          <cell r="M563">
            <v>10000</v>
          </cell>
        </row>
        <row r="564">
          <cell r="J564" t="str">
            <v>5401088459</v>
          </cell>
          <cell r="K564" t="str">
            <v>270</v>
          </cell>
          <cell r="M564">
            <v>9500</v>
          </cell>
        </row>
        <row r="565">
          <cell r="J565" t="str">
            <v>5400980360</v>
          </cell>
          <cell r="K565" t="str">
            <v>10</v>
          </cell>
          <cell r="M565">
            <v>4165.1099999999997</v>
          </cell>
        </row>
        <row r="566">
          <cell r="J566" t="str">
            <v>5400980360</v>
          </cell>
          <cell r="K566" t="str">
            <v>10</v>
          </cell>
          <cell r="M566">
            <v>7854.35</v>
          </cell>
        </row>
        <row r="567">
          <cell r="J567" t="str">
            <v>5401080603</v>
          </cell>
          <cell r="K567" t="str">
            <v>10</v>
          </cell>
          <cell r="M567">
            <v>11300</v>
          </cell>
        </row>
        <row r="568">
          <cell r="J568" t="str">
            <v>5401082177</v>
          </cell>
          <cell r="K568" t="str">
            <v>10</v>
          </cell>
          <cell r="M568">
            <v>18000</v>
          </cell>
        </row>
        <row r="569">
          <cell r="J569" t="str">
            <v>5401034404</v>
          </cell>
          <cell r="K569" t="str">
            <v>10</v>
          </cell>
          <cell r="M569">
            <v>6953.31</v>
          </cell>
        </row>
        <row r="570">
          <cell r="J570" t="str">
            <v>5401034404</v>
          </cell>
          <cell r="K570" t="str">
            <v>10</v>
          </cell>
          <cell r="M570">
            <v>6622.2</v>
          </cell>
        </row>
        <row r="571">
          <cell r="J571" t="str">
            <v>5401034404</v>
          </cell>
          <cell r="K571" t="str">
            <v>10</v>
          </cell>
          <cell r="M571">
            <v>7284.42</v>
          </cell>
        </row>
        <row r="572">
          <cell r="J572" t="str">
            <v>5401080603</v>
          </cell>
          <cell r="K572" t="str">
            <v>10</v>
          </cell>
          <cell r="M572">
            <v>2260</v>
          </cell>
        </row>
        <row r="573">
          <cell r="J573" t="str">
            <v>5401082177</v>
          </cell>
          <cell r="K573" t="str">
            <v>10</v>
          </cell>
          <cell r="M573">
            <v>-18000</v>
          </cell>
        </row>
        <row r="574">
          <cell r="J574" t="str">
            <v>5401082177</v>
          </cell>
          <cell r="K574" t="str">
            <v>10</v>
          </cell>
          <cell r="M574">
            <v>17680</v>
          </cell>
        </row>
        <row r="575">
          <cell r="J575" t="str">
            <v>5401082177</v>
          </cell>
          <cell r="K575" t="str">
            <v>10</v>
          </cell>
          <cell r="M575">
            <v>17680</v>
          </cell>
        </row>
        <row r="576">
          <cell r="J576" t="str">
            <v>5401099794</v>
          </cell>
          <cell r="K576" t="str">
            <v>10</v>
          </cell>
          <cell r="M576">
            <v>13000</v>
          </cell>
        </row>
        <row r="577">
          <cell r="J577" t="str">
            <v>5400836551</v>
          </cell>
          <cell r="K577" t="str">
            <v>20</v>
          </cell>
          <cell r="M577">
            <v>1875</v>
          </cell>
        </row>
        <row r="578">
          <cell r="J578" t="str">
            <v>5400853128</v>
          </cell>
          <cell r="K578" t="str">
            <v>10</v>
          </cell>
          <cell r="M578">
            <v>45333</v>
          </cell>
        </row>
        <row r="579">
          <cell r="J579" t="str">
            <v>5401001779</v>
          </cell>
          <cell r="K579" t="str">
            <v>40</v>
          </cell>
          <cell r="M579">
            <v>16100</v>
          </cell>
        </row>
        <row r="580">
          <cell r="J580" t="str">
            <v>5400980360</v>
          </cell>
          <cell r="K580" t="str">
            <v>10</v>
          </cell>
          <cell r="M580">
            <v>1162.2</v>
          </cell>
        </row>
        <row r="581">
          <cell r="J581" t="str">
            <v>5401094857</v>
          </cell>
          <cell r="K581" t="str">
            <v>10</v>
          </cell>
          <cell r="M581">
            <v>7284.42</v>
          </cell>
        </row>
        <row r="582">
          <cell r="J582" t="str">
            <v>5401088459</v>
          </cell>
          <cell r="K582" t="str">
            <v>10</v>
          </cell>
          <cell r="M582">
            <v>28177.5</v>
          </cell>
        </row>
        <row r="583">
          <cell r="J583" t="str">
            <v>5401088459</v>
          </cell>
          <cell r="K583" t="str">
            <v>20</v>
          </cell>
          <cell r="M583">
            <v>3892</v>
          </cell>
        </row>
        <row r="584">
          <cell r="J584" t="str">
            <v>5401088459</v>
          </cell>
          <cell r="K584" t="str">
            <v>30</v>
          </cell>
          <cell r="M584">
            <v>33330.92</v>
          </cell>
        </row>
        <row r="585">
          <cell r="J585" t="str">
            <v>5401088459</v>
          </cell>
          <cell r="K585" t="str">
            <v>40</v>
          </cell>
          <cell r="M585">
            <v>4726.33</v>
          </cell>
        </row>
        <row r="586">
          <cell r="J586" t="str">
            <v>5401088459</v>
          </cell>
          <cell r="K586" t="str">
            <v>50</v>
          </cell>
          <cell r="M586">
            <v>64683.17</v>
          </cell>
        </row>
        <row r="587">
          <cell r="J587" t="str">
            <v>5401088459</v>
          </cell>
          <cell r="K587" t="str">
            <v>60</v>
          </cell>
          <cell r="M587">
            <v>6131</v>
          </cell>
        </row>
        <row r="588">
          <cell r="J588" t="str">
            <v>5401088459</v>
          </cell>
          <cell r="K588" t="str">
            <v>70</v>
          </cell>
          <cell r="M588">
            <v>12262</v>
          </cell>
        </row>
        <row r="589">
          <cell r="J589" t="str">
            <v>5401088459</v>
          </cell>
          <cell r="K589" t="str">
            <v>80</v>
          </cell>
          <cell r="M589">
            <v>62652.69</v>
          </cell>
        </row>
        <row r="590">
          <cell r="J590" t="str">
            <v>5401088459</v>
          </cell>
          <cell r="K590" t="str">
            <v>90</v>
          </cell>
          <cell r="M590">
            <v>37055.82</v>
          </cell>
        </row>
        <row r="591">
          <cell r="J591" t="str">
            <v>5401088459</v>
          </cell>
          <cell r="K591" t="str">
            <v>110</v>
          </cell>
          <cell r="M591">
            <v>5833.33</v>
          </cell>
        </row>
        <row r="592">
          <cell r="J592" t="str">
            <v>5401088459</v>
          </cell>
          <cell r="K592" t="str">
            <v>120</v>
          </cell>
          <cell r="M592">
            <v>5250</v>
          </cell>
        </row>
        <row r="593">
          <cell r="J593" t="str">
            <v>5401088459</v>
          </cell>
          <cell r="K593" t="str">
            <v>130</v>
          </cell>
          <cell r="M593">
            <v>27081.58</v>
          </cell>
        </row>
        <row r="594">
          <cell r="J594" t="str">
            <v>5401088459</v>
          </cell>
          <cell r="K594" t="str">
            <v>150</v>
          </cell>
          <cell r="M594">
            <v>7071.33</v>
          </cell>
        </row>
        <row r="595">
          <cell r="J595" t="str">
            <v>5401088459</v>
          </cell>
          <cell r="K595" t="str">
            <v>160</v>
          </cell>
          <cell r="M595">
            <v>9979.5</v>
          </cell>
        </row>
        <row r="596">
          <cell r="J596" t="str">
            <v>5401088459</v>
          </cell>
          <cell r="K596" t="str">
            <v>170</v>
          </cell>
          <cell r="M596">
            <v>1319.25</v>
          </cell>
        </row>
        <row r="597">
          <cell r="J597" t="str">
            <v>5401088459</v>
          </cell>
          <cell r="K597" t="str">
            <v>180</v>
          </cell>
          <cell r="M597">
            <v>6365.08</v>
          </cell>
        </row>
        <row r="598">
          <cell r="J598" t="str">
            <v>5401088459</v>
          </cell>
          <cell r="K598" t="str">
            <v>190</v>
          </cell>
          <cell r="M598">
            <v>20670.240000000002</v>
          </cell>
        </row>
        <row r="599">
          <cell r="J599" t="str">
            <v>5401088459</v>
          </cell>
          <cell r="K599" t="str">
            <v>200</v>
          </cell>
          <cell r="M599">
            <v>27556.720000000001</v>
          </cell>
        </row>
        <row r="600">
          <cell r="J600" t="str">
            <v>5401088459</v>
          </cell>
          <cell r="K600" t="str">
            <v>210</v>
          </cell>
          <cell r="M600">
            <v>27403.14</v>
          </cell>
        </row>
        <row r="601">
          <cell r="J601" t="str">
            <v>5401088459</v>
          </cell>
          <cell r="K601" t="str">
            <v>220</v>
          </cell>
          <cell r="M601">
            <v>5923.44</v>
          </cell>
        </row>
        <row r="602">
          <cell r="J602" t="str">
            <v>5401088459</v>
          </cell>
          <cell r="K602" t="str">
            <v>230</v>
          </cell>
          <cell r="M602">
            <v>3166.2</v>
          </cell>
        </row>
        <row r="603">
          <cell r="J603" t="str">
            <v>5401088459</v>
          </cell>
          <cell r="K603" t="str">
            <v>240</v>
          </cell>
          <cell r="M603">
            <v>7327.8</v>
          </cell>
        </row>
        <row r="604">
          <cell r="J604" t="str">
            <v>5401088459</v>
          </cell>
          <cell r="K604" t="str">
            <v>250</v>
          </cell>
          <cell r="M604">
            <v>16144.11</v>
          </cell>
        </row>
        <row r="605">
          <cell r="J605" t="str">
            <v>5401088459</v>
          </cell>
          <cell r="K605" t="str">
            <v>280</v>
          </cell>
          <cell r="M605">
            <v>7306.2</v>
          </cell>
        </row>
        <row r="606">
          <cell r="J606" t="str">
            <v>5401088459</v>
          </cell>
          <cell r="K606" t="str">
            <v>260</v>
          </cell>
          <cell r="M606">
            <v>10000</v>
          </cell>
        </row>
        <row r="607">
          <cell r="J607" t="str">
            <v>5401094867</v>
          </cell>
          <cell r="K607" t="str">
            <v>10</v>
          </cell>
          <cell r="M607">
            <v>8010</v>
          </cell>
        </row>
        <row r="608">
          <cell r="J608" t="str">
            <v>5401094857</v>
          </cell>
          <cell r="K608" t="str">
            <v>10</v>
          </cell>
          <cell r="M608">
            <v>-7284.42</v>
          </cell>
        </row>
        <row r="609">
          <cell r="J609" t="str">
            <v>5401094857</v>
          </cell>
          <cell r="K609" t="str">
            <v>10</v>
          </cell>
          <cell r="M609">
            <v>6291.09</v>
          </cell>
        </row>
        <row r="610">
          <cell r="J610" t="str">
            <v>5401088459</v>
          </cell>
          <cell r="K610" t="str">
            <v>270</v>
          </cell>
          <cell r="M610">
            <v>9500</v>
          </cell>
        </row>
        <row r="611">
          <cell r="J611" t="str">
            <v>5400877269</v>
          </cell>
          <cell r="K611" t="str">
            <v>40</v>
          </cell>
          <cell r="M611">
            <v>2787.43</v>
          </cell>
        </row>
        <row r="612">
          <cell r="J612" t="str">
            <v>5401023508</v>
          </cell>
          <cell r="K612" t="str">
            <v>30</v>
          </cell>
          <cell r="M612">
            <v>-23240</v>
          </cell>
        </row>
        <row r="613">
          <cell r="J613" t="str">
            <v>5401023508</v>
          </cell>
          <cell r="K613" t="str">
            <v>30</v>
          </cell>
          <cell r="M613">
            <v>-15000</v>
          </cell>
        </row>
        <row r="614">
          <cell r="J614" t="str">
            <v>5401023508</v>
          </cell>
          <cell r="K614" t="str">
            <v>220</v>
          </cell>
          <cell r="M614">
            <v>-4297.8599999999997</v>
          </cell>
        </row>
        <row r="615">
          <cell r="J615" t="str">
            <v>5401023508</v>
          </cell>
          <cell r="K615" t="str">
            <v>230</v>
          </cell>
          <cell r="M615">
            <v>-5130</v>
          </cell>
        </row>
        <row r="616">
          <cell r="J616" t="str">
            <v>5401023508</v>
          </cell>
          <cell r="K616" t="str">
            <v>240</v>
          </cell>
          <cell r="M616">
            <v>-2200.84</v>
          </cell>
        </row>
        <row r="617">
          <cell r="J617" t="str">
            <v>5401023508</v>
          </cell>
          <cell r="K617" t="str">
            <v>210</v>
          </cell>
          <cell r="M617">
            <v>-7045.71</v>
          </cell>
        </row>
        <row r="618">
          <cell r="J618" t="str">
            <v>5401046469</v>
          </cell>
          <cell r="K618" t="str">
            <v>10</v>
          </cell>
          <cell r="M618">
            <v>-6150</v>
          </cell>
        </row>
        <row r="619">
          <cell r="J619" t="str">
            <v>5400836551</v>
          </cell>
          <cell r="K619" t="str">
            <v>20</v>
          </cell>
          <cell r="M619">
            <v>1875</v>
          </cell>
        </row>
        <row r="620">
          <cell r="J620" t="str">
            <v>5400853128</v>
          </cell>
          <cell r="K620" t="str">
            <v>10</v>
          </cell>
          <cell r="M620">
            <v>45333</v>
          </cell>
        </row>
        <row r="621">
          <cell r="J621" t="str">
            <v>5400980360</v>
          </cell>
          <cell r="K621" t="str">
            <v>10</v>
          </cell>
          <cell r="M621">
            <v>10000</v>
          </cell>
        </row>
        <row r="622">
          <cell r="J622" t="str">
            <v>5401001779</v>
          </cell>
          <cell r="K622" t="str">
            <v>40</v>
          </cell>
          <cell r="M622">
            <v>16100</v>
          </cell>
        </row>
        <row r="623">
          <cell r="J623" t="str">
            <v>5401082177</v>
          </cell>
          <cell r="K623" t="str">
            <v>10</v>
          </cell>
          <cell r="M623">
            <v>884</v>
          </cell>
        </row>
        <row r="624">
          <cell r="J624" t="str">
            <v>5401082177</v>
          </cell>
          <cell r="K624" t="str">
            <v>10</v>
          </cell>
          <cell r="M624">
            <v>15000</v>
          </cell>
        </row>
        <row r="625">
          <cell r="J625" t="str">
            <v>5401045581</v>
          </cell>
          <cell r="K625" t="str">
            <v>10</v>
          </cell>
          <cell r="M625">
            <v>-10000</v>
          </cell>
        </row>
        <row r="626">
          <cell r="J626" t="str">
            <v>5401088459</v>
          </cell>
          <cell r="K626" t="str">
            <v>10</v>
          </cell>
          <cell r="M626">
            <v>28177.5</v>
          </cell>
        </row>
        <row r="627">
          <cell r="J627" t="str">
            <v>5401088459</v>
          </cell>
          <cell r="K627" t="str">
            <v>20</v>
          </cell>
          <cell r="M627">
            <v>3892</v>
          </cell>
        </row>
        <row r="628">
          <cell r="J628" t="str">
            <v>5401088459</v>
          </cell>
          <cell r="K628" t="str">
            <v>30</v>
          </cell>
          <cell r="M628">
            <v>33330.92</v>
          </cell>
        </row>
        <row r="629">
          <cell r="J629" t="str">
            <v>5401088459</v>
          </cell>
          <cell r="K629" t="str">
            <v>40</v>
          </cell>
          <cell r="M629">
            <v>4726.33</v>
          </cell>
        </row>
        <row r="630">
          <cell r="J630" t="str">
            <v>5401088459</v>
          </cell>
          <cell r="K630" t="str">
            <v>50</v>
          </cell>
          <cell r="M630">
            <v>64683.17</v>
          </cell>
        </row>
        <row r="631">
          <cell r="J631" t="str">
            <v>5401088459</v>
          </cell>
          <cell r="K631" t="str">
            <v>60</v>
          </cell>
          <cell r="M631">
            <v>6131</v>
          </cell>
        </row>
        <row r="632">
          <cell r="J632" t="str">
            <v>5401088459</v>
          </cell>
          <cell r="K632" t="str">
            <v>70</v>
          </cell>
          <cell r="M632">
            <v>12262</v>
          </cell>
        </row>
        <row r="633">
          <cell r="J633" t="str">
            <v>5401088459</v>
          </cell>
          <cell r="K633" t="str">
            <v>80</v>
          </cell>
          <cell r="M633">
            <v>62652.69</v>
          </cell>
        </row>
        <row r="634">
          <cell r="J634" t="str">
            <v>5401088459</v>
          </cell>
          <cell r="K634" t="str">
            <v>90</v>
          </cell>
          <cell r="M634">
            <v>37055.82</v>
          </cell>
        </row>
        <row r="635">
          <cell r="J635" t="str">
            <v>5401088459</v>
          </cell>
          <cell r="K635" t="str">
            <v>110</v>
          </cell>
          <cell r="M635">
            <v>5833.33</v>
          </cell>
        </row>
        <row r="636">
          <cell r="J636" t="str">
            <v>5401088459</v>
          </cell>
          <cell r="K636" t="str">
            <v>120</v>
          </cell>
          <cell r="M636">
            <v>5250</v>
          </cell>
        </row>
        <row r="637">
          <cell r="J637" t="str">
            <v>5401088459</v>
          </cell>
          <cell r="K637" t="str">
            <v>130</v>
          </cell>
          <cell r="M637">
            <v>14839.58</v>
          </cell>
        </row>
        <row r="638">
          <cell r="J638" t="str">
            <v>5401088459</v>
          </cell>
          <cell r="K638" t="str">
            <v>150</v>
          </cell>
          <cell r="M638">
            <v>7071.33</v>
          </cell>
        </row>
        <row r="639">
          <cell r="J639" t="str">
            <v>5401088459</v>
          </cell>
          <cell r="K639" t="str">
            <v>160</v>
          </cell>
          <cell r="M639">
            <v>9979.5</v>
          </cell>
        </row>
        <row r="640">
          <cell r="J640" t="str">
            <v>5401088459</v>
          </cell>
          <cell r="K640" t="str">
            <v>170</v>
          </cell>
          <cell r="M640">
            <v>1319.25</v>
          </cell>
        </row>
        <row r="641">
          <cell r="J641" t="str">
            <v>5401088459</v>
          </cell>
          <cell r="K641" t="str">
            <v>180</v>
          </cell>
          <cell r="M641">
            <v>6365.08</v>
          </cell>
        </row>
        <row r="642">
          <cell r="J642" t="str">
            <v>5401088459</v>
          </cell>
          <cell r="K642" t="str">
            <v>190</v>
          </cell>
          <cell r="M642">
            <v>20670.240000000002</v>
          </cell>
        </row>
        <row r="643">
          <cell r="J643" t="str">
            <v>5401088459</v>
          </cell>
          <cell r="K643" t="str">
            <v>200</v>
          </cell>
          <cell r="M643">
            <v>30542.38</v>
          </cell>
        </row>
        <row r="644">
          <cell r="J644" t="str">
            <v>5401088459</v>
          </cell>
          <cell r="K644" t="str">
            <v>210</v>
          </cell>
          <cell r="M644">
            <v>27403.14</v>
          </cell>
        </row>
        <row r="645">
          <cell r="J645" t="str">
            <v>5401088459</v>
          </cell>
          <cell r="K645" t="str">
            <v>220</v>
          </cell>
          <cell r="M645">
            <v>5923.44</v>
          </cell>
        </row>
        <row r="646">
          <cell r="J646" t="str">
            <v>5401088459</v>
          </cell>
          <cell r="K646" t="str">
            <v>230</v>
          </cell>
          <cell r="M646">
            <v>3166.2</v>
          </cell>
        </row>
        <row r="647">
          <cell r="J647" t="str">
            <v>5401088459</v>
          </cell>
          <cell r="K647" t="str">
            <v>240</v>
          </cell>
          <cell r="M647">
            <v>4870.8</v>
          </cell>
        </row>
        <row r="648">
          <cell r="J648" t="str">
            <v>5401088459</v>
          </cell>
          <cell r="K648" t="str">
            <v>260</v>
          </cell>
          <cell r="M648">
            <v>10000</v>
          </cell>
        </row>
        <row r="649">
          <cell r="J649" t="str">
            <v>5401088459</v>
          </cell>
          <cell r="K649" t="str">
            <v>270</v>
          </cell>
          <cell r="M649">
            <v>36120</v>
          </cell>
        </row>
        <row r="650">
          <cell r="J650" t="str">
            <v>5400877269</v>
          </cell>
          <cell r="K650" t="str">
            <v>40</v>
          </cell>
          <cell r="M650">
            <v>2898.93</v>
          </cell>
        </row>
        <row r="651">
          <cell r="J651" t="str">
            <v>5401099794</v>
          </cell>
          <cell r="K651" t="str">
            <v>10</v>
          </cell>
          <cell r="M651">
            <v>15000</v>
          </cell>
        </row>
        <row r="652">
          <cell r="J652" t="str">
            <v>5401102219</v>
          </cell>
          <cell r="K652" t="str">
            <v>10</v>
          </cell>
          <cell r="M652">
            <v>16358.9</v>
          </cell>
        </row>
        <row r="653">
          <cell r="J653" t="str">
            <v>5401100854</v>
          </cell>
          <cell r="K653" t="str">
            <v>10</v>
          </cell>
          <cell r="M653">
            <v>18285</v>
          </cell>
        </row>
        <row r="654">
          <cell r="J654" t="str">
            <v>5400836551</v>
          </cell>
          <cell r="K654" t="str">
            <v>20</v>
          </cell>
          <cell r="M654">
            <v>1875</v>
          </cell>
        </row>
        <row r="655">
          <cell r="J655" t="str">
            <v>5400853128</v>
          </cell>
          <cell r="K655" t="str">
            <v>10</v>
          </cell>
          <cell r="M655">
            <v>45333</v>
          </cell>
        </row>
        <row r="656">
          <cell r="J656" t="str">
            <v>5400877269</v>
          </cell>
          <cell r="K656" t="str">
            <v>40</v>
          </cell>
          <cell r="M656">
            <v>2898.93</v>
          </cell>
        </row>
        <row r="657">
          <cell r="J657" t="str">
            <v>5400877269</v>
          </cell>
          <cell r="K657" t="str">
            <v>40</v>
          </cell>
          <cell r="M657">
            <v>669</v>
          </cell>
        </row>
        <row r="658">
          <cell r="J658" t="str">
            <v>5400877269</v>
          </cell>
          <cell r="K658" t="str">
            <v>40</v>
          </cell>
          <cell r="M658">
            <v>111.5</v>
          </cell>
        </row>
        <row r="659">
          <cell r="J659" t="str">
            <v>5400877269</v>
          </cell>
          <cell r="K659" t="str">
            <v>40</v>
          </cell>
          <cell r="M659">
            <v>111.5</v>
          </cell>
        </row>
        <row r="660">
          <cell r="J660" t="str">
            <v>5401001779</v>
          </cell>
          <cell r="K660" t="str">
            <v>40</v>
          </cell>
          <cell r="M660">
            <v>16100</v>
          </cell>
        </row>
        <row r="661">
          <cell r="J661" t="str">
            <v>5401094857</v>
          </cell>
          <cell r="K661" t="str">
            <v>10</v>
          </cell>
          <cell r="M661">
            <v>6953.31</v>
          </cell>
        </row>
        <row r="662">
          <cell r="J662" t="str">
            <v>5400980360</v>
          </cell>
          <cell r="K662" t="str">
            <v>10</v>
          </cell>
          <cell r="M662">
            <v>10000</v>
          </cell>
        </row>
        <row r="663">
          <cell r="J663" t="str">
            <v>5401103107</v>
          </cell>
          <cell r="K663" t="str">
            <v>10</v>
          </cell>
          <cell r="M663">
            <v>28676.38</v>
          </cell>
        </row>
        <row r="664">
          <cell r="J664" t="str">
            <v>5401088459</v>
          </cell>
          <cell r="K664" t="str">
            <v>10</v>
          </cell>
          <cell r="M664">
            <v>28177.5</v>
          </cell>
        </row>
        <row r="665">
          <cell r="J665" t="str">
            <v>5401088459</v>
          </cell>
          <cell r="K665" t="str">
            <v>20</v>
          </cell>
          <cell r="M665">
            <v>3892</v>
          </cell>
        </row>
        <row r="666">
          <cell r="J666" t="str">
            <v>5401088459</v>
          </cell>
          <cell r="K666" t="str">
            <v>30</v>
          </cell>
          <cell r="M666">
            <v>33330.92</v>
          </cell>
        </row>
        <row r="667">
          <cell r="J667" t="str">
            <v>5401088459</v>
          </cell>
          <cell r="K667" t="str">
            <v>40</v>
          </cell>
          <cell r="M667">
            <v>4726.33</v>
          </cell>
        </row>
        <row r="668">
          <cell r="J668" t="str">
            <v>5401088459</v>
          </cell>
          <cell r="K668" t="str">
            <v>50</v>
          </cell>
          <cell r="M668">
            <v>64683.17</v>
          </cell>
        </row>
        <row r="669">
          <cell r="J669" t="str">
            <v>5401088459</v>
          </cell>
          <cell r="K669" t="str">
            <v>60</v>
          </cell>
          <cell r="M669">
            <v>6131</v>
          </cell>
        </row>
        <row r="670">
          <cell r="J670" t="str">
            <v>5401088459</v>
          </cell>
          <cell r="K670" t="str">
            <v>70</v>
          </cell>
          <cell r="M670">
            <v>12262</v>
          </cell>
        </row>
        <row r="671">
          <cell r="J671" t="str">
            <v>5401088459</v>
          </cell>
          <cell r="K671" t="str">
            <v>80</v>
          </cell>
          <cell r="M671">
            <v>62652.69</v>
          </cell>
        </row>
        <row r="672">
          <cell r="J672" t="str">
            <v>5401088459</v>
          </cell>
          <cell r="K672" t="str">
            <v>90</v>
          </cell>
          <cell r="M672">
            <v>37055.82</v>
          </cell>
        </row>
        <row r="673">
          <cell r="J673" t="str">
            <v>5401088459</v>
          </cell>
          <cell r="K673" t="str">
            <v>110</v>
          </cell>
          <cell r="M673">
            <v>5833.33</v>
          </cell>
        </row>
        <row r="674">
          <cell r="J674" t="str">
            <v>5401088459</v>
          </cell>
          <cell r="K674" t="str">
            <v>120</v>
          </cell>
          <cell r="M674">
            <v>5250</v>
          </cell>
        </row>
        <row r="675">
          <cell r="J675" t="str">
            <v>5401088459</v>
          </cell>
          <cell r="K675" t="str">
            <v>130</v>
          </cell>
          <cell r="M675">
            <v>14839.58</v>
          </cell>
        </row>
        <row r="676">
          <cell r="J676" t="str">
            <v>5401088459</v>
          </cell>
          <cell r="K676" t="str">
            <v>150</v>
          </cell>
          <cell r="M676">
            <v>7071.33</v>
          </cell>
        </row>
        <row r="677">
          <cell r="J677" t="str">
            <v>5401088459</v>
          </cell>
          <cell r="K677" t="str">
            <v>160</v>
          </cell>
          <cell r="M677">
            <v>9979.5</v>
          </cell>
        </row>
        <row r="678">
          <cell r="J678" t="str">
            <v>5401088459</v>
          </cell>
          <cell r="K678" t="str">
            <v>170</v>
          </cell>
          <cell r="M678">
            <v>1319.25</v>
          </cell>
        </row>
        <row r="679">
          <cell r="J679" t="str">
            <v>5401088459</v>
          </cell>
          <cell r="K679" t="str">
            <v>180</v>
          </cell>
          <cell r="M679">
            <v>6365.08</v>
          </cell>
        </row>
        <row r="680">
          <cell r="J680" t="str">
            <v>5401088459</v>
          </cell>
          <cell r="K680" t="str">
            <v>190</v>
          </cell>
          <cell r="M680">
            <v>20670.240000000002</v>
          </cell>
        </row>
        <row r="681">
          <cell r="J681" t="str">
            <v>5401088459</v>
          </cell>
          <cell r="K681" t="str">
            <v>200</v>
          </cell>
          <cell r="M681">
            <v>30542.38</v>
          </cell>
        </row>
        <row r="682">
          <cell r="J682" t="str">
            <v>5401088459</v>
          </cell>
          <cell r="K682" t="str">
            <v>210</v>
          </cell>
          <cell r="M682">
            <v>27403.14</v>
          </cell>
        </row>
        <row r="683">
          <cell r="J683" t="str">
            <v>5401088459</v>
          </cell>
          <cell r="K683" t="str">
            <v>220</v>
          </cell>
          <cell r="M683">
            <v>5923.44</v>
          </cell>
        </row>
        <row r="684">
          <cell r="J684" t="str">
            <v>5401088459</v>
          </cell>
          <cell r="K684" t="str">
            <v>230</v>
          </cell>
          <cell r="M684">
            <v>3166.2</v>
          </cell>
        </row>
        <row r="685">
          <cell r="J685" t="str">
            <v>5401088459</v>
          </cell>
          <cell r="K685" t="str">
            <v>240</v>
          </cell>
          <cell r="M685">
            <v>4870.8</v>
          </cell>
        </row>
        <row r="686">
          <cell r="J686" t="str">
            <v>5401088459</v>
          </cell>
          <cell r="K686" t="str">
            <v>260</v>
          </cell>
          <cell r="M686">
            <v>10000</v>
          </cell>
        </row>
        <row r="687">
          <cell r="J687" t="str">
            <v>5401088459</v>
          </cell>
          <cell r="K687" t="str">
            <v>270</v>
          </cell>
          <cell r="M687">
            <v>30809.5</v>
          </cell>
        </row>
        <row r="688">
          <cell r="J688" t="str">
            <v>5401023508</v>
          </cell>
          <cell r="K688" t="str">
            <v>30</v>
          </cell>
          <cell r="M688">
            <v>-15000</v>
          </cell>
        </row>
        <row r="689">
          <cell r="J689" t="str">
            <v>5401099794</v>
          </cell>
          <cell r="K689" t="str">
            <v>10</v>
          </cell>
          <cell r="M689">
            <v>60654</v>
          </cell>
        </row>
        <row r="690">
          <cell r="J690" t="str">
            <v>5401088459</v>
          </cell>
          <cell r="K690" t="str">
            <v>300</v>
          </cell>
          <cell r="M690">
            <v>15276.24</v>
          </cell>
        </row>
        <row r="691">
          <cell r="J691" t="str">
            <v>5400836551</v>
          </cell>
          <cell r="K691" t="str">
            <v>20</v>
          </cell>
          <cell r="M691">
            <v>1875</v>
          </cell>
        </row>
        <row r="692">
          <cell r="J692" t="str">
            <v>5400853128</v>
          </cell>
          <cell r="K692" t="str">
            <v>10</v>
          </cell>
          <cell r="M692">
            <v>27766</v>
          </cell>
        </row>
        <row r="693">
          <cell r="J693" t="str">
            <v>5400980360</v>
          </cell>
          <cell r="K693" t="str">
            <v>10</v>
          </cell>
          <cell r="M693">
            <v>10000</v>
          </cell>
        </row>
        <row r="694">
          <cell r="J694" t="str">
            <v>5401082177</v>
          </cell>
          <cell r="K694" t="str">
            <v>10</v>
          </cell>
          <cell r="M694">
            <v>2680</v>
          </cell>
        </row>
        <row r="695">
          <cell r="J695" t="str">
            <v>5401082177</v>
          </cell>
          <cell r="K695" t="str">
            <v>10</v>
          </cell>
          <cell r="M695">
            <v>17680</v>
          </cell>
        </row>
        <row r="696">
          <cell r="J696" t="str">
            <v>5401082177</v>
          </cell>
          <cell r="K696" t="str">
            <v>10</v>
          </cell>
          <cell r="M696">
            <v>17680</v>
          </cell>
        </row>
        <row r="697">
          <cell r="J697" t="str">
            <v>5401088459</v>
          </cell>
          <cell r="K697" t="str">
            <v>10</v>
          </cell>
          <cell r="M697">
            <v>28177.5</v>
          </cell>
        </row>
        <row r="698">
          <cell r="J698" t="str">
            <v>5401088459</v>
          </cell>
          <cell r="K698" t="str">
            <v>20</v>
          </cell>
          <cell r="M698">
            <v>3892</v>
          </cell>
        </row>
        <row r="699">
          <cell r="J699" t="str">
            <v>5401088459</v>
          </cell>
          <cell r="K699" t="str">
            <v>30</v>
          </cell>
          <cell r="M699">
            <v>33330.92</v>
          </cell>
        </row>
        <row r="700">
          <cell r="J700" t="str">
            <v>5401088459</v>
          </cell>
          <cell r="K700" t="str">
            <v>40</v>
          </cell>
          <cell r="M700">
            <v>4726.33</v>
          </cell>
        </row>
        <row r="701">
          <cell r="J701" t="str">
            <v>5401088459</v>
          </cell>
          <cell r="K701" t="str">
            <v>50</v>
          </cell>
          <cell r="M701">
            <v>64683.17</v>
          </cell>
        </row>
        <row r="702">
          <cell r="J702" t="str">
            <v>5401088459</v>
          </cell>
          <cell r="K702" t="str">
            <v>60</v>
          </cell>
          <cell r="M702">
            <v>6131</v>
          </cell>
        </row>
        <row r="703">
          <cell r="J703" t="str">
            <v>5401088459</v>
          </cell>
          <cell r="K703" t="str">
            <v>70</v>
          </cell>
          <cell r="M703">
            <v>12262</v>
          </cell>
        </row>
        <row r="704">
          <cell r="J704" t="str">
            <v>5401088459</v>
          </cell>
          <cell r="K704" t="str">
            <v>80</v>
          </cell>
          <cell r="M704">
            <v>62652.69</v>
          </cell>
        </row>
        <row r="705">
          <cell r="J705" t="str">
            <v>5401088459</v>
          </cell>
          <cell r="K705" t="str">
            <v>90</v>
          </cell>
          <cell r="M705">
            <v>37055.82</v>
          </cell>
        </row>
        <row r="706">
          <cell r="J706" t="str">
            <v>5401088459</v>
          </cell>
          <cell r="K706" t="str">
            <v>110</v>
          </cell>
          <cell r="M706">
            <v>5833.33</v>
          </cell>
        </row>
        <row r="707">
          <cell r="J707" t="str">
            <v>5401088459</v>
          </cell>
          <cell r="K707" t="str">
            <v>120</v>
          </cell>
          <cell r="M707">
            <v>5250</v>
          </cell>
        </row>
        <row r="708">
          <cell r="J708" t="str">
            <v>5401088459</v>
          </cell>
          <cell r="K708" t="str">
            <v>130</v>
          </cell>
          <cell r="M708">
            <v>14839.58</v>
          </cell>
        </row>
        <row r="709">
          <cell r="J709" t="str">
            <v>5401088459</v>
          </cell>
          <cell r="K709" t="str">
            <v>150</v>
          </cell>
          <cell r="M709">
            <v>7071.33</v>
          </cell>
        </row>
        <row r="710">
          <cell r="J710" t="str">
            <v>5401088459</v>
          </cell>
          <cell r="K710" t="str">
            <v>160</v>
          </cell>
          <cell r="M710">
            <v>9979.5</v>
          </cell>
        </row>
        <row r="711">
          <cell r="J711" t="str">
            <v>5401088459</v>
          </cell>
          <cell r="K711" t="str">
            <v>170</v>
          </cell>
          <cell r="M711">
            <v>1319.25</v>
          </cell>
        </row>
        <row r="712">
          <cell r="J712" t="str">
            <v>5401088459</v>
          </cell>
          <cell r="K712" t="str">
            <v>180</v>
          </cell>
          <cell r="M712">
            <v>6365.08</v>
          </cell>
        </row>
        <row r="713">
          <cell r="J713" t="str">
            <v>5401088459</v>
          </cell>
          <cell r="K713" t="str">
            <v>190</v>
          </cell>
          <cell r="M713">
            <v>20670.240000000002</v>
          </cell>
        </row>
        <row r="714">
          <cell r="J714" t="str">
            <v>5401088459</v>
          </cell>
          <cell r="K714" t="str">
            <v>200</v>
          </cell>
          <cell r="M714">
            <v>30542.38</v>
          </cell>
        </row>
        <row r="715">
          <cell r="J715" t="str">
            <v>5401088459</v>
          </cell>
          <cell r="K715" t="str">
            <v>210</v>
          </cell>
          <cell r="M715">
            <v>27403.14</v>
          </cell>
        </row>
        <row r="716">
          <cell r="J716" t="str">
            <v>5401088459</v>
          </cell>
          <cell r="K716" t="str">
            <v>220</v>
          </cell>
          <cell r="M716">
            <v>5923.44</v>
          </cell>
        </row>
        <row r="717">
          <cell r="J717" t="str">
            <v>5401088459</v>
          </cell>
          <cell r="K717" t="str">
            <v>230</v>
          </cell>
          <cell r="M717">
            <v>3166.2</v>
          </cell>
        </row>
        <row r="718">
          <cell r="J718" t="str">
            <v>5401088459</v>
          </cell>
          <cell r="K718" t="str">
            <v>240</v>
          </cell>
          <cell r="M718">
            <v>4870.8</v>
          </cell>
        </row>
        <row r="719">
          <cell r="J719" t="str">
            <v>5401088459</v>
          </cell>
          <cell r="K719" t="str">
            <v>260</v>
          </cell>
          <cell r="M719">
            <v>10000</v>
          </cell>
        </row>
        <row r="720">
          <cell r="J720" t="str">
            <v>5401088459</v>
          </cell>
          <cell r="K720" t="str">
            <v>270</v>
          </cell>
          <cell r="M720">
            <v>22907.33</v>
          </cell>
        </row>
        <row r="721">
          <cell r="J721" t="str">
            <v>5401088459</v>
          </cell>
          <cell r="K721" t="str">
            <v>290</v>
          </cell>
          <cell r="M721">
            <v>15000</v>
          </cell>
        </row>
        <row r="722">
          <cell r="J722" t="str">
            <v>5401088459</v>
          </cell>
          <cell r="K722" t="str">
            <v>300</v>
          </cell>
          <cell r="M722">
            <v>15000</v>
          </cell>
        </row>
        <row r="723">
          <cell r="J723" t="str">
            <v>5401088459</v>
          </cell>
          <cell r="K723" t="str">
            <v>280</v>
          </cell>
          <cell r="M723">
            <v>10000</v>
          </cell>
        </row>
        <row r="724">
          <cell r="J724" t="str">
            <v>5401099794</v>
          </cell>
          <cell r="K724" t="str">
            <v>10</v>
          </cell>
          <cell r="M724">
            <v>75981</v>
          </cell>
        </row>
        <row r="725">
          <cell r="J725" t="str">
            <v>5401001779</v>
          </cell>
          <cell r="K725" t="str">
            <v>40</v>
          </cell>
          <cell r="M725">
            <v>16100</v>
          </cell>
        </row>
        <row r="726">
          <cell r="J726" t="str">
            <v>5400877269</v>
          </cell>
          <cell r="K726" t="str">
            <v>40</v>
          </cell>
          <cell r="M726">
            <v>2898.93</v>
          </cell>
        </row>
        <row r="727">
          <cell r="J727" t="str">
            <v>5400853128</v>
          </cell>
          <cell r="K727" t="str">
            <v>10</v>
          </cell>
          <cell r="M727">
            <v>39348</v>
          </cell>
        </row>
        <row r="728">
          <cell r="J728" t="str">
            <v>5401023508</v>
          </cell>
          <cell r="K728" t="str">
            <v>250</v>
          </cell>
          <cell r="M728">
            <v>-3366.11</v>
          </cell>
        </row>
        <row r="729">
          <cell r="J729" t="str">
            <v>5401046469</v>
          </cell>
          <cell r="K729" t="str">
            <v>10</v>
          </cell>
          <cell r="M729">
            <v>-6150</v>
          </cell>
        </row>
        <row r="730">
          <cell r="J730" t="str">
            <v>5401046469</v>
          </cell>
          <cell r="K730" t="str">
            <v>10</v>
          </cell>
          <cell r="M730">
            <v>6150</v>
          </cell>
        </row>
        <row r="731">
          <cell r="J731" t="str">
            <v>5401023508</v>
          </cell>
          <cell r="K731" t="str">
            <v>250</v>
          </cell>
          <cell r="M731">
            <v>3366.11</v>
          </cell>
        </row>
        <row r="732">
          <cell r="J732" t="str">
            <v>5401088459</v>
          </cell>
          <cell r="K732" t="str">
            <v>10</v>
          </cell>
          <cell r="M732">
            <v>-0.2</v>
          </cell>
        </row>
        <row r="733">
          <cell r="J733" t="str">
            <v>5401045581</v>
          </cell>
          <cell r="K733" t="str">
            <v>10</v>
          </cell>
          <cell r="M733">
            <v>1130</v>
          </cell>
        </row>
        <row r="734">
          <cell r="J734" t="str">
            <v>5401082177</v>
          </cell>
          <cell r="K734" t="str">
            <v>10</v>
          </cell>
          <cell r="M734">
            <v>-1204</v>
          </cell>
        </row>
        <row r="735">
          <cell r="J735" t="str">
            <v>5401045581</v>
          </cell>
          <cell r="K735" t="str">
            <v>10</v>
          </cell>
          <cell r="M735">
            <v>-1130</v>
          </cell>
        </row>
        <row r="736">
          <cell r="J736" t="str">
            <v>5401088459</v>
          </cell>
          <cell r="K736" t="str">
            <v>150</v>
          </cell>
          <cell r="M736">
            <v>-12.66</v>
          </cell>
        </row>
        <row r="737">
          <cell r="J737" t="str">
            <v>5401103107</v>
          </cell>
          <cell r="K737" t="str">
            <v>10</v>
          </cell>
          <cell r="M737">
            <v>-2461.25</v>
          </cell>
        </row>
        <row r="738">
          <cell r="J738" t="str">
            <v>5401102219</v>
          </cell>
          <cell r="K738" t="str">
            <v>10</v>
          </cell>
          <cell r="M738">
            <v>-1241</v>
          </cell>
        </row>
        <row r="739">
          <cell r="J739" t="str">
            <v>5401023508</v>
          </cell>
          <cell r="K739" t="str">
            <v>110</v>
          </cell>
          <cell r="M739">
            <v>-101124.39</v>
          </cell>
        </row>
        <row r="740">
          <cell r="J740" t="str">
            <v>5401023508</v>
          </cell>
          <cell r="K740" t="str">
            <v>110</v>
          </cell>
          <cell r="M740">
            <v>-101124.38</v>
          </cell>
        </row>
        <row r="741">
          <cell r="J741" t="str">
            <v>#</v>
          </cell>
          <cell r="K741" t="str">
            <v>#</v>
          </cell>
          <cell r="M741">
            <v>7982.96</v>
          </cell>
        </row>
        <row r="742">
          <cell r="J742" t="str">
            <v>#</v>
          </cell>
          <cell r="K742" t="str">
            <v>#</v>
          </cell>
          <cell r="M742">
            <v>-15965.92</v>
          </cell>
        </row>
        <row r="743">
          <cell r="J743" t="str">
            <v>#</v>
          </cell>
          <cell r="K743" t="str">
            <v>#</v>
          </cell>
          <cell r="M743">
            <v>-53040</v>
          </cell>
        </row>
        <row r="744">
          <cell r="J744" t="str">
            <v>#</v>
          </cell>
          <cell r="K744" t="str">
            <v>#</v>
          </cell>
          <cell r="M744">
            <v>-28676.38</v>
          </cell>
        </row>
        <row r="745">
          <cell r="J745" t="str">
            <v>#</v>
          </cell>
          <cell r="K745" t="str">
            <v>#</v>
          </cell>
          <cell r="M745">
            <v>0</v>
          </cell>
        </row>
        <row r="746">
          <cell r="J746" t="str">
            <v>5401062201</v>
          </cell>
          <cell r="K746" t="str">
            <v>10</v>
          </cell>
          <cell r="M746">
            <v>1695</v>
          </cell>
        </row>
        <row r="747">
          <cell r="J747" t="str">
            <v>5401062201</v>
          </cell>
          <cell r="K747" t="str">
            <v>10</v>
          </cell>
          <cell r="M747">
            <v>2002.5</v>
          </cell>
        </row>
        <row r="748">
          <cell r="J748" t="str">
            <v>5401093290</v>
          </cell>
          <cell r="K748" t="str">
            <v>10</v>
          </cell>
          <cell r="M748">
            <v>1610</v>
          </cell>
        </row>
        <row r="749">
          <cell r="J749" t="str">
            <v>5401093290</v>
          </cell>
          <cell r="K749" t="str">
            <v>10</v>
          </cell>
          <cell r="M749">
            <v>3124.5</v>
          </cell>
        </row>
        <row r="750">
          <cell r="J750" t="str">
            <v>5401093290</v>
          </cell>
          <cell r="K750" t="str">
            <v>10</v>
          </cell>
          <cell r="M750">
            <v>5973</v>
          </cell>
        </row>
        <row r="751">
          <cell r="J751" t="str">
            <v>5401093290</v>
          </cell>
          <cell r="K751" t="str">
            <v>10</v>
          </cell>
          <cell r="M751">
            <v>3971.5</v>
          </cell>
        </row>
        <row r="752">
          <cell r="J752" t="str">
            <v>5401093290</v>
          </cell>
          <cell r="K752" t="str">
            <v>10</v>
          </cell>
          <cell r="M752">
            <v>0.5</v>
          </cell>
        </row>
        <row r="753">
          <cell r="J753" t="str">
            <v>5401023593</v>
          </cell>
          <cell r="K753" t="str">
            <v>10</v>
          </cell>
          <cell r="M753">
            <v>-296.95999999999998</v>
          </cell>
        </row>
        <row r="754">
          <cell r="J754" t="str">
            <v>5401023593</v>
          </cell>
          <cell r="K754" t="str">
            <v>10</v>
          </cell>
          <cell r="M754">
            <v>328.84</v>
          </cell>
        </row>
        <row r="755">
          <cell r="J755" t="str">
            <v>5401023593</v>
          </cell>
          <cell r="K755" t="str">
            <v>10</v>
          </cell>
          <cell r="M755">
            <v>340.19</v>
          </cell>
        </row>
        <row r="756">
          <cell r="J756" t="str">
            <v>5401087893</v>
          </cell>
          <cell r="K756" t="str">
            <v>10</v>
          </cell>
          <cell r="M756">
            <v>250</v>
          </cell>
        </row>
        <row r="757">
          <cell r="J757" t="str">
            <v>5401087893</v>
          </cell>
          <cell r="K757" t="str">
            <v>10</v>
          </cell>
          <cell r="M757">
            <v>250</v>
          </cell>
        </row>
        <row r="758">
          <cell r="J758" t="str">
            <v>5401087893</v>
          </cell>
          <cell r="K758" t="str">
            <v>10</v>
          </cell>
          <cell r="M758">
            <v>17.53</v>
          </cell>
        </row>
        <row r="759">
          <cell r="J759" t="str">
            <v>5401087893</v>
          </cell>
          <cell r="K759" t="str">
            <v>10</v>
          </cell>
          <cell r="M759">
            <v>-250</v>
          </cell>
        </row>
        <row r="760">
          <cell r="J760" t="str">
            <v>5401087893</v>
          </cell>
          <cell r="K760" t="str">
            <v>10</v>
          </cell>
          <cell r="M760">
            <v>103.49</v>
          </cell>
        </row>
        <row r="761">
          <cell r="J761" t="str">
            <v>5401087893</v>
          </cell>
          <cell r="K761" t="str">
            <v>10</v>
          </cell>
          <cell r="M761">
            <v>97.55</v>
          </cell>
        </row>
        <row r="762">
          <cell r="J762" t="str">
            <v>5401087893</v>
          </cell>
          <cell r="K762" t="str">
            <v>10</v>
          </cell>
          <cell r="M762">
            <v>145.59</v>
          </cell>
        </row>
        <row r="763">
          <cell r="J763" t="str">
            <v>5401087893</v>
          </cell>
          <cell r="K763" t="str">
            <v>10</v>
          </cell>
          <cell r="M763">
            <v>79.47</v>
          </cell>
        </row>
        <row r="764">
          <cell r="J764" t="str">
            <v>5401081739</v>
          </cell>
          <cell r="K764" t="str">
            <v>10</v>
          </cell>
          <cell r="M764">
            <v>4000</v>
          </cell>
        </row>
        <row r="765">
          <cell r="J765" t="str">
            <v>5401081739</v>
          </cell>
          <cell r="K765" t="str">
            <v>10</v>
          </cell>
          <cell r="M765">
            <v>4000</v>
          </cell>
        </row>
        <row r="766">
          <cell r="J766" t="str">
            <v>5401081739</v>
          </cell>
          <cell r="K766" t="str">
            <v>10</v>
          </cell>
          <cell r="M766">
            <v>-4000</v>
          </cell>
        </row>
        <row r="767">
          <cell r="J767" t="str">
            <v>5401081739</v>
          </cell>
          <cell r="K767" t="str">
            <v>10</v>
          </cell>
          <cell r="M767">
            <v>2600</v>
          </cell>
        </row>
        <row r="768">
          <cell r="J768" t="str">
            <v>5401023799</v>
          </cell>
          <cell r="K768" t="str">
            <v>10</v>
          </cell>
          <cell r="M768">
            <v>-174966.67</v>
          </cell>
        </row>
        <row r="769">
          <cell r="J769" t="str">
            <v>5401046694</v>
          </cell>
          <cell r="K769" t="str">
            <v>40</v>
          </cell>
          <cell r="M769">
            <v>-39608</v>
          </cell>
        </row>
        <row r="770">
          <cell r="J770" t="str">
            <v>5401070323</v>
          </cell>
          <cell r="K770" t="str">
            <v>10</v>
          </cell>
          <cell r="M770">
            <v>69752</v>
          </cell>
        </row>
        <row r="771">
          <cell r="J771" t="str">
            <v>5401024330</v>
          </cell>
          <cell r="K771" t="str">
            <v>10</v>
          </cell>
          <cell r="M771">
            <v>1054</v>
          </cell>
        </row>
        <row r="772">
          <cell r="J772" t="str">
            <v>5401024330</v>
          </cell>
          <cell r="K772" t="str">
            <v>10</v>
          </cell>
          <cell r="M772">
            <v>85.5</v>
          </cell>
        </row>
        <row r="773">
          <cell r="J773" t="str">
            <v>5401024330</v>
          </cell>
          <cell r="K773" t="str">
            <v>10</v>
          </cell>
          <cell r="M773">
            <v>4914.5</v>
          </cell>
        </row>
        <row r="774">
          <cell r="J774" t="str">
            <v>5400963483</v>
          </cell>
          <cell r="K774" t="str">
            <v>30</v>
          </cell>
          <cell r="M774">
            <v>23175.25</v>
          </cell>
        </row>
        <row r="775">
          <cell r="J775" t="str">
            <v>5400963483</v>
          </cell>
          <cell r="K775" t="str">
            <v>30</v>
          </cell>
          <cell r="M775">
            <v>3040</v>
          </cell>
        </row>
        <row r="776">
          <cell r="J776" t="str">
            <v>5401032940</v>
          </cell>
          <cell r="K776" t="str">
            <v>20</v>
          </cell>
          <cell r="M776">
            <v>5000</v>
          </cell>
        </row>
        <row r="777">
          <cell r="J777" t="str">
            <v>5400963483</v>
          </cell>
          <cell r="K777" t="str">
            <v>30</v>
          </cell>
          <cell r="M777">
            <v>23175.25</v>
          </cell>
        </row>
        <row r="778">
          <cell r="J778" t="str">
            <v>5401032940</v>
          </cell>
          <cell r="K778" t="str">
            <v>20</v>
          </cell>
          <cell r="M778">
            <v>5000</v>
          </cell>
        </row>
        <row r="779">
          <cell r="J779" t="str">
            <v>5400963483</v>
          </cell>
          <cell r="K779" t="str">
            <v>30</v>
          </cell>
          <cell r="M779">
            <v>695.26</v>
          </cell>
        </row>
        <row r="780">
          <cell r="J780" t="str">
            <v>5400963483</v>
          </cell>
          <cell r="K780" t="str">
            <v>30</v>
          </cell>
          <cell r="M780">
            <v>23870.51</v>
          </cell>
        </row>
        <row r="781">
          <cell r="J781" t="str">
            <v>5401032940</v>
          </cell>
          <cell r="K781" t="str">
            <v>20</v>
          </cell>
          <cell r="M781">
            <v>5000</v>
          </cell>
        </row>
        <row r="782">
          <cell r="J782" t="str">
            <v>5401032940</v>
          </cell>
          <cell r="K782" t="str">
            <v>20</v>
          </cell>
          <cell r="M782">
            <v>150</v>
          </cell>
        </row>
        <row r="783">
          <cell r="J783" t="str">
            <v>5400963483</v>
          </cell>
          <cell r="K783" t="str">
            <v>30</v>
          </cell>
          <cell r="M783">
            <v>760</v>
          </cell>
        </row>
        <row r="784">
          <cell r="J784" t="str">
            <v>5400963483</v>
          </cell>
          <cell r="K784" t="str">
            <v>30</v>
          </cell>
          <cell r="M784">
            <v>23870.51</v>
          </cell>
        </row>
        <row r="785">
          <cell r="J785" t="str">
            <v>5401032940</v>
          </cell>
          <cell r="K785" t="str">
            <v>20</v>
          </cell>
          <cell r="M785">
            <v>5150</v>
          </cell>
        </row>
        <row r="786">
          <cell r="J786" t="str">
            <v>5400963483</v>
          </cell>
          <cell r="K786" t="str">
            <v>30</v>
          </cell>
          <cell r="M786">
            <v>23870.51</v>
          </cell>
        </row>
        <row r="787">
          <cell r="J787" t="str">
            <v>5401032940</v>
          </cell>
          <cell r="K787" t="str">
            <v>20</v>
          </cell>
          <cell r="M787">
            <v>5150</v>
          </cell>
        </row>
        <row r="788">
          <cell r="J788" t="str">
            <v>5400963483</v>
          </cell>
          <cell r="K788" t="str">
            <v>30</v>
          </cell>
          <cell r="M788">
            <v>23870.51</v>
          </cell>
        </row>
        <row r="789">
          <cell r="J789" t="str">
            <v>5401032940</v>
          </cell>
          <cell r="K789" t="str">
            <v>20</v>
          </cell>
          <cell r="M789">
            <v>150</v>
          </cell>
        </row>
        <row r="790">
          <cell r="J790" t="str">
            <v>5401032940</v>
          </cell>
          <cell r="K790" t="str">
            <v>20</v>
          </cell>
          <cell r="M790">
            <v>5150</v>
          </cell>
        </row>
        <row r="791">
          <cell r="J791" t="str">
            <v>5400963483</v>
          </cell>
          <cell r="K791" t="str">
            <v>30</v>
          </cell>
          <cell r="M791">
            <v>-0.01</v>
          </cell>
        </row>
        <row r="792">
          <cell r="J792" t="str">
            <v>5400963483</v>
          </cell>
          <cell r="K792" t="str">
            <v>30</v>
          </cell>
          <cell r="M792">
            <v>-0.01</v>
          </cell>
        </row>
        <row r="793">
          <cell r="J793" t="str">
            <v>5400963483</v>
          </cell>
          <cell r="K793" t="str">
            <v>30</v>
          </cell>
          <cell r="M793">
            <v>-0.01</v>
          </cell>
        </row>
        <row r="794">
          <cell r="J794" t="str">
            <v>5400963483</v>
          </cell>
          <cell r="K794" t="str">
            <v>30</v>
          </cell>
          <cell r="M794">
            <v>-0.01</v>
          </cell>
        </row>
        <row r="795">
          <cell r="J795" t="str">
            <v>5401112877</v>
          </cell>
          <cell r="K795" t="str">
            <v>10</v>
          </cell>
          <cell r="M795">
            <v>47000</v>
          </cell>
        </row>
        <row r="796">
          <cell r="J796" t="str">
            <v>5400948074</v>
          </cell>
          <cell r="K796" t="str">
            <v>40</v>
          </cell>
          <cell r="M796">
            <v>10492.74</v>
          </cell>
        </row>
        <row r="797">
          <cell r="J797" t="str">
            <v>5400948074</v>
          </cell>
          <cell r="K797" t="str">
            <v>40</v>
          </cell>
          <cell r="M797">
            <v>10492.74</v>
          </cell>
        </row>
        <row r="798">
          <cell r="J798" t="str">
            <v>5400948074</v>
          </cell>
          <cell r="K798" t="str">
            <v>40</v>
          </cell>
          <cell r="M798">
            <v>10492.74</v>
          </cell>
        </row>
        <row r="799">
          <cell r="J799" t="str">
            <v>5400948074</v>
          </cell>
          <cell r="K799" t="str">
            <v>40</v>
          </cell>
          <cell r="M799">
            <v>10492.74</v>
          </cell>
        </row>
        <row r="800">
          <cell r="J800" t="str">
            <v>5400948074</v>
          </cell>
          <cell r="K800" t="str">
            <v>40</v>
          </cell>
          <cell r="M800">
            <v>10492.74</v>
          </cell>
        </row>
        <row r="801">
          <cell r="J801" t="str">
            <v>5400948074</v>
          </cell>
          <cell r="K801" t="str">
            <v>40</v>
          </cell>
          <cell r="M801">
            <v>10492.74</v>
          </cell>
        </row>
        <row r="802">
          <cell r="J802" t="str">
            <v>5401087948</v>
          </cell>
          <cell r="K802" t="str">
            <v>10</v>
          </cell>
          <cell r="M802">
            <v>16000</v>
          </cell>
        </row>
        <row r="803">
          <cell r="J803" t="str">
            <v>5401087948</v>
          </cell>
          <cell r="K803" t="str">
            <v>10</v>
          </cell>
          <cell r="M803">
            <v>146475</v>
          </cell>
        </row>
        <row r="804">
          <cell r="J804" t="str">
            <v>5400904915</v>
          </cell>
          <cell r="K804" t="str">
            <v>40</v>
          </cell>
          <cell r="M804">
            <v>-80000</v>
          </cell>
        </row>
        <row r="805">
          <cell r="J805" t="str">
            <v>5400904915</v>
          </cell>
          <cell r="K805" t="str">
            <v>40</v>
          </cell>
          <cell r="M805">
            <v>29148.16</v>
          </cell>
        </row>
        <row r="806">
          <cell r="J806" t="str">
            <v>5401065401</v>
          </cell>
          <cell r="K806" t="str">
            <v>10</v>
          </cell>
          <cell r="M806">
            <v>45725.46</v>
          </cell>
        </row>
        <row r="807">
          <cell r="J807" t="str">
            <v>5401065401</v>
          </cell>
          <cell r="K807" t="str">
            <v>10</v>
          </cell>
          <cell r="M807">
            <v>2032.72</v>
          </cell>
        </row>
        <row r="808">
          <cell r="J808" t="str">
            <v>5401023517</v>
          </cell>
          <cell r="K808" t="str">
            <v>10</v>
          </cell>
          <cell r="M808">
            <v>109500</v>
          </cell>
        </row>
        <row r="809">
          <cell r="J809" t="str">
            <v>5401087935</v>
          </cell>
          <cell r="K809" t="str">
            <v>10</v>
          </cell>
          <cell r="M809">
            <v>152100</v>
          </cell>
        </row>
        <row r="810">
          <cell r="J810" t="str">
            <v>5401023517</v>
          </cell>
          <cell r="K810" t="str">
            <v>10</v>
          </cell>
          <cell r="M810">
            <v>39900</v>
          </cell>
        </row>
        <row r="811">
          <cell r="J811" t="str">
            <v>5401023517</v>
          </cell>
          <cell r="K811" t="str">
            <v>10</v>
          </cell>
          <cell r="M811">
            <v>109500</v>
          </cell>
        </row>
        <row r="812">
          <cell r="J812" t="str">
            <v>5401107545</v>
          </cell>
          <cell r="K812" t="str">
            <v>10</v>
          </cell>
          <cell r="M812">
            <v>174886.8</v>
          </cell>
        </row>
        <row r="813">
          <cell r="J813" t="str">
            <v>5401107545</v>
          </cell>
          <cell r="K813" t="str">
            <v>10</v>
          </cell>
          <cell r="M813">
            <v>693.2</v>
          </cell>
        </row>
        <row r="814">
          <cell r="J814" t="str">
            <v>5401091700</v>
          </cell>
          <cell r="K814" t="str">
            <v>10</v>
          </cell>
          <cell r="M814">
            <v>8613</v>
          </cell>
        </row>
        <row r="815">
          <cell r="J815" t="str">
            <v>5401091700</v>
          </cell>
          <cell r="K815" t="str">
            <v>10</v>
          </cell>
          <cell r="M815">
            <v>8613</v>
          </cell>
        </row>
        <row r="816">
          <cell r="J816" t="str">
            <v>5401091700</v>
          </cell>
          <cell r="K816" t="str">
            <v>10</v>
          </cell>
          <cell r="M816">
            <v>86133</v>
          </cell>
        </row>
        <row r="817">
          <cell r="J817" t="str">
            <v>5401035617</v>
          </cell>
          <cell r="K817" t="str">
            <v>20</v>
          </cell>
          <cell r="M817">
            <v>-15000</v>
          </cell>
        </row>
        <row r="818">
          <cell r="J818" t="str">
            <v>5401035617</v>
          </cell>
          <cell r="K818" t="str">
            <v>20</v>
          </cell>
          <cell r="M818">
            <v>28652.560000000001</v>
          </cell>
        </row>
        <row r="819">
          <cell r="J819" t="str">
            <v>5401035617</v>
          </cell>
          <cell r="K819" t="str">
            <v>20</v>
          </cell>
          <cell r="M819">
            <v>7982.96</v>
          </cell>
        </row>
        <row r="820">
          <cell r="J820" t="str">
            <v>5401035617</v>
          </cell>
          <cell r="K820" t="str">
            <v>30</v>
          </cell>
          <cell r="M820">
            <v>15000</v>
          </cell>
        </row>
        <row r="821">
          <cell r="J821" t="str">
            <v>5401035617</v>
          </cell>
          <cell r="K821" t="str">
            <v>30</v>
          </cell>
          <cell r="M821">
            <v>15830</v>
          </cell>
        </row>
        <row r="822">
          <cell r="J822" t="str">
            <v>5401035617</v>
          </cell>
          <cell r="K822" t="str">
            <v>30</v>
          </cell>
          <cell r="M822">
            <v>20000</v>
          </cell>
        </row>
        <row r="823">
          <cell r="J823" t="str">
            <v>5401035617</v>
          </cell>
          <cell r="K823" t="str">
            <v>30</v>
          </cell>
          <cell r="M823">
            <v>10675.4</v>
          </cell>
        </row>
        <row r="824">
          <cell r="J824" t="str">
            <v>5401035617</v>
          </cell>
          <cell r="K824" t="str">
            <v>30</v>
          </cell>
          <cell r="M824">
            <v>20000</v>
          </cell>
        </row>
        <row r="825">
          <cell r="J825" t="str">
            <v>5401035617</v>
          </cell>
          <cell r="K825" t="str">
            <v>30</v>
          </cell>
          <cell r="M825">
            <v>7225.02</v>
          </cell>
        </row>
        <row r="826">
          <cell r="J826" t="str">
            <v>5401035617</v>
          </cell>
          <cell r="K826" t="str">
            <v>30</v>
          </cell>
          <cell r="M826">
            <v>20000</v>
          </cell>
        </row>
        <row r="827">
          <cell r="J827" t="str">
            <v>5401035617</v>
          </cell>
          <cell r="K827" t="str">
            <v>30</v>
          </cell>
          <cell r="M827">
            <v>8143.63</v>
          </cell>
        </row>
        <row r="828">
          <cell r="J828" t="str">
            <v>5401035617</v>
          </cell>
          <cell r="K828" t="str">
            <v>30</v>
          </cell>
          <cell r="M828">
            <v>20000</v>
          </cell>
        </row>
        <row r="829">
          <cell r="J829" t="str">
            <v>5401035617</v>
          </cell>
          <cell r="K829" t="str">
            <v>30</v>
          </cell>
          <cell r="M829">
            <v>8473.5400000000009</v>
          </cell>
        </row>
        <row r="830">
          <cell r="J830" t="str">
            <v>5401035617</v>
          </cell>
          <cell r="K830" t="str">
            <v>30</v>
          </cell>
          <cell r="M830">
            <v>20000</v>
          </cell>
        </row>
        <row r="831">
          <cell r="J831" t="str">
            <v>5401035617</v>
          </cell>
          <cell r="K831" t="str">
            <v>30</v>
          </cell>
          <cell r="M831">
            <v>0.8</v>
          </cell>
        </row>
        <row r="832">
          <cell r="J832" t="str">
            <v>5401046672</v>
          </cell>
          <cell r="K832" t="str">
            <v>20</v>
          </cell>
          <cell r="M832">
            <v>33468.639999999999</v>
          </cell>
        </row>
        <row r="833">
          <cell r="J833" t="str">
            <v>5401058449</v>
          </cell>
          <cell r="K833" t="str">
            <v>20</v>
          </cell>
          <cell r="M833">
            <v>-35979</v>
          </cell>
        </row>
        <row r="834">
          <cell r="J834" t="str">
            <v>5401058449</v>
          </cell>
          <cell r="K834" t="str">
            <v>20</v>
          </cell>
          <cell r="M834">
            <v>23639.78</v>
          </cell>
        </row>
        <row r="835">
          <cell r="J835" t="str">
            <v>5401058449</v>
          </cell>
          <cell r="K835" t="str">
            <v>20</v>
          </cell>
          <cell r="M835">
            <v>216</v>
          </cell>
        </row>
        <row r="836">
          <cell r="J836" t="str">
            <v>5401046672</v>
          </cell>
          <cell r="K836" t="str">
            <v>20</v>
          </cell>
          <cell r="M836">
            <v>306</v>
          </cell>
        </row>
        <row r="837">
          <cell r="J837" t="str">
            <v>5401105571</v>
          </cell>
          <cell r="K837" t="str">
            <v>10</v>
          </cell>
          <cell r="M837">
            <v>21349</v>
          </cell>
        </row>
        <row r="838">
          <cell r="J838" t="str">
            <v>5401076975</v>
          </cell>
          <cell r="K838" t="str">
            <v>10</v>
          </cell>
          <cell r="M838">
            <v>600</v>
          </cell>
        </row>
        <row r="839">
          <cell r="J839" t="str">
            <v>5401076975</v>
          </cell>
          <cell r="K839" t="str">
            <v>20</v>
          </cell>
          <cell r="M839">
            <v>790</v>
          </cell>
        </row>
        <row r="840">
          <cell r="J840" t="str">
            <v>5401076975</v>
          </cell>
          <cell r="K840" t="str">
            <v>60</v>
          </cell>
          <cell r="M840">
            <v>300</v>
          </cell>
        </row>
        <row r="841">
          <cell r="J841" t="str">
            <v>5401076975</v>
          </cell>
          <cell r="K841" t="str">
            <v>40</v>
          </cell>
          <cell r="M841">
            <v>500</v>
          </cell>
        </row>
        <row r="842">
          <cell r="J842" t="str">
            <v>5401076975</v>
          </cell>
          <cell r="K842" t="str">
            <v>10</v>
          </cell>
          <cell r="M842">
            <v>600</v>
          </cell>
        </row>
        <row r="843">
          <cell r="J843" t="str">
            <v>5401076975</v>
          </cell>
          <cell r="K843" t="str">
            <v>20</v>
          </cell>
          <cell r="M843">
            <v>790</v>
          </cell>
        </row>
        <row r="844">
          <cell r="J844" t="str">
            <v>5401076975</v>
          </cell>
          <cell r="K844" t="str">
            <v>40</v>
          </cell>
          <cell r="M844">
            <v>500</v>
          </cell>
        </row>
        <row r="845">
          <cell r="J845" t="str">
            <v>5401076975</v>
          </cell>
          <cell r="K845" t="str">
            <v>60</v>
          </cell>
          <cell r="M845">
            <v>300</v>
          </cell>
        </row>
        <row r="846">
          <cell r="J846" t="str">
            <v>5401076975</v>
          </cell>
          <cell r="K846" t="str">
            <v>10</v>
          </cell>
          <cell r="M846">
            <v>600</v>
          </cell>
        </row>
        <row r="847">
          <cell r="J847" t="str">
            <v>5401076975</v>
          </cell>
          <cell r="K847" t="str">
            <v>20</v>
          </cell>
          <cell r="M847">
            <v>790</v>
          </cell>
        </row>
        <row r="848">
          <cell r="J848" t="str">
            <v>5401076975</v>
          </cell>
          <cell r="K848" t="str">
            <v>40</v>
          </cell>
          <cell r="M848">
            <v>500</v>
          </cell>
        </row>
        <row r="849">
          <cell r="J849" t="str">
            <v>5401076975</v>
          </cell>
          <cell r="K849" t="str">
            <v>60</v>
          </cell>
          <cell r="M849">
            <v>300</v>
          </cell>
        </row>
        <row r="850">
          <cell r="J850" t="str">
            <v>5401076975</v>
          </cell>
          <cell r="K850" t="str">
            <v>10</v>
          </cell>
          <cell r="M850">
            <v>600</v>
          </cell>
        </row>
        <row r="851">
          <cell r="J851" t="str">
            <v>5401076975</v>
          </cell>
          <cell r="K851" t="str">
            <v>20</v>
          </cell>
          <cell r="M851">
            <v>790</v>
          </cell>
        </row>
        <row r="852">
          <cell r="J852" t="str">
            <v>5401076975</v>
          </cell>
          <cell r="K852" t="str">
            <v>60</v>
          </cell>
          <cell r="M852">
            <v>300</v>
          </cell>
        </row>
        <row r="853">
          <cell r="J853" t="str">
            <v>5401076975</v>
          </cell>
          <cell r="K853" t="str">
            <v>70</v>
          </cell>
          <cell r="M853">
            <v>1688</v>
          </cell>
        </row>
        <row r="854">
          <cell r="J854" t="str">
            <v>5401076975</v>
          </cell>
          <cell r="K854" t="str">
            <v>10</v>
          </cell>
          <cell r="M854">
            <v>600</v>
          </cell>
        </row>
        <row r="855">
          <cell r="J855" t="str">
            <v>5401076975</v>
          </cell>
          <cell r="K855" t="str">
            <v>20</v>
          </cell>
          <cell r="M855">
            <v>790</v>
          </cell>
        </row>
        <row r="856">
          <cell r="J856" t="str">
            <v>5401076975</v>
          </cell>
          <cell r="K856" t="str">
            <v>60</v>
          </cell>
          <cell r="M856">
            <v>300</v>
          </cell>
        </row>
        <row r="857">
          <cell r="J857" t="str">
            <v>5401076975</v>
          </cell>
          <cell r="K857" t="str">
            <v>70</v>
          </cell>
          <cell r="M857">
            <v>422</v>
          </cell>
        </row>
        <row r="858">
          <cell r="J858" t="str">
            <v>5401076975</v>
          </cell>
          <cell r="K858" t="str">
            <v>10</v>
          </cell>
          <cell r="M858">
            <v>600</v>
          </cell>
        </row>
        <row r="859">
          <cell r="J859" t="str">
            <v>5401076975</v>
          </cell>
          <cell r="K859" t="str">
            <v>20</v>
          </cell>
          <cell r="M859">
            <v>790</v>
          </cell>
        </row>
        <row r="860">
          <cell r="J860" t="str">
            <v>5401076975</v>
          </cell>
          <cell r="K860" t="str">
            <v>60</v>
          </cell>
          <cell r="M860">
            <v>300</v>
          </cell>
        </row>
        <row r="861">
          <cell r="J861" t="str">
            <v>5401084795</v>
          </cell>
          <cell r="K861" t="str">
            <v>10</v>
          </cell>
          <cell r="M861">
            <v>50000</v>
          </cell>
        </row>
        <row r="862">
          <cell r="J862" t="str">
            <v>5401084795</v>
          </cell>
          <cell r="K862" t="str">
            <v>10</v>
          </cell>
          <cell r="M862">
            <v>50000</v>
          </cell>
        </row>
        <row r="863">
          <cell r="J863" t="str">
            <v>5401105561</v>
          </cell>
          <cell r="K863" t="str">
            <v>10</v>
          </cell>
          <cell r="M863">
            <v>61130</v>
          </cell>
        </row>
        <row r="864">
          <cell r="J864" t="str">
            <v>5401105561</v>
          </cell>
          <cell r="K864" t="str">
            <v>10</v>
          </cell>
          <cell r="M864">
            <v>25000</v>
          </cell>
        </row>
        <row r="865">
          <cell r="J865" t="str">
            <v>5401105561</v>
          </cell>
          <cell r="K865" t="str">
            <v>10</v>
          </cell>
          <cell r="M865">
            <v>25000</v>
          </cell>
        </row>
        <row r="866">
          <cell r="J866" t="str">
            <v>5401105561</v>
          </cell>
          <cell r="K866" t="str">
            <v>10</v>
          </cell>
          <cell r="M866">
            <v>-25000</v>
          </cell>
        </row>
        <row r="867">
          <cell r="J867" t="str">
            <v>5401105561</v>
          </cell>
          <cell r="K867" t="str">
            <v>10</v>
          </cell>
          <cell r="M867">
            <v>61130</v>
          </cell>
        </row>
        <row r="868">
          <cell r="J868" t="str">
            <v>5401105561</v>
          </cell>
          <cell r="K868" t="str">
            <v>10</v>
          </cell>
          <cell r="M868">
            <v>61130</v>
          </cell>
        </row>
        <row r="869">
          <cell r="J869" t="str">
            <v>5401116335</v>
          </cell>
          <cell r="K869" t="str">
            <v>10</v>
          </cell>
          <cell r="M869">
            <v>35000</v>
          </cell>
        </row>
        <row r="870">
          <cell r="J870" t="str">
            <v>5401084790</v>
          </cell>
          <cell r="K870" t="str">
            <v>10</v>
          </cell>
          <cell r="M870">
            <v>12500</v>
          </cell>
        </row>
        <row r="871">
          <cell r="J871" t="str">
            <v>5401084790</v>
          </cell>
          <cell r="K871" t="str">
            <v>10</v>
          </cell>
          <cell r="M871">
            <v>0.01</v>
          </cell>
        </row>
        <row r="872">
          <cell r="J872" t="str">
            <v>5401035816</v>
          </cell>
          <cell r="K872" t="str">
            <v>20</v>
          </cell>
          <cell r="M872">
            <v>617.59</v>
          </cell>
        </row>
        <row r="873">
          <cell r="J873" t="str">
            <v>5401024377</v>
          </cell>
          <cell r="K873" t="str">
            <v>10</v>
          </cell>
          <cell r="M873">
            <v>-320</v>
          </cell>
        </row>
        <row r="874">
          <cell r="J874" t="str">
            <v>5401024377</v>
          </cell>
          <cell r="K874" t="str">
            <v>10</v>
          </cell>
          <cell r="M874">
            <v>303.14999999999998</v>
          </cell>
        </row>
        <row r="875">
          <cell r="J875" t="str">
            <v>5401069879</v>
          </cell>
          <cell r="K875" t="str">
            <v>10</v>
          </cell>
          <cell r="M875">
            <v>310</v>
          </cell>
        </row>
        <row r="876">
          <cell r="J876" t="str">
            <v>5401069879</v>
          </cell>
          <cell r="K876" t="str">
            <v>10</v>
          </cell>
          <cell r="M876">
            <v>-310</v>
          </cell>
        </row>
        <row r="877">
          <cell r="J877" t="str">
            <v>5401069879</v>
          </cell>
          <cell r="K877" t="str">
            <v>10</v>
          </cell>
          <cell r="M877">
            <v>325.61</v>
          </cell>
        </row>
        <row r="878">
          <cell r="J878" t="str">
            <v>5401069879</v>
          </cell>
          <cell r="K878" t="str">
            <v>10</v>
          </cell>
          <cell r="M878">
            <v>320</v>
          </cell>
        </row>
        <row r="879">
          <cell r="J879" t="str">
            <v>5401069879</v>
          </cell>
          <cell r="K879" t="str">
            <v>10</v>
          </cell>
          <cell r="M879">
            <v>-320</v>
          </cell>
        </row>
        <row r="880">
          <cell r="J880" t="str">
            <v>5401069879</v>
          </cell>
          <cell r="K880" t="str">
            <v>10</v>
          </cell>
          <cell r="M880">
            <v>304.18</v>
          </cell>
        </row>
        <row r="881">
          <cell r="J881" t="str">
            <v>5401069879</v>
          </cell>
          <cell r="K881" t="str">
            <v>10</v>
          </cell>
          <cell r="M881">
            <v>310</v>
          </cell>
        </row>
        <row r="882">
          <cell r="J882" t="str">
            <v>5401069879</v>
          </cell>
          <cell r="K882" t="str">
            <v>10</v>
          </cell>
          <cell r="M882">
            <v>-310</v>
          </cell>
        </row>
        <row r="883">
          <cell r="J883" t="str">
            <v>5401069879</v>
          </cell>
          <cell r="K883" t="str">
            <v>10</v>
          </cell>
          <cell r="M883">
            <v>304.44</v>
          </cell>
        </row>
        <row r="884">
          <cell r="J884" t="str">
            <v>5401069879</v>
          </cell>
          <cell r="K884" t="str">
            <v>10</v>
          </cell>
          <cell r="M884">
            <v>310</v>
          </cell>
        </row>
        <row r="885">
          <cell r="J885" t="str">
            <v>5401069879</v>
          </cell>
          <cell r="K885" t="str">
            <v>10</v>
          </cell>
          <cell r="M885">
            <v>-310</v>
          </cell>
        </row>
        <row r="886">
          <cell r="J886" t="str">
            <v>5401069879</v>
          </cell>
          <cell r="K886" t="str">
            <v>10</v>
          </cell>
          <cell r="M886">
            <v>306.89999999999998</v>
          </cell>
        </row>
        <row r="887">
          <cell r="J887" t="str">
            <v>5401069879</v>
          </cell>
          <cell r="K887" t="str">
            <v>10</v>
          </cell>
          <cell r="M887">
            <v>310</v>
          </cell>
        </row>
        <row r="888">
          <cell r="J888" t="str">
            <v>5401069879</v>
          </cell>
          <cell r="K888" t="str">
            <v>10</v>
          </cell>
          <cell r="M888">
            <v>-310</v>
          </cell>
        </row>
        <row r="889">
          <cell r="J889" t="str">
            <v>5401069879</v>
          </cell>
          <cell r="K889" t="str">
            <v>10</v>
          </cell>
          <cell r="M889">
            <v>303.76</v>
          </cell>
        </row>
        <row r="890">
          <cell r="J890" t="str">
            <v>5401069879</v>
          </cell>
          <cell r="K890" t="str">
            <v>10</v>
          </cell>
          <cell r="M890">
            <v>310</v>
          </cell>
        </row>
        <row r="891">
          <cell r="J891" t="str">
            <v>5401099954</v>
          </cell>
          <cell r="K891" t="str">
            <v>10</v>
          </cell>
          <cell r="M891">
            <v>7000</v>
          </cell>
        </row>
        <row r="892">
          <cell r="J892" t="str">
            <v>5401099954</v>
          </cell>
          <cell r="K892" t="str">
            <v>10</v>
          </cell>
          <cell r="M892">
            <v>13000</v>
          </cell>
        </row>
        <row r="893">
          <cell r="J893" t="str">
            <v>5401099954</v>
          </cell>
          <cell r="K893" t="str">
            <v>10</v>
          </cell>
          <cell r="M893">
            <v>13000</v>
          </cell>
        </row>
        <row r="894">
          <cell r="J894" t="str">
            <v>5401099954</v>
          </cell>
          <cell r="K894" t="str">
            <v>10</v>
          </cell>
          <cell r="M894">
            <v>-13000</v>
          </cell>
        </row>
        <row r="895">
          <cell r="J895" t="str">
            <v>5401099954</v>
          </cell>
          <cell r="K895" t="str">
            <v>10</v>
          </cell>
          <cell r="M895">
            <v>13000</v>
          </cell>
        </row>
        <row r="896">
          <cell r="J896" t="str">
            <v>5401099954</v>
          </cell>
          <cell r="K896" t="str">
            <v>10</v>
          </cell>
          <cell r="M896">
            <v>-13000</v>
          </cell>
        </row>
        <row r="897">
          <cell r="J897" t="str">
            <v>5401094853</v>
          </cell>
          <cell r="K897" t="str">
            <v>10</v>
          </cell>
          <cell r="M897">
            <v>7000</v>
          </cell>
        </row>
        <row r="898">
          <cell r="J898" t="str">
            <v>5401024578</v>
          </cell>
          <cell r="K898" t="str">
            <v>10</v>
          </cell>
          <cell r="M898">
            <v>251</v>
          </cell>
        </row>
        <row r="899">
          <cell r="J899" t="str">
            <v>5401024578</v>
          </cell>
          <cell r="K899" t="str">
            <v>10</v>
          </cell>
          <cell r="M899">
            <v>251</v>
          </cell>
        </row>
        <row r="900">
          <cell r="J900" t="str">
            <v>5401024578</v>
          </cell>
          <cell r="K900" t="str">
            <v>10</v>
          </cell>
          <cell r="M900">
            <v>-251</v>
          </cell>
        </row>
        <row r="901">
          <cell r="J901" t="str">
            <v>5401024578</v>
          </cell>
          <cell r="K901" t="str">
            <v>10</v>
          </cell>
          <cell r="M901">
            <v>38</v>
          </cell>
        </row>
        <row r="902">
          <cell r="J902" t="str">
            <v>5401024578</v>
          </cell>
          <cell r="K902" t="str">
            <v>10</v>
          </cell>
          <cell r="M902">
            <v>38</v>
          </cell>
        </row>
        <row r="903">
          <cell r="J903" t="str">
            <v>5401024578</v>
          </cell>
          <cell r="K903" t="str">
            <v>10</v>
          </cell>
          <cell r="M903">
            <v>38</v>
          </cell>
        </row>
        <row r="904">
          <cell r="J904" t="str">
            <v>5401024578</v>
          </cell>
          <cell r="K904" t="str">
            <v>10</v>
          </cell>
          <cell r="M904">
            <v>47</v>
          </cell>
        </row>
        <row r="905">
          <cell r="J905" t="str">
            <v>5401024578</v>
          </cell>
          <cell r="K905" t="str">
            <v>10</v>
          </cell>
          <cell r="M905">
            <v>251</v>
          </cell>
        </row>
        <row r="906">
          <cell r="J906" t="str">
            <v>5401102205</v>
          </cell>
          <cell r="K906" t="str">
            <v>10</v>
          </cell>
          <cell r="M906">
            <v>251</v>
          </cell>
        </row>
        <row r="907">
          <cell r="J907" t="str">
            <v>5401106540</v>
          </cell>
          <cell r="K907" t="str">
            <v>10</v>
          </cell>
          <cell r="M907">
            <v>3175</v>
          </cell>
        </row>
        <row r="908">
          <cell r="J908" t="str">
            <v>5401088267</v>
          </cell>
          <cell r="K908" t="str">
            <v>10</v>
          </cell>
          <cell r="M908">
            <v>174966.67</v>
          </cell>
        </row>
        <row r="909">
          <cell r="J909" t="str">
            <v>5401088267</v>
          </cell>
          <cell r="K909" t="str">
            <v>20</v>
          </cell>
          <cell r="M909">
            <v>63573</v>
          </cell>
        </row>
        <row r="910">
          <cell r="J910" t="str">
            <v>5401088267</v>
          </cell>
          <cell r="K910" t="str">
            <v>10</v>
          </cell>
          <cell r="M910">
            <v>180310.33</v>
          </cell>
        </row>
        <row r="911">
          <cell r="J911" t="str">
            <v>5401088267</v>
          </cell>
          <cell r="K911" t="str">
            <v>10</v>
          </cell>
          <cell r="M911">
            <v>180310.33</v>
          </cell>
        </row>
        <row r="912">
          <cell r="J912" t="str">
            <v>5401088277</v>
          </cell>
          <cell r="K912" t="str">
            <v>10</v>
          </cell>
          <cell r="M912">
            <v>5400</v>
          </cell>
        </row>
        <row r="913">
          <cell r="J913" t="str">
            <v>5401097345</v>
          </cell>
          <cell r="K913" t="str">
            <v>10</v>
          </cell>
          <cell r="M913">
            <v>43914.61</v>
          </cell>
        </row>
        <row r="914">
          <cell r="J914" t="str">
            <v>5401088267</v>
          </cell>
          <cell r="K914" t="str">
            <v>10</v>
          </cell>
          <cell r="M914">
            <v>180310.33</v>
          </cell>
        </row>
        <row r="915">
          <cell r="J915" t="str">
            <v>5401088267</v>
          </cell>
          <cell r="K915" t="str">
            <v>10</v>
          </cell>
          <cell r="M915">
            <v>180310.33</v>
          </cell>
        </row>
        <row r="916">
          <cell r="J916" t="str">
            <v>5401105569</v>
          </cell>
          <cell r="K916" t="str">
            <v>10</v>
          </cell>
          <cell r="M916">
            <v>27543.1</v>
          </cell>
        </row>
        <row r="917">
          <cell r="J917" t="str">
            <v>5401088267</v>
          </cell>
          <cell r="K917" t="str">
            <v>10</v>
          </cell>
          <cell r="M917">
            <v>180310.33</v>
          </cell>
        </row>
        <row r="918">
          <cell r="J918" t="str">
            <v>5401088267</v>
          </cell>
          <cell r="K918" t="str">
            <v>10</v>
          </cell>
          <cell r="M918">
            <v>180310.33</v>
          </cell>
        </row>
        <row r="919">
          <cell r="J919" t="str">
            <v>#</v>
          </cell>
          <cell r="K919" t="str">
            <v>#</v>
          </cell>
          <cell r="M919">
            <v>-27965.08</v>
          </cell>
        </row>
        <row r="920">
          <cell r="J920" t="str">
            <v>#</v>
          </cell>
          <cell r="K920" t="str">
            <v>#</v>
          </cell>
          <cell r="M920">
            <v>-20590.91</v>
          </cell>
        </row>
        <row r="921">
          <cell r="J921" t="str">
            <v>#</v>
          </cell>
          <cell r="K921" t="str">
            <v>#</v>
          </cell>
          <cell r="M921">
            <v>-19545.45</v>
          </cell>
        </row>
        <row r="922">
          <cell r="J922" t="str">
            <v>#</v>
          </cell>
          <cell r="K922" t="str">
            <v>#</v>
          </cell>
          <cell r="M922">
            <v>-20590.91</v>
          </cell>
        </row>
        <row r="923">
          <cell r="J923" t="str">
            <v>#</v>
          </cell>
          <cell r="K923" t="str">
            <v>#</v>
          </cell>
          <cell r="M923">
            <v>-19545.45</v>
          </cell>
        </row>
        <row r="924">
          <cell r="J924" t="str">
            <v>#</v>
          </cell>
          <cell r="K924" t="str">
            <v>#</v>
          </cell>
          <cell r="M924">
            <v>-20590.91</v>
          </cell>
        </row>
        <row r="925">
          <cell r="J925" t="str">
            <v>#</v>
          </cell>
          <cell r="K925" t="str">
            <v>#</v>
          </cell>
          <cell r="M925">
            <v>-19545.45</v>
          </cell>
        </row>
        <row r="926">
          <cell r="J926" t="str">
            <v>#</v>
          </cell>
          <cell r="K926" t="str">
            <v>#</v>
          </cell>
          <cell r="M926">
            <v>-20590.91</v>
          </cell>
        </row>
        <row r="927">
          <cell r="J927" t="str">
            <v>#</v>
          </cell>
          <cell r="K927" t="str">
            <v>#</v>
          </cell>
          <cell r="M927">
            <v>-19545.45</v>
          </cell>
        </row>
        <row r="928">
          <cell r="J928" t="str">
            <v>#</v>
          </cell>
          <cell r="K928" t="str">
            <v>#</v>
          </cell>
          <cell r="M928">
            <v>-20590.91</v>
          </cell>
        </row>
        <row r="929">
          <cell r="J929" t="str">
            <v>#</v>
          </cell>
          <cell r="K929" t="str">
            <v>#</v>
          </cell>
          <cell r="M929">
            <v>-19545.45</v>
          </cell>
        </row>
        <row r="930">
          <cell r="J930" t="str">
            <v>#</v>
          </cell>
          <cell r="K930" t="str">
            <v>#</v>
          </cell>
          <cell r="M930">
            <v>56432</v>
          </cell>
        </row>
        <row r="931">
          <cell r="J931" t="str">
            <v>#</v>
          </cell>
          <cell r="K931" t="str">
            <v>#</v>
          </cell>
          <cell r="M931">
            <v>70482</v>
          </cell>
        </row>
        <row r="932">
          <cell r="J932" t="str">
            <v>#</v>
          </cell>
          <cell r="K932" t="str">
            <v>#</v>
          </cell>
          <cell r="M932">
            <v>95796.66</v>
          </cell>
        </row>
        <row r="933">
          <cell r="J933" t="str">
            <v>#</v>
          </cell>
          <cell r="K933" t="str">
            <v>#</v>
          </cell>
          <cell r="M933">
            <v>-39900</v>
          </cell>
        </row>
        <row r="934">
          <cell r="J934" t="str">
            <v>#</v>
          </cell>
          <cell r="K934" t="str">
            <v>#</v>
          </cell>
          <cell r="M934">
            <v>83895.24</v>
          </cell>
        </row>
        <row r="935">
          <cell r="J935" t="str">
            <v>#</v>
          </cell>
          <cell r="K935" t="str">
            <v>#</v>
          </cell>
          <cell r="M935">
            <v>0</v>
          </cell>
        </row>
        <row r="936">
          <cell r="J936" t="str">
            <v>#</v>
          </cell>
          <cell r="K936" t="str">
            <v>#</v>
          </cell>
          <cell r="M936">
            <v>-79895.45</v>
          </cell>
        </row>
        <row r="937">
          <cell r="J937" t="str">
            <v>#</v>
          </cell>
          <cell r="K937" t="str">
            <v>#</v>
          </cell>
          <cell r="M937">
            <v>0</v>
          </cell>
        </row>
        <row r="938">
          <cell r="J938" t="str">
            <v>#</v>
          </cell>
          <cell r="K938" t="str">
            <v>#</v>
          </cell>
          <cell r="M938">
            <v>-86133</v>
          </cell>
        </row>
        <row r="939">
          <cell r="J939" t="str">
            <v>#</v>
          </cell>
          <cell r="K939" t="str">
            <v>#</v>
          </cell>
          <cell r="M939">
            <v>34453.199999999997</v>
          </cell>
        </row>
        <row r="940">
          <cell r="J940" t="str">
            <v>#</v>
          </cell>
          <cell r="K940" t="str">
            <v>#</v>
          </cell>
          <cell r="M940">
            <v>0</v>
          </cell>
        </row>
        <row r="941">
          <cell r="J941" t="str">
            <v>#</v>
          </cell>
          <cell r="K941" t="str">
            <v>#</v>
          </cell>
          <cell r="M941">
            <v>-175580</v>
          </cell>
        </row>
        <row r="942">
          <cell r="J942" t="str">
            <v>#</v>
          </cell>
          <cell r="K942" t="str">
            <v>#</v>
          </cell>
          <cell r="M942">
            <v>29263.34</v>
          </cell>
        </row>
        <row r="943">
          <cell r="J943" t="str">
            <v>#</v>
          </cell>
          <cell r="K943" t="str">
            <v>#</v>
          </cell>
          <cell r="M943">
            <v>-7982.96</v>
          </cell>
        </row>
        <row r="944">
          <cell r="J944" t="str">
            <v>#</v>
          </cell>
          <cell r="K944" t="str">
            <v>#</v>
          </cell>
          <cell r="M944">
            <v>-3380</v>
          </cell>
        </row>
        <row r="945">
          <cell r="J945" t="str">
            <v>#</v>
          </cell>
          <cell r="K945" t="str">
            <v>#</v>
          </cell>
          <cell r="M945">
            <v>-13520</v>
          </cell>
        </row>
        <row r="946">
          <cell r="J946" t="str">
            <v>#</v>
          </cell>
          <cell r="K946" t="str">
            <v>#</v>
          </cell>
          <cell r="M946">
            <v>-2600</v>
          </cell>
        </row>
        <row r="947">
          <cell r="J947" t="str">
            <v>#</v>
          </cell>
          <cell r="K947" t="str">
            <v>#</v>
          </cell>
          <cell r="M947">
            <v>-69752</v>
          </cell>
        </row>
        <row r="948">
          <cell r="J948" t="str">
            <v>#</v>
          </cell>
          <cell r="K948" t="str">
            <v>#</v>
          </cell>
          <cell r="M948">
            <v>34876.019999999997</v>
          </cell>
        </row>
        <row r="949">
          <cell r="J949" t="str">
            <v>#</v>
          </cell>
          <cell r="K949" t="str">
            <v>#</v>
          </cell>
          <cell r="M949">
            <v>109500</v>
          </cell>
        </row>
        <row r="950">
          <cell r="J950" t="str">
            <v>#</v>
          </cell>
          <cell r="K950" t="str">
            <v>#</v>
          </cell>
          <cell r="M950">
            <v>-109500</v>
          </cell>
        </row>
        <row r="951">
          <cell r="J951" t="str">
            <v>#</v>
          </cell>
          <cell r="K951" t="str">
            <v>#</v>
          </cell>
          <cell r="M951">
            <v>-76050</v>
          </cell>
        </row>
        <row r="952">
          <cell r="J952" t="str">
            <v>#</v>
          </cell>
          <cell r="K952" t="str">
            <v>#</v>
          </cell>
          <cell r="M952">
            <v>0</v>
          </cell>
        </row>
        <row r="953">
          <cell r="J953" t="str">
            <v>#</v>
          </cell>
          <cell r="K953" t="str">
            <v>#</v>
          </cell>
          <cell r="M953">
            <v>0</v>
          </cell>
        </row>
        <row r="954">
          <cell r="J954" t="str">
            <v>#</v>
          </cell>
          <cell r="K954" t="str">
            <v>#</v>
          </cell>
          <cell r="M954">
            <v>0</v>
          </cell>
        </row>
        <row r="955">
          <cell r="J955" t="str">
            <v>#</v>
          </cell>
          <cell r="K955" t="str">
            <v>#</v>
          </cell>
          <cell r="M955">
            <v>0</v>
          </cell>
        </row>
        <row r="956">
          <cell r="J956" t="str">
            <v>5401082136</v>
          </cell>
          <cell r="K956" t="str">
            <v>10</v>
          </cell>
          <cell r="M956">
            <v>68375.75</v>
          </cell>
        </row>
        <row r="957">
          <cell r="J957" t="str">
            <v>5401082136</v>
          </cell>
          <cell r="K957" t="str">
            <v>20</v>
          </cell>
          <cell r="M957">
            <v>168901.73</v>
          </cell>
        </row>
        <row r="958">
          <cell r="J958" t="str">
            <v>5401082136</v>
          </cell>
          <cell r="K958" t="str">
            <v>30</v>
          </cell>
          <cell r="M958">
            <v>20944.41</v>
          </cell>
        </row>
        <row r="959">
          <cell r="J959" t="str">
            <v>5401082136</v>
          </cell>
          <cell r="K959" t="str">
            <v>40</v>
          </cell>
          <cell r="M959">
            <v>17656.84</v>
          </cell>
        </row>
        <row r="960">
          <cell r="J960" t="str">
            <v>5401082136</v>
          </cell>
          <cell r="K960" t="str">
            <v>50</v>
          </cell>
          <cell r="M960">
            <v>23781.16</v>
          </cell>
        </row>
        <row r="961">
          <cell r="J961" t="str">
            <v>5401082136</v>
          </cell>
          <cell r="K961" t="str">
            <v>180</v>
          </cell>
          <cell r="M961">
            <v>330625.61</v>
          </cell>
        </row>
        <row r="962">
          <cell r="J962" t="str">
            <v>5401082136</v>
          </cell>
          <cell r="K962" t="str">
            <v>60</v>
          </cell>
          <cell r="M962">
            <v>2262.5100000000002</v>
          </cell>
        </row>
        <row r="963">
          <cell r="J963" t="str">
            <v>5401082136</v>
          </cell>
          <cell r="K963" t="str">
            <v>70</v>
          </cell>
          <cell r="M963">
            <v>63104.12</v>
          </cell>
        </row>
        <row r="964">
          <cell r="J964" t="str">
            <v>5401082136</v>
          </cell>
          <cell r="K964" t="str">
            <v>80</v>
          </cell>
          <cell r="M964">
            <v>121364.81</v>
          </cell>
        </row>
        <row r="965">
          <cell r="J965" t="str">
            <v>5401082136</v>
          </cell>
          <cell r="K965" t="str">
            <v>90</v>
          </cell>
          <cell r="M965">
            <v>9195.9599999999991</v>
          </cell>
        </row>
        <row r="966">
          <cell r="J966" t="str">
            <v>5401082136</v>
          </cell>
          <cell r="K966" t="str">
            <v>100</v>
          </cell>
          <cell r="M966">
            <v>104944.45</v>
          </cell>
        </row>
        <row r="967">
          <cell r="J967" t="str">
            <v>5401082136</v>
          </cell>
          <cell r="K967" t="str">
            <v>110</v>
          </cell>
          <cell r="M967">
            <v>19858.41</v>
          </cell>
        </row>
        <row r="968">
          <cell r="J968" t="str">
            <v>5401082136</v>
          </cell>
          <cell r="K968" t="str">
            <v>120</v>
          </cell>
          <cell r="M968">
            <v>28319.9</v>
          </cell>
        </row>
        <row r="969">
          <cell r="J969" t="str">
            <v>5401082136</v>
          </cell>
          <cell r="K969" t="str">
            <v>130</v>
          </cell>
          <cell r="M969">
            <v>6402.76</v>
          </cell>
        </row>
        <row r="970">
          <cell r="J970" t="str">
            <v>5401082136</v>
          </cell>
          <cell r="K970" t="str">
            <v>140</v>
          </cell>
          <cell r="M970">
            <v>1264102.6499999999</v>
          </cell>
        </row>
        <row r="971">
          <cell r="J971" t="str">
            <v>5401082136</v>
          </cell>
          <cell r="K971" t="str">
            <v>150</v>
          </cell>
          <cell r="M971">
            <v>1041281.95</v>
          </cell>
        </row>
        <row r="972">
          <cell r="J972" t="str">
            <v>5401082136</v>
          </cell>
          <cell r="K972" t="str">
            <v>160</v>
          </cell>
          <cell r="M972">
            <v>115201.81</v>
          </cell>
        </row>
        <row r="973">
          <cell r="J973" t="str">
            <v>5401082136</v>
          </cell>
          <cell r="K973" t="str">
            <v>170</v>
          </cell>
          <cell r="M973">
            <v>94757.78</v>
          </cell>
        </row>
        <row r="974">
          <cell r="J974" t="str">
            <v>5401082136</v>
          </cell>
          <cell r="K974" t="str">
            <v>190</v>
          </cell>
          <cell r="M974">
            <v>179100.54</v>
          </cell>
        </row>
        <row r="975">
          <cell r="J975" t="str">
            <v>5401082136</v>
          </cell>
          <cell r="K975" t="str">
            <v>200</v>
          </cell>
          <cell r="M975">
            <v>1052.76</v>
          </cell>
        </row>
        <row r="976">
          <cell r="J976" t="str">
            <v>5401082136</v>
          </cell>
          <cell r="K976" t="str">
            <v>210</v>
          </cell>
          <cell r="M976">
            <v>1005540.05</v>
          </cell>
        </row>
        <row r="977">
          <cell r="J977" t="str">
            <v>5401082136</v>
          </cell>
          <cell r="K977" t="str">
            <v>220</v>
          </cell>
          <cell r="M977">
            <v>420781.96</v>
          </cell>
        </row>
        <row r="978">
          <cell r="J978" t="str">
            <v>5401082136</v>
          </cell>
          <cell r="K978" t="str">
            <v>230</v>
          </cell>
          <cell r="M978">
            <v>1362.19</v>
          </cell>
        </row>
        <row r="979">
          <cell r="J979" t="str">
            <v>5401082136</v>
          </cell>
          <cell r="K979" t="str">
            <v>240</v>
          </cell>
          <cell r="M979">
            <v>22021.55</v>
          </cell>
        </row>
        <row r="980">
          <cell r="J980" t="str">
            <v>5401019012</v>
          </cell>
          <cell r="K980" t="str">
            <v>20</v>
          </cell>
          <cell r="M980">
            <v>74125</v>
          </cell>
        </row>
        <row r="981">
          <cell r="J981" t="str">
            <v>5401084786</v>
          </cell>
          <cell r="K981" t="str">
            <v>10</v>
          </cell>
          <cell r="M981">
            <v>256800</v>
          </cell>
        </row>
        <row r="982">
          <cell r="J982" t="str">
            <v>5401019012</v>
          </cell>
          <cell r="K982" t="str">
            <v>20</v>
          </cell>
          <cell r="M982">
            <v>73875</v>
          </cell>
        </row>
        <row r="983">
          <cell r="J983" t="str">
            <v>5401050766</v>
          </cell>
          <cell r="K983" t="str">
            <v>10</v>
          </cell>
          <cell r="M983">
            <v>10330</v>
          </cell>
        </row>
        <row r="984">
          <cell r="J984" t="str">
            <v>5401050766</v>
          </cell>
          <cell r="K984" t="str">
            <v>10</v>
          </cell>
          <cell r="M984">
            <v>172.9</v>
          </cell>
        </row>
        <row r="985">
          <cell r="J985" t="str">
            <v>5401019012</v>
          </cell>
          <cell r="K985" t="str">
            <v>20</v>
          </cell>
          <cell r="M985">
            <v>-55937.5</v>
          </cell>
        </row>
        <row r="986">
          <cell r="J986" t="str">
            <v>5401019012</v>
          </cell>
          <cell r="K986" t="str">
            <v>20</v>
          </cell>
          <cell r="M986">
            <v>55937.5</v>
          </cell>
        </row>
        <row r="987">
          <cell r="J987" t="str">
            <v>5401019012</v>
          </cell>
          <cell r="K987" t="str">
            <v>20</v>
          </cell>
          <cell r="M987">
            <v>-250</v>
          </cell>
        </row>
        <row r="988">
          <cell r="J988" t="str">
            <v>5400904056</v>
          </cell>
          <cell r="K988" t="str">
            <v>30</v>
          </cell>
          <cell r="M988">
            <v>-23640</v>
          </cell>
        </row>
        <row r="989">
          <cell r="J989" t="str">
            <v>5401087947</v>
          </cell>
          <cell r="K989" t="str">
            <v>10</v>
          </cell>
          <cell r="M989">
            <v>10693.38</v>
          </cell>
        </row>
        <row r="990">
          <cell r="J990" t="str">
            <v>5401087947</v>
          </cell>
          <cell r="K990" t="str">
            <v>10</v>
          </cell>
          <cell r="M990">
            <v>382.5</v>
          </cell>
        </row>
        <row r="991">
          <cell r="J991" t="str">
            <v>5401087947</v>
          </cell>
          <cell r="K991" t="str">
            <v>10</v>
          </cell>
          <cell r="M991">
            <v>13337.5</v>
          </cell>
        </row>
        <row r="992">
          <cell r="J992" t="str">
            <v>5401096886</v>
          </cell>
          <cell r="K992" t="str">
            <v>10</v>
          </cell>
          <cell r="M992">
            <v>10400</v>
          </cell>
        </row>
        <row r="993">
          <cell r="J993" t="str">
            <v>5401096889</v>
          </cell>
          <cell r="K993" t="str">
            <v>10</v>
          </cell>
          <cell r="M993">
            <v>4000</v>
          </cell>
        </row>
        <row r="994">
          <cell r="J994" t="str">
            <v>5401096887</v>
          </cell>
          <cell r="K994" t="str">
            <v>10</v>
          </cell>
          <cell r="M994">
            <v>1600</v>
          </cell>
        </row>
        <row r="995">
          <cell r="J995" t="str">
            <v>5401096888</v>
          </cell>
          <cell r="K995" t="str">
            <v>10</v>
          </cell>
          <cell r="M995">
            <v>1600</v>
          </cell>
        </row>
        <row r="996">
          <cell r="J996" t="str">
            <v>5401096890</v>
          </cell>
          <cell r="K996" t="str">
            <v>10</v>
          </cell>
          <cell r="M996">
            <v>4900</v>
          </cell>
        </row>
        <row r="997">
          <cell r="J997" t="str">
            <v>5401096890</v>
          </cell>
          <cell r="K997" t="str">
            <v>10</v>
          </cell>
          <cell r="M997">
            <v>4900</v>
          </cell>
        </row>
        <row r="998">
          <cell r="J998" t="str">
            <v>5401087947</v>
          </cell>
          <cell r="K998" t="str">
            <v>10</v>
          </cell>
          <cell r="M998">
            <v>510</v>
          </cell>
        </row>
        <row r="999">
          <cell r="J999" t="str">
            <v>5401087947</v>
          </cell>
          <cell r="K999" t="str">
            <v>10</v>
          </cell>
          <cell r="M999">
            <v>10725</v>
          </cell>
        </row>
        <row r="1000">
          <cell r="J1000" t="str">
            <v>5401096890</v>
          </cell>
          <cell r="K1000" t="str">
            <v>10</v>
          </cell>
          <cell r="M1000">
            <v>4900</v>
          </cell>
        </row>
        <row r="1001">
          <cell r="J1001" t="str">
            <v>5401087947</v>
          </cell>
          <cell r="K1001" t="str">
            <v>10</v>
          </cell>
          <cell r="M1001">
            <v>255</v>
          </cell>
        </row>
        <row r="1002">
          <cell r="J1002" t="str">
            <v>5401024590</v>
          </cell>
          <cell r="K1002" t="str">
            <v>10</v>
          </cell>
          <cell r="M1002">
            <v>-142.5</v>
          </cell>
        </row>
        <row r="1003">
          <cell r="J1003" t="str">
            <v>5401024590</v>
          </cell>
          <cell r="K1003" t="str">
            <v>10</v>
          </cell>
          <cell r="M1003">
            <v>-427.5</v>
          </cell>
        </row>
        <row r="1004">
          <cell r="J1004" t="str">
            <v>5401024590</v>
          </cell>
          <cell r="K1004" t="str">
            <v>10</v>
          </cell>
          <cell r="M1004">
            <v>-142.5</v>
          </cell>
        </row>
        <row r="1005">
          <cell r="J1005" t="str">
            <v>5401096890</v>
          </cell>
          <cell r="K1005" t="str">
            <v>10</v>
          </cell>
          <cell r="M1005">
            <v>-4900</v>
          </cell>
        </row>
        <row r="1006">
          <cell r="J1006" t="str">
            <v>5401096890</v>
          </cell>
          <cell r="K1006" t="str">
            <v>10</v>
          </cell>
          <cell r="M1006">
            <v>-4900</v>
          </cell>
        </row>
        <row r="1007">
          <cell r="J1007" t="str">
            <v>5401096890</v>
          </cell>
          <cell r="K1007" t="str">
            <v>10</v>
          </cell>
          <cell r="M1007">
            <v>-4900</v>
          </cell>
        </row>
        <row r="1008">
          <cell r="J1008" t="str">
            <v>5401087947</v>
          </cell>
          <cell r="K1008" t="str">
            <v>10</v>
          </cell>
          <cell r="M1008">
            <v>8250</v>
          </cell>
        </row>
        <row r="1009">
          <cell r="J1009" t="str">
            <v>5401087947</v>
          </cell>
          <cell r="K1009" t="str">
            <v>10</v>
          </cell>
          <cell r="M1009">
            <v>255</v>
          </cell>
        </row>
        <row r="1010">
          <cell r="J1010" t="str">
            <v>5401087947</v>
          </cell>
          <cell r="K1010" t="str">
            <v>10</v>
          </cell>
          <cell r="M1010">
            <v>446.25</v>
          </cell>
        </row>
        <row r="1011">
          <cell r="J1011" t="str">
            <v>5401087947</v>
          </cell>
          <cell r="K1011" t="str">
            <v>10</v>
          </cell>
          <cell r="M1011">
            <v>13612.5</v>
          </cell>
        </row>
        <row r="1012">
          <cell r="J1012" t="str">
            <v>5401087947</v>
          </cell>
          <cell r="K1012" t="str">
            <v>10</v>
          </cell>
          <cell r="M1012">
            <v>127.5</v>
          </cell>
        </row>
        <row r="1013">
          <cell r="J1013" t="str">
            <v>5401087947</v>
          </cell>
          <cell r="K1013" t="str">
            <v>10</v>
          </cell>
          <cell r="M1013">
            <v>11962.5</v>
          </cell>
        </row>
        <row r="1014">
          <cell r="J1014" t="str">
            <v>5401087947</v>
          </cell>
          <cell r="K1014" t="str">
            <v>10</v>
          </cell>
          <cell r="M1014">
            <v>127.5</v>
          </cell>
        </row>
        <row r="1015">
          <cell r="J1015" t="str">
            <v>5401087947</v>
          </cell>
          <cell r="K1015" t="str">
            <v>10</v>
          </cell>
          <cell r="M1015">
            <v>-0.01</v>
          </cell>
        </row>
        <row r="1016">
          <cell r="J1016" t="str">
            <v>5401014593</v>
          </cell>
          <cell r="K1016" t="str">
            <v>20</v>
          </cell>
          <cell r="M1016">
            <v>1428.51</v>
          </cell>
        </row>
        <row r="1017">
          <cell r="J1017" t="str">
            <v>5401069722</v>
          </cell>
          <cell r="K1017" t="str">
            <v>10</v>
          </cell>
          <cell r="M1017">
            <v>10000</v>
          </cell>
        </row>
        <row r="1018">
          <cell r="J1018" t="str">
            <v>5401069722</v>
          </cell>
          <cell r="K1018" t="str">
            <v>10</v>
          </cell>
          <cell r="M1018">
            <v>4540.5200000000004</v>
          </cell>
        </row>
        <row r="1019">
          <cell r="J1019" t="str">
            <v>5401069722</v>
          </cell>
          <cell r="K1019" t="str">
            <v>10</v>
          </cell>
          <cell r="M1019">
            <v>10000</v>
          </cell>
        </row>
        <row r="1020">
          <cell r="J1020" t="str">
            <v>5401069722</v>
          </cell>
          <cell r="K1020" t="str">
            <v>10</v>
          </cell>
          <cell r="M1020">
            <v>10000</v>
          </cell>
        </row>
        <row r="1021">
          <cell r="J1021" t="str">
            <v>5401069722</v>
          </cell>
          <cell r="K1021" t="str">
            <v>10</v>
          </cell>
          <cell r="M1021">
            <v>2858.93</v>
          </cell>
        </row>
        <row r="1022">
          <cell r="J1022" t="str">
            <v>5401069722</v>
          </cell>
          <cell r="K1022" t="str">
            <v>20</v>
          </cell>
          <cell r="M1022">
            <v>1790.01</v>
          </cell>
        </row>
        <row r="1023">
          <cell r="J1023" t="str">
            <v>5401069722</v>
          </cell>
          <cell r="K1023" t="str">
            <v>20</v>
          </cell>
          <cell r="M1023">
            <v>1681.59</v>
          </cell>
        </row>
        <row r="1024">
          <cell r="J1024" t="str">
            <v>5401069722</v>
          </cell>
          <cell r="K1024" t="str">
            <v>10</v>
          </cell>
          <cell r="M1024">
            <v>10000</v>
          </cell>
        </row>
        <row r="1025">
          <cell r="J1025" t="str">
            <v>5401069722</v>
          </cell>
          <cell r="K1025" t="str">
            <v>10</v>
          </cell>
          <cell r="M1025">
            <v>10000</v>
          </cell>
        </row>
        <row r="1026">
          <cell r="J1026" t="str">
            <v>5401069722</v>
          </cell>
          <cell r="K1026" t="str">
            <v>10</v>
          </cell>
          <cell r="M1026">
            <v>-10000</v>
          </cell>
        </row>
        <row r="1027">
          <cell r="J1027" t="str">
            <v>5401069722</v>
          </cell>
          <cell r="K1027" t="str">
            <v>10</v>
          </cell>
          <cell r="M1027">
            <v>-10000</v>
          </cell>
        </row>
        <row r="1028">
          <cell r="J1028" t="str">
            <v>5401084021</v>
          </cell>
          <cell r="K1028" t="str">
            <v>10</v>
          </cell>
          <cell r="M1028">
            <v>233383.24</v>
          </cell>
        </row>
        <row r="1029">
          <cell r="J1029" t="str">
            <v>5400983219</v>
          </cell>
          <cell r="K1029" t="str">
            <v>30</v>
          </cell>
          <cell r="M1029">
            <v>78852</v>
          </cell>
        </row>
        <row r="1030">
          <cell r="J1030" t="str">
            <v>5401094871</v>
          </cell>
          <cell r="K1030" t="str">
            <v>10</v>
          </cell>
          <cell r="M1030">
            <v>25074.73</v>
          </cell>
        </row>
        <row r="1031">
          <cell r="J1031" t="str">
            <v>5401081737</v>
          </cell>
          <cell r="K1031" t="str">
            <v>10</v>
          </cell>
          <cell r="M1031">
            <v>12370</v>
          </cell>
        </row>
        <row r="1032">
          <cell r="J1032" t="str">
            <v>5401087955</v>
          </cell>
          <cell r="K1032" t="str">
            <v>10</v>
          </cell>
          <cell r="M1032">
            <v>427.5</v>
          </cell>
        </row>
        <row r="1033">
          <cell r="J1033" t="str">
            <v>5401087955</v>
          </cell>
          <cell r="K1033" t="str">
            <v>10</v>
          </cell>
          <cell r="M1033">
            <v>142.5</v>
          </cell>
        </row>
        <row r="1034">
          <cell r="J1034" t="str">
            <v>5401087955</v>
          </cell>
          <cell r="K1034" t="str">
            <v>10</v>
          </cell>
          <cell r="M1034">
            <v>142.5</v>
          </cell>
        </row>
        <row r="1035">
          <cell r="J1035" t="str">
            <v>5401087955</v>
          </cell>
          <cell r="K1035" t="str">
            <v>10</v>
          </cell>
          <cell r="M1035">
            <v>142.5</v>
          </cell>
        </row>
        <row r="1036">
          <cell r="J1036" t="str">
            <v>5401081737</v>
          </cell>
          <cell r="K1036" t="str">
            <v>10</v>
          </cell>
          <cell r="M1036">
            <v>12370</v>
          </cell>
        </row>
        <row r="1037">
          <cell r="J1037" t="str">
            <v>5401087955</v>
          </cell>
          <cell r="K1037" t="str">
            <v>10</v>
          </cell>
          <cell r="M1037">
            <v>427.5</v>
          </cell>
        </row>
        <row r="1038">
          <cell r="J1038" t="str">
            <v>5401087955</v>
          </cell>
          <cell r="K1038" t="str">
            <v>10</v>
          </cell>
          <cell r="M1038">
            <v>285</v>
          </cell>
        </row>
        <row r="1039">
          <cell r="J1039" t="str">
            <v>5401087955</v>
          </cell>
          <cell r="K1039" t="str">
            <v>10</v>
          </cell>
          <cell r="M1039">
            <v>142.5</v>
          </cell>
        </row>
        <row r="1040">
          <cell r="J1040" t="str">
            <v>5401081737</v>
          </cell>
          <cell r="K1040" t="str">
            <v>10</v>
          </cell>
          <cell r="M1040">
            <v>12370</v>
          </cell>
        </row>
        <row r="1041">
          <cell r="J1041" t="str">
            <v>5401106038</v>
          </cell>
          <cell r="K1041" t="str">
            <v>10</v>
          </cell>
          <cell r="M1041">
            <v>4900</v>
          </cell>
        </row>
        <row r="1042">
          <cell r="J1042" t="str">
            <v>5401106038</v>
          </cell>
          <cell r="K1042" t="str">
            <v>10</v>
          </cell>
          <cell r="M1042">
            <v>4900</v>
          </cell>
        </row>
        <row r="1043">
          <cell r="J1043" t="str">
            <v>5401106038</v>
          </cell>
          <cell r="K1043" t="str">
            <v>10</v>
          </cell>
          <cell r="M1043">
            <v>4900</v>
          </cell>
        </row>
        <row r="1044">
          <cell r="J1044" t="str">
            <v>5401106038</v>
          </cell>
          <cell r="K1044" t="str">
            <v>10</v>
          </cell>
          <cell r="M1044">
            <v>4900</v>
          </cell>
        </row>
        <row r="1045">
          <cell r="J1045" t="str">
            <v>5401081737</v>
          </cell>
          <cell r="K1045" t="str">
            <v>10</v>
          </cell>
          <cell r="M1045">
            <v>12370</v>
          </cell>
        </row>
        <row r="1046">
          <cell r="J1046" t="str">
            <v>5401081737</v>
          </cell>
          <cell r="K1046" t="str">
            <v>10</v>
          </cell>
          <cell r="M1046">
            <v>12370</v>
          </cell>
        </row>
        <row r="1047">
          <cell r="J1047" t="str">
            <v>5401087955</v>
          </cell>
          <cell r="K1047" t="str">
            <v>10</v>
          </cell>
          <cell r="M1047">
            <v>142.5</v>
          </cell>
        </row>
        <row r="1048">
          <cell r="J1048" t="str">
            <v>5401106038</v>
          </cell>
          <cell r="K1048" t="str">
            <v>10</v>
          </cell>
          <cell r="M1048">
            <v>4900</v>
          </cell>
        </row>
        <row r="1049">
          <cell r="J1049" t="str">
            <v>5401087955</v>
          </cell>
          <cell r="K1049" t="str">
            <v>10</v>
          </cell>
          <cell r="M1049">
            <v>142.5</v>
          </cell>
        </row>
        <row r="1050">
          <cell r="J1050" t="str">
            <v>5401081737</v>
          </cell>
          <cell r="K1050" t="str">
            <v>10</v>
          </cell>
          <cell r="M1050">
            <v>12370</v>
          </cell>
        </row>
        <row r="1051">
          <cell r="J1051" t="str">
            <v>5401106038</v>
          </cell>
          <cell r="K1051" t="str">
            <v>10</v>
          </cell>
          <cell r="M1051">
            <v>4900</v>
          </cell>
        </row>
        <row r="1052">
          <cell r="J1052" t="str">
            <v>5401087955</v>
          </cell>
          <cell r="K1052" t="str">
            <v>10</v>
          </cell>
          <cell r="M1052">
            <v>142.5</v>
          </cell>
        </row>
        <row r="1053">
          <cell r="J1053" t="str">
            <v>#</v>
          </cell>
          <cell r="K1053" t="str">
            <v>#</v>
          </cell>
          <cell r="M1053">
            <v>26284</v>
          </cell>
        </row>
        <row r="1054">
          <cell r="J1054" t="str">
            <v>#</v>
          </cell>
          <cell r="K1054" t="str">
            <v>#</v>
          </cell>
          <cell r="M1054">
            <v>224238</v>
          </cell>
        </row>
        <row r="1055">
          <cell r="J1055" t="str">
            <v>#</v>
          </cell>
          <cell r="K1055" t="str">
            <v>#</v>
          </cell>
          <cell r="M1055">
            <v>64998</v>
          </cell>
        </row>
        <row r="1056">
          <cell r="J1056" t="str">
            <v>#</v>
          </cell>
          <cell r="K1056" t="str">
            <v>#</v>
          </cell>
          <cell r="M1056">
            <v>74376</v>
          </cell>
        </row>
        <row r="1057">
          <cell r="J1057" t="str">
            <v>#</v>
          </cell>
          <cell r="K1057" t="str">
            <v>#</v>
          </cell>
          <cell r="M1057">
            <v>-0.01</v>
          </cell>
        </row>
        <row r="1058">
          <cell r="J1058" t="str">
            <v>#</v>
          </cell>
          <cell r="K1058" t="str">
            <v>#</v>
          </cell>
          <cell r="M1058">
            <v>-34187.870000000003</v>
          </cell>
        </row>
        <row r="1059">
          <cell r="J1059" t="str">
            <v>#</v>
          </cell>
          <cell r="K1059" t="str">
            <v>#</v>
          </cell>
          <cell r="M1059">
            <v>-84450.89</v>
          </cell>
        </row>
        <row r="1060">
          <cell r="J1060" t="str">
            <v>#</v>
          </cell>
          <cell r="K1060" t="str">
            <v>#</v>
          </cell>
          <cell r="M1060">
            <v>-31552.04</v>
          </cell>
        </row>
        <row r="1061">
          <cell r="J1061" t="str">
            <v>#</v>
          </cell>
          <cell r="K1061" t="str">
            <v>#</v>
          </cell>
          <cell r="M1061">
            <v>-60682.43</v>
          </cell>
        </row>
        <row r="1062">
          <cell r="J1062" t="str">
            <v>#</v>
          </cell>
          <cell r="K1062" t="str">
            <v>#</v>
          </cell>
          <cell r="M1062">
            <v>-52472.23</v>
          </cell>
        </row>
        <row r="1063">
          <cell r="J1063" t="str">
            <v>#</v>
          </cell>
          <cell r="K1063" t="str">
            <v>#</v>
          </cell>
          <cell r="M1063">
            <v>-632051.31000000006</v>
          </cell>
        </row>
        <row r="1064">
          <cell r="J1064" t="str">
            <v>#</v>
          </cell>
          <cell r="K1064" t="str">
            <v>#</v>
          </cell>
          <cell r="M1064">
            <v>-520640.95</v>
          </cell>
        </row>
        <row r="1065">
          <cell r="J1065" t="str">
            <v>#</v>
          </cell>
          <cell r="K1065" t="str">
            <v>#</v>
          </cell>
          <cell r="M1065">
            <v>-57600.91</v>
          </cell>
        </row>
        <row r="1066">
          <cell r="J1066" t="str">
            <v>#</v>
          </cell>
          <cell r="K1066" t="str">
            <v>#</v>
          </cell>
          <cell r="M1066">
            <v>-47378.9</v>
          </cell>
        </row>
        <row r="1067">
          <cell r="J1067" t="str">
            <v>#</v>
          </cell>
          <cell r="K1067" t="str">
            <v>#</v>
          </cell>
          <cell r="M1067">
            <v>-165312.82999999999</v>
          </cell>
        </row>
        <row r="1068">
          <cell r="J1068" t="str">
            <v>#</v>
          </cell>
          <cell r="K1068" t="str">
            <v>#</v>
          </cell>
          <cell r="M1068">
            <v>-89550.24</v>
          </cell>
        </row>
        <row r="1069">
          <cell r="J1069" t="str">
            <v>#</v>
          </cell>
          <cell r="K1069" t="str">
            <v>#</v>
          </cell>
          <cell r="M1069">
            <v>-502770.05</v>
          </cell>
        </row>
        <row r="1070">
          <cell r="J1070" t="str">
            <v>#</v>
          </cell>
          <cell r="K1070" t="str">
            <v>#</v>
          </cell>
          <cell r="M1070">
            <v>-210391</v>
          </cell>
        </row>
        <row r="1071">
          <cell r="J1071" t="str">
            <v>#</v>
          </cell>
          <cell r="K1071" t="str">
            <v>#</v>
          </cell>
          <cell r="M1071">
            <v>-256800</v>
          </cell>
        </row>
        <row r="1072">
          <cell r="J1072" t="str">
            <v>#</v>
          </cell>
          <cell r="K1072" t="str">
            <v>#</v>
          </cell>
          <cell r="M1072">
            <v>128400</v>
          </cell>
        </row>
        <row r="1073">
          <cell r="J1073" t="str">
            <v>#</v>
          </cell>
          <cell r="K1073" t="str">
            <v>#</v>
          </cell>
          <cell r="M1073">
            <v>0</v>
          </cell>
        </row>
        <row r="1074">
          <cell r="J1074" t="str">
            <v>#</v>
          </cell>
          <cell r="K1074" t="str">
            <v>#</v>
          </cell>
          <cell r="M1074">
            <v>0</v>
          </cell>
        </row>
        <row r="1075">
          <cell r="J1075" t="str">
            <v>#</v>
          </cell>
          <cell r="K1075" t="str">
            <v>#</v>
          </cell>
          <cell r="M1075">
            <v>-73875</v>
          </cell>
        </row>
        <row r="1076">
          <cell r="J1076" t="str">
            <v>#</v>
          </cell>
          <cell r="K1076" t="str">
            <v>#</v>
          </cell>
          <cell r="M1076">
            <v>18468.75</v>
          </cell>
        </row>
        <row r="1077">
          <cell r="J1077" t="str">
            <v>#</v>
          </cell>
          <cell r="K1077" t="str">
            <v>#</v>
          </cell>
          <cell r="M1077">
            <v>-78852</v>
          </cell>
        </row>
        <row r="1078">
          <cell r="J1078" t="str">
            <v>#</v>
          </cell>
          <cell r="K1078" t="str">
            <v>#</v>
          </cell>
          <cell r="M1078">
            <v>13142</v>
          </cell>
        </row>
        <row r="1079">
          <cell r="J1079" t="str">
            <v>#</v>
          </cell>
          <cell r="K1079" t="str">
            <v>#</v>
          </cell>
          <cell r="M1079">
            <v>-116691.64</v>
          </cell>
        </row>
        <row r="1080">
          <cell r="J1080" t="str">
            <v>#</v>
          </cell>
          <cell r="K1080" t="str">
            <v>#</v>
          </cell>
          <cell r="M1080">
            <v>0</v>
          </cell>
        </row>
        <row r="1081">
          <cell r="J1081" t="str">
            <v>5401106550</v>
          </cell>
          <cell r="K1081" t="str">
            <v>10</v>
          </cell>
          <cell r="M1081">
            <v>609079.16</v>
          </cell>
        </row>
        <row r="1082">
          <cell r="J1082" t="str">
            <v>5401085090</v>
          </cell>
          <cell r="K1082" t="str">
            <v>10</v>
          </cell>
          <cell r="M1082">
            <v>28200</v>
          </cell>
        </row>
        <row r="1083">
          <cell r="J1083" t="str">
            <v>5401085090</v>
          </cell>
          <cell r="K1083" t="str">
            <v>10</v>
          </cell>
          <cell r="M1083">
            <v>4200</v>
          </cell>
        </row>
        <row r="1084">
          <cell r="J1084" t="str">
            <v>5401085090</v>
          </cell>
          <cell r="K1084" t="str">
            <v>20</v>
          </cell>
          <cell r="M1084">
            <v>4700</v>
          </cell>
        </row>
        <row r="1085">
          <cell r="J1085" t="str">
            <v>5401085090</v>
          </cell>
          <cell r="K1085" t="str">
            <v>10</v>
          </cell>
          <cell r="M1085">
            <v>5400</v>
          </cell>
        </row>
        <row r="1086">
          <cell r="J1086" t="str">
            <v>5401085090</v>
          </cell>
          <cell r="K1086" t="str">
            <v>10</v>
          </cell>
          <cell r="M1086">
            <v>32400</v>
          </cell>
        </row>
        <row r="1087">
          <cell r="J1087" t="str">
            <v>5400963575</v>
          </cell>
          <cell r="K1087" t="str">
            <v>40</v>
          </cell>
          <cell r="M1087">
            <v>230483.1</v>
          </cell>
        </row>
        <row r="1088">
          <cell r="J1088" t="str">
            <v>5400963575</v>
          </cell>
          <cell r="K1088" t="str">
            <v>40</v>
          </cell>
          <cell r="M1088">
            <v>39237.78</v>
          </cell>
        </row>
        <row r="1089">
          <cell r="J1089" t="str">
            <v>5400963575</v>
          </cell>
          <cell r="K1089" t="str">
            <v>60</v>
          </cell>
          <cell r="M1089">
            <v>29699.7</v>
          </cell>
        </row>
        <row r="1090">
          <cell r="J1090" t="str">
            <v>5401084799</v>
          </cell>
          <cell r="K1090" t="str">
            <v>10</v>
          </cell>
          <cell r="M1090">
            <v>-5400</v>
          </cell>
        </row>
        <row r="1091">
          <cell r="J1091" t="str">
            <v>5401103113</v>
          </cell>
          <cell r="K1091" t="str">
            <v>10</v>
          </cell>
          <cell r="M1091">
            <v>13122</v>
          </cell>
        </row>
        <row r="1092">
          <cell r="J1092" t="str">
            <v>5401103113</v>
          </cell>
          <cell r="K1092" t="str">
            <v>10</v>
          </cell>
          <cell r="M1092">
            <v>-13122</v>
          </cell>
        </row>
        <row r="1093">
          <cell r="J1093" t="str">
            <v>5401103113</v>
          </cell>
          <cell r="K1093" t="str">
            <v>10</v>
          </cell>
          <cell r="M1093">
            <v>12515.02</v>
          </cell>
        </row>
        <row r="1094">
          <cell r="J1094" t="str">
            <v>5401091693</v>
          </cell>
          <cell r="K1094" t="str">
            <v>10</v>
          </cell>
          <cell r="M1094">
            <v>15726</v>
          </cell>
        </row>
        <row r="1095">
          <cell r="J1095" t="str">
            <v>5401066356</v>
          </cell>
          <cell r="K1095" t="str">
            <v>30</v>
          </cell>
          <cell r="M1095">
            <v>10097.1</v>
          </cell>
        </row>
        <row r="1096">
          <cell r="J1096" t="str">
            <v>5401066356</v>
          </cell>
          <cell r="K1096" t="str">
            <v>10</v>
          </cell>
          <cell r="M1096">
            <v>2631.6</v>
          </cell>
        </row>
        <row r="1097">
          <cell r="J1097" t="str">
            <v>5401066356</v>
          </cell>
          <cell r="K1097" t="str">
            <v>30</v>
          </cell>
          <cell r="M1097">
            <v>-7994.7</v>
          </cell>
        </row>
        <row r="1098">
          <cell r="J1098" t="str">
            <v>5401066356</v>
          </cell>
          <cell r="K1098" t="str">
            <v>10</v>
          </cell>
          <cell r="M1098">
            <v>-2631.6</v>
          </cell>
        </row>
        <row r="1099">
          <cell r="J1099" t="str">
            <v>5401084016</v>
          </cell>
          <cell r="K1099" t="str">
            <v>10</v>
          </cell>
          <cell r="M1099">
            <v>2212.5</v>
          </cell>
        </row>
        <row r="1100">
          <cell r="J1100" t="str">
            <v>5401084016</v>
          </cell>
          <cell r="K1100" t="str">
            <v>10</v>
          </cell>
          <cell r="M1100">
            <v>2212.5</v>
          </cell>
        </row>
        <row r="1101">
          <cell r="J1101" t="str">
            <v>5401084016</v>
          </cell>
          <cell r="K1101" t="str">
            <v>10</v>
          </cell>
          <cell r="M1101">
            <v>2212.5</v>
          </cell>
        </row>
        <row r="1102">
          <cell r="J1102" t="str">
            <v>5401084016</v>
          </cell>
          <cell r="K1102" t="str">
            <v>10</v>
          </cell>
          <cell r="M1102">
            <v>2212.5</v>
          </cell>
        </row>
        <row r="1103">
          <cell r="J1103" t="str">
            <v>5401084016</v>
          </cell>
          <cell r="K1103" t="str">
            <v>10</v>
          </cell>
          <cell r="M1103">
            <v>2212.5</v>
          </cell>
        </row>
        <row r="1104">
          <cell r="J1104" t="str">
            <v>5401084016</v>
          </cell>
          <cell r="K1104" t="str">
            <v>10</v>
          </cell>
          <cell r="M1104">
            <v>2212.5</v>
          </cell>
        </row>
        <row r="1105">
          <cell r="J1105" t="str">
            <v>5401091862</v>
          </cell>
          <cell r="K1105" t="str">
            <v>10</v>
          </cell>
          <cell r="M1105">
            <v>1938</v>
          </cell>
        </row>
        <row r="1106">
          <cell r="J1106" t="str">
            <v>5401100856</v>
          </cell>
          <cell r="K1106" t="str">
            <v>10</v>
          </cell>
          <cell r="M1106">
            <v>1010.88</v>
          </cell>
        </row>
        <row r="1107">
          <cell r="J1107" t="str">
            <v>5401103112</v>
          </cell>
          <cell r="K1107" t="str">
            <v>10</v>
          </cell>
          <cell r="M1107">
            <v>1010.88</v>
          </cell>
        </row>
        <row r="1108">
          <cell r="J1108" t="str">
            <v>5401102208</v>
          </cell>
          <cell r="K1108" t="str">
            <v>10</v>
          </cell>
          <cell r="M1108">
            <v>1010.88</v>
          </cell>
        </row>
        <row r="1109">
          <cell r="J1109" t="str">
            <v>5401084015</v>
          </cell>
          <cell r="K1109" t="str">
            <v>10</v>
          </cell>
          <cell r="M1109">
            <v>27000</v>
          </cell>
        </row>
        <row r="1110">
          <cell r="J1110" t="str">
            <v>5401076465</v>
          </cell>
          <cell r="K1110" t="str">
            <v>10</v>
          </cell>
          <cell r="M1110">
            <v>4340</v>
          </cell>
        </row>
        <row r="1111">
          <cell r="J1111" t="str">
            <v>5401076465</v>
          </cell>
          <cell r="K1111" t="str">
            <v>10</v>
          </cell>
          <cell r="M1111">
            <v>4090</v>
          </cell>
        </row>
        <row r="1112">
          <cell r="J1112" t="str">
            <v>5401076465</v>
          </cell>
          <cell r="K1112" t="str">
            <v>10</v>
          </cell>
          <cell r="M1112">
            <v>7430</v>
          </cell>
        </row>
        <row r="1113">
          <cell r="J1113" t="str">
            <v>5401076465</v>
          </cell>
          <cell r="K1113" t="str">
            <v>10</v>
          </cell>
          <cell r="M1113">
            <v>7629</v>
          </cell>
        </row>
        <row r="1114">
          <cell r="J1114" t="str">
            <v>5401076465</v>
          </cell>
          <cell r="K1114" t="str">
            <v>10</v>
          </cell>
          <cell r="M1114">
            <v>1000</v>
          </cell>
        </row>
        <row r="1115">
          <cell r="J1115" t="str">
            <v>5401076465</v>
          </cell>
          <cell r="K1115" t="str">
            <v>10</v>
          </cell>
          <cell r="M1115">
            <v>6865</v>
          </cell>
        </row>
        <row r="1116">
          <cell r="J1116" t="str">
            <v>5401097355</v>
          </cell>
          <cell r="K1116" t="str">
            <v>10</v>
          </cell>
          <cell r="M1116">
            <v>7950</v>
          </cell>
        </row>
        <row r="1117">
          <cell r="J1117" t="str">
            <v>5400970737</v>
          </cell>
          <cell r="K1117" t="str">
            <v>20</v>
          </cell>
          <cell r="M1117">
            <v>72888.240000000005</v>
          </cell>
        </row>
        <row r="1118">
          <cell r="J1118" t="str">
            <v>5400970737</v>
          </cell>
          <cell r="K1118" t="str">
            <v>30</v>
          </cell>
          <cell r="M1118">
            <v>72888.240000000005</v>
          </cell>
        </row>
        <row r="1119">
          <cell r="J1119" t="str">
            <v>5401049390</v>
          </cell>
          <cell r="K1119" t="str">
            <v>10</v>
          </cell>
          <cell r="M1119">
            <v>893.6</v>
          </cell>
        </row>
        <row r="1120">
          <cell r="J1120" t="str">
            <v>5401049390</v>
          </cell>
          <cell r="K1120" t="str">
            <v>10</v>
          </cell>
          <cell r="M1120">
            <v>6000</v>
          </cell>
        </row>
        <row r="1121">
          <cell r="J1121" t="str">
            <v>5401049390</v>
          </cell>
          <cell r="K1121" t="str">
            <v>10</v>
          </cell>
          <cell r="M1121">
            <v>1217.77</v>
          </cell>
        </row>
        <row r="1122">
          <cell r="J1122" t="str">
            <v>5401049390</v>
          </cell>
          <cell r="K1122" t="str">
            <v>10</v>
          </cell>
          <cell r="M1122">
            <v>7102.63</v>
          </cell>
        </row>
        <row r="1123">
          <cell r="J1123" t="str">
            <v>5401049390</v>
          </cell>
          <cell r="K1123" t="str">
            <v>10</v>
          </cell>
          <cell r="M1123">
            <v>6000</v>
          </cell>
        </row>
        <row r="1124">
          <cell r="J1124" t="str">
            <v>5401049390</v>
          </cell>
          <cell r="K1124" t="str">
            <v>10</v>
          </cell>
          <cell r="M1124">
            <v>1017.6</v>
          </cell>
        </row>
        <row r="1125">
          <cell r="J1125" t="str">
            <v>5401049390</v>
          </cell>
          <cell r="K1125" t="str">
            <v>10</v>
          </cell>
          <cell r="M1125">
            <v>6000</v>
          </cell>
        </row>
        <row r="1126">
          <cell r="J1126" t="str">
            <v>5401110208</v>
          </cell>
          <cell r="K1126" t="str">
            <v>10</v>
          </cell>
          <cell r="M1126">
            <v>3800</v>
          </cell>
        </row>
        <row r="1127">
          <cell r="J1127" t="str">
            <v>5401110208</v>
          </cell>
          <cell r="K1127" t="str">
            <v>10</v>
          </cell>
          <cell r="M1127">
            <v>3800</v>
          </cell>
        </row>
        <row r="1128">
          <cell r="J1128" t="str">
            <v>5401049390</v>
          </cell>
          <cell r="K1128" t="str">
            <v>10</v>
          </cell>
          <cell r="M1128">
            <v>1017.6</v>
          </cell>
        </row>
        <row r="1129">
          <cell r="J1129" t="str">
            <v>5401081746</v>
          </cell>
          <cell r="K1129" t="str">
            <v>10</v>
          </cell>
          <cell r="M1129">
            <v>9837</v>
          </cell>
        </row>
        <row r="1130">
          <cell r="J1130" t="str">
            <v>5401081746</v>
          </cell>
          <cell r="K1130" t="str">
            <v>10</v>
          </cell>
          <cell r="M1130">
            <v>9837</v>
          </cell>
        </row>
        <row r="1131">
          <cell r="J1131" t="str">
            <v>5401102224</v>
          </cell>
          <cell r="K1131" t="str">
            <v>10</v>
          </cell>
          <cell r="M1131">
            <v>112327.58</v>
          </cell>
        </row>
        <row r="1132">
          <cell r="J1132" t="str">
            <v>5401060518</v>
          </cell>
          <cell r="K1132" t="str">
            <v>10</v>
          </cell>
          <cell r="M1132">
            <v>4928</v>
          </cell>
        </row>
        <row r="1133">
          <cell r="J1133" t="str">
            <v>5401093332</v>
          </cell>
          <cell r="K1133" t="str">
            <v>10</v>
          </cell>
          <cell r="M1133">
            <v>2630</v>
          </cell>
        </row>
        <row r="1134">
          <cell r="J1134" t="str">
            <v>5401093332</v>
          </cell>
          <cell r="K1134" t="str">
            <v>20</v>
          </cell>
          <cell r="M1134">
            <v>7934.9</v>
          </cell>
        </row>
        <row r="1135">
          <cell r="J1135" t="str">
            <v>5401093332</v>
          </cell>
          <cell r="K1135" t="str">
            <v>30</v>
          </cell>
          <cell r="M1135">
            <v>3883.5</v>
          </cell>
        </row>
        <row r="1136">
          <cell r="J1136" t="str">
            <v>5401093332</v>
          </cell>
          <cell r="K1136" t="str">
            <v>40</v>
          </cell>
          <cell r="M1136">
            <v>16200</v>
          </cell>
        </row>
        <row r="1137">
          <cell r="J1137" t="str">
            <v>5401088459</v>
          </cell>
          <cell r="K1137" t="str">
            <v>100</v>
          </cell>
          <cell r="M1137">
            <v>4627.42</v>
          </cell>
        </row>
        <row r="1138">
          <cell r="J1138" t="str">
            <v>5401093332</v>
          </cell>
          <cell r="K1138" t="str">
            <v>10</v>
          </cell>
          <cell r="M1138">
            <v>2630</v>
          </cell>
        </row>
        <row r="1139">
          <cell r="J1139" t="str">
            <v>5401093332</v>
          </cell>
          <cell r="K1139" t="str">
            <v>20</v>
          </cell>
          <cell r="M1139">
            <v>7934.9</v>
          </cell>
        </row>
        <row r="1140">
          <cell r="J1140" t="str">
            <v>5401093332</v>
          </cell>
          <cell r="K1140" t="str">
            <v>30</v>
          </cell>
          <cell r="M1140">
            <v>3883.5</v>
          </cell>
        </row>
        <row r="1141">
          <cell r="J1141" t="str">
            <v>5401093332</v>
          </cell>
          <cell r="K1141" t="str">
            <v>40</v>
          </cell>
          <cell r="M1141">
            <v>16200</v>
          </cell>
        </row>
        <row r="1142">
          <cell r="J1142" t="str">
            <v>5401088459</v>
          </cell>
          <cell r="K1142" t="str">
            <v>100</v>
          </cell>
          <cell r="M1142">
            <v>4627.42</v>
          </cell>
        </row>
        <row r="1143">
          <cell r="J1143" t="str">
            <v>5401093332</v>
          </cell>
          <cell r="K1143" t="str">
            <v>10</v>
          </cell>
          <cell r="M1143">
            <v>-2630</v>
          </cell>
        </row>
        <row r="1144">
          <cell r="J1144" t="str">
            <v>5401093332</v>
          </cell>
          <cell r="K1144" t="str">
            <v>10</v>
          </cell>
          <cell r="M1144">
            <v>-2630</v>
          </cell>
        </row>
        <row r="1145">
          <cell r="J1145" t="str">
            <v>5401093332</v>
          </cell>
          <cell r="K1145" t="str">
            <v>10</v>
          </cell>
          <cell r="M1145">
            <v>1230</v>
          </cell>
        </row>
        <row r="1146">
          <cell r="J1146" t="str">
            <v>5401093332</v>
          </cell>
          <cell r="K1146" t="str">
            <v>10</v>
          </cell>
          <cell r="M1146">
            <v>1230</v>
          </cell>
        </row>
        <row r="1147">
          <cell r="J1147" t="str">
            <v>5401093332</v>
          </cell>
          <cell r="K1147" t="str">
            <v>20</v>
          </cell>
          <cell r="M1147">
            <v>-7934.9</v>
          </cell>
        </row>
        <row r="1148">
          <cell r="J1148" t="str">
            <v>5401093332</v>
          </cell>
          <cell r="K1148" t="str">
            <v>20</v>
          </cell>
          <cell r="M1148">
            <v>-7934.9</v>
          </cell>
        </row>
        <row r="1149">
          <cell r="J1149" t="str">
            <v>5401093332</v>
          </cell>
          <cell r="K1149" t="str">
            <v>20</v>
          </cell>
          <cell r="M1149">
            <v>4761.6000000000004</v>
          </cell>
        </row>
        <row r="1150">
          <cell r="J1150" t="str">
            <v>5401093332</v>
          </cell>
          <cell r="K1150" t="str">
            <v>20</v>
          </cell>
          <cell r="M1150">
            <v>4761.6000000000004</v>
          </cell>
        </row>
        <row r="1151">
          <cell r="J1151" t="str">
            <v>5401093332</v>
          </cell>
          <cell r="K1151" t="str">
            <v>30</v>
          </cell>
          <cell r="M1151">
            <v>-3883.5</v>
          </cell>
        </row>
        <row r="1152">
          <cell r="J1152" t="str">
            <v>5401093332</v>
          </cell>
          <cell r="K1152" t="str">
            <v>30</v>
          </cell>
          <cell r="M1152">
            <v>-3883.5</v>
          </cell>
        </row>
        <row r="1153">
          <cell r="J1153" t="str">
            <v>5401093332</v>
          </cell>
          <cell r="K1153" t="str">
            <v>30</v>
          </cell>
          <cell r="M1153">
            <v>4861.6000000000004</v>
          </cell>
        </row>
        <row r="1154">
          <cell r="J1154" t="str">
            <v>5401093332</v>
          </cell>
          <cell r="K1154" t="str">
            <v>30</v>
          </cell>
          <cell r="M1154">
            <v>4861.6000000000004</v>
          </cell>
        </row>
        <row r="1155">
          <cell r="J1155" t="str">
            <v>5401093332</v>
          </cell>
          <cell r="K1155" t="str">
            <v>10</v>
          </cell>
          <cell r="M1155">
            <v>1230</v>
          </cell>
        </row>
        <row r="1156">
          <cell r="J1156" t="str">
            <v>5401093332</v>
          </cell>
          <cell r="K1156" t="str">
            <v>20</v>
          </cell>
          <cell r="M1156">
            <v>4761.6000000000004</v>
          </cell>
        </row>
        <row r="1157">
          <cell r="J1157" t="str">
            <v>5401093332</v>
          </cell>
          <cell r="K1157" t="str">
            <v>30</v>
          </cell>
          <cell r="M1157">
            <v>4861.6000000000004</v>
          </cell>
        </row>
        <row r="1158">
          <cell r="J1158" t="str">
            <v>5401093332</v>
          </cell>
          <cell r="K1158" t="str">
            <v>40</v>
          </cell>
          <cell r="M1158">
            <v>16200</v>
          </cell>
        </row>
        <row r="1159">
          <cell r="J1159" t="str">
            <v>5401087670</v>
          </cell>
          <cell r="K1159" t="str">
            <v>10</v>
          </cell>
          <cell r="M1159">
            <v>7876.67</v>
          </cell>
        </row>
        <row r="1160">
          <cell r="J1160" t="str">
            <v>5401088459</v>
          </cell>
          <cell r="K1160" t="str">
            <v>100</v>
          </cell>
          <cell r="M1160">
            <v>4627.42</v>
          </cell>
        </row>
        <row r="1161">
          <cell r="J1161" t="str">
            <v>5401093332</v>
          </cell>
          <cell r="K1161" t="str">
            <v>10</v>
          </cell>
          <cell r="M1161">
            <v>1400</v>
          </cell>
        </row>
        <row r="1162">
          <cell r="J1162" t="str">
            <v>5401093332</v>
          </cell>
          <cell r="K1162" t="str">
            <v>20</v>
          </cell>
          <cell r="M1162">
            <v>3172.4</v>
          </cell>
        </row>
        <row r="1163">
          <cell r="J1163" t="str">
            <v>5401093332</v>
          </cell>
          <cell r="K1163" t="str">
            <v>30</v>
          </cell>
          <cell r="M1163">
            <v>-4861.6000000000004</v>
          </cell>
        </row>
        <row r="1164">
          <cell r="J1164" t="str">
            <v>5401093332</v>
          </cell>
          <cell r="K1164" t="str">
            <v>30</v>
          </cell>
          <cell r="M1164">
            <v>3883.5</v>
          </cell>
        </row>
        <row r="1165">
          <cell r="J1165" t="str">
            <v>5401093332</v>
          </cell>
          <cell r="K1165" t="str">
            <v>40</v>
          </cell>
          <cell r="M1165">
            <v>3795.2</v>
          </cell>
        </row>
        <row r="1166">
          <cell r="J1166" t="str">
            <v>5401088459</v>
          </cell>
          <cell r="K1166" t="str">
            <v>100</v>
          </cell>
          <cell r="M1166">
            <v>4627.42</v>
          </cell>
        </row>
        <row r="1167">
          <cell r="J1167" t="str">
            <v>5401093332</v>
          </cell>
          <cell r="K1167" t="str">
            <v>40</v>
          </cell>
          <cell r="M1167">
            <v>16200</v>
          </cell>
        </row>
        <row r="1168">
          <cell r="J1168" t="str">
            <v>5401093332</v>
          </cell>
          <cell r="K1168" t="str">
            <v>20</v>
          </cell>
          <cell r="M1168">
            <v>3172.4</v>
          </cell>
        </row>
        <row r="1169">
          <cell r="J1169" t="str">
            <v>5401093332</v>
          </cell>
          <cell r="K1169" t="str">
            <v>20</v>
          </cell>
          <cell r="M1169">
            <v>7934.9</v>
          </cell>
        </row>
        <row r="1170">
          <cell r="J1170" t="str">
            <v>5401093332</v>
          </cell>
          <cell r="K1170" t="str">
            <v>10</v>
          </cell>
          <cell r="M1170">
            <v>1400</v>
          </cell>
        </row>
        <row r="1171">
          <cell r="J1171" t="str">
            <v>5401093332</v>
          </cell>
          <cell r="K1171" t="str">
            <v>10</v>
          </cell>
          <cell r="M1171">
            <v>2630</v>
          </cell>
        </row>
        <row r="1172">
          <cell r="J1172" t="str">
            <v>5401093332</v>
          </cell>
          <cell r="K1172" t="str">
            <v>10</v>
          </cell>
          <cell r="M1172">
            <v>2630</v>
          </cell>
        </row>
        <row r="1173">
          <cell r="J1173" t="str">
            <v>5401093332</v>
          </cell>
          <cell r="K1173" t="str">
            <v>20</v>
          </cell>
          <cell r="M1173">
            <v>7934.9</v>
          </cell>
        </row>
        <row r="1174">
          <cell r="J1174" t="str">
            <v>5401093332</v>
          </cell>
          <cell r="K1174" t="str">
            <v>30</v>
          </cell>
          <cell r="M1174">
            <v>3883.5</v>
          </cell>
        </row>
        <row r="1175">
          <cell r="J1175" t="str">
            <v>5401093332</v>
          </cell>
          <cell r="K1175" t="str">
            <v>40</v>
          </cell>
          <cell r="M1175">
            <v>16200</v>
          </cell>
        </row>
        <row r="1176">
          <cell r="J1176" t="str">
            <v>5401093332</v>
          </cell>
          <cell r="K1176" t="str">
            <v>30</v>
          </cell>
          <cell r="M1176">
            <v>-4861.6000000000004</v>
          </cell>
        </row>
        <row r="1177">
          <cell r="J1177" t="str">
            <v>5401093332</v>
          </cell>
          <cell r="K1177" t="str">
            <v>30</v>
          </cell>
          <cell r="M1177">
            <v>3883.5</v>
          </cell>
        </row>
        <row r="1178">
          <cell r="J1178" t="str">
            <v>5401088459</v>
          </cell>
          <cell r="K1178" t="str">
            <v>100</v>
          </cell>
          <cell r="M1178">
            <v>4627.42</v>
          </cell>
        </row>
        <row r="1179">
          <cell r="J1179" t="str">
            <v>5401093332</v>
          </cell>
          <cell r="K1179" t="str">
            <v>30</v>
          </cell>
          <cell r="M1179">
            <v>3883.5</v>
          </cell>
        </row>
        <row r="1180">
          <cell r="J1180" t="str">
            <v>5401093332</v>
          </cell>
          <cell r="K1180" t="str">
            <v>40</v>
          </cell>
          <cell r="M1180">
            <v>16200</v>
          </cell>
        </row>
        <row r="1181">
          <cell r="J1181" t="str">
            <v>5401088459</v>
          </cell>
          <cell r="K1181" t="str">
            <v>100</v>
          </cell>
          <cell r="M1181">
            <v>4627.42</v>
          </cell>
        </row>
        <row r="1182">
          <cell r="J1182" t="str">
            <v>5401093332</v>
          </cell>
          <cell r="K1182" t="str">
            <v>30</v>
          </cell>
          <cell r="M1182">
            <v>3883.5</v>
          </cell>
        </row>
        <row r="1183">
          <cell r="J1183" t="str">
            <v>5401093332</v>
          </cell>
          <cell r="K1183" t="str">
            <v>40</v>
          </cell>
          <cell r="M1183">
            <v>-3795.2</v>
          </cell>
        </row>
        <row r="1184">
          <cell r="J1184" t="str">
            <v>5401093332</v>
          </cell>
          <cell r="K1184" t="str">
            <v>40</v>
          </cell>
          <cell r="M1184">
            <v>3595.2</v>
          </cell>
        </row>
        <row r="1185">
          <cell r="J1185" t="str">
            <v>5401093332</v>
          </cell>
          <cell r="K1185" t="str">
            <v>10</v>
          </cell>
          <cell r="M1185">
            <v>2630</v>
          </cell>
        </row>
        <row r="1186">
          <cell r="J1186" t="str">
            <v>5401093332</v>
          </cell>
          <cell r="K1186" t="str">
            <v>20</v>
          </cell>
          <cell r="M1186">
            <v>7934.9</v>
          </cell>
        </row>
        <row r="1187">
          <cell r="J1187" t="str">
            <v>5401093332</v>
          </cell>
          <cell r="K1187" t="str">
            <v>40</v>
          </cell>
          <cell r="M1187">
            <v>0.9</v>
          </cell>
        </row>
        <row r="1188">
          <cell r="J1188" t="str">
            <v>5401090107</v>
          </cell>
          <cell r="K1188" t="str">
            <v>10</v>
          </cell>
          <cell r="M1188">
            <v>99447.5</v>
          </cell>
        </row>
        <row r="1189">
          <cell r="J1189" t="str">
            <v>5401088257</v>
          </cell>
          <cell r="K1189" t="str">
            <v>10</v>
          </cell>
          <cell r="M1189">
            <v>97877.77</v>
          </cell>
        </row>
        <row r="1190">
          <cell r="J1190" t="str">
            <v>5401088257</v>
          </cell>
          <cell r="K1190" t="str">
            <v>10</v>
          </cell>
          <cell r="M1190">
            <v>37667.89</v>
          </cell>
        </row>
        <row r="1191">
          <cell r="J1191" t="str">
            <v>5400904915</v>
          </cell>
          <cell r="K1191" t="str">
            <v>60</v>
          </cell>
          <cell r="M1191">
            <v>37000</v>
          </cell>
        </row>
        <row r="1192">
          <cell r="J1192" t="str">
            <v>5401041462</v>
          </cell>
          <cell r="K1192" t="str">
            <v>30</v>
          </cell>
          <cell r="M1192">
            <v>819.77</v>
          </cell>
        </row>
        <row r="1193">
          <cell r="J1193" t="str">
            <v>5401102235</v>
          </cell>
          <cell r="K1193" t="str">
            <v>10</v>
          </cell>
          <cell r="M1193">
            <v>130566.61</v>
          </cell>
        </row>
        <row r="1194">
          <cell r="J1194" t="str">
            <v>5401102235</v>
          </cell>
          <cell r="K1194" t="str">
            <v>10</v>
          </cell>
          <cell r="M1194">
            <v>3935.06</v>
          </cell>
        </row>
        <row r="1195">
          <cell r="J1195" t="str">
            <v>5401085514</v>
          </cell>
          <cell r="K1195" t="str">
            <v>10</v>
          </cell>
          <cell r="M1195">
            <v>14000</v>
          </cell>
        </row>
        <row r="1196">
          <cell r="J1196" t="str">
            <v>5401084796</v>
          </cell>
          <cell r="K1196" t="str">
            <v>10</v>
          </cell>
          <cell r="M1196">
            <v>13562.5</v>
          </cell>
        </row>
        <row r="1197">
          <cell r="J1197" t="str">
            <v>5401091687</v>
          </cell>
          <cell r="K1197" t="str">
            <v>10</v>
          </cell>
          <cell r="M1197">
            <v>50000</v>
          </cell>
        </row>
        <row r="1198">
          <cell r="J1198" t="str">
            <v>5401084017</v>
          </cell>
          <cell r="K1198" t="str">
            <v>10</v>
          </cell>
          <cell r="M1198">
            <v>98400</v>
          </cell>
        </row>
        <row r="1199">
          <cell r="J1199" t="str">
            <v>5401056435</v>
          </cell>
          <cell r="K1199" t="str">
            <v>20</v>
          </cell>
          <cell r="M1199">
            <v>129208.48</v>
          </cell>
        </row>
        <row r="1200">
          <cell r="J1200" t="str">
            <v>5401084018</v>
          </cell>
          <cell r="K1200" t="str">
            <v>10</v>
          </cell>
          <cell r="M1200">
            <v>88655</v>
          </cell>
        </row>
        <row r="1201">
          <cell r="J1201" t="str">
            <v>5401103111</v>
          </cell>
          <cell r="K1201" t="str">
            <v>10</v>
          </cell>
          <cell r="M1201">
            <v>52263.6</v>
          </cell>
        </row>
        <row r="1202">
          <cell r="J1202" t="str">
            <v>5401018982</v>
          </cell>
          <cell r="K1202" t="str">
            <v>10</v>
          </cell>
          <cell r="M1202">
            <v>-20276.98</v>
          </cell>
        </row>
        <row r="1203">
          <cell r="J1203" t="str">
            <v>5401018982</v>
          </cell>
          <cell r="K1203" t="str">
            <v>10</v>
          </cell>
          <cell r="M1203">
            <v>10889.6</v>
          </cell>
        </row>
        <row r="1204">
          <cell r="J1204" t="str">
            <v>5401018982</v>
          </cell>
          <cell r="K1204" t="str">
            <v>20</v>
          </cell>
          <cell r="M1204">
            <v>10889.6</v>
          </cell>
        </row>
        <row r="1205">
          <cell r="J1205" t="str">
            <v>5401018982</v>
          </cell>
          <cell r="K1205" t="str">
            <v>20</v>
          </cell>
          <cell r="M1205">
            <v>10818.54</v>
          </cell>
        </row>
        <row r="1206">
          <cell r="J1206" t="str">
            <v>5401018982</v>
          </cell>
          <cell r="K1206" t="str">
            <v>20</v>
          </cell>
          <cell r="M1206">
            <v>10752.5</v>
          </cell>
        </row>
        <row r="1207">
          <cell r="J1207" t="str">
            <v>5401018982</v>
          </cell>
          <cell r="K1207" t="str">
            <v>20</v>
          </cell>
          <cell r="M1207">
            <v>10437.92</v>
          </cell>
        </row>
        <row r="1208">
          <cell r="J1208" t="str">
            <v>5401018982</v>
          </cell>
          <cell r="K1208" t="str">
            <v>20</v>
          </cell>
          <cell r="M1208">
            <v>9872.15</v>
          </cell>
        </row>
        <row r="1209">
          <cell r="J1209" t="str">
            <v>5401018982</v>
          </cell>
          <cell r="K1209" t="str">
            <v>20</v>
          </cell>
          <cell r="M1209">
            <v>9952.33</v>
          </cell>
        </row>
        <row r="1210">
          <cell r="J1210" t="str">
            <v>5401018982</v>
          </cell>
          <cell r="K1210" t="str">
            <v>20</v>
          </cell>
          <cell r="M1210">
            <v>-71.06</v>
          </cell>
        </row>
        <row r="1211">
          <cell r="J1211" t="str">
            <v>5401018982</v>
          </cell>
          <cell r="K1211" t="str">
            <v>20</v>
          </cell>
          <cell r="M1211">
            <v>-66.040000000000006</v>
          </cell>
        </row>
        <row r="1212">
          <cell r="J1212" t="str">
            <v>5401018982</v>
          </cell>
          <cell r="K1212" t="str">
            <v>20</v>
          </cell>
          <cell r="M1212">
            <v>-314.58</v>
          </cell>
        </row>
        <row r="1213">
          <cell r="J1213" t="str">
            <v>5401018982</v>
          </cell>
          <cell r="K1213" t="str">
            <v>20</v>
          </cell>
          <cell r="M1213">
            <v>-565.77</v>
          </cell>
        </row>
        <row r="1214">
          <cell r="J1214" t="str">
            <v>5401050600</v>
          </cell>
          <cell r="K1214" t="str">
            <v>10</v>
          </cell>
          <cell r="M1214">
            <v>44940</v>
          </cell>
        </row>
        <row r="1215">
          <cell r="J1215" t="str">
            <v>5401094866</v>
          </cell>
          <cell r="K1215" t="str">
            <v>10</v>
          </cell>
          <cell r="M1215">
            <v>1551.5</v>
          </cell>
        </row>
        <row r="1216">
          <cell r="J1216" t="str">
            <v>5401094866</v>
          </cell>
          <cell r="K1216" t="str">
            <v>20</v>
          </cell>
          <cell r="M1216">
            <v>797.5</v>
          </cell>
        </row>
        <row r="1217">
          <cell r="J1217" t="str">
            <v>5401043314</v>
          </cell>
          <cell r="K1217" t="str">
            <v>10</v>
          </cell>
          <cell r="M1217">
            <v>580</v>
          </cell>
        </row>
        <row r="1218">
          <cell r="J1218" t="str">
            <v>5401043314</v>
          </cell>
          <cell r="K1218" t="str">
            <v>10</v>
          </cell>
          <cell r="M1218">
            <v>145</v>
          </cell>
        </row>
        <row r="1219">
          <cell r="J1219" t="str">
            <v>5401103117</v>
          </cell>
          <cell r="K1219" t="str">
            <v>10</v>
          </cell>
          <cell r="M1219">
            <v>2025</v>
          </cell>
        </row>
        <row r="1220">
          <cell r="J1220" t="str">
            <v>5401084023</v>
          </cell>
          <cell r="K1220" t="str">
            <v>10</v>
          </cell>
          <cell r="M1220">
            <v>93916.53</v>
          </cell>
        </row>
        <row r="1221">
          <cell r="J1221" t="str">
            <v>5401023844</v>
          </cell>
          <cell r="K1221" t="str">
            <v>10</v>
          </cell>
          <cell r="M1221">
            <v>-8035.35</v>
          </cell>
        </row>
        <row r="1222">
          <cell r="J1222" t="str">
            <v>5401082181</v>
          </cell>
          <cell r="K1222" t="str">
            <v>10</v>
          </cell>
          <cell r="M1222">
            <v>-9120</v>
          </cell>
        </row>
        <row r="1223">
          <cell r="J1223" t="str">
            <v>5401082181</v>
          </cell>
          <cell r="K1223" t="str">
            <v>10</v>
          </cell>
          <cell r="M1223">
            <v>6688</v>
          </cell>
        </row>
        <row r="1224">
          <cell r="J1224" t="str">
            <v>5401082181</v>
          </cell>
          <cell r="K1224" t="str">
            <v>10</v>
          </cell>
          <cell r="M1224">
            <v>2432</v>
          </cell>
        </row>
        <row r="1225">
          <cell r="J1225" t="str">
            <v>5401070319</v>
          </cell>
          <cell r="K1225" t="str">
            <v>10</v>
          </cell>
          <cell r="M1225">
            <v>34874.550000000003</v>
          </cell>
        </row>
        <row r="1226">
          <cell r="J1226" t="str">
            <v>5401006918</v>
          </cell>
          <cell r="K1226" t="str">
            <v>10</v>
          </cell>
          <cell r="M1226">
            <v>23886.68</v>
          </cell>
        </row>
        <row r="1227">
          <cell r="J1227" t="str">
            <v>5400976352</v>
          </cell>
          <cell r="K1227" t="str">
            <v>30</v>
          </cell>
          <cell r="M1227">
            <v>38475.83</v>
          </cell>
        </row>
        <row r="1228">
          <cell r="J1228" t="str">
            <v>5400976352</v>
          </cell>
          <cell r="K1228" t="str">
            <v>30</v>
          </cell>
          <cell r="M1228">
            <v>1159.5899999999999</v>
          </cell>
        </row>
        <row r="1229">
          <cell r="J1229" t="str">
            <v>5401006918</v>
          </cell>
          <cell r="K1229" t="str">
            <v>10</v>
          </cell>
          <cell r="M1229">
            <v>719.9</v>
          </cell>
        </row>
        <row r="1230">
          <cell r="J1230" t="str">
            <v>5401070319</v>
          </cell>
          <cell r="K1230" t="str">
            <v>10</v>
          </cell>
          <cell r="M1230">
            <v>1051.06</v>
          </cell>
        </row>
        <row r="1231">
          <cell r="J1231" t="str">
            <v>5401037891</v>
          </cell>
          <cell r="K1231" t="str">
            <v>20</v>
          </cell>
          <cell r="M1231">
            <v>39950</v>
          </cell>
        </row>
        <row r="1232">
          <cell r="J1232" t="str">
            <v>5401053351</v>
          </cell>
          <cell r="K1232" t="str">
            <v>20</v>
          </cell>
          <cell r="M1232">
            <v>-2315.06</v>
          </cell>
        </row>
        <row r="1233">
          <cell r="J1233" t="str">
            <v>5401053351</v>
          </cell>
          <cell r="K1233" t="str">
            <v>40</v>
          </cell>
          <cell r="M1233">
            <v>-11451.83</v>
          </cell>
        </row>
        <row r="1234">
          <cell r="J1234" t="str">
            <v>5401075346</v>
          </cell>
          <cell r="K1234" t="str">
            <v>10</v>
          </cell>
          <cell r="M1234">
            <v>62155.9</v>
          </cell>
        </row>
        <row r="1235">
          <cell r="J1235" t="str">
            <v>5401106441</v>
          </cell>
          <cell r="K1235" t="str">
            <v>10</v>
          </cell>
          <cell r="M1235">
            <v>6619.76</v>
          </cell>
        </row>
        <row r="1236">
          <cell r="J1236" t="str">
            <v>5401075346</v>
          </cell>
          <cell r="K1236" t="str">
            <v>10</v>
          </cell>
          <cell r="M1236">
            <v>-4582.3100000000004</v>
          </cell>
        </row>
        <row r="1237">
          <cell r="J1237" t="str">
            <v>5400940618</v>
          </cell>
          <cell r="K1237" t="str">
            <v>40</v>
          </cell>
          <cell r="M1237">
            <v>-17378.52</v>
          </cell>
        </row>
        <row r="1238">
          <cell r="J1238" t="str">
            <v>5401095527</v>
          </cell>
          <cell r="K1238" t="str">
            <v>30</v>
          </cell>
          <cell r="M1238">
            <v>109800</v>
          </cell>
        </row>
        <row r="1239">
          <cell r="J1239" t="str">
            <v>5401095527</v>
          </cell>
          <cell r="K1239" t="str">
            <v>10</v>
          </cell>
          <cell r="M1239">
            <v>37964.86</v>
          </cell>
        </row>
        <row r="1240">
          <cell r="J1240" t="str">
            <v>5401050627</v>
          </cell>
          <cell r="K1240" t="str">
            <v>10</v>
          </cell>
          <cell r="M1240">
            <v>1305</v>
          </cell>
        </row>
        <row r="1241">
          <cell r="J1241" t="str">
            <v>5401090208</v>
          </cell>
          <cell r="K1241" t="str">
            <v>20</v>
          </cell>
          <cell r="M1241">
            <v>22836</v>
          </cell>
        </row>
        <row r="1242">
          <cell r="J1242" t="str">
            <v>5401090208</v>
          </cell>
          <cell r="K1242" t="str">
            <v>10</v>
          </cell>
          <cell r="M1242">
            <v>281677.2</v>
          </cell>
        </row>
        <row r="1243">
          <cell r="J1243" t="str">
            <v>5401116132</v>
          </cell>
          <cell r="K1243" t="str">
            <v>10</v>
          </cell>
          <cell r="M1243">
            <v>5926</v>
          </cell>
        </row>
        <row r="1244">
          <cell r="J1244" t="str">
            <v>5401076464</v>
          </cell>
          <cell r="K1244" t="str">
            <v>10</v>
          </cell>
          <cell r="M1244">
            <v>-330</v>
          </cell>
        </row>
        <row r="1245">
          <cell r="J1245" t="str">
            <v>5401076464</v>
          </cell>
          <cell r="K1245" t="str">
            <v>10</v>
          </cell>
          <cell r="M1245">
            <v>297</v>
          </cell>
        </row>
        <row r="1246">
          <cell r="J1246" t="str">
            <v>5401076464</v>
          </cell>
          <cell r="K1246" t="str">
            <v>10</v>
          </cell>
          <cell r="M1246">
            <v>33</v>
          </cell>
        </row>
        <row r="1247">
          <cell r="J1247" t="str">
            <v>5401017905</v>
          </cell>
          <cell r="K1247" t="str">
            <v>10</v>
          </cell>
          <cell r="M1247">
            <v>5739.9</v>
          </cell>
        </row>
        <row r="1248">
          <cell r="J1248" t="str">
            <v>5401017905</v>
          </cell>
          <cell r="K1248" t="str">
            <v>10</v>
          </cell>
          <cell r="M1248">
            <v>9352.7000000000007</v>
          </cell>
        </row>
        <row r="1249">
          <cell r="J1249" t="str">
            <v>5401017905</v>
          </cell>
          <cell r="K1249" t="str">
            <v>10</v>
          </cell>
          <cell r="M1249">
            <v>9352.7000000000007</v>
          </cell>
        </row>
        <row r="1250">
          <cell r="J1250" t="str">
            <v>5401017905</v>
          </cell>
          <cell r="K1250" t="str">
            <v>10</v>
          </cell>
          <cell r="M1250">
            <v>5739.9</v>
          </cell>
        </row>
        <row r="1251">
          <cell r="J1251" t="str">
            <v>5401017905</v>
          </cell>
          <cell r="K1251" t="str">
            <v>10</v>
          </cell>
          <cell r="M1251">
            <v>1485</v>
          </cell>
        </row>
        <row r="1252">
          <cell r="J1252" t="str">
            <v>5401017905</v>
          </cell>
          <cell r="K1252" t="str">
            <v>10</v>
          </cell>
          <cell r="M1252">
            <v>1485</v>
          </cell>
        </row>
        <row r="1253">
          <cell r="J1253" t="str">
            <v>5401017905</v>
          </cell>
          <cell r="K1253" t="str">
            <v>10</v>
          </cell>
          <cell r="M1253">
            <v>9352.7000000000007</v>
          </cell>
        </row>
        <row r="1254">
          <cell r="J1254" t="str">
            <v>5401017905</v>
          </cell>
          <cell r="K1254" t="str">
            <v>10</v>
          </cell>
          <cell r="M1254">
            <v>5739.9</v>
          </cell>
        </row>
        <row r="1255">
          <cell r="J1255" t="str">
            <v>5401017905</v>
          </cell>
          <cell r="K1255" t="str">
            <v>10</v>
          </cell>
          <cell r="M1255">
            <v>9352.7000000000007</v>
          </cell>
        </row>
        <row r="1256">
          <cell r="J1256" t="str">
            <v>5401017905</v>
          </cell>
          <cell r="K1256" t="str">
            <v>10</v>
          </cell>
          <cell r="M1256">
            <v>5739.9</v>
          </cell>
        </row>
        <row r="1257">
          <cell r="J1257" t="str">
            <v>5401017905</v>
          </cell>
          <cell r="K1257" t="str">
            <v>10</v>
          </cell>
          <cell r="M1257">
            <v>1485</v>
          </cell>
        </row>
        <row r="1258">
          <cell r="J1258" t="str">
            <v>5401017905</v>
          </cell>
          <cell r="K1258" t="str">
            <v>10</v>
          </cell>
          <cell r="M1258">
            <v>9352.7000000000007</v>
          </cell>
        </row>
        <row r="1259">
          <cell r="J1259" t="str">
            <v>5401017905</v>
          </cell>
          <cell r="K1259" t="str">
            <v>10</v>
          </cell>
          <cell r="M1259">
            <v>5739.9</v>
          </cell>
        </row>
        <row r="1260">
          <cell r="J1260" t="str">
            <v>5401017905</v>
          </cell>
          <cell r="K1260" t="str">
            <v>10</v>
          </cell>
          <cell r="M1260">
            <v>1485</v>
          </cell>
        </row>
        <row r="1261">
          <cell r="J1261" t="str">
            <v>5401017905</v>
          </cell>
          <cell r="K1261" t="str">
            <v>10</v>
          </cell>
          <cell r="M1261">
            <v>9352.7000000000007</v>
          </cell>
        </row>
        <row r="1262">
          <cell r="J1262" t="str">
            <v>5401017905</v>
          </cell>
          <cell r="K1262" t="str">
            <v>10</v>
          </cell>
          <cell r="M1262">
            <v>5739.9</v>
          </cell>
        </row>
        <row r="1263">
          <cell r="J1263" t="str">
            <v>5401017905</v>
          </cell>
          <cell r="K1263" t="str">
            <v>10</v>
          </cell>
          <cell r="M1263">
            <v>1485</v>
          </cell>
        </row>
        <row r="1264">
          <cell r="J1264" t="str">
            <v>5401097362</v>
          </cell>
          <cell r="K1264" t="str">
            <v>10</v>
          </cell>
          <cell r="M1264">
            <v>26225.45</v>
          </cell>
        </row>
        <row r="1265">
          <cell r="J1265" t="str">
            <v>5400909342</v>
          </cell>
          <cell r="K1265" t="str">
            <v>50</v>
          </cell>
          <cell r="M1265">
            <v>329000</v>
          </cell>
        </row>
        <row r="1266">
          <cell r="J1266" t="str">
            <v>5401069521</v>
          </cell>
          <cell r="K1266" t="str">
            <v>20</v>
          </cell>
          <cell r="M1266">
            <v>29793</v>
          </cell>
        </row>
        <row r="1267">
          <cell r="J1267" t="str">
            <v>5400912153</v>
          </cell>
          <cell r="K1267" t="str">
            <v>60</v>
          </cell>
          <cell r="M1267">
            <v>313215.87</v>
          </cell>
        </row>
        <row r="1268">
          <cell r="J1268" t="str">
            <v>5400912153</v>
          </cell>
          <cell r="K1268" t="str">
            <v>60</v>
          </cell>
          <cell r="M1268">
            <v>115699.92</v>
          </cell>
        </row>
        <row r="1269">
          <cell r="J1269" t="str">
            <v>5400917805</v>
          </cell>
          <cell r="K1269" t="str">
            <v>40</v>
          </cell>
          <cell r="M1269">
            <v>128714.04</v>
          </cell>
        </row>
        <row r="1270">
          <cell r="J1270" t="str">
            <v>5400921393</v>
          </cell>
          <cell r="K1270" t="str">
            <v>40</v>
          </cell>
          <cell r="M1270">
            <v>36474</v>
          </cell>
        </row>
        <row r="1271">
          <cell r="J1271" t="str">
            <v>5400960770</v>
          </cell>
          <cell r="K1271" t="str">
            <v>40</v>
          </cell>
          <cell r="M1271">
            <v>33526.230000000003</v>
          </cell>
        </row>
        <row r="1272">
          <cell r="J1272" t="str">
            <v>5400921437</v>
          </cell>
          <cell r="K1272" t="str">
            <v>40</v>
          </cell>
          <cell r="M1272">
            <v>23118.48</v>
          </cell>
        </row>
        <row r="1273">
          <cell r="J1273" t="str">
            <v>5401045611</v>
          </cell>
          <cell r="K1273" t="str">
            <v>10</v>
          </cell>
          <cell r="M1273">
            <v>-3626.78</v>
          </cell>
        </row>
        <row r="1274">
          <cell r="J1274" t="str">
            <v>5401099785</v>
          </cell>
          <cell r="K1274" t="str">
            <v>10</v>
          </cell>
          <cell r="M1274">
            <v>13828.72</v>
          </cell>
        </row>
        <row r="1275">
          <cell r="J1275" t="str">
            <v>5401094872</v>
          </cell>
          <cell r="K1275" t="str">
            <v>10</v>
          </cell>
          <cell r="M1275">
            <v>66276</v>
          </cell>
        </row>
        <row r="1276">
          <cell r="J1276" t="str">
            <v>5401065459</v>
          </cell>
          <cell r="K1276" t="str">
            <v>10</v>
          </cell>
          <cell r="M1276">
            <v>34772.53</v>
          </cell>
        </row>
        <row r="1277">
          <cell r="J1277" t="str">
            <v>5400975278</v>
          </cell>
          <cell r="K1277" t="str">
            <v>50</v>
          </cell>
          <cell r="M1277">
            <v>162271.81</v>
          </cell>
        </row>
        <row r="1278">
          <cell r="J1278" t="str">
            <v>5401065459</v>
          </cell>
          <cell r="K1278" t="str">
            <v>10</v>
          </cell>
          <cell r="M1278">
            <v>-1497.74</v>
          </cell>
        </row>
        <row r="1279">
          <cell r="J1279" t="str">
            <v>5400975278</v>
          </cell>
          <cell r="K1279" t="str">
            <v>50</v>
          </cell>
          <cell r="M1279">
            <v>-6989.44</v>
          </cell>
        </row>
        <row r="1280">
          <cell r="J1280" t="str">
            <v>5400976828</v>
          </cell>
          <cell r="K1280" t="str">
            <v>30</v>
          </cell>
          <cell r="M1280">
            <v>68581.75</v>
          </cell>
        </row>
        <row r="1281">
          <cell r="J1281" t="str">
            <v>5401046459</v>
          </cell>
          <cell r="K1281" t="str">
            <v>20</v>
          </cell>
          <cell r="M1281">
            <v>24000</v>
          </cell>
        </row>
        <row r="1282">
          <cell r="J1282" t="str">
            <v>5401097354</v>
          </cell>
          <cell r="K1282" t="str">
            <v>10</v>
          </cell>
          <cell r="M1282">
            <v>7050</v>
          </cell>
        </row>
        <row r="1283">
          <cell r="J1283" t="str">
            <v>5401097354</v>
          </cell>
          <cell r="K1283" t="str">
            <v>10</v>
          </cell>
          <cell r="M1283">
            <v>77544</v>
          </cell>
        </row>
        <row r="1284">
          <cell r="J1284" t="str">
            <v>5401023562</v>
          </cell>
          <cell r="K1284" t="str">
            <v>30</v>
          </cell>
          <cell r="M1284">
            <v>241581</v>
          </cell>
        </row>
        <row r="1285">
          <cell r="J1285" t="str">
            <v>5401023562</v>
          </cell>
          <cell r="K1285" t="str">
            <v>30</v>
          </cell>
          <cell r="M1285">
            <v>11640</v>
          </cell>
        </row>
        <row r="1286">
          <cell r="J1286" t="str">
            <v>5401023562</v>
          </cell>
          <cell r="K1286" t="str">
            <v>30</v>
          </cell>
          <cell r="M1286">
            <v>11640</v>
          </cell>
        </row>
        <row r="1287">
          <cell r="J1287" t="str">
            <v>5401023562</v>
          </cell>
          <cell r="K1287" t="str">
            <v>30</v>
          </cell>
          <cell r="M1287">
            <v>-11640</v>
          </cell>
        </row>
        <row r="1288">
          <cell r="J1288" t="str">
            <v>5401023562</v>
          </cell>
          <cell r="K1288" t="str">
            <v>30</v>
          </cell>
          <cell r="M1288">
            <v>11640</v>
          </cell>
        </row>
        <row r="1289">
          <cell r="J1289" t="str">
            <v>5401023562</v>
          </cell>
          <cell r="K1289" t="str">
            <v>30</v>
          </cell>
          <cell r="M1289">
            <v>-11640</v>
          </cell>
        </row>
        <row r="1290">
          <cell r="J1290" t="str">
            <v>5401084798</v>
          </cell>
          <cell r="K1290" t="str">
            <v>10</v>
          </cell>
          <cell r="M1290">
            <v>12640.5</v>
          </cell>
        </row>
        <row r="1291">
          <cell r="J1291" t="str">
            <v>5401040892</v>
          </cell>
          <cell r="K1291" t="str">
            <v>10</v>
          </cell>
          <cell r="M1291">
            <v>15824</v>
          </cell>
        </row>
        <row r="1292">
          <cell r="J1292" t="str">
            <v>5401017889</v>
          </cell>
          <cell r="K1292" t="str">
            <v>10</v>
          </cell>
          <cell r="M1292">
            <v>5018.84</v>
          </cell>
        </row>
        <row r="1293">
          <cell r="J1293" t="str">
            <v>5401090202</v>
          </cell>
          <cell r="K1293" t="str">
            <v>10</v>
          </cell>
          <cell r="M1293">
            <v>14488.55</v>
          </cell>
        </row>
        <row r="1294">
          <cell r="J1294" t="str">
            <v>5401090202</v>
          </cell>
          <cell r="K1294" t="str">
            <v>10</v>
          </cell>
          <cell r="M1294">
            <v>13887.6</v>
          </cell>
        </row>
        <row r="1295">
          <cell r="J1295" t="str">
            <v>5401017889</v>
          </cell>
          <cell r="K1295" t="str">
            <v>10</v>
          </cell>
          <cell r="M1295">
            <v>444.92</v>
          </cell>
        </row>
        <row r="1296">
          <cell r="J1296" t="str">
            <v>5401084226</v>
          </cell>
          <cell r="K1296" t="str">
            <v>30</v>
          </cell>
          <cell r="M1296">
            <v>1280</v>
          </cell>
        </row>
        <row r="1297">
          <cell r="J1297" t="str">
            <v>5401084226</v>
          </cell>
          <cell r="K1297" t="str">
            <v>30</v>
          </cell>
          <cell r="M1297">
            <v>3225</v>
          </cell>
        </row>
        <row r="1298">
          <cell r="J1298" t="str">
            <v>5401084226</v>
          </cell>
          <cell r="K1298" t="str">
            <v>30</v>
          </cell>
          <cell r="M1298">
            <v>21500</v>
          </cell>
        </row>
        <row r="1299">
          <cell r="J1299" t="str">
            <v>5401084013</v>
          </cell>
          <cell r="K1299" t="str">
            <v>10</v>
          </cell>
          <cell r="M1299">
            <v>55.55</v>
          </cell>
        </row>
        <row r="1300">
          <cell r="J1300" t="str">
            <v>5401084013</v>
          </cell>
          <cell r="K1300" t="str">
            <v>10</v>
          </cell>
          <cell r="M1300">
            <v>1.67</v>
          </cell>
        </row>
        <row r="1301">
          <cell r="J1301" t="str">
            <v>5401084013</v>
          </cell>
          <cell r="K1301" t="str">
            <v>10</v>
          </cell>
          <cell r="M1301">
            <v>120.64</v>
          </cell>
        </row>
        <row r="1302">
          <cell r="J1302" t="str">
            <v>5401105315</v>
          </cell>
          <cell r="K1302" t="str">
            <v>10</v>
          </cell>
          <cell r="M1302">
            <v>38838.46</v>
          </cell>
        </row>
        <row r="1303">
          <cell r="J1303" t="str">
            <v>5401049687</v>
          </cell>
          <cell r="K1303" t="str">
            <v>40</v>
          </cell>
          <cell r="M1303">
            <v>9827</v>
          </cell>
        </row>
        <row r="1304">
          <cell r="J1304" t="str">
            <v>5401049687</v>
          </cell>
          <cell r="K1304" t="str">
            <v>40</v>
          </cell>
          <cell r="M1304">
            <v>9827</v>
          </cell>
        </row>
        <row r="1305">
          <cell r="J1305" t="str">
            <v>5401049687</v>
          </cell>
          <cell r="K1305" t="str">
            <v>40</v>
          </cell>
          <cell r="M1305">
            <v>9827</v>
          </cell>
        </row>
        <row r="1306">
          <cell r="J1306" t="str">
            <v>5401049687</v>
          </cell>
          <cell r="K1306" t="str">
            <v>40</v>
          </cell>
          <cell r="M1306">
            <v>76511</v>
          </cell>
        </row>
        <row r="1307">
          <cell r="J1307" t="str">
            <v>5401039684</v>
          </cell>
          <cell r="K1307" t="str">
            <v>20</v>
          </cell>
          <cell r="M1307">
            <v>300000</v>
          </cell>
        </row>
        <row r="1308">
          <cell r="J1308" t="str">
            <v>5401046457</v>
          </cell>
          <cell r="K1308" t="str">
            <v>40</v>
          </cell>
          <cell r="M1308">
            <v>34778</v>
          </cell>
        </row>
        <row r="1309">
          <cell r="J1309" t="str">
            <v>5401087725</v>
          </cell>
          <cell r="K1309" t="str">
            <v>10</v>
          </cell>
          <cell r="M1309">
            <v>21811.200000000001</v>
          </cell>
        </row>
        <row r="1310">
          <cell r="J1310" t="str">
            <v>5401088262</v>
          </cell>
          <cell r="K1310" t="str">
            <v>10</v>
          </cell>
          <cell r="M1310">
            <v>14652.65</v>
          </cell>
        </row>
        <row r="1311">
          <cell r="J1311" t="str">
            <v>5401088262</v>
          </cell>
          <cell r="K1311" t="str">
            <v>20</v>
          </cell>
          <cell r="M1311">
            <v>5058.1000000000004</v>
          </cell>
        </row>
        <row r="1312">
          <cell r="J1312" t="str">
            <v>5401088262</v>
          </cell>
          <cell r="K1312" t="str">
            <v>10</v>
          </cell>
          <cell r="M1312">
            <v>16698.07</v>
          </cell>
        </row>
        <row r="1313">
          <cell r="J1313" t="str">
            <v>5401088262</v>
          </cell>
          <cell r="K1313" t="str">
            <v>20</v>
          </cell>
          <cell r="M1313">
            <v>5058.1000000000004</v>
          </cell>
        </row>
        <row r="1314">
          <cell r="J1314" t="str">
            <v>5401088262</v>
          </cell>
          <cell r="K1314" t="str">
            <v>10</v>
          </cell>
          <cell r="M1314">
            <v>16698.07</v>
          </cell>
        </row>
        <row r="1315">
          <cell r="J1315" t="str">
            <v>5401088262</v>
          </cell>
          <cell r="K1315" t="str">
            <v>20</v>
          </cell>
          <cell r="M1315">
            <v>5058.1000000000004</v>
          </cell>
        </row>
        <row r="1316">
          <cell r="J1316" t="str">
            <v>5401088262</v>
          </cell>
          <cell r="K1316" t="str">
            <v>20</v>
          </cell>
          <cell r="M1316">
            <v>5058.1000000000004</v>
          </cell>
        </row>
        <row r="1317">
          <cell r="J1317" t="str">
            <v>5401088262</v>
          </cell>
          <cell r="K1317" t="str">
            <v>10</v>
          </cell>
          <cell r="M1317">
            <v>16698.07</v>
          </cell>
        </row>
        <row r="1318">
          <cell r="J1318" t="str">
            <v>5401088262</v>
          </cell>
          <cell r="K1318" t="str">
            <v>10</v>
          </cell>
          <cell r="M1318">
            <v>-0.13</v>
          </cell>
        </row>
        <row r="1319">
          <cell r="J1319" t="str">
            <v>5401096885</v>
          </cell>
          <cell r="K1319" t="str">
            <v>10</v>
          </cell>
          <cell r="M1319">
            <v>32634.61</v>
          </cell>
        </row>
        <row r="1320">
          <cell r="J1320" t="str">
            <v>5401096885</v>
          </cell>
          <cell r="K1320" t="str">
            <v>10</v>
          </cell>
          <cell r="M1320">
            <v>26196.5</v>
          </cell>
        </row>
        <row r="1321">
          <cell r="J1321" t="str">
            <v>5401096885</v>
          </cell>
          <cell r="K1321" t="str">
            <v>10</v>
          </cell>
          <cell r="M1321">
            <v>1452.12</v>
          </cell>
        </row>
        <row r="1322">
          <cell r="J1322" t="str">
            <v>5401099792</v>
          </cell>
          <cell r="K1322" t="str">
            <v>10</v>
          </cell>
          <cell r="M1322">
            <v>4320</v>
          </cell>
        </row>
        <row r="1323">
          <cell r="J1323" t="str">
            <v>#</v>
          </cell>
          <cell r="K1323" t="str">
            <v>#</v>
          </cell>
          <cell r="M1323">
            <v>-48592</v>
          </cell>
        </row>
        <row r="1324">
          <cell r="J1324" t="str">
            <v>#</v>
          </cell>
          <cell r="K1324" t="str">
            <v>#</v>
          </cell>
          <cell r="M1324">
            <v>-128826.49</v>
          </cell>
        </row>
        <row r="1325">
          <cell r="J1325" t="str">
            <v>#</v>
          </cell>
          <cell r="K1325" t="str">
            <v>#</v>
          </cell>
          <cell r="M1325">
            <v>-26818.080000000002</v>
          </cell>
        </row>
        <row r="1326">
          <cell r="J1326" t="str">
            <v>#</v>
          </cell>
          <cell r="K1326" t="str">
            <v>#</v>
          </cell>
          <cell r="M1326">
            <v>-229808.33</v>
          </cell>
        </row>
        <row r="1327">
          <cell r="J1327" t="str">
            <v>#</v>
          </cell>
          <cell r="K1327" t="str">
            <v>#</v>
          </cell>
          <cell r="M1327">
            <v>27965.08</v>
          </cell>
        </row>
        <row r="1328">
          <cell r="J1328" t="str">
            <v>#</v>
          </cell>
          <cell r="K1328" t="str">
            <v>#</v>
          </cell>
          <cell r="M1328">
            <v>44078.76</v>
          </cell>
        </row>
        <row r="1329">
          <cell r="J1329" t="str">
            <v>#</v>
          </cell>
          <cell r="K1329" t="str">
            <v>#</v>
          </cell>
          <cell r="M1329">
            <v>75054</v>
          </cell>
        </row>
        <row r="1330">
          <cell r="J1330" t="str">
            <v>#</v>
          </cell>
          <cell r="K1330" t="str">
            <v>#</v>
          </cell>
          <cell r="M1330">
            <v>-97184.320000000007</v>
          </cell>
        </row>
        <row r="1331">
          <cell r="J1331" t="str">
            <v>#</v>
          </cell>
          <cell r="K1331" t="str">
            <v>#</v>
          </cell>
          <cell r="M1331">
            <v>350</v>
          </cell>
        </row>
        <row r="1332">
          <cell r="J1332" t="str">
            <v>#</v>
          </cell>
          <cell r="K1332" t="str">
            <v>#</v>
          </cell>
          <cell r="M1332">
            <v>9856.25</v>
          </cell>
        </row>
        <row r="1333">
          <cell r="J1333" t="str">
            <v>#</v>
          </cell>
          <cell r="K1333" t="str">
            <v>#</v>
          </cell>
          <cell r="M1333">
            <v>350</v>
          </cell>
        </row>
        <row r="1334">
          <cell r="J1334" t="str">
            <v>#</v>
          </cell>
          <cell r="K1334" t="str">
            <v>#</v>
          </cell>
          <cell r="M1334">
            <v>9856.25</v>
          </cell>
        </row>
        <row r="1335">
          <cell r="J1335" t="str">
            <v>#</v>
          </cell>
          <cell r="K1335" t="str">
            <v>#</v>
          </cell>
          <cell r="M1335">
            <v>350</v>
          </cell>
        </row>
        <row r="1336">
          <cell r="J1336" t="str">
            <v>#</v>
          </cell>
          <cell r="K1336" t="str">
            <v>#</v>
          </cell>
          <cell r="M1336">
            <v>9856.25</v>
          </cell>
        </row>
        <row r="1337">
          <cell r="J1337" t="str">
            <v>#</v>
          </cell>
          <cell r="K1337" t="str">
            <v>#</v>
          </cell>
          <cell r="M1337">
            <v>-4200</v>
          </cell>
        </row>
        <row r="1338">
          <cell r="J1338" t="str">
            <v>#</v>
          </cell>
          <cell r="K1338" t="str">
            <v>#</v>
          </cell>
          <cell r="M1338">
            <v>350</v>
          </cell>
        </row>
        <row r="1339">
          <cell r="J1339" t="str">
            <v>#</v>
          </cell>
          <cell r="K1339" t="str">
            <v>#</v>
          </cell>
          <cell r="M1339">
            <v>9856.25</v>
          </cell>
        </row>
        <row r="1340">
          <cell r="J1340" t="str">
            <v>#</v>
          </cell>
          <cell r="K1340" t="str">
            <v>#</v>
          </cell>
          <cell r="M1340">
            <v>350</v>
          </cell>
        </row>
        <row r="1341">
          <cell r="J1341" t="str">
            <v>#</v>
          </cell>
          <cell r="K1341" t="str">
            <v>#</v>
          </cell>
          <cell r="M1341">
            <v>9856.25</v>
          </cell>
        </row>
        <row r="1342">
          <cell r="J1342" t="str">
            <v>#</v>
          </cell>
          <cell r="K1342" t="str">
            <v>#</v>
          </cell>
          <cell r="M1342">
            <v>-54</v>
          </cell>
        </row>
        <row r="1343">
          <cell r="J1343" t="str">
            <v>#</v>
          </cell>
          <cell r="K1343" t="str">
            <v>#</v>
          </cell>
          <cell r="M1343">
            <v>6</v>
          </cell>
        </row>
        <row r="1344">
          <cell r="J1344" t="str">
            <v>#</v>
          </cell>
          <cell r="K1344" t="str">
            <v>#</v>
          </cell>
          <cell r="M1344">
            <v>48</v>
          </cell>
        </row>
        <row r="1345">
          <cell r="J1345" t="str">
            <v>#</v>
          </cell>
          <cell r="K1345" t="str">
            <v>#</v>
          </cell>
          <cell r="M1345">
            <v>-25941.48</v>
          </cell>
        </row>
        <row r="1346">
          <cell r="J1346" t="str">
            <v>#</v>
          </cell>
          <cell r="K1346" t="str">
            <v>#</v>
          </cell>
          <cell r="M1346">
            <v>31940.51</v>
          </cell>
        </row>
        <row r="1347">
          <cell r="J1347" t="str">
            <v>#</v>
          </cell>
          <cell r="K1347" t="str">
            <v>#</v>
          </cell>
          <cell r="M1347">
            <v>0</v>
          </cell>
        </row>
        <row r="1348">
          <cell r="J1348" t="str">
            <v>#</v>
          </cell>
          <cell r="K1348" t="str">
            <v>#</v>
          </cell>
          <cell r="M1348">
            <v>20411.96</v>
          </cell>
        </row>
        <row r="1349">
          <cell r="J1349" t="str">
            <v>#</v>
          </cell>
          <cell r="K1349" t="str">
            <v>#</v>
          </cell>
          <cell r="M1349">
            <v>0</v>
          </cell>
        </row>
        <row r="1350">
          <cell r="J1350" t="str">
            <v>#</v>
          </cell>
          <cell r="K1350" t="str">
            <v>#</v>
          </cell>
          <cell r="M1350">
            <v>42587.360000000001</v>
          </cell>
        </row>
        <row r="1351">
          <cell r="J1351" t="str">
            <v>#</v>
          </cell>
          <cell r="K1351" t="str">
            <v>#</v>
          </cell>
          <cell r="M1351">
            <v>0</v>
          </cell>
        </row>
        <row r="1352">
          <cell r="J1352" t="str">
            <v>#</v>
          </cell>
          <cell r="K1352" t="str">
            <v>#</v>
          </cell>
          <cell r="M1352">
            <v>90565.88</v>
          </cell>
        </row>
        <row r="1353">
          <cell r="J1353" t="str">
            <v>#</v>
          </cell>
          <cell r="K1353" t="str">
            <v>#</v>
          </cell>
          <cell r="M1353">
            <v>15254.78</v>
          </cell>
        </row>
        <row r="1354">
          <cell r="J1354" t="str">
            <v>#</v>
          </cell>
          <cell r="K1354" t="str">
            <v>#</v>
          </cell>
          <cell r="M1354">
            <v>-1383710</v>
          </cell>
        </row>
        <row r="1355">
          <cell r="J1355" t="str">
            <v>#</v>
          </cell>
          <cell r="K1355" t="str">
            <v>#</v>
          </cell>
          <cell r="M1355">
            <v>-106290</v>
          </cell>
        </row>
        <row r="1356">
          <cell r="J1356" t="str">
            <v>#</v>
          </cell>
          <cell r="K1356" t="str">
            <v>#</v>
          </cell>
          <cell r="M1356">
            <v>1490000</v>
          </cell>
        </row>
        <row r="1357">
          <cell r="J1357" t="str">
            <v>#</v>
          </cell>
          <cell r="K1357" t="str">
            <v>#</v>
          </cell>
          <cell r="M1357">
            <v>21450</v>
          </cell>
        </row>
        <row r="1358">
          <cell r="J1358" t="str">
            <v>#</v>
          </cell>
          <cell r="K1358" t="str">
            <v>#</v>
          </cell>
          <cell r="M1358">
            <v>31140</v>
          </cell>
        </row>
        <row r="1359">
          <cell r="J1359" t="str">
            <v>#</v>
          </cell>
          <cell r="K1359" t="str">
            <v>#</v>
          </cell>
          <cell r="M1359">
            <v>11130</v>
          </cell>
        </row>
        <row r="1360">
          <cell r="J1360" t="str">
            <v>#</v>
          </cell>
          <cell r="K1360" t="str">
            <v>#</v>
          </cell>
          <cell r="M1360">
            <v>0</v>
          </cell>
        </row>
        <row r="1361">
          <cell r="J1361" t="str">
            <v>#</v>
          </cell>
          <cell r="K1361" t="str">
            <v>#</v>
          </cell>
          <cell r="M1361">
            <v>0</v>
          </cell>
        </row>
        <row r="1362">
          <cell r="J1362" t="str">
            <v>#</v>
          </cell>
          <cell r="K1362" t="str">
            <v>#</v>
          </cell>
          <cell r="M1362">
            <v>26101</v>
          </cell>
        </row>
        <row r="1363">
          <cell r="J1363" t="str">
            <v>#</v>
          </cell>
          <cell r="K1363" t="str">
            <v>#</v>
          </cell>
          <cell r="M1363">
            <v>6889</v>
          </cell>
        </row>
        <row r="1364">
          <cell r="J1364" t="str">
            <v>#</v>
          </cell>
          <cell r="K1364" t="str">
            <v>#</v>
          </cell>
          <cell r="M1364">
            <v>128826.49</v>
          </cell>
        </row>
        <row r="1365">
          <cell r="J1365" t="str">
            <v>#</v>
          </cell>
          <cell r="K1365" t="str">
            <v>#</v>
          </cell>
          <cell r="M1365">
            <v>26818.080000000002</v>
          </cell>
        </row>
        <row r="1366">
          <cell r="J1366" t="str">
            <v>#</v>
          </cell>
          <cell r="K1366" t="str">
            <v>#</v>
          </cell>
          <cell r="M1366">
            <v>229808.33</v>
          </cell>
        </row>
        <row r="1367">
          <cell r="J1367" t="str">
            <v>#</v>
          </cell>
          <cell r="K1367" t="str">
            <v>#</v>
          </cell>
          <cell r="M1367">
            <v>10250</v>
          </cell>
        </row>
        <row r="1368">
          <cell r="J1368" t="str">
            <v>#</v>
          </cell>
          <cell r="K1368" t="str">
            <v>#</v>
          </cell>
          <cell r="M1368">
            <v>34554</v>
          </cell>
        </row>
        <row r="1369">
          <cell r="J1369" t="str">
            <v>#</v>
          </cell>
          <cell r="K1369" t="str">
            <v>#</v>
          </cell>
          <cell r="M1369">
            <v>28874</v>
          </cell>
        </row>
        <row r="1370">
          <cell r="J1370" t="str">
            <v>#</v>
          </cell>
          <cell r="K1370" t="str">
            <v>#</v>
          </cell>
          <cell r="M1370">
            <v>18984</v>
          </cell>
        </row>
        <row r="1371">
          <cell r="J1371" t="str">
            <v>#</v>
          </cell>
          <cell r="K1371" t="str">
            <v>#</v>
          </cell>
          <cell r="M1371">
            <v>11830</v>
          </cell>
        </row>
        <row r="1372">
          <cell r="J1372" t="str">
            <v>#</v>
          </cell>
          <cell r="K1372" t="str">
            <v>#</v>
          </cell>
          <cell r="M1372">
            <v>14980</v>
          </cell>
        </row>
        <row r="1373">
          <cell r="J1373" t="str">
            <v>#</v>
          </cell>
          <cell r="K1373" t="str">
            <v>#</v>
          </cell>
          <cell r="M1373">
            <v>48592</v>
          </cell>
        </row>
        <row r="1374">
          <cell r="J1374" t="str">
            <v>#</v>
          </cell>
          <cell r="K1374" t="str">
            <v>#</v>
          </cell>
          <cell r="M1374">
            <v>99325</v>
          </cell>
        </row>
        <row r="1375">
          <cell r="J1375" t="str">
            <v>#</v>
          </cell>
          <cell r="K1375" t="str">
            <v>#</v>
          </cell>
          <cell r="M1375">
            <v>73660</v>
          </cell>
        </row>
        <row r="1376">
          <cell r="J1376" t="str">
            <v>#</v>
          </cell>
          <cell r="K1376" t="str">
            <v>#</v>
          </cell>
          <cell r="M1376">
            <v>37915</v>
          </cell>
        </row>
        <row r="1377">
          <cell r="J1377" t="str">
            <v>#</v>
          </cell>
          <cell r="K1377" t="str">
            <v>#</v>
          </cell>
          <cell r="M1377">
            <v>1430</v>
          </cell>
        </row>
        <row r="1378">
          <cell r="J1378" t="str">
            <v>#</v>
          </cell>
          <cell r="K1378" t="str">
            <v>#</v>
          </cell>
          <cell r="M1378">
            <v>420</v>
          </cell>
        </row>
        <row r="1379">
          <cell r="J1379" t="str">
            <v>#</v>
          </cell>
          <cell r="K1379" t="str">
            <v>#</v>
          </cell>
          <cell r="M1379">
            <v>13030</v>
          </cell>
        </row>
        <row r="1380">
          <cell r="J1380" t="str">
            <v>#</v>
          </cell>
          <cell r="K1380" t="str">
            <v>#</v>
          </cell>
          <cell r="M1380">
            <v>59634</v>
          </cell>
        </row>
        <row r="1381">
          <cell r="J1381" t="str">
            <v>#</v>
          </cell>
          <cell r="K1381" t="str">
            <v>#</v>
          </cell>
          <cell r="M1381">
            <v>5577</v>
          </cell>
        </row>
        <row r="1382">
          <cell r="J1382" t="str">
            <v>#</v>
          </cell>
          <cell r="K1382" t="str">
            <v>#</v>
          </cell>
          <cell r="M1382">
            <v>198882</v>
          </cell>
        </row>
        <row r="1383">
          <cell r="J1383" t="str">
            <v>#</v>
          </cell>
          <cell r="K1383" t="str">
            <v>#</v>
          </cell>
          <cell r="M1383">
            <v>149706</v>
          </cell>
        </row>
        <row r="1384">
          <cell r="J1384" t="str">
            <v>#</v>
          </cell>
          <cell r="K1384" t="str">
            <v>#</v>
          </cell>
          <cell r="M1384">
            <v>177881.16</v>
          </cell>
        </row>
        <row r="1385">
          <cell r="J1385" t="str">
            <v>#</v>
          </cell>
          <cell r="K1385" t="str">
            <v>#</v>
          </cell>
          <cell r="M1385">
            <v>170748</v>
          </cell>
        </row>
        <row r="1386">
          <cell r="J1386" t="str">
            <v>#</v>
          </cell>
          <cell r="K1386" t="str">
            <v>#</v>
          </cell>
          <cell r="M1386">
            <v>37188</v>
          </cell>
        </row>
        <row r="1387">
          <cell r="J1387" t="str">
            <v>#</v>
          </cell>
          <cell r="K1387" t="str">
            <v>#</v>
          </cell>
          <cell r="M1387">
            <v>37527</v>
          </cell>
        </row>
        <row r="1388">
          <cell r="J1388" t="str">
            <v>#</v>
          </cell>
          <cell r="K1388" t="str">
            <v>#</v>
          </cell>
          <cell r="M1388">
            <v>345630</v>
          </cell>
        </row>
        <row r="1389">
          <cell r="J1389" t="str">
            <v>#</v>
          </cell>
          <cell r="K1389" t="str">
            <v>#</v>
          </cell>
          <cell r="M1389">
            <v>79644</v>
          </cell>
        </row>
        <row r="1390">
          <cell r="J1390" t="str">
            <v>#</v>
          </cell>
          <cell r="K1390" t="str">
            <v>#</v>
          </cell>
          <cell r="M1390">
            <v>77310</v>
          </cell>
        </row>
        <row r="1391">
          <cell r="J1391" t="str">
            <v>#</v>
          </cell>
          <cell r="K1391" t="str">
            <v>#</v>
          </cell>
          <cell r="M1391">
            <v>72372</v>
          </cell>
        </row>
        <row r="1392">
          <cell r="J1392" t="str">
            <v>#</v>
          </cell>
          <cell r="K1392" t="str">
            <v>#</v>
          </cell>
          <cell r="M1392">
            <v>92304</v>
          </cell>
        </row>
        <row r="1393">
          <cell r="J1393" t="str">
            <v>#</v>
          </cell>
          <cell r="K1393" t="str">
            <v>#</v>
          </cell>
          <cell r="M1393">
            <v>132420</v>
          </cell>
        </row>
        <row r="1394">
          <cell r="J1394" t="str">
            <v>#</v>
          </cell>
          <cell r="K1394" t="str">
            <v>#</v>
          </cell>
          <cell r="M1394">
            <v>156546.29999999999</v>
          </cell>
        </row>
        <row r="1395">
          <cell r="J1395" t="str">
            <v>#</v>
          </cell>
          <cell r="K1395" t="str">
            <v>#</v>
          </cell>
          <cell r="M1395">
            <v>64276.02</v>
          </cell>
        </row>
        <row r="1396">
          <cell r="J1396" t="str">
            <v>#</v>
          </cell>
          <cell r="K1396" t="str">
            <v>#</v>
          </cell>
          <cell r="M1396">
            <v>114750</v>
          </cell>
        </row>
        <row r="1397">
          <cell r="J1397" t="str">
            <v>#</v>
          </cell>
          <cell r="K1397" t="str">
            <v>#</v>
          </cell>
          <cell r="M1397">
            <v>225002.94</v>
          </cell>
        </row>
        <row r="1398">
          <cell r="J1398" t="str">
            <v>#</v>
          </cell>
          <cell r="K1398" t="str">
            <v>#</v>
          </cell>
          <cell r="M1398">
            <v>145776.64000000001</v>
          </cell>
        </row>
        <row r="1399">
          <cell r="J1399" t="str">
            <v>#</v>
          </cell>
          <cell r="K1399" t="str">
            <v>#</v>
          </cell>
          <cell r="M1399">
            <v>58002.96</v>
          </cell>
        </row>
        <row r="1400">
          <cell r="J1400" t="str">
            <v>#</v>
          </cell>
          <cell r="K1400" t="str">
            <v>#</v>
          </cell>
          <cell r="M1400">
            <v>-36000</v>
          </cell>
        </row>
        <row r="1401">
          <cell r="J1401" t="str">
            <v>#</v>
          </cell>
          <cell r="K1401" t="str">
            <v>#</v>
          </cell>
          <cell r="M1401">
            <v>-81135.91</v>
          </cell>
        </row>
        <row r="1402">
          <cell r="J1402" t="str">
            <v>#</v>
          </cell>
          <cell r="K1402" t="str">
            <v>#</v>
          </cell>
          <cell r="M1402">
            <v>-115241.52</v>
          </cell>
        </row>
        <row r="1403">
          <cell r="J1403" t="str">
            <v>#</v>
          </cell>
          <cell r="K1403" t="str">
            <v>#</v>
          </cell>
          <cell r="M1403">
            <v>-44327.48</v>
          </cell>
        </row>
        <row r="1404">
          <cell r="J1404" t="str">
            <v>#</v>
          </cell>
          <cell r="K1404" t="str">
            <v>#</v>
          </cell>
          <cell r="M1404">
            <v>-62155.9</v>
          </cell>
        </row>
        <row r="1405">
          <cell r="J1405" t="str">
            <v>#</v>
          </cell>
          <cell r="K1405" t="str">
            <v>#</v>
          </cell>
          <cell r="M1405">
            <v>31077.96</v>
          </cell>
        </row>
        <row r="1406">
          <cell r="J1406" t="str">
            <v>#</v>
          </cell>
          <cell r="K1406" t="str">
            <v>#</v>
          </cell>
          <cell r="M1406">
            <v>-164499.98000000001</v>
          </cell>
        </row>
        <row r="1407">
          <cell r="J1407" t="str">
            <v>#</v>
          </cell>
          <cell r="K1407" t="str">
            <v>#</v>
          </cell>
          <cell r="M1407">
            <v>-97877.77</v>
          </cell>
        </row>
        <row r="1408">
          <cell r="J1408" t="str">
            <v>#</v>
          </cell>
          <cell r="K1408" t="str">
            <v>#</v>
          </cell>
          <cell r="M1408">
            <v>-40006</v>
          </cell>
        </row>
        <row r="1409">
          <cell r="J1409" t="str">
            <v>#</v>
          </cell>
          <cell r="K1409" t="str">
            <v>#</v>
          </cell>
          <cell r="M1409">
            <v>-182709.27</v>
          </cell>
        </row>
        <row r="1410">
          <cell r="J1410" t="str">
            <v>#</v>
          </cell>
          <cell r="K1410" t="str">
            <v>#</v>
          </cell>
          <cell r="M1410">
            <v>-67491.62</v>
          </cell>
        </row>
        <row r="1411">
          <cell r="J1411" t="str">
            <v>#</v>
          </cell>
          <cell r="K1411" t="str">
            <v>#</v>
          </cell>
          <cell r="M1411">
            <v>-131771.45000000001</v>
          </cell>
        </row>
        <row r="1412">
          <cell r="J1412" t="str">
            <v>#</v>
          </cell>
          <cell r="K1412" t="str">
            <v>#</v>
          </cell>
          <cell r="M1412">
            <v>-75083.19</v>
          </cell>
        </row>
        <row r="1413">
          <cell r="J1413" t="str">
            <v>#</v>
          </cell>
          <cell r="K1413" t="str">
            <v>#</v>
          </cell>
          <cell r="M1413">
            <v>-36150.550000000003</v>
          </cell>
        </row>
        <row r="1414">
          <cell r="J1414" t="str">
            <v>#</v>
          </cell>
          <cell r="K1414" t="str">
            <v>#</v>
          </cell>
          <cell r="M1414">
            <v>-72888.240000000005</v>
          </cell>
        </row>
        <row r="1415">
          <cell r="J1415" t="str">
            <v>#</v>
          </cell>
          <cell r="K1415" t="str">
            <v>#</v>
          </cell>
          <cell r="M1415">
            <v>72888.240000000005</v>
          </cell>
        </row>
        <row r="1416">
          <cell r="J1416" t="str">
            <v>#</v>
          </cell>
          <cell r="K1416" t="str">
            <v>#</v>
          </cell>
          <cell r="M1416">
            <v>-99447.5</v>
          </cell>
        </row>
        <row r="1417">
          <cell r="J1417" t="str">
            <v>#</v>
          </cell>
          <cell r="K1417" t="str">
            <v>#</v>
          </cell>
          <cell r="M1417">
            <v>66298.320000000007</v>
          </cell>
        </row>
        <row r="1418">
          <cell r="J1418" t="str">
            <v>#</v>
          </cell>
          <cell r="K1418" t="str">
            <v>#</v>
          </cell>
          <cell r="M1418">
            <v>-109800</v>
          </cell>
        </row>
        <row r="1419">
          <cell r="J1419" t="str">
            <v>#</v>
          </cell>
          <cell r="K1419" t="str">
            <v>#</v>
          </cell>
          <cell r="M1419">
            <v>36600</v>
          </cell>
        </row>
        <row r="1420">
          <cell r="J1420" t="str">
            <v>#</v>
          </cell>
          <cell r="K1420" t="str">
            <v>#</v>
          </cell>
          <cell r="M1420">
            <v>18934.169999999998</v>
          </cell>
        </row>
        <row r="1421">
          <cell r="J1421" t="str">
            <v>#</v>
          </cell>
          <cell r="K1421" t="str">
            <v>#</v>
          </cell>
          <cell r="M1421">
            <v>-130566.61</v>
          </cell>
        </row>
        <row r="1422">
          <cell r="J1422" t="str">
            <v>#</v>
          </cell>
          <cell r="K1422" t="str">
            <v>#</v>
          </cell>
          <cell r="M1422">
            <v>32641.65</v>
          </cell>
        </row>
        <row r="1423">
          <cell r="J1423" t="str">
            <v>#</v>
          </cell>
          <cell r="K1423" t="str">
            <v>#</v>
          </cell>
          <cell r="M1423">
            <v>-112327.58</v>
          </cell>
        </row>
        <row r="1424">
          <cell r="J1424" t="str">
            <v>#</v>
          </cell>
          <cell r="K1424" t="str">
            <v>#</v>
          </cell>
          <cell r="M1424">
            <v>28081.89</v>
          </cell>
        </row>
        <row r="1425">
          <cell r="J1425" t="str">
            <v>#</v>
          </cell>
          <cell r="K1425" t="str">
            <v>#</v>
          </cell>
          <cell r="M1425">
            <v>-281677.2</v>
          </cell>
        </row>
        <row r="1426">
          <cell r="J1426" t="str">
            <v>#</v>
          </cell>
          <cell r="K1426" t="str">
            <v>#</v>
          </cell>
          <cell r="M1426">
            <v>46946.2</v>
          </cell>
        </row>
        <row r="1427">
          <cell r="J1427" t="str">
            <v>#</v>
          </cell>
          <cell r="K1427" t="str">
            <v>#</v>
          </cell>
          <cell r="M1427">
            <v>-77544</v>
          </cell>
        </row>
        <row r="1428">
          <cell r="J1428" t="str">
            <v>#</v>
          </cell>
          <cell r="K1428" t="str">
            <v>#</v>
          </cell>
          <cell r="M1428">
            <v>15508.8</v>
          </cell>
        </row>
        <row r="1429">
          <cell r="J1429" t="str">
            <v>#</v>
          </cell>
          <cell r="K1429" t="str">
            <v>#</v>
          </cell>
          <cell r="M1429">
            <v>-76511</v>
          </cell>
        </row>
        <row r="1430">
          <cell r="J1430" t="str">
            <v>#</v>
          </cell>
          <cell r="K1430" t="str">
            <v>#</v>
          </cell>
          <cell r="M1430">
            <v>15302.2</v>
          </cell>
        </row>
        <row r="1431">
          <cell r="J1431" t="str">
            <v>#</v>
          </cell>
          <cell r="K1431" t="str">
            <v>#</v>
          </cell>
          <cell r="M1431">
            <v>-129208.48</v>
          </cell>
        </row>
        <row r="1432">
          <cell r="J1432" t="str">
            <v>#</v>
          </cell>
          <cell r="K1432" t="str">
            <v>#</v>
          </cell>
          <cell r="M1432">
            <v>10767.37</v>
          </cell>
        </row>
        <row r="1433">
          <cell r="J1433" t="str">
            <v>#</v>
          </cell>
          <cell r="K1433" t="str">
            <v>#</v>
          </cell>
          <cell r="M1433">
            <v>-609079.16</v>
          </cell>
        </row>
        <row r="1434">
          <cell r="J1434" t="str">
            <v>#</v>
          </cell>
          <cell r="K1434" t="str">
            <v>#</v>
          </cell>
          <cell r="M1434">
            <v>50756.6</v>
          </cell>
        </row>
        <row r="1435">
          <cell r="J1435" t="str">
            <v>#</v>
          </cell>
          <cell r="K1435" t="str">
            <v>#</v>
          </cell>
          <cell r="M1435">
            <v>-49200</v>
          </cell>
        </row>
        <row r="1436">
          <cell r="J1436" t="str">
            <v>#</v>
          </cell>
          <cell r="K1436" t="str">
            <v>#</v>
          </cell>
          <cell r="M1436">
            <v>-12515</v>
          </cell>
        </row>
        <row r="1437">
          <cell r="J1437" t="str">
            <v>#</v>
          </cell>
          <cell r="K1437" t="str">
            <v>#</v>
          </cell>
          <cell r="M1437">
            <v>-150000</v>
          </cell>
        </row>
        <row r="1438">
          <cell r="J1438" t="str">
            <v>#</v>
          </cell>
          <cell r="K1438" t="str">
            <v>#</v>
          </cell>
          <cell r="M1438">
            <v>-46958.25</v>
          </cell>
        </row>
        <row r="1439">
          <cell r="J1439" t="str">
            <v>#</v>
          </cell>
          <cell r="K1439" t="str">
            <v>#</v>
          </cell>
          <cell r="M1439">
            <v>-13488</v>
          </cell>
        </row>
        <row r="1440">
          <cell r="J1440" t="str">
            <v>#</v>
          </cell>
          <cell r="K1440" t="str">
            <v>#</v>
          </cell>
          <cell r="M1440">
            <v>-35827</v>
          </cell>
        </row>
        <row r="1441">
          <cell r="J1441" t="str">
            <v>#</v>
          </cell>
          <cell r="K1441" t="str">
            <v>#</v>
          </cell>
          <cell r="M1441">
            <v>-23075</v>
          </cell>
        </row>
        <row r="1442">
          <cell r="J1442" t="str">
            <v>#</v>
          </cell>
          <cell r="K1442" t="str">
            <v>#</v>
          </cell>
          <cell r="M1442">
            <v>-37964.86</v>
          </cell>
        </row>
        <row r="1443">
          <cell r="J1443" t="str">
            <v>#</v>
          </cell>
          <cell r="K1443" t="str">
            <v>#</v>
          </cell>
          <cell r="M1443">
            <v>0</v>
          </cell>
        </row>
        <row r="1444">
          <cell r="J1444" t="str">
            <v>#</v>
          </cell>
          <cell r="K1444" t="str">
            <v>#</v>
          </cell>
          <cell r="M1444">
            <v>0</v>
          </cell>
        </row>
        <row r="1445">
          <cell r="J1445" t="str">
            <v>#</v>
          </cell>
          <cell r="K1445" t="str">
            <v>#</v>
          </cell>
          <cell r="M1445">
            <v>0</v>
          </cell>
        </row>
        <row r="1446">
          <cell r="J1446" t="str">
            <v>#</v>
          </cell>
          <cell r="K1446" t="str">
            <v>#</v>
          </cell>
          <cell r="M1446">
            <v>0</v>
          </cell>
        </row>
        <row r="1447">
          <cell r="J1447" t="str">
            <v>#</v>
          </cell>
          <cell r="K1447" t="str">
            <v>#</v>
          </cell>
          <cell r="M1447">
            <v>-11130</v>
          </cell>
        </row>
        <row r="1448">
          <cell r="J1448" t="str">
            <v>#</v>
          </cell>
          <cell r="K1448" t="str">
            <v>#</v>
          </cell>
          <cell r="M1448">
            <v>0</v>
          </cell>
        </row>
        <row r="1449">
          <cell r="J1449" t="str">
            <v>#</v>
          </cell>
          <cell r="K1449" t="str">
            <v>#</v>
          </cell>
          <cell r="M1449">
            <v>0</v>
          </cell>
        </row>
        <row r="1450">
          <cell r="J1450" t="str">
            <v>#</v>
          </cell>
          <cell r="K1450" t="str">
            <v>#</v>
          </cell>
          <cell r="M1450">
            <v>105940.34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A1" t="str">
            <v>Accenture SOC services</v>
          </cell>
          <cell r="B1"/>
          <cell r="C1">
            <v>68427709</v>
          </cell>
          <cell r="D1" t="str">
            <v>485073034</v>
          </cell>
          <cell r="E1" t="str">
            <v>Security</v>
          </cell>
          <cell r="F1" t="str">
            <v>Security</v>
          </cell>
          <cell r="G1" t="str">
            <v>PC and Connectivity</v>
          </cell>
          <cell r="H1" t="str">
            <v>PCConnectivity</v>
          </cell>
          <cell r="I1">
            <v>187516</v>
          </cell>
          <cell r="J1" t="str">
            <v>Accenture</v>
          </cell>
          <cell r="K1"/>
          <cell r="L1">
            <v>5400840950</v>
          </cell>
          <cell r="M1">
            <v>50</v>
          </cell>
          <cell r="N1" t="str">
            <v>Diego</v>
          </cell>
          <cell r="O1" t="str">
            <v>Carolyn</v>
          </cell>
          <cell r="P1" t="str">
            <v>Diego</v>
          </cell>
          <cell r="Q1" t="str">
            <v>L-PC-USERS</v>
          </cell>
          <cell r="R1" t="str">
            <v>Security</v>
          </cell>
          <cell r="S1">
            <v>479000</v>
          </cell>
          <cell r="T1">
            <v>250000</v>
          </cell>
          <cell r="U1">
            <v>-229000</v>
          </cell>
          <cell r="V1">
            <v>230770.37</v>
          </cell>
        </row>
        <row r="2">
          <cell r="A2" t="str">
            <v>Other EUC Infra Changes (packaging, service catalog)</v>
          </cell>
          <cell r="B2" t="str">
            <v>CW4271</v>
          </cell>
          <cell r="C2">
            <v>68427709</v>
          </cell>
          <cell r="D2" t="str">
            <v>485073003</v>
          </cell>
          <cell r="E2" t="str">
            <v>PC support</v>
          </cell>
          <cell r="F2" t="str">
            <v>Desktop Management</v>
          </cell>
          <cell r="G2" t="str">
            <v>PC and Connectivity</v>
          </cell>
          <cell r="H2" t="str">
            <v>PCConnectivity</v>
          </cell>
          <cell r="I2">
            <v>187516</v>
          </cell>
          <cell r="J2" t="str">
            <v>Accenture</v>
          </cell>
          <cell r="L2">
            <v>5401023605</v>
          </cell>
          <cell r="M2">
            <v>10</v>
          </cell>
          <cell r="N2" t="str">
            <v>Oscar</v>
          </cell>
          <cell r="O2" t="str">
            <v>Carolyn</v>
          </cell>
          <cell r="P2" t="str">
            <v>Jeroen</v>
          </cell>
          <cell r="Q2" t="str">
            <v>L-PC-USERS</v>
          </cell>
          <cell r="R2" t="str">
            <v>Infra/EUS</v>
          </cell>
          <cell r="S2">
            <v>98000</v>
          </cell>
          <cell r="T2">
            <v>100000</v>
          </cell>
          <cell r="U2">
            <v>2000</v>
          </cell>
          <cell r="V2">
            <v>92308.15</v>
          </cell>
        </row>
        <row r="3">
          <cell r="A3" t="str">
            <v>AVD Support</v>
          </cell>
          <cell r="C3">
            <v>68427709</v>
          </cell>
          <cell r="D3" t="str">
            <v>485073003</v>
          </cell>
          <cell r="E3" t="str">
            <v>PC support</v>
          </cell>
          <cell r="F3" t="str">
            <v>Desktop Management</v>
          </cell>
          <cell r="G3" t="str">
            <v>PC and Connectivity</v>
          </cell>
          <cell r="H3" t="str">
            <v>PCConnectivity</v>
          </cell>
          <cell r="I3">
            <v>187516</v>
          </cell>
          <cell r="J3" t="str">
            <v>Accenture</v>
          </cell>
          <cell r="L3"/>
          <cell r="M3"/>
          <cell r="N3" t="str">
            <v>Oscar</v>
          </cell>
          <cell r="O3" t="str">
            <v>Carolyn</v>
          </cell>
          <cell r="P3" t="str">
            <v>Oscar</v>
          </cell>
          <cell r="Q3" t="str">
            <v>L-PC-USERS</v>
          </cell>
          <cell r="R3" t="str">
            <v>Infra/EUS</v>
          </cell>
          <cell r="S3">
            <v>64000</v>
          </cell>
          <cell r="T3">
            <v>60000</v>
          </cell>
          <cell r="U3">
            <v>-4000</v>
          </cell>
          <cell r="V3">
            <v>55384.89</v>
          </cell>
        </row>
        <row r="4">
          <cell r="A4" t="str">
            <v>T&amp;M Messaging small RFC's; Mailbox restores, Intune, Exchange (Infra)</v>
          </cell>
          <cell r="B4" t="str">
            <v>CW4271</v>
          </cell>
          <cell r="C4">
            <v>68427709</v>
          </cell>
          <cell r="D4" t="str">
            <v>485073003</v>
          </cell>
          <cell r="E4" t="str">
            <v>PC support</v>
          </cell>
          <cell r="F4" t="str">
            <v>Desktop Management</v>
          </cell>
          <cell r="G4" t="str">
            <v>PC and Connectivity</v>
          </cell>
          <cell r="H4" t="str">
            <v>PCConnectivity</v>
          </cell>
          <cell r="I4">
            <v>187516</v>
          </cell>
          <cell r="J4" t="str">
            <v>Accenture</v>
          </cell>
          <cell r="L4">
            <v>5401023605</v>
          </cell>
          <cell r="M4">
            <v>10</v>
          </cell>
          <cell r="N4" t="str">
            <v>Oscar</v>
          </cell>
          <cell r="O4" t="str">
            <v>Carolyn</v>
          </cell>
          <cell r="P4" t="str">
            <v>Jeroen</v>
          </cell>
          <cell r="Q4" t="str">
            <v>L-PC-USERS</v>
          </cell>
          <cell r="R4" t="str">
            <v>Infra/EUS</v>
          </cell>
          <cell r="S4">
            <v>100000</v>
          </cell>
          <cell r="T4">
            <v>50000</v>
          </cell>
          <cell r="U4">
            <v>-50000</v>
          </cell>
          <cell r="V4">
            <v>46154.07</v>
          </cell>
        </row>
        <row r="5">
          <cell r="A5" t="str">
            <v>End User Computing Central RDS</v>
          </cell>
          <cell r="B5" t="str">
            <v>CW4271</v>
          </cell>
          <cell r="C5">
            <v>68427709</v>
          </cell>
          <cell r="D5" t="str">
            <v>485073003</v>
          </cell>
          <cell r="E5" t="str">
            <v>PC support</v>
          </cell>
          <cell r="F5" t="str">
            <v>Desktop Management</v>
          </cell>
          <cell r="G5" t="str">
            <v>PC and Connectivity</v>
          </cell>
          <cell r="H5" t="str">
            <v>PCConnectivity</v>
          </cell>
          <cell r="I5">
            <v>187516</v>
          </cell>
          <cell r="J5" t="str">
            <v>Accenture</v>
          </cell>
          <cell r="L5">
            <v>5401023610</v>
          </cell>
          <cell r="M5">
            <v>10</v>
          </cell>
          <cell r="N5" t="str">
            <v>Oscar</v>
          </cell>
          <cell r="O5" t="str">
            <v>Carolyn</v>
          </cell>
          <cell r="P5" t="str">
            <v>Jeroen</v>
          </cell>
          <cell r="Q5" t="str">
            <v>L-PC-USERS</v>
          </cell>
          <cell r="R5" t="str">
            <v>Infra/EUS</v>
          </cell>
          <cell r="S5">
            <v>40000</v>
          </cell>
          <cell r="T5">
            <v>21000</v>
          </cell>
          <cell r="U5">
            <v>-19000</v>
          </cell>
          <cell r="V5">
            <v>19384.71</v>
          </cell>
        </row>
        <row r="6">
          <cell r="A6" t="str">
            <v>Microsoft Enterprise Agreement Subscription</v>
          </cell>
          <cell r="B6" t="str">
            <v>CW7800</v>
          </cell>
          <cell r="C6">
            <v>68427709</v>
          </cell>
          <cell r="D6" t="str">
            <v>485073006</v>
          </cell>
          <cell r="E6" t="str">
            <v>Software li MS Infr</v>
          </cell>
          <cell r="F6" t="str">
            <v>Desktop Management</v>
          </cell>
          <cell r="G6" t="str">
            <v>PC and Connectivity</v>
          </cell>
          <cell r="H6" t="str">
            <v>PCConnectivity</v>
          </cell>
          <cell r="I6">
            <v>166304</v>
          </cell>
          <cell r="J6" t="str">
            <v>Microsoft B.V.</v>
          </cell>
          <cell r="K6"/>
          <cell r="L6">
            <v>5400878308</v>
          </cell>
          <cell r="M6">
            <v>40</v>
          </cell>
          <cell r="N6" t="str">
            <v>Oscar</v>
          </cell>
          <cell r="O6" t="str">
            <v>Carolyn</v>
          </cell>
          <cell r="P6" t="str">
            <v>Oscar</v>
          </cell>
          <cell r="Q6" t="str">
            <v>L-PC-USERS</v>
          </cell>
          <cell r="R6" t="str">
            <v>Infra/EUS</v>
          </cell>
          <cell r="S6">
            <v>4500000</v>
          </cell>
          <cell r="T6">
            <v>5450000</v>
          </cell>
          <cell r="U6">
            <v>950000</v>
          </cell>
          <cell r="V6">
            <v>5030793.96</v>
          </cell>
        </row>
        <row r="7">
          <cell r="A7" t="str">
            <v>Microsoft Azure: EUS / Infra</v>
          </cell>
          <cell r="B7" t="str">
            <v>CW7803</v>
          </cell>
          <cell r="C7">
            <v>68427709</v>
          </cell>
          <cell r="D7" t="str">
            <v>485073006</v>
          </cell>
          <cell r="E7" t="str">
            <v>Software li MS Infr</v>
          </cell>
          <cell r="F7" t="str">
            <v>Desktop Management</v>
          </cell>
          <cell r="G7" t="str">
            <v>PC and Connectivity</v>
          </cell>
          <cell r="H7" t="str">
            <v>PCConnectivity</v>
          </cell>
          <cell r="I7">
            <v>166304</v>
          </cell>
          <cell r="J7" t="str">
            <v>Microsoft B.V.</v>
          </cell>
          <cell r="K7"/>
          <cell r="L7">
            <v>5400878308</v>
          </cell>
          <cell r="M7">
            <v>20</v>
          </cell>
          <cell r="N7" t="str">
            <v>Oscar</v>
          </cell>
          <cell r="O7" t="str">
            <v>Carolyn</v>
          </cell>
          <cell r="P7" t="str">
            <v>Oscar</v>
          </cell>
          <cell r="Q7" t="str">
            <v>L-PC-USERS</v>
          </cell>
          <cell r="R7" t="str">
            <v>Infra/EUS</v>
          </cell>
          <cell r="S7">
            <v>1250000</v>
          </cell>
          <cell r="T7">
            <v>1350000</v>
          </cell>
          <cell r="U7">
            <v>100000</v>
          </cell>
          <cell r="V7">
            <v>1246159.97</v>
          </cell>
        </row>
        <row r="8">
          <cell r="A8" t="str">
            <v>Microsoft Enterprise Services</v>
          </cell>
          <cell r="B8" t="str">
            <v>CW7258</v>
          </cell>
          <cell r="C8">
            <v>68427709</v>
          </cell>
          <cell r="D8" t="str">
            <v>485073006</v>
          </cell>
          <cell r="E8" t="str">
            <v>Software li MS Infr</v>
          </cell>
          <cell r="F8" t="str">
            <v>Desktop Management</v>
          </cell>
          <cell r="G8" t="str">
            <v>PC and Connectivity</v>
          </cell>
          <cell r="H8" t="str">
            <v>PCConnectivity</v>
          </cell>
          <cell r="I8">
            <v>117627</v>
          </cell>
          <cell r="J8" t="str">
            <v>Microsoft Ireland Operations Ltd</v>
          </cell>
          <cell r="K8"/>
          <cell r="L8">
            <v>5400996228</v>
          </cell>
          <cell r="M8">
            <v>20</v>
          </cell>
          <cell r="N8" t="str">
            <v>Oscar</v>
          </cell>
          <cell r="O8" t="str">
            <v>Carolyn</v>
          </cell>
          <cell r="P8" t="str">
            <v>Jeroen</v>
          </cell>
          <cell r="Q8" t="str">
            <v>L-PC-USERS</v>
          </cell>
          <cell r="R8" t="str">
            <v>Infra/EUS</v>
          </cell>
          <cell r="S8">
            <v>450000</v>
          </cell>
          <cell r="T8">
            <v>525000</v>
          </cell>
          <cell r="U8">
            <v>75000</v>
          </cell>
          <cell r="V8">
            <v>484617.77</v>
          </cell>
        </row>
        <row r="9">
          <cell r="A9" t="str">
            <v>Microsoft Azure: Websites</v>
          </cell>
          <cell r="B9" t="str">
            <v>CW7803</v>
          </cell>
          <cell r="C9">
            <v>68427709</v>
          </cell>
          <cell r="D9" t="str">
            <v>485073006</v>
          </cell>
          <cell r="E9" t="str">
            <v>Software li MS Infr</v>
          </cell>
          <cell r="F9" t="str">
            <v>Desktop Management</v>
          </cell>
          <cell r="G9" t="str">
            <v>PC and Connectivity</v>
          </cell>
          <cell r="H9" t="str">
            <v>PCConnectivity</v>
          </cell>
          <cell r="I9">
            <v>166304</v>
          </cell>
          <cell r="J9" t="str">
            <v>Microsoft B.V.</v>
          </cell>
          <cell r="K9"/>
          <cell r="L9">
            <v>5400878308</v>
          </cell>
          <cell r="M9">
            <v>20</v>
          </cell>
          <cell r="N9" t="str">
            <v>Oscar</v>
          </cell>
          <cell r="O9" t="str">
            <v>Carolyn</v>
          </cell>
          <cell r="P9" t="str">
            <v>Oscar</v>
          </cell>
          <cell r="Q9" t="str">
            <v>L-PC-USERS</v>
          </cell>
          <cell r="R9" t="str">
            <v>Infra/EUS</v>
          </cell>
          <cell r="S9">
            <v>430000</v>
          </cell>
          <cell r="T9">
            <v>430000</v>
          </cell>
          <cell r="U9">
            <v>0</v>
          </cell>
          <cell r="V9">
            <v>10000</v>
          </cell>
        </row>
        <row r="10">
          <cell r="A10" t="str">
            <v>Magento Commerce Cloud (Adobe)</v>
          </cell>
          <cell r="C10">
            <v>68427709</v>
          </cell>
          <cell r="D10" t="str">
            <v>485073006</v>
          </cell>
          <cell r="E10" t="str">
            <v>Software li MS Infr</v>
          </cell>
          <cell r="F10" t="str">
            <v>Application Support</v>
          </cell>
          <cell r="G10"/>
          <cell r="H10" t="str">
            <v>APP002415</v>
          </cell>
          <cell r="I10">
            <v>166304</v>
          </cell>
          <cell r="J10" t="str">
            <v>Microsoft B.V.</v>
          </cell>
          <cell r="K10"/>
          <cell r="L10">
            <v>5400989555</v>
          </cell>
          <cell r="M10">
            <v>10</v>
          </cell>
          <cell r="N10" t="str">
            <v>Oscar</v>
          </cell>
          <cell r="O10" t="str">
            <v>Bas</v>
          </cell>
          <cell r="P10" t="str">
            <v>Bas</v>
          </cell>
          <cell r="Q10" t="str">
            <v>Central</v>
          </cell>
          <cell r="R10" t="str">
            <v>DTC</v>
          </cell>
          <cell r="S10">
            <v>376000</v>
          </cell>
          <cell r="T10">
            <v>342000</v>
          </cell>
          <cell r="U10">
            <v>-34000</v>
          </cell>
          <cell r="V10">
            <v>293956.96000000002</v>
          </cell>
        </row>
        <row r="11">
          <cell r="A11" t="str">
            <v>Microsoft Hybrid Server and Cloud Enrollment</v>
          </cell>
          <cell r="B11" t="str">
            <v>CW7798</v>
          </cell>
          <cell r="C11">
            <v>68427709</v>
          </cell>
          <cell r="D11" t="str">
            <v>485073006</v>
          </cell>
          <cell r="E11" t="str">
            <v>Software li MS Infr</v>
          </cell>
          <cell r="F11" t="str">
            <v>Desktop Management</v>
          </cell>
          <cell r="G11" t="str">
            <v>PC and Connectivity</v>
          </cell>
          <cell r="H11" t="str">
            <v>PCConnectivity</v>
          </cell>
          <cell r="I11">
            <v>166304</v>
          </cell>
          <cell r="J11" t="str">
            <v>Microsoft B.V.</v>
          </cell>
          <cell r="K11"/>
          <cell r="L11">
            <v>5400878308</v>
          </cell>
          <cell r="M11">
            <v>60</v>
          </cell>
          <cell r="N11" t="str">
            <v>Oscar</v>
          </cell>
          <cell r="O11" t="str">
            <v>Carolyn</v>
          </cell>
          <cell r="P11" t="str">
            <v>Oscar</v>
          </cell>
          <cell r="Q11" t="str">
            <v>L-PC-USERS</v>
          </cell>
          <cell r="R11" t="str">
            <v>Infra/EUS</v>
          </cell>
          <cell r="S11">
            <v>275000</v>
          </cell>
          <cell r="T11">
            <v>250000</v>
          </cell>
          <cell r="U11">
            <v>-25000</v>
          </cell>
          <cell r="V11">
            <v>230770.37</v>
          </cell>
        </row>
        <row r="12">
          <cell r="A12" t="str">
            <v>Microsoft Azure: ACN_SOC-IT</v>
          </cell>
          <cell r="C12">
            <v>68427709</v>
          </cell>
          <cell r="D12" t="str">
            <v>485073006</v>
          </cell>
          <cell r="E12" t="str">
            <v>Software li MS Infr</v>
          </cell>
          <cell r="F12" t="str">
            <v>Desktop Management</v>
          </cell>
          <cell r="G12" t="str">
            <v>PC and Connectivity</v>
          </cell>
          <cell r="H12" t="str">
            <v>PCConnectivity</v>
          </cell>
          <cell r="I12">
            <v>166304</v>
          </cell>
          <cell r="J12" t="str">
            <v>Microsoft B.V.</v>
          </cell>
          <cell r="K12"/>
          <cell r="L12">
            <v>5400878308</v>
          </cell>
          <cell r="M12">
            <v>20</v>
          </cell>
          <cell r="N12" t="str">
            <v>Oscar</v>
          </cell>
          <cell r="O12" t="str">
            <v>Carolyn</v>
          </cell>
          <cell r="P12" t="str">
            <v>Oscar</v>
          </cell>
          <cell r="Q12" t="str">
            <v>L-PC-USERS</v>
          </cell>
          <cell r="R12" t="str">
            <v>Infra/EUS</v>
          </cell>
          <cell r="S12">
            <v>180000</v>
          </cell>
          <cell r="T12">
            <v>210000</v>
          </cell>
          <cell r="U12">
            <v>30000</v>
          </cell>
          <cell r="V12">
            <v>193847.11</v>
          </cell>
        </row>
        <row r="13">
          <cell r="A13" t="str">
            <v>Microsoft Azure: Start (Brazil)</v>
          </cell>
          <cell r="B13" t="str">
            <v>CW7803</v>
          </cell>
          <cell r="C13">
            <v>68427709</v>
          </cell>
          <cell r="D13" t="str">
            <v>485073006</v>
          </cell>
          <cell r="E13" t="str">
            <v>Software li MS Infr</v>
          </cell>
          <cell r="F13" t="str">
            <v>Desktop Management</v>
          </cell>
          <cell r="G13" t="str">
            <v>PC and Connectivity</v>
          </cell>
          <cell r="H13" t="str">
            <v>APP002599</v>
          </cell>
          <cell r="I13">
            <v>166304</v>
          </cell>
          <cell r="J13" t="str">
            <v>Microsoft B.V.</v>
          </cell>
          <cell r="K13"/>
          <cell r="L13">
            <v>5400878308</v>
          </cell>
          <cell r="M13">
            <v>20</v>
          </cell>
          <cell r="N13" t="str">
            <v>Oscar</v>
          </cell>
          <cell r="O13" t="str">
            <v>Carolyn</v>
          </cell>
          <cell r="P13" t="str">
            <v>Patrick</v>
          </cell>
          <cell r="Q13" t="str">
            <v>L-PC-USERS</v>
          </cell>
          <cell r="R13" t="str">
            <v>Infra/EUS</v>
          </cell>
          <cell r="S13">
            <v>185000</v>
          </cell>
          <cell r="T13">
            <v>185000</v>
          </cell>
          <cell r="U13">
            <v>0</v>
          </cell>
          <cell r="V13">
            <v>170770.07</v>
          </cell>
        </row>
        <row r="14">
          <cell r="A14" t="str">
            <v>Microsoft Azure: Professional Websites</v>
          </cell>
          <cell r="B14" t="str">
            <v>CW7803</v>
          </cell>
          <cell r="C14">
            <v>68427709</v>
          </cell>
          <cell r="D14" t="str">
            <v>485073006</v>
          </cell>
          <cell r="E14" t="str">
            <v>Software li MS Infr</v>
          </cell>
          <cell r="F14" t="str">
            <v>Desktop Management</v>
          </cell>
          <cell r="G14" t="str">
            <v>PC and Connectivity</v>
          </cell>
          <cell r="H14" t="str">
            <v>APP002733</v>
          </cell>
          <cell r="I14">
            <v>166304</v>
          </cell>
          <cell r="J14" t="str">
            <v>Microsoft B.V.</v>
          </cell>
          <cell r="K14"/>
          <cell r="L14">
            <v>5400878308</v>
          </cell>
          <cell r="M14">
            <v>20</v>
          </cell>
          <cell r="N14" t="str">
            <v>Oscar</v>
          </cell>
          <cell r="O14" t="str">
            <v>Carolyn</v>
          </cell>
          <cell r="P14" t="str">
            <v>Oscar</v>
          </cell>
          <cell r="Q14" t="str">
            <v>L-PC-USERS</v>
          </cell>
          <cell r="R14" t="str">
            <v>Infra/EUS</v>
          </cell>
          <cell r="S14">
            <v>170000</v>
          </cell>
          <cell r="T14">
            <v>170000</v>
          </cell>
          <cell r="U14">
            <v>0</v>
          </cell>
          <cell r="V14">
            <v>156923.85</v>
          </cell>
        </row>
        <row r="15">
          <cell r="A15" t="str">
            <v>Microsoft True-up</v>
          </cell>
          <cell r="C15">
            <v>68427709</v>
          </cell>
          <cell r="D15" t="str">
            <v>485073006</v>
          </cell>
          <cell r="E15" t="str">
            <v>Software li MS Infr</v>
          </cell>
          <cell r="F15" t="str">
            <v>Desktop Management</v>
          </cell>
          <cell r="G15" t="str">
            <v>PC and Connectivity</v>
          </cell>
          <cell r="H15" t="str">
            <v>PCConnectivity</v>
          </cell>
          <cell r="I15">
            <v>166304</v>
          </cell>
          <cell r="J15" t="str">
            <v>Microsoft B.V.</v>
          </cell>
          <cell r="K15"/>
          <cell r="M15"/>
          <cell r="N15" t="str">
            <v>Oscar</v>
          </cell>
          <cell r="O15" t="str">
            <v>Carolyn</v>
          </cell>
          <cell r="P15" t="str">
            <v>Oscar</v>
          </cell>
          <cell r="Q15" t="str">
            <v>L-PC-USERS</v>
          </cell>
          <cell r="R15" t="str">
            <v>Infra/EUS</v>
          </cell>
          <cell r="S15">
            <v>125000</v>
          </cell>
          <cell r="T15">
            <v>125000</v>
          </cell>
          <cell r="U15">
            <v>0</v>
          </cell>
          <cell r="V15">
            <v>115385.18</v>
          </cell>
        </row>
        <row r="16">
          <cell r="A16" t="str">
            <v>Microsoft Azure: CTS_IOT</v>
          </cell>
          <cell r="B16" t="str">
            <v>CW7803</v>
          </cell>
          <cell r="C16">
            <v>68427709</v>
          </cell>
          <cell r="D16" t="str">
            <v>485073006</v>
          </cell>
          <cell r="E16" t="str">
            <v>Software li MS Infr</v>
          </cell>
          <cell r="F16" t="str">
            <v>Desktop Management</v>
          </cell>
          <cell r="G16" t="str">
            <v>PC and Connectivity</v>
          </cell>
          <cell r="H16" t="str">
            <v>APP002668</v>
          </cell>
          <cell r="I16">
            <v>166304</v>
          </cell>
          <cell r="J16" t="str">
            <v>Microsoft B.V.</v>
          </cell>
          <cell r="K16"/>
          <cell r="L16">
            <v>5400878308</v>
          </cell>
          <cell r="M16">
            <v>20</v>
          </cell>
          <cell r="N16" t="str">
            <v>Oscar</v>
          </cell>
          <cell r="O16" t="str">
            <v>Carolyn</v>
          </cell>
          <cell r="P16" t="str">
            <v>Oscar</v>
          </cell>
          <cell r="Q16" t="str">
            <v>L-PC-USERS</v>
          </cell>
          <cell r="R16" t="str">
            <v>Infra/EUS</v>
          </cell>
          <cell r="S16">
            <v>110000</v>
          </cell>
          <cell r="T16">
            <v>110000</v>
          </cell>
          <cell r="U16">
            <v>0</v>
          </cell>
          <cell r="V16">
            <v>101538.96</v>
          </cell>
        </row>
        <row r="17">
          <cell r="A17" t="str">
            <v>Microsoft Co-Pilot</v>
          </cell>
          <cell r="C17">
            <v>68427709</v>
          </cell>
          <cell r="D17" t="str">
            <v>485073006</v>
          </cell>
          <cell r="E17" t="str">
            <v>Software li MS Infr</v>
          </cell>
          <cell r="F17" t="str">
            <v>Desktop Management</v>
          </cell>
          <cell r="G17"/>
          <cell r="H17" t="str">
            <v>APP003289</v>
          </cell>
          <cell r="I17">
            <v>166304</v>
          </cell>
          <cell r="J17" t="str">
            <v>Microsoft B.V.</v>
          </cell>
          <cell r="K17"/>
          <cell r="L17"/>
          <cell r="M17"/>
          <cell r="N17" t="str">
            <v>Oscar</v>
          </cell>
          <cell r="O17" t="str">
            <v>Ahmet</v>
          </cell>
          <cell r="P17" t="str">
            <v>Martijn</v>
          </cell>
          <cell r="Q17" t="str">
            <v>Central</v>
          </cell>
          <cell r="R17" t="str">
            <v>R&amp;D</v>
          </cell>
          <cell r="S17"/>
          <cell r="T17">
            <v>110000</v>
          </cell>
          <cell r="U17">
            <v>110000</v>
          </cell>
          <cell r="V17">
            <v>106272.31</v>
          </cell>
        </row>
        <row r="18">
          <cell r="A18" t="str">
            <v>Microsoft Azure: ACN_RAS</v>
          </cell>
          <cell r="C18">
            <v>68427709</v>
          </cell>
          <cell r="D18" t="str">
            <v>485073006</v>
          </cell>
          <cell r="E18" t="str">
            <v>Software li MS Infr</v>
          </cell>
          <cell r="F18" t="str">
            <v>Desktop Management</v>
          </cell>
          <cell r="G18" t="str">
            <v>PC and Connectivity</v>
          </cell>
          <cell r="H18" t="str">
            <v>PCConnectivity</v>
          </cell>
          <cell r="I18">
            <v>166304</v>
          </cell>
          <cell r="J18" t="str">
            <v>Microsoft B.V.</v>
          </cell>
          <cell r="K18"/>
          <cell r="L18">
            <v>5400878308</v>
          </cell>
          <cell r="M18">
            <v>20</v>
          </cell>
          <cell r="N18" t="str">
            <v>Oscar</v>
          </cell>
          <cell r="O18" t="str">
            <v>Carolyn</v>
          </cell>
          <cell r="P18" t="str">
            <v>Oscar</v>
          </cell>
          <cell r="Q18" t="str">
            <v>L-PC-USERS</v>
          </cell>
          <cell r="R18" t="str">
            <v>Infra/EUS</v>
          </cell>
          <cell r="S18">
            <v>125000</v>
          </cell>
          <cell r="T18">
            <v>100000</v>
          </cell>
          <cell r="U18">
            <v>-25000</v>
          </cell>
          <cell r="V18">
            <v>92308.15</v>
          </cell>
        </row>
        <row r="19">
          <cell r="A19" t="str">
            <v>Microsoft Azure : Hygraph Hosting</v>
          </cell>
          <cell r="C19">
            <v>68427709</v>
          </cell>
          <cell r="D19" t="str">
            <v>485073006</v>
          </cell>
          <cell r="E19" t="str">
            <v>Software li MS Infr</v>
          </cell>
          <cell r="F19" t="str">
            <v>Desktop Management</v>
          </cell>
          <cell r="G19"/>
          <cell r="H19" t="str">
            <v>APP003191</v>
          </cell>
          <cell r="J19"/>
          <cell r="K19"/>
          <cell r="L19"/>
          <cell r="M19"/>
          <cell r="N19" t="str">
            <v>Robin</v>
          </cell>
          <cell r="O19" t="str">
            <v>Bas</v>
          </cell>
          <cell r="P19" t="str">
            <v>Bas</v>
          </cell>
          <cell r="Q19" t="str">
            <v>Central</v>
          </cell>
          <cell r="R19" t="str">
            <v>DTC</v>
          </cell>
          <cell r="S19"/>
          <cell r="T19">
            <v>78860</v>
          </cell>
          <cell r="U19">
            <v>78860</v>
          </cell>
          <cell r="V19">
            <v>67782.009999999995</v>
          </cell>
        </row>
        <row r="20">
          <cell r="A20" t="str">
            <v>Microsoft Power Automate &amp; Power Apps</v>
          </cell>
          <cell r="C20">
            <v>68427709</v>
          </cell>
          <cell r="D20" t="str">
            <v>485073006</v>
          </cell>
          <cell r="E20" t="str">
            <v>Software li MS Infr</v>
          </cell>
          <cell r="F20" t="str">
            <v>Desktop Management</v>
          </cell>
          <cell r="G20"/>
          <cell r="H20" t="str">
            <v>APP003176</v>
          </cell>
          <cell r="I20">
            <v>166304</v>
          </cell>
          <cell r="J20" t="str">
            <v>Microsoft B.V.</v>
          </cell>
          <cell r="K20"/>
          <cell r="L20">
            <v>5401011272</v>
          </cell>
          <cell r="M20">
            <v>10</v>
          </cell>
          <cell r="N20" t="str">
            <v>Oscar</v>
          </cell>
          <cell r="O20" t="str">
            <v>Ahmet</v>
          </cell>
          <cell r="P20" t="str">
            <v>Martijn</v>
          </cell>
          <cell r="Q20" t="str">
            <v>L-PC-USERS</v>
          </cell>
          <cell r="R20" t="str">
            <v>HR/Legal</v>
          </cell>
          <cell r="S20">
            <v>50000</v>
          </cell>
          <cell r="T20">
            <v>75000</v>
          </cell>
          <cell r="U20">
            <v>25000</v>
          </cell>
          <cell r="V20">
            <v>72458.39</v>
          </cell>
        </row>
        <row r="21">
          <cell r="A21" t="str">
            <v>Microsoft Azure: ACN_SPLUNK-Prod</v>
          </cell>
          <cell r="C21">
            <v>68427709</v>
          </cell>
          <cell r="D21" t="str">
            <v>485073006</v>
          </cell>
          <cell r="E21" t="str">
            <v>Software li MS Infr</v>
          </cell>
          <cell r="F21" t="str">
            <v>Desktop Management</v>
          </cell>
          <cell r="G21" t="str">
            <v>PC and Connectivity</v>
          </cell>
          <cell r="H21" t="str">
            <v>PCConnectivity</v>
          </cell>
          <cell r="I21">
            <v>166304</v>
          </cell>
          <cell r="J21" t="str">
            <v>Microsoft B.V.</v>
          </cell>
          <cell r="K21"/>
          <cell r="L21">
            <v>5400878308</v>
          </cell>
          <cell r="M21">
            <v>20</v>
          </cell>
          <cell r="N21" t="str">
            <v>Oscar</v>
          </cell>
          <cell r="O21" t="str">
            <v>Carolyn</v>
          </cell>
          <cell r="P21" t="str">
            <v>Oscar</v>
          </cell>
          <cell r="Q21" t="str">
            <v>L-PC-USERS</v>
          </cell>
          <cell r="R21" t="str">
            <v>Infra/EUS</v>
          </cell>
          <cell r="S21">
            <v>90000</v>
          </cell>
          <cell r="T21">
            <v>60000</v>
          </cell>
          <cell r="U21">
            <v>-30000</v>
          </cell>
          <cell r="V21">
            <v>55384.89</v>
          </cell>
        </row>
        <row r="22">
          <cell r="A22" t="str">
            <v>Microsoft Azure: ecommerce Hygraph hosting</v>
          </cell>
          <cell r="C22">
            <v>68427709</v>
          </cell>
          <cell r="D22" t="str">
            <v>485073006</v>
          </cell>
          <cell r="E22" t="str">
            <v>Software li MS Infr</v>
          </cell>
          <cell r="F22" t="str">
            <v>Desktop Management</v>
          </cell>
          <cell r="G22"/>
          <cell r="H22" t="str">
            <v>APP003154</v>
          </cell>
          <cell r="I22">
            <v>166304</v>
          </cell>
          <cell r="J22" t="str">
            <v>Microsoft B.V.</v>
          </cell>
          <cell r="K22"/>
          <cell r="L22">
            <v>5400878308</v>
          </cell>
          <cell r="M22">
            <v>20</v>
          </cell>
          <cell r="N22" t="str">
            <v>Oscar</v>
          </cell>
          <cell r="O22" t="str">
            <v>Bas</v>
          </cell>
          <cell r="P22" t="str">
            <v>Bas</v>
          </cell>
          <cell r="Q22" t="str">
            <v>Central</v>
          </cell>
          <cell r="R22" t="str">
            <v>DTC</v>
          </cell>
          <cell r="S22">
            <v>40800</v>
          </cell>
          <cell r="T22">
            <v>40800</v>
          </cell>
          <cell r="U22">
            <v>0</v>
          </cell>
          <cell r="V22">
            <v>35068.550000000003</v>
          </cell>
        </row>
        <row r="23">
          <cell r="A23" t="str">
            <v>Sharepoint archiving solution</v>
          </cell>
          <cell r="C23">
            <v>68427709</v>
          </cell>
          <cell r="D23" t="str">
            <v>485073006</v>
          </cell>
          <cell r="E23" t="str">
            <v>Software li MS Infr</v>
          </cell>
          <cell r="F23" t="str">
            <v>Desktop Management</v>
          </cell>
          <cell r="G23"/>
          <cell r="H23" t="str">
            <v>APP002478</v>
          </cell>
          <cell r="I23">
            <v>166304</v>
          </cell>
          <cell r="J23" t="str">
            <v>Microsoft B.V.</v>
          </cell>
          <cell r="K23"/>
          <cell r="L23"/>
          <cell r="M23"/>
          <cell r="N23" t="str">
            <v>Oscar</v>
          </cell>
          <cell r="O23" t="str">
            <v>Ahmet</v>
          </cell>
          <cell r="P23" t="str">
            <v>Martijn</v>
          </cell>
          <cell r="Q23" t="str">
            <v>L-PC-USERS</v>
          </cell>
          <cell r="R23" t="str">
            <v>Infra/EUS</v>
          </cell>
          <cell r="S23"/>
          <cell r="T23">
            <v>36000</v>
          </cell>
          <cell r="U23">
            <v>36000</v>
          </cell>
          <cell r="V23">
            <v>34780.03</v>
          </cell>
        </row>
        <row r="24">
          <cell r="A24" t="str">
            <v>Microsoft Azure : OT Data Foundation</v>
          </cell>
          <cell r="C24">
            <v>68427709</v>
          </cell>
          <cell r="D24" t="str">
            <v>485073006</v>
          </cell>
          <cell r="E24" t="str">
            <v>Software li MS Infr</v>
          </cell>
          <cell r="F24" t="str">
            <v>Desktop Management</v>
          </cell>
          <cell r="G24" t="str">
            <v>Factory Security</v>
          </cell>
          <cell r="H24" t="str">
            <v>APP003236</v>
          </cell>
          <cell r="I24">
            <v>166304</v>
          </cell>
          <cell r="J24" t="str">
            <v>Microsoft B.V.</v>
          </cell>
          <cell r="K24"/>
          <cell r="L24"/>
          <cell r="M24"/>
          <cell r="N24" t="str">
            <v>Oscar</v>
          </cell>
          <cell r="O24" t="str">
            <v>Carolyn</v>
          </cell>
          <cell r="P24"/>
          <cell r="Q24" t="str">
            <v>L-FACTORIES-SIZE</v>
          </cell>
          <cell r="R24" t="str">
            <v>Manufacturing</v>
          </cell>
          <cell r="S24"/>
          <cell r="T24">
            <v>15000</v>
          </cell>
          <cell r="U24">
            <v>15000</v>
          </cell>
          <cell r="V24">
            <v>13846.22</v>
          </cell>
        </row>
        <row r="25">
          <cell r="A25" t="str">
            <v>Microsoft Azure: Azure Marketplace</v>
          </cell>
          <cell r="C25">
            <v>68427709</v>
          </cell>
          <cell r="D25" t="str">
            <v>485073006</v>
          </cell>
          <cell r="E25" t="str">
            <v>Software li MS Infr</v>
          </cell>
          <cell r="F25" t="str">
            <v>Desktop Management</v>
          </cell>
          <cell r="G25" t="str">
            <v>PC and Connectivity</v>
          </cell>
          <cell r="H25" t="str">
            <v>PCConnectivity</v>
          </cell>
          <cell r="I25">
            <v>166304</v>
          </cell>
          <cell r="J25" t="str">
            <v>Microsoft B.V.</v>
          </cell>
          <cell r="K25"/>
          <cell r="L25">
            <v>5400878308</v>
          </cell>
          <cell r="M25">
            <v>20</v>
          </cell>
          <cell r="N25" t="str">
            <v>Oscar</v>
          </cell>
          <cell r="O25" t="str">
            <v>Carolyn</v>
          </cell>
          <cell r="P25" t="str">
            <v>Oscar</v>
          </cell>
          <cell r="Q25" t="str">
            <v>L-PC-USERS</v>
          </cell>
          <cell r="R25" t="str">
            <v>Infra/EUS</v>
          </cell>
          <cell r="S25">
            <v>8000</v>
          </cell>
          <cell r="T25">
            <v>8000</v>
          </cell>
          <cell r="U25">
            <v>0</v>
          </cell>
          <cell r="V25">
            <v>7384.65</v>
          </cell>
        </row>
        <row r="26">
          <cell r="A26" t="str">
            <v>Microsoft Azure: ecommerce Magento hosting</v>
          </cell>
          <cell r="B26" t="str">
            <v>CW7803</v>
          </cell>
          <cell r="C26">
            <v>68427709</v>
          </cell>
          <cell r="D26" t="str">
            <v>485073006</v>
          </cell>
          <cell r="E26" t="str">
            <v>Software li MS Infr</v>
          </cell>
          <cell r="F26" t="str">
            <v>Desktop Management</v>
          </cell>
          <cell r="G26"/>
          <cell r="H26" t="str">
            <v>APP002415</v>
          </cell>
          <cell r="I26">
            <v>166304</v>
          </cell>
          <cell r="J26" t="str">
            <v>Microsoft B.V.</v>
          </cell>
          <cell r="K26"/>
          <cell r="L26">
            <v>5400878308</v>
          </cell>
          <cell r="M26">
            <v>20</v>
          </cell>
          <cell r="N26" t="str">
            <v>Oscar</v>
          </cell>
          <cell r="O26" t="str">
            <v>Carolyn</v>
          </cell>
          <cell r="P26" t="str">
            <v>Oscar</v>
          </cell>
          <cell r="Q26" t="str">
            <v>Central</v>
          </cell>
          <cell r="R26" t="str">
            <v>DTC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A27" t="str">
            <v>WAN-OBS</v>
          </cell>
          <cell r="B27" t="str">
            <v>CW9509</v>
          </cell>
          <cell r="C27">
            <v>68427709</v>
          </cell>
          <cell r="D27" t="str">
            <v>485073010</v>
          </cell>
          <cell r="E27" t="str">
            <v>Network Services</v>
          </cell>
          <cell r="F27" t="str">
            <v>Network Management</v>
          </cell>
          <cell r="G27" t="str">
            <v>PC and Connectivity</v>
          </cell>
          <cell r="H27" t="str">
            <v>PCConnectivity</v>
          </cell>
          <cell r="I27">
            <v>196653</v>
          </cell>
          <cell r="J27" t="str">
            <v>Orange Business Netherlands B.V.</v>
          </cell>
          <cell r="L27">
            <v>5401023594</v>
          </cell>
          <cell r="M27">
            <v>10</v>
          </cell>
          <cell r="N27" t="str">
            <v>Oscar</v>
          </cell>
          <cell r="O27" t="str">
            <v>Carolyn</v>
          </cell>
          <cell r="P27" t="str">
            <v>Oscar</v>
          </cell>
          <cell r="Q27" t="str">
            <v>L-PC-USERS</v>
          </cell>
          <cell r="R27" t="str">
            <v>Infra/EUS</v>
          </cell>
          <cell r="S27">
            <v>4334000</v>
          </cell>
          <cell r="T27">
            <v>4300000</v>
          </cell>
          <cell r="U27">
            <v>-34000</v>
          </cell>
          <cell r="V27">
            <v>3969250.28</v>
          </cell>
        </row>
        <row r="28">
          <cell r="A28" t="str">
            <v>Security (+Zscaler / Security)</v>
          </cell>
          <cell r="B28" t="str">
            <v>CW4251</v>
          </cell>
          <cell r="C28">
            <v>68427709</v>
          </cell>
          <cell r="D28" t="str">
            <v>485073010</v>
          </cell>
          <cell r="E28" t="str">
            <v>485073011</v>
          </cell>
          <cell r="F28" t="str">
            <v>Network Management</v>
          </cell>
          <cell r="G28" t="str">
            <v>PC and Connectivity</v>
          </cell>
          <cell r="H28" t="str">
            <v>APP002805</v>
          </cell>
          <cell r="I28">
            <v>196653</v>
          </cell>
          <cell r="J28" t="str">
            <v>Orange Business Netherlands B.V.</v>
          </cell>
          <cell r="L28">
            <v>5401023596</v>
          </cell>
          <cell r="M28">
            <v>10</v>
          </cell>
          <cell r="N28" t="str">
            <v>Oscar</v>
          </cell>
          <cell r="O28" t="str">
            <v>Carolyn</v>
          </cell>
          <cell r="P28" t="str">
            <v>Oscar</v>
          </cell>
          <cell r="Q28" t="str">
            <v>L-PC-USERS</v>
          </cell>
          <cell r="R28" t="str">
            <v>Infra/EUS</v>
          </cell>
          <cell r="S28">
            <v>805000</v>
          </cell>
          <cell r="T28">
            <v>697500</v>
          </cell>
          <cell r="U28">
            <v>-107500</v>
          </cell>
          <cell r="V28">
            <v>643849.31999999995</v>
          </cell>
        </row>
        <row r="29">
          <cell r="A29" t="str">
            <v>LAN OBS</v>
          </cell>
          <cell r="B29" t="str">
            <v>CW4251</v>
          </cell>
          <cell r="C29">
            <v>68427709</v>
          </cell>
          <cell r="D29" t="str">
            <v>485073010</v>
          </cell>
          <cell r="E29" t="str">
            <v>Network Services</v>
          </cell>
          <cell r="F29" t="str">
            <v>Network Management</v>
          </cell>
          <cell r="G29" t="str">
            <v>PC and Connectivity</v>
          </cell>
          <cell r="H29" t="str">
            <v>PCConnectivity</v>
          </cell>
          <cell r="I29">
            <v>196653</v>
          </cell>
          <cell r="J29" t="str">
            <v>Orange Business Netherlands B.V.</v>
          </cell>
          <cell r="L29">
            <v>5401023595</v>
          </cell>
          <cell r="M29">
            <v>10</v>
          </cell>
          <cell r="N29" t="str">
            <v>Oscar</v>
          </cell>
          <cell r="O29" t="str">
            <v>Carolyn</v>
          </cell>
          <cell r="P29" t="str">
            <v>Oscar</v>
          </cell>
          <cell r="Q29" t="str">
            <v>L-PC-USERS</v>
          </cell>
          <cell r="R29" t="str">
            <v>Infra/EUS</v>
          </cell>
          <cell r="S29">
            <v>665000</v>
          </cell>
          <cell r="T29">
            <v>681000</v>
          </cell>
          <cell r="U29">
            <v>16000</v>
          </cell>
          <cell r="V29">
            <v>628618.47</v>
          </cell>
        </row>
        <row r="30">
          <cell r="A30" t="str">
            <v>ClarOTy support at various factories</v>
          </cell>
          <cell r="C30">
            <v>68427709</v>
          </cell>
          <cell r="D30" t="str">
            <v>485073010</v>
          </cell>
          <cell r="E30" t="str">
            <v>Network Services</v>
          </cell>
          <cell r="F30" t="str">
            <v>Network Management</v>
          </cell>
          <cell r="G30" t="str">
            <v>Factory Security</v>
          </cell>
          <cell r="H30" t="str">
            <v>FactorySec</v>
          </cell>
          <cell r="I30">
            <v>196653</v>
          </cell>
          <cell r="J30" t="str">
            <v>Accenture</v>
          </cell>
          <cell r="L30">
            <v>5401030680</v>
          </cell>
          <cell r="M30">
            <v>10</v>
          </cell>
          <cell r="N30" t="str">
            <v>Oscar</v>
          </cell>
          <cell r="O30" t="str">
            <v>Carolyn</v>
          </cell>
          <cell r="P30" t="str">
            <v>Oscar</v>
          </cell>
          <cell r="Q30" t="str">
            <v>L-FACTORIES-SIZE</v>
          </cell>
          <cell r="R30" t="str">
            <v>Infra/EUS</v>
          </cell>
          <cell r="S30">
            <v>347000</v>
          </cell>
          <cell r="T30">
            <v>340000</v>
          </cell>
          <cell r="U30">
            <v>-7000</v>
          </cell>
          <cell r="V30">
            <v>313847.7</v>
          </cell>
        </row>
        <row r="31">
          <cell r="A31" t="str">
            <v>Security - Factories</v>
          </cell>
          <cell r="C31">
            <v>68427709</v>
          </cell>
          <cell r="D31" t="str">
            <v>485073010</v>
          </cell>
          <cell r="E31" t="str">
            <v>Network Services</v>
          </cell>
          <cell r="F31" t="str">
            <v>Network Management</v>
          </cell>
          <cell r="G31" t="str">
            <v>Factory Security</v>
          </cell>
          <cell r="H31" t="str">
            <v>FactorySec</v>
          </cell>
          <cell r="I31">
            <v>196653</v>
          </cell>
          <cell r="J31" t="str">
            <v>Orange Business Netherlands B.V.</v>
          </cell>
          <cell r="L31">
            <v>5401023596</v>
          </cell>
          <cell r="M31">
            <v>10</v>
          </cell>
          <cell r="N31" t="str">
            <v>Oscar</v>
          </cell>
          <cell r="O31" t="str">
            <v>Carolyn</v>
          </cell>
          <cell r="P31" t="str">
            <v>Oscar</v>
          </cell>
          <cell r="Q31" t="str">
            <v>L-FACTORIES-SIZE</v>
          </cell>
          <cell r="R31" t="str">
            <v>Infra/EUS</v>
          </cell>
          <cell r="S31">
            <v>100000</v>
          </cell>
          <cell r="T31">
            <v>300000</v>
          </cell>
          <cell r="U31">
            <v>200000</v>
          </cell>
          <cell r="V31">
            <v>276924.44</v>
          </cell>
        </row>
        <row r="32">
          <cell r="A32" t="str">
            <v>Third Party RDS Access</v>
          </cell>
          <cell r="C32">
            <v>68427709</v>
          </cell>
          <cell r="D32" t="str">
            <v>485073010</v>
          </cell>
          <cell r="E32" t="str">
            <v>Network Services</v>
          </cell>
          <cell r="F32" t="str">
            <v>Network Management</v>
          </cell>
          <cell r="G32" t="str">
            <v>Factory Security</v>
          </cell>
          <cell r="H32" t="str">
            <v>FactorySec</v>
          </cell>
          <cell r="I32">
            <v>187516</v>
          </cell>
          <cell r="J32" t="str">
            <v>Accenture</v>
          </cell>
          <cell r="K32"/>
          <cell r="L32">
            <v>5401023608</v>
          </cell>
          <cell r="M32">
            <v>10</v>
          </cell>
          <cell r="N32" t="str">
            <v>Oscar</v>
          </cell>
          <cell r="O32" t="str">
            <v>Carolyn</v>
          </cell>
          <cell r="P32" t="str">
            <v>Oscar</v>
          </cell>
          <cell r="Q32" t="str">
            <v>L-FACTORIES-SIZE</v>
          </cell>
          <cell r="R32" t="str">
            <v>Infra/EUS</v>
          </cell>
          <cell r="S32">
            <v>350000</v>
          </cell>
          <cell r="T32">
            <v>176400</v>
          </cell>
          <cell r="U32">
            <v>-173600</v>
          </cell>
          <cell r="V32">
            <v>162831.57</v>
          </cell>
        </row>
        <row r="33">
          <cell r="A33" t="str">
            <v>Equinix</v>
          </cell>
          <cell r="C33">
            <v>68427709</v>
          </cell>
          <cell r="D33" t="str">
            <v>485073010</v>
          </cell>
          <cell r="E33" t="str">
            <v>Network Services</v>
          </cell>
          <cell r="F33" t="str">
            <v>Network Management</v>
          </cell>
          <cell r="G33" t="str">
            <v>PC and Connectivity</v>
          </cell>
          <cell r="H33" t="str">
            <v>PCConnectivity</v>
          </cell>
          <cell r="J33" t="str">
            <v>Equinix</v>
          </cell>
          <cell r="L33">
            <v>5401023599</v>
          </cell>
          <cell r="M33">
            <v>10</v>
          </cell>
          <cell r="N33" t="str">
            <v>Oscar</v>
          </cell>
          <cell r="O33" t="str">
            <v>Carolyn</v>
          </cell>
          <cell r="P33" t="str">
            <v>Oscar</v>
          </cell>
          <cell r="Q33" t="str">
            <v>L-PC-USERS</v>
          </cell>
          <cell r="R33" t="str">
            <v>Infra/EUS</v>
          </cell>
          <cell r="S33">
            <v>150000</v>
          </cell>
          <cell r="T33">
            <v>150000</v>
          </cell>
          <cell r="U33">
            <v>0</v>
          </cell>
          <cell r="V33">
            <v>138462.22</v>
          </cell>
        </row>
        <row r="34">
          <cell r="A34" t="str">
            <v>Line costs for SAP hosting in India</v>
          </cell>
          <cell r="C34">
            <v>68427709</v>
          </cell>
          <cell r="D34" t="str">
            <v>485073010</v>
          </cell>
          <cell r="E34" t="str">
            <v>Network Services</v>
          </cell>
          <cell r="F34" t="str">
            <v>Network Management</v>
          </cell>
          <cell r="G34" t="str">
            <v>SAP suite</v>
          </cell>
          <cell r="H34" t="str">
            <v>SAPAPPS</v>
          </cell>
          <cell r="J34" t="str">
            <v>HCL</v>
          </cell>
          <cell r="K34"/>
          <cell r="L34"/>
          <cell r="M34"/>
          <cell r="N34" t="str">
            <v>Oscar</v>
          </cell>
          <cell r="O34" t="str">
            <v>Carolyn</v>
          </cell>
          <cell r="P34" t="str">
            <v>Robin</v>
          </cell>
          <cell r="Q34" t="str">
            <v>L-SAP-USERS</v>
          </cell>
          <cell r="R34" t="str">
            <v>Infra/EUS</v>
          </cell>
          <cell r="S34"/>
          <cell r="T34">
            <v>60000</v>
          </cell>
          <cell r="U34">
            <v>60000</v>
          </cell>
          <cell r="V34">
            <v>55384.89</v>
          </cell>
        </row>
        <row r="35">
          <cell r="A35" t="str">
            <v>Network SSR's &amp; NSSR's</v>
          </cell>
          <cell r="B35" t="str">
            <v>CW4251</v>
          </cell>
          <cell r="C35">
            <v>68427709</v>
          </cell>
          <cell r="D35" t="str">
            <v>485073010</v>
          </cell>
          <cell r="E35" t="str">
            <v>Network Services</v>
          </cell>
          <cell r="F35" t="str">
            <v>Network Management</v>
          </cell>
          <cell r="G35" t="str">
            <v>PC and Connectivity</v>
          </cell>
          <cell r="H35" t="str">
            <v>PCConnectivity</v>
          </cell>
          <cell r="I35">
            <v>196653</v>
          </cell>
          <cell r="J35" t="str">
            <v>Orange Business Netherlands B.V.</v>
          </cell>
          <cell r="L35">
            <v>5401023597</v>
          </cell>
          <cell r="M35">
            <v>10</v>
          </cell>
          <cell r="N35" t="str">
            <v>Oscar</v>
          </cell>
          <cell r="O35" t="str">
            <v>Carolyn</v>
          </cell>
          <cell r="P35" t="str">
            <v>Oscar</v>
          </cell>
          <cell r="Q35" t="str">
            <v>L-PC-USERS</v>
          </cell>
          <cell r="R35" t="str">
            <v>Infra/EUS</v>
          </cell>
          <cell r="S35">
            <v>61200</v>
          </cell>
          <cell r="T35">
            <v>50000</v>
          </cell>
          <cell r="U35">
            <v>-11200</v>
          </cell>
          <cell r="V35">
            <v>46154.07</v>
          </cell>
        </row>
        <row r="36">
          <cell r="A36" t="str">
            <v>Curvature</v>
          </cell>
          <cell r="C36">
            <v>68427709</v>
          </cell>
          <cell r="D36" t="str">
            <v>485073010</v>
          </cell>
          <cell r="E36" t="str">
            <v xml:space="preserve">Network Services </v>
          </cell>
          <cell r="F36" t="str">
            <v>Network Management</v>
          </cell>
          <cell r="G36" t="str">
            <v>PC and Connectivity</v>
          </cell>
          <cell r="H36" t="str">
            <v>PCConnectivity</v>
          </cell>
          <cell r="I36">
            <v>210591</v>
          </cell>
          <cell r="J36" t="str">
            <v>Park Place Technologies B.V.</v>
          </cell>
          <cell r="L36">
            <v>5400990192</v>
          </cell>
          <cell r="M36">
            <v>10</v>
          </cell>
          <cell r="N36" t="str">
            <v>Oscar</v>
          </cell>
          <cell r="O36" t="str">
            <v>Carolyn</v>
          </cell>
          <cell r="P36" t="str">
            <v>Oscar</v>
          </cell>
          <cell r="Q36" t="str">
            <v>L-PC-USERS</v>
          </cell>
          <cell r="R36" t="str">
            <v>Infra/EUS</v>
          </cell>
          <cell r="S36">
            <v>35000</v>
          </cell>
          <cell r="T36">
            <v>40000</v>
          </cell>
          <cell r="U36">
            <v>5000</v>
          </cell>
          <cell r="V36">
            <v>36923.26</v>
          </cell>
        </row>
        <row r="37">
          <cell r="A37" t="str">
            <v>Flex NSSR</v>
          </cell>
          <cell r="B37" t="str">
            <v>CW4251</v>
          </cell>
          <cell r="C37">
            <v>68427709</v>
          </cell>
          <cell r="D37" t="str">
            <v>485073010</v>
          </cell>
          <cell r="E37" t="str">
            <v>Network Services</v>
          </cell>
          <cell r="F37" t="str">
            <v>Network Management</v>
          </cell>
          <cell r="G37" t="str">
            <v>PC and Connectivity</v>
          </cell>
          <cell r="H37" t="str">
            <v>PCConnectivity</v>
          </cell>
          <cell r="I37">
            <v>196653</v>
          </cell>
          <cell r="J37" t="str">
            <v>Orange Business Netherlands B.V.</v>
          </cell>
          <cell r="L37">
            <v>5401023597</v>
          </cell>
          <cell r="M37">
            <v>10</v>
          </cell>
          <cell r="N37" t="str">
            <v>Oscar</v>
          </cell>
          <cell r="O37" t="str">
            <v>Carolyn</v>
          </cell>
          <cell r="P37" t="str">
            <v>Oscar</v>
          </cell>
          <cell r="Q37" t="str">
            <v>L-PC-USERS</v>
          </cell>
          <cell r="R37" t="str">
            <v>Infra/EUS</v>
          </cell>
          <cell r="S37">
            <v>51000</v>
          </cell>
          <cell r="T37">
            <v>30000</v>
          </cell>
          <cell r="U37">
            <v>-21000</v>
          </cell>
          <cell r="V37">
            <v>27692.44</v>
          </cell>
        </row>
        <row r="38">
          <cell r="A38" t="str">
            <v>Security SSR's &amp; NSSR's</v>
          </cell>
          <cell r="B38" t="str">
            <v>CW4251</v>
          </cell>
          <cell r="C38">
            <v>68427709</v>
          </cell>
          <cell r="D38" t="str">
            <v>485073010</v>
          </cell>
          <cell r="E38" t="str">
            <v>Network Services</v>
          </cell>
          <cell r="F38" t="str">
            <v>Network Management</v>
          </cell>
          <cell r="G38" t="str">
            <v>PC and Connectivity</v>
          </cell>
          <cell r="H38" t="str">
            <v>PCConnectivity</v>
          </cell>
          <cell r="I38">
            <v>196653</v>
          </cell>
          <cell r="J38" t="str">
            <v>Orange Business Netherlands B.V.</v>
          </cell>
          <cell r="L38">
            <v>5401023596</v>
          </cell>
          <cell r="M38">
            <v>10</v>
          </cell>
          <cell r="N38" t="str">
            <v>Oscar</v>
          </cell>
          <cell r="O38" t="str">
            <v>Carolyn</v>
          </cell>
          <cell r="P38" t="str">
            <v>Oscar</v>
          </cell>
          <cell r="Q38" t="str">
            <v>L-PC-USERS</v>
          </cell>
          <cell r="R38" t="str">
            <v>Infra/EUS</v>
          </cell>
          <cell r="S38">
            <v>46000</v>
          </cell>
          <cell r="T38">
            <v>25000</v>
          </cell>
          <cell r="U38">
            <v>-21000</v>
          </cell>
          <cell r="V38">
            <v>23077.040000000001</v>
          </cell>
        </row>
        <row r="39">
          <cell r="A39" t="str">
            <v>Ripe NCC</v>
          </cell>
          <cell r="C39">
            <v>68427709</v>
          </cell>
          <cell r="D39" t="str">
            <v>485073010</v>
          </cell>
          <cell r="E39" t="str">
            <v>Network Services</v>
          </cell>
          <cell r="F39" t="str">
            <v>Network Management</v>
          </cell>
          <cell r="G39" t="str">
            <v>PC and Connectivity</v>
          </cell>
          <cell r="H39" t="str">
            <v>PCConnectivity</v>
          </cell>
          <cell r="J39" t="str">
            <v>RIPE</v>
          </cell>
          <cell r="L39">
            <v>5401024581</v>
          </cell>
          <cell r="M39">
            <v>10</v>
          </cell>
          <cell r="N39" t="str">
            <v>Oscar</v>
          </cell>
          <cell r="O39" t="str">
            <v>Carolyn</v>
          </cell>
          <cell r="P39" t="str">
            <v>Oscar</v>
          </cell>
          <cell r="Q39" t="str">
            <v>L-PC-USERS</v>
          </cell>
          <cell r="R39" t="str">
            <v>Infra/EUS</v>
          </cell>
          <cell r="S39">
            <v>2500</v>
          </cell>
          <cell r="T39">
            <v>2500</v>
          </cell>
          <cell r="U39">
            <v>0</v>
          </cell>
          <cell r="V39">
            <v>2307.6999999999998</v>
          </cell>
        </row>
        <row r="40">
          <cell r="A40" t="str">
            <v>Teams direct routing</v>
          </cell>
          <cell r="B40" t="str">
            <v>CW4251</v>
          </cell>
          <cell r="C40">
            <v>68427709</v>
          </cell>
          <cell r="D40" t="str">
            <v>485073020</v>
          </cell>
          <cell r="E40" t="str">
            <v>Voice - Fixed</v>
          </cell>
          <cell r="F40" t="str">
            <v>Communication</v>
          </cell>
          <cell r="G40" t="str">
            <v>Unified Communication</v>
          </cell>
          <cell r="H40" t="str">
            <v>APP002793</v>
          </cell>
          <cell r="I40">
            <v>129450</v>
          </cell>
          <cell r="J40" t="str">
            <v>BT</v>
          </cell>
          <cell r="L40">
            <v>5401024382</v>
          </cell>
          <cell r="M40">
            <v>10</v>
          </cell>
          <cell r="N40" t="str">
            <v>Oscar</v>
          </cell>
          <cell r="O40" t="str">
            <v>Carolyn</v>
          </cell>
          <cell r="P40" t="str">
            <v>Oscar</v>
          </cell>
          <cell r="Q40" t="str">
            <v>L-PC-USERS</v>
          </cell>
          <cell r="R40" t="str">
            <v>Infra/EUS</v>
          </cell>
          <cell r="S40">
            <v>200000</v>
          </cell>
          <cell r="T40">
            <v>200000</v>
          </cell>
          <cell r="U40">
            <v>0</v>
          </cell>
          <cell r="V40">
            <v>184616.29</v>
          </cell>
        </row>
        <row r="41">
          <cell r="A41" t="str">
            <v>Enterprise voice support</v>
          </cell>
          <cell r="C41">
            <v>68427709</v>
          </cell>
          <cell r="D41" t="str">
            <v>485073020</v>
          </cell>
          <cell r="E41" t="str">
            <v>Voice - Fixed</v>
          </cell>
          <cell r="F41" t="str">
            <v>Application Support</v>
          </cell>
          <cell r="G41" t="str">
            <v>Unified Communication</v>
          </cell>
          <cell r="H41" t="str">
            <v>UniComm</v>
          </cell>
          <cell r="I41">
            <v>187516</v>
          </cell>
          <cell r="J41" t="str">
            <v>Accenture</v>
          </cell>
          <cell r="K41"/>
          <cell r="L41"/>
          <cell r="M41"/>
          <cell r="N41" t="str">
            <v>Oscar</v>
          </cell>
          <cell r="O41" t="str">
            <v>Carolyn</v>
          </cell>
          <cell r="P41" t="str">
            <v>Oscar</v>
          </cell>
          <cell r="Q41" t="str">
            <v>L-PC-USERS</v>
          </cell>
          <cell r="R41" t="str">
            <v>Infra/EUS</v>
          </cell>
          <cell r="S41">
            <v>80000</v>
          </cell>
          <cell r="T41">
            <v>80000</v>
          </cell>
          <cell r="U41">
            <v>0</v>
          </cell>
          <cell r="V41">
            <v>73846.52</v>
          </cell>
        </row>
        <row r="42">
          <cell r="A42" t="str">
            <v>Enterprise voice support - NSSRs or minor modifications</v>
          </cell>
          <cell r="C42">
            <v>68427709</v>
          </cell>
          <cell r="D42" t="str">
            <v>485073020</v>
          </cell>
          <cell r="E42" t="str">
            <v>Voice - Fixed</v>
          </cell>
          <cell r="F42" t="str">
            <v>Application Support</v>
          </cell>
          <cell r="G42" t="str">
            <v>Unified Communication</v>
          </cell>
          <cell r="H42" t="str">
            <v>UniComm</v>
          </cell>
          <cell r="I42">
            <v>187516</v>
          </cell>
          <cell r="J42" t="str">
            <v>Accenture</v>
          </cell>
          <cell r="K42"/>
          <cell r="L42"/>
          <cell r="M42"/>
          <cell r="N42" t="str">
            <v>Oscar</v>
          </cell>
          <cell r="O42" t="str">
            <v>Carolyn</v>
          </cell>
          <cell r="P42" t="str">
            <v>Oscar</v>
          </cell>
          <cell r="Q42" t="str">
            <v>L-PC-USERS</v>
          </cell>
          <cell r="R42" t="str">
            <v>Infra/EUS</v>
          </cell>
          <cell r="S42">
            <v>50000</v>
          </cell>
          <cell r="T42">
            <v>50000</v>
          </cell>
          <cell r="U42">
            <v>0</v>
          </cell>
          <cell r="V42">
            <v>46154.07</v>
          </cell>
        </row>
        <row r="43">
          <cell r="A43" t="str">
            <v>Teams direct routing NSSRS</v>
          </cell>
          <cell r="B43" t="str">
            <v>CW4251</v>
          </cell>
          <cell r="C43">
            <v>68427709</v>
          </cell>
          <cell r="D43" t="str">
            <v>485073020</v>
          </cell>
          <cell r="E43" t="str">
            <v>Voice - Fixed</v>
          </cell>
          <cell r="F43" t="str">
            <v>Communication</v>
          </cell>
          <cell r="G43" t="str">
            <v>Unified Communication</v>
          </cell>
          <cell r="H43" t="str">
            <v>APP002793</v>
          </cell>
          <cell r="I43">
            <v>129450</v>
          </cell>
          <cell r="J43" t="str">
            <v>BT</v>
          </cell>
          <cell r="L43">
            <v>5401024382</v>
          </cell>
          <cell r="M43">
            <v>10</v>
          </cell>
          <cell r="N43" t="str">
            <v>Oscar</v>
          </cell>
          <cell r="O43" t="str">
            <v>Carolyn</v>
          </cell>
          <cell r="P43" t="str">
            <v>Oscar</v>
          </cell>
          <cell r="Q43" t="str">
            <v>L-PC-USERS</v>
          </cell>
          <cell r="R43" t="str">
            <v>Infra/EUS</v>
          </cell>
          <cell r="S43">
            <v>24960</v>
          </cell>
          <cell r="T43">
            <v>24960</v>
          </cell>
          <cell r="U43">
            <v>0</v>
          </cell>
          <cell r="V43">
            <v>23040.11</v>
          </cell>
        </row>
        <row r="44">
          <cell r="A44" t="str">
            <v>Genesys PureConnect SSRs &amp; NSSRs</v>
          </cell>
          <cell r="B44" t="str">
            <v>CW5716</v>
          </cell>
          <cell r="C44">
            <v>68427709</v>
          </cell>
          <cell r="D44" t="str">
            <v>485073020</v>
          </cell>
          <cell r="E44" t="str">
            <v>Voice - Fixed</v>
          </cell>
          <cell r="F44" t="str">
            <v>Communication</v>
          </cell>
          <cell r="G44" t="str">
            <v>Unified Communication</v>
          </cell>
          <cell r="H44" t="str">
            <v>APP001821</v>
          </cell>
          <cell r="I44">
            <v>192033</v>
          </cell>
          <cell r="J44" t="str">
            <v>Frontline</v>
          </cell>
          <cell r="L44">
            <v>5400985298</v>
          </cell>
          <cell r="M44">
            <v>10</v>
          </cell>
          <cell r="N44" t="str">
            <v>Oscar</v>
          </cell>
          <cell r="O44" t="str">
            <v>Carolyn</v>
          </cell>
          <cell r="P44" t="str">
            <v>Oscar</v>
          </cell>
          <cell r="Q44" t="str">
            <v>L-PC-USERS</v>
          </cell>
          <cell r="R44" t="str">
            <v>Infra/EUS</v>
          </cell>
          <cell r="S44">
            <v>30000</v>
          </cell>
          <cell r="T44">
            <v>0</v>
          </cell>
          <cell r="U44">
            <v>-30000</v>
          </cell>
          <cell r="V44">
            <v>0</v>
          </cell>
        </row>
        <row r="45">
          <cell r="A45" t="str">
            <v>Genesys PureConnect support</v>
          </cell>
          <cell r="B45" t="str">
            <v>CW5716</v>
          </cell>
          <cell r="C45">
            <v>68427709</v>
          </cell>
          <cell r="D45" t="str">
            <v>485073020</v>
          </cell>
          <cell r="E45" t="str">
            <v>Voice - Fixed</v>
          </cell>
          <cell r="F45" t="str">
            <v>Communication</v>
          </cell>
          <cell r="G45" t="str">
            <v>Unified Communication</v>
          </cell>
          <cell r="H45" t="str">
            <v>APP001821</v>
          </cell>
          <cell r="I45">
            <v>192033</v>
          </cell>
          <cell r="J45" t="str">
            <v>Frontline</v>
          </cell>
          <cell r="L45">
            <v>5400985298</v>
          </cell>
          <cell r="M45">
            <v>10</v>
          </cell>
          <cell r="N45" t="str">
            <v>Oscar</v>
          </cell>
          <cell r="O45" t="str">
            <v>Carolyn</v>
          </cell>
          <cell r="P45" t="str">
            <v>Oscar</v>
          </cell>
          <cell r="Q45" t="str">
            <v>L-PC-USERS</v>
          </cell>
          <cell r="R45" t="str">
            <v>Infra/EUS</v>
          </cell>
          <cell r="S45">
            <v>180000</v>
          </cell>
          <cell r="T45">
            <v>0</v>
          </cell>
          <cell r="U45">
            <v>-180000</v>
          </cell>
          <cell r="V45">
            <v>0</v>
          </cell>
        </row>
        <row r="46">
          <cell r="A46" t="str">
            <v>TelcoView</v>
          </cell>
          <cell r="B46" t="str">
            <v>CW4723</v>
          </cell>
          <cell r="C46">
            <v>68427709</v>
          </cell>
          <cell r="D46" t="str">
            <v>485073020</v>
          </cell>
          <cell r="E46" t="str">
            <v>Voice - Fixed</v>
          </cell>
          <cell r="F46" t="str">
            <v>Communication</v>
          </cell>
          <cell r="G46" t="str">
            <v>Unified Communication</v>
          </cell>
          <cell r="H46" t="str">
            <v>APP000957</v>
          </cell>
          <cell r="I46">
            <v>168422</v>
          </cell>
          <cell r="J46" t="str">
            <v>ReleaseTMS B.V.</v>
          </cell>
          <cell r="L46">
            <v>5400960037</v>
          </cell>
          <cell r="M46">
            <v>10</v>
          </cell>
          <cell r="N46" t="str">
            <v>Oscar</v>
          </cell>
          <cell r="O46" t="str">
            <v>Carolyn</v>
          </cell>
          <cell r="P46" t="str">
            <v>Oscar</v>
          </cell>
          <cell r="Q46" t="str">
            <v>L-PC-USERS</v>
          </cell>
          <cell r="R46" t="str">
            <v>Infra/EUS</v>
          </cell>
          <cell r="S46">
            <v>35000</v>
          </cell>
          <cell r="T46">
            <v>0</v>
          </cell>
          <cell r="U46">
            <v>-35000</v>
          </cell>
          <cell r="V46">
            <v>0</v>
          </cell>
        </row>
        <row r="47">
          <cell r="A47" t="str">
            <v>Atos SAP Operations, Storage &amp; Batch Management</v>
          </cell>
          <cell r="B47" t="str">
            <v>CW4702</v>
          </cell>
          <cell r="C47">
            <v>68427709</v>
          </cell>
          <cell r="D47" t="str">
            <v>485073030</v>
          </cell>
          <cell r="E47" t="str">
            <v>SAP Operations</v>
          </cell>
          <cell r="F47" t="str">
            <v>Operations</v>
          </cell>
          <cell r="G47" t="str">
            <v>SAP suite</v>
          </cell>
          <cell r="H47" t="str">
            <v>SAPAPPS</v>
          </cell>
          <cell r="I47">
            <v>120252</v>
          </cell>
          <cell r="J47" t="str">
            <v>ATOS</v>
          </cell>
          <cell r="K47"/>
          <cell r="L47">
            <v>5401023590</v>
          </cell>
          <cell r="M47">
            <v>10</v>
          </cell>
          <cell r="N47" t="str">
            <v>Robin</v>
          </cell>
          <cell r="O47" t="str">
            <v>Carolyn</v>
          </cell>
          <cell r="P47" t="str">
            <v>Robin</v>
          </cell>
          <cell r="Q47" t="str">
            <v>L-SAP-USERS</v>
          </cell>
          <cell r="R47" t="str">
            <v>Shared Platforms</v>
          </cell>
          <cell r="S47">
            <v>2100000</v>
          </cell>
          <cell r="T47">
            <v>1900000</v>
          </cell>
          <cell r="U47">
            <v>-200000</v>
          </cell>
          <cell r="V47">
            <v>1753854.77</v>
          </cell>
        </row>
        <row r="48">
          <cell r="A48" t="str">
            <v>SPSS Upgrade landscape</v>
          </cell>
          <cell r="C48">
            <v>68427709</v>
          </cell>
          <cell r="D48" t="str">
            <v>485073030</v>
          </cell>
          <cell r="E48" t="str">
            <v>SAP Operations</v>
          </cell>
          <cell r="F48" t="str">
            <v>Operations</v>
          </cell>
          <cell r="G48" t="str">
            <v>SAP suite</v>
          </cell>
          <cell r="H48" t="str">
            <v>SAPAPPS</v>
          </cell>
          <cell r="I48">
            <v>120252</v>
          </cell>
          <cell r="J48" t="str">
            <v>ATOS</v>
          </cell>
          <cell r="K48"/>
          <cell r="L48"/>
          <cell r="M48"/>
          <cell r="N48" t="str">
            <v>Robin</v>
          </cell>
          <cell r="O48" t="str">
            <v>Carolyn</v>
          </cell>
          <cell r="P48" t="str">
            <v>Rob</v>
          </cell>
          <cell r="Q48" t="str">
            <v>L-SAP-USERS</v>
          </cell>
          <cell r="R48" t="str">
            <v>Shared Platforms</v>
          </cell>
          <cell r="S48">
            <v>100000</v>
          </cell>
          <cell r="T48">
            <v>100000</v>
          </cell>
          <cell r="U48">
            <v>0</v>
          </cell>
          <cell r="V48">
            <v>92308.15</v>
          </cell>
        </row>
        <row r="49">
          <cell r="A49" t="str">
            <v>SAP SSR &amp; NSSR</v>
          </cell>
          <cell r="B49" t="str">
            <v>CW4702</v>
          </cell>
          <cell r="C49">
            <v>68427709</v>
          </cell>
          <cell r="D49" t="str">
            <v>485073030</v>
          </cell>
          <cell r="E49" t="str">
            <v>SAP Operations</v>
          </cell>
          <cell r="F49" t="str">
            <v>Operations</v>
          </cell>
          <cell r="G49" t="str">
            <v>SAP Suite</v>
          </cell>
          <cell r="H49" t="str">
            <v>InfraSAP</v>
          </cell>
          <cell r="I49">
            <v>120252</v>
          </cell>
          <cell r="J49" t="str">
            <v>ATOS</v>
          </cell>
          <cell r="L49">
            <v>5401023592</v>
          </cell>
          <cell r="M49">
            <v>10</v>
          </cell>
          <cell r="N49" t="str">
            <v>Robin</v>
          </cell>
          <cell r="O49" t="str">
            <v>Carolyn</v>
          </cell>
          <cell r="P49" t="str">
            <v>Robin</v>
          </cell>
          <cell r="Q49" t="str">
            <v>L-SAP-USERS</v>
          </cell>
          <cell r="R49" t="str">
            <v>Shared Platforms</v>
          </cell>
          <cell r="S49">
            <v>60000</v>
          </cell>
          <cell r="T49">
            <v>60000</v>
          </cell>
          <cell r="U49">
            <v>0</v>
          </cell>
          <cell r="V49">
            <v>55384.89</v>
          </cell>
        </row>
        <row r="50">
          <cell r="A50" t="str">
            <v>CCoE platfrom support (Azure WAF Landing Zone support)</v>
          </cell>
          <cell r="C50">
            <v>68427709</v>
          </cell>
          <cell r="D50" t="str">
            <v>485073032</v>
          </cell>
          <cell r="E50" t="str">
            <v>Servers</v>
          </cell>
          <cell r="F50" t="str">
            <v>Operations</v>
          </cell>
          <cell r="G50" t="str">
            <v>Infrastructure Cost Non-SAP applications</v>
          </cell>
          <cell r="H50" t="str">
            <v>InfraNonSAP</v>
          </cell>
          <cell r="I50">
            <v>187516</v>
          </cell>
          <cell r="J50" t="str">
            <v>IBM Nederland B.V.</v>
          </cell>
          <cell r="L50">
            <v>5401020905</v>
          </cell>
          <cell r="M50">
            <v>10</v>
          </cell>
          <cell r="N50" t="str">
            <v>Oscar</v>
          </cell>
          <cell r="O50" t="str">
            <v>Carolyn</v>
          </cell>
          <cell r="P50" t="str">
            <v>Oscar</v>
          </cell>
          <cell r="Q50" t="str">
            <v>L-PC-USERS</v>
          </cell>
          <cell r="R50" t="str">
            <v>Infra/EUS</v>
          </cell>
          <cell r="S50">
            <v>125000</v>
          </cell>
          <cell r="T50">
            <v>125000</v>
          </cell>
          <cell r="U50">
            <v>0</v>
          </cell>
          <cell r="V50">
            <v>115385.18</v>
          </cell>
        </row>
        <row r="51">
          <cell r="A51" t="str">
            <v>Azure connectivity hub</v>
          </cell>
          <cell r="C51">
            <v>68427709</v>
          </cell>
          <cell r="D51" t="str">
            <v>485073032</v>
          </cell>
          <cell r="E51" t="str">
            <v>Servers</v>
          </cell>
          <cell r="F51" t="str">
            <v>Operations</v>
          </cell>
          <cell r="G51" t="str">
            <v>Infrastructure Cost Non-SAP applications</v>
          </cell>
          <cell r="H51" t="str">
            <v>InfraNonSAP</v>
          </cell>
          <cell r="I51">
            <v>187516</v>
          </cell>
          <cell r="J51" t="str">
            <v>Accenture</v>
          </cell>
          <cell r="L51"/>
          <cell r="M51"/>
          <cell r="N51" t="str">
            <v>Oscar</v>
          </cell>
          <cell r="O51" t="str">
            <v>Carolyn</v>
          </cell>
          <cell r="P51" t="str">
            <v>Oscar</v>
          </cell>
          <cell r="Q51" t="str">
            <v>L-PC-USERS</v>
          </cell>
          <cell r="R51" t="str">
            <v>Infra/EUS</v>
          </cell>
          <cell r="S51">
            <v>125000</v>
          </cell>
          <cell r="T51">
            <v>125000</v>
          </cell>
          <cell r="U51">
            <v>0</v>
          </cell>
          <cell r="V51">
            <v>115385.18</v>
          </cell>
        </row>
        <row r="52">
          <cell r="A52" t="str">
            <v>Infra Cost Genesys PureConnect</v>
          </cell>
          <cell r="B52" t="str">
            <v>CW4702</v>
          </cell>
          <cell r="C52">
            <v>68427709</v>
          </cell>
          <cell r="D52" t="str">
            <v>485073032</v>
          </cell>
          <cell r="E52" t="str">
            <v>Servers</v>
          </cell>
          <cell r="F52" t="str">
            <v>Operations</v>
          </cell>
          <cell r="G52"/>
          <cell r="H52" t="str">
            <v>APP001821</v>
          </cell>
          <cell r="I52">
            <v>120252</v>
          </cell>
          <cell r="J52" t="str">
            <v>ATOS</v>
          </cell>
          <cell r="L52">
            <v>5401023588</v>
          </cell>
          <cell r="M52">
            <v>10</v>
          </cell>
          <cell r="N52" t="str">
            <v>Robin</v>
          </cell>
          <cell r="O52" t="str">
            <v>Carolyn</v>
          </cell>
          <cell r="P52" t="str">
            <v>Robin</v>
          </cell>
          <cell r="Q52" t="str">
            <v>L-PC-USERS</v>
          </cell>
          <cell r="R52" t="str">
            <v>Infra/EUS</v>
          </cell>
          <cell r="S52">
            <v>103300</v>
          </cell>
          <cell r="T52">
            <v>103300</v>
          </cell>
          <cell r="U52">
            <v>0</v>
          </cell>
          <cell r="V52">
            <v>95354.31</v>
          </cell>
        </row>
        <row r="53">
          <cell r="A53" t="str">
            <v>Infra Cost RFGEN Global Instance 1</v>
          </cell>
          <cell r="B53" t="str">
            <v>CW4702</v>
          </cell>
          <cell r="C53">
            <v>68427709</v>
          </cell>
          <cell r="D53" t="str">
            <v>485073032</v>
          </cell>
          <cell r="E53" t="str">
            <v>Servers</v>
          </cell>
          <cell r="F53" t="str">
            <v>Operations</v>
          </cell>
          <cell r="G53"/>
          <cell r="H53" t="str">
            <v>APP000054</v>
          </cell>
          <cell r="I53">
            <v>120252</v>
          </cell>
          <cell r="J53" t="str">
            <v>ATOS</v>
          </cell>
          <cell r="L53">
            <v>5401023588</v>
          </cell>
          <cell r="M53">
            <v>10</v>
          </cell>
          <cell r="N53" t="str">
            <v>Robin</v>
          </cell>
          <cell r="O53" t="str">
            <v>Carolyn</v>
          </cell>
          <cell r="P53" t="str">
            <v>Robin</v>
          </cell>
          <cell r="Q53" t="str">
            <v>L-FACTORIES-SIZE</v>
          </cell>
          <cell r="R53" t="str">
            <v>Infra/EUS</v>
          </cell>
          <cell r="S53">
            <v>62000</v>
          </cell>
          <cell r="T53">
            <v>62000</v>
          </cell>
          <cell r="U53">
            <v>0</v>
          </cell>
          <cell r="V53">
            <v>57231.05</v>
          </cell>
        </row>
        <row r="54">
          <cell r="A54" t="str">
            <v>Infrastructureservices: Servers</v>
          </cell>
          <cell r="B54" t="str">
            <v>CW4271</v>
          </cell>
          <cell r="C54">
            <v>68427709</v>
          </cell>
          <cell r="D54" t="str">
            <v>485073032</v>
          </cell>
          <cell r="E54" t="str">
            <v>Servers</v>
          </cell>
          <cell r="F54" t="str">
            <v>Operations</v>
          </cell>
          <cell r="G54" t="str">
            <v>Infrastructure Cost Non-SAP applications</v>
          </cell>
          <cell r="H54" t="str">
            <v>InfraNonSAP</v>
          </cell>
          <cell r="I54">
            <v>187516</v>
          </cell>
          <cell r="J54" t="str">
            <v>Accenture</v>
          </cell>
          <cell r="L54"/>
          <cell r="M54"/>
          <cell r="N54" t="str">
            <v>Oscar</v>
          </cell>
          <cell r="O54" t="str">
            <v>Carolyn</v>
          </cell>
          <cell r="P54" t="str">
            <v>Oscar</v>
          </cell>
          <cell r="Q54" t="str">
            <v>L-PC-USERS</v>
          </cell>
          <cell r="R54" t="str">
            <v>Infra/EUS</v>
          </cell>
          <cell r="S54">
            <v>100000</v>
          </cell>
          <cell r="T54">
            <v>52500</v>
          </cell>
          <cell r="U54">
            <v>-47500</v>
          </cell>
          <cell r="V54">
            <v>48461.78</v>
          </cell>
        </row>
        <row r="55">
          <cell r="A55" t="str">
            <v>Infrastructure services: Servers &amp; Storage</v>
          </cell>
          <cell r="B55" t="str">
            <v>CW4271</v>
          </cell>
          <cell r="C55">
            <v>68427709</v>
          </cell>
          <cell r="D55" t="str">
            <v>485073032</v>
          </cell>
          <cell r="E55" t="str">
            <v>Servers</v>
          </cell>
          <cell r="F55" t="str">
            <v>Operations</v>
          </cell>
          <cell r="G55" t="str">
            <v>Infrastructure Cost Non-SAP applications</v>
          </cell>
          <cell r="H55" t="str">
            <v>InfraNonSAP</v>
          </cell>
          <cell r="I55">
            <v>187516</v>
          </cell>
          <cell r="J55" t="str">
            <v>Accenture</v>
          </cell>
          <cell r="L55"/>
          <cell r="M55"/>
          <cell r="N55" t="str">
            <v>Oscar</v>
          </cell>
          <cell r="O55" t="str">
            <v>Carolyn</v>
          </cell>
          <cell r="P55" t="str">
            <v>Oscar</v>
          </cell>
          <cell r="Q55" t="str">
            <v>L-PC-USERS</v>
          </cell>
          <cell r="R55" t="str">
            <v>Infra/EUS</v>
          </cell>
          <cell r="S55">
            <v>50000</v>
          </cell>
          <cell r="T55">
            <v>50000</v>
          </cell>
          <cell r="U55">
            <v>0</v>
          </cell>
          <cell r="V55">
            <v>46154.07</v>
          </cell>
        </row>
        <row r="56">
          <cell r="A56" t="str">
            <v>Infra Cost BCC</v>
          </cell>
          <cell r="B56" t="str">
            <v>CW4702</v>
          </cell>
          <cell r="C56">
            <v>68427709</v>
          </cell>
          <cell r="D56" t="str">
            <v>485073032</v>
          </cell>
          <cell r="E56" t="str">
            <v>Servers</v>
          </cell>
          <cell r="F56" t="str">
            <v>Operations</v>
          </cell>
          <cell r="G56"/>
          <cell r="H56" t="str">
            <v>APP000034</v>
          </cell>
          <cell r="I56">
            <v>120252</v>
          </cell>
          <cell r="J56" t="str">
            <v>ATOS</v>
          </cell>
          <cell r="L56">
            <v>5401023588</v>
          </cell>
          <cell r="M56">
            <v>10</v>
          </cell>
          <cell r="N56" t="str">
            <v>Robin</v>
          </cell>
          <cell r="O56" t="str">
            <v>Carolyn</v>
          </cell>
          <cell r="P56" t="str">
            <v>Robin</v>
          </cell>
          <cell r="Q56" t="str">
            <v>L-PC-USERS</v>
          </cell>
          <cell r="R56" t="str">
            <v>Infra/EUS</v>
          </cell>
          <cell r="S56">
            <v>41400</v>
          </cell>
          <cell r="T56">
            <v>41400</v>
          </cell>
          <cell r="U56">
            <v>0</v>
          </cell>
          <cell r="V56">
            <v>38215.57</v>
          </cell>
        </row>
        <row r="57">
          <cell r="A57" t="str">
            <v>Infra Cost Accolade (R&amp;D)</v>
          </cell>
          <cell r="B57" t="str">
            <v>CW4702</v>
          </cell>
          <cell r="C57">
            <v>68427709</v>
          </cell>
          <cell r="D57" t="str">
            <v>485073032</v>
          </cell>
          <cell r="E57" t="str">
            <v>Servers</v>
          </cell>
          <cell r="F57" t="str">
            <v>Operations</v>
          </cell>
          <cell r="G57"/>
          <cell r="H57" t="str">
            <v>APP000039</v>
          </cell>
          <cell r="I57">
            <v>120252</v>
          </cell>
          <cell r="J57" t="str">
            <v>ATOS</v>
          </cell>
          <cell r="L57">
            <v>5401023588</v>
          </cell>
          <cell r="M57">
            <v>10</v>
          </cell>
          <cell r="N57" t="str">
            <v>Robin</v>
          </cell>
          <cell r="O57" t="str">
            <v>Carolyn</v>
          </cell>
          <cell r="P57" t="str">
            <v>Robin</v>
          </cell>
          <cell r="Q57" t="str">
            <v>L-PC-USERS</v>
          </cell>
          <cell r="R57" t="str">
            <v>Infra/EUS</v>
          </cell>
          <cell r="S57">
            <v>41400</v>
          </cell>
          <cell r="T57">
            <v>41400</v>
          </cell>
          <cell r="U57">
            <v>0</v>
          </cell>
          <cell r="V57">
            <v>38215.57</v>
          </cell>
        </row>
        <row r="58">
          <cell r="A58" t="str">
            <v>Infra Cost i21(iRely)</v>
          </cell>
          <cell r="B58" t="str">
            <v>CW4702</v>
          </cell>
          <cell r="C58">
            <v>68427709</v>
          </cell>
          <cell r="D58" t="str">
            <v>485073032</v>
          </cell>
          <cell r="E58" t="str">
            <v>Servers</v>
          </cell>
          <cell r="F58" t="str">
            <v>Operations</v>
          </cell>
          <cell r="G58"/>
          <cell r="H58" t="str">
            <v>APP001536</v>
          </cell>
          <cell r="I58">
            <v>120252</v>
          </cell>
          <cell r="J58" t="str">
            <v>ATOS</v>
          </cell>
          <cell r="L58">
            <v>5401023588</v>
          </cell>
          <cell r="M58">
            <v>10</v>
          </cell>
          <cell r="N58" t="str">
            <v>Robin</v>
          </cell>
          <cell r="O58" t="str">
            <v>Carolyn</v>
          </cell>
          <cell r="P58" t="str">
            <v>Robin</v>
          </cell>
          <cell r="Q58" t="str">
            <v>Central</v>
          </cell>
          <cell r="R58" t="str">
            <v>Infra/EUS</v>
          </cell>
          <cell r="S58">
            <v>41400</v>
          </cell>
          <cell r="T58">
            <v>41400</v>
          </cell>
          <cell r="U58">
            <v>0</v>
          </cell>
          <cell r="V58">
            <v>38215.57</v>
          </cell>
        </row>
        <row r="59">
          <cell r="A59" t="str">
            <v>Infra Cost SNOW Software Asset Management</v>
          </cell>
          <cell r="B59" t="str">
            <v>CW4702</v>
          </cell>
          <cell r="C59">
            <v>68427709</v>
          </cell>
          <cell r="D59" t="str">
            <v>485073032</v>
          </cell>
          <cell r="E59" t="str">
            <v>Servers</v>
          </cell>
          <cell r="F59" t="str">
            <v>Operations</v>
          </cell>
          <cell r="G59"/>
          <cell r="H59" t="str">
            <v>APP001797</v>
          </cell>
          <cell r="I59">
            <v>120252</v>
          </cell>
          <cell r="J59" t="str">
            <v>ATOS</v>
          </cell>
          <cell r="L59">
            <v>5401023588</v>
          </cell>
          <cell r="M59">
            <v>10</v>
          </cell>
          <cell r="N59" t="str">
            <v>Robin</v>
          </cell>
          <cell r="O59" t="str">
            <v>Carolyn</v>
          </cell>
          <cell r="P59" t="str">
            <v>Robin</v>
          </cell>
          <cell r="Q59" t="str">
            <v>L-PC-USERS</v>
          </cell>
          <cell r="R59" t="str">
            <v>Infra/EUS</v>
          </cell>
          <cell r="S59">
            <v>41400</v>
          </cell>
          <cell r="T59">
            <v>41400</v>
          </cell>
          <cell r="U59">
            <v>0</v>
          </cell>
          <cell r="V59">
            <v>38215.57</v>
          </cell>
        </row>
        <row r="60">
          <cell r="A60" t="str">
            <v>Infra Cost XTEL</v>
          </cell>
          <cell r="B60" t="str">
            <v>CW4702</v>
          </cell>
          <cell r="C60">
            <v>68427709</v>
          </cell>
          <cell r="D60" t="str">
            <v>485073032</v>
          </cell>
          <cell r="E60" t="str">
            <v>Servers</v>
          </cell>
          <cell r="F60" t="str">
            <v>Operations</v>
          </cell>
          <cell r="G60"/>
          <cell r="H60" t="str">
            <v>APP001828</v>
          </cell>
          <cell r="I60">
            <v>120252</v>
          </cell>
          <cell r="J60" t="str">
            <v>ATOS</v>
          </cell>
          <cell r="L60">
            <v>5401023588</v>
          </cell>
          <cell r="M60">
            <v>10</v>
          </cell>
          <cell r="N60" t="str">
            <v>Robin</v>
          </cell>
          <cell r="O60" t="str">
            <v>Carolyn</v>
          </cell>
          <cell r="P60" t="str">
            <v>Robin</v>
          </cell>
          <cell r="Q60" t="str">
            <v>L-XTEL-USERS</v>
          </cell>
          <cell r="R60" t="str">
            <v>Infra/EUS</v>
          </cell>
          <cell r="S60">
            <v>41400</v>
          </cell>
          <cell r="T60">
            <v>41400</v>
          </cell>
          <cell r="U60">
            <v>0</v>
          </cell>
          <cell r="V60">
            <v>38215.57</v>
          </cell>
        </row>
        <row r="61">
          <cell r="A61" t="str">
            <v>Non-SAP Operations SSR's &amp; NSSR's</v>
          </cell>
          <cell r="B61" t="str">
            <v>CW4702</v>
          </cell>
          <cell r="C61">
            <v>68427709</v>
          </cell>
          <cell r="D61" t="str">
            <v>485073032</v>
          </cell>
          <cell r="E61" t="str">
            <v>Servers</v>
          </cell>
          <cell r="F61" t="str">
            <v>Operations</v>
          </cell>
          <cell r="G61" t="str">
            <v>Infrastructure Cost Non-SAP applications</v>
          </cell>
          <cell r="H61" t="str">
            <v>InfraNonSAP</v>
          </cell>
          <cell r="I61">
            <v>120252</v>
          </cell>
          <cell r="J61" t="str">
            <v>ATOS</v>
          </cell>
          <cell r="L61">
            <v>5401023591</v>
          </cell>
          <cell r="M61">
            <v>10</v>
          </cell>
          <cell r="N61" t="str">
            <v>Oscar</v>
          </cell>
          <cell r="O61" t="str">
            <v>Carolyn</v>
          </cell>
          <cell r="P61" t="str">
            <v>Oscar</v>
          </cell>
          <cell r="Q61" t="str">
            <v>L-PC-USERS</v>
          </cell>
          <cell r="R61" t="str">
            <v>Infra/EUS</v>
          </cell>
          <cell r="S61">
            <v>61500</v>
          </cell>
          <cell r="T61">
            <v>40000</v>
          </cell>
          <cell r="U61">
            <v>-21500</v>
          </cell>
          <cell r="V61">
            <v>36923.26</v>
          </cell>
        </row>
        <row r="62">
          <cell r="A62" t="str">
            <v>Infra Cost RFGEN/ NiceLabel Coffee Utrecht</v>
          </cell>
          <cell r="B62" t="str">
            <v>CW4702</v>
          </cell>
          <cell r="C62">
            <v>68427709</v>
          </cell>
          <cell r="D62" t="str">
            <v>485073032</v>
          </cell>
          <cell r="E62" t="str">
            <v>Servers</v>
          </cell>
          <cell r="F62" t="str">
            <v>Operations</v>
          </cell>
          <cell r="G62"/>
          <cell r="H62" t="str">
            <v>APP001319</v>
          </cell>
          <cell r="I62">
            <v>120252</v>
          </cell>
          <cell r="J62" t="str">
            <v>ATOS</v>
          </cell>
          <cell r="L62">
            <v>5401023588</v>
          </cell>
          <cell r="M62">
            <v>10</v>
          </cell>
          <cell r="N62" t="str">
            <v>Robin</v>
          </cell>
          <cell r="O62" t="str">
            <v>Carolyn</v>
          </cell>
          <cell r="P62" t="str">
            <v>Robin</v>
          </cell>
          <cell r="Q62" t="str">
            <v>L-PC-USERS</v>
          </cell>
          <cell r="R62" t="str">
            <v>Infra/EUS</v>
          </cell>
          <cell r="S62">
            <v>31000</v>
          </cell>
          <cell r="T62">
            <v>31000</v>
          </cell>
          <cell r="U62">
            <v>0</v>
          </cell>
          <cell r="V62">
            <v>28615.53</v>
          </cell>
        </row>
        <row r="63">
          <cell r="A63" t="str">
            <v>Infra Cost Point.X Global Instance</v>
          </cell>
          <cell r="B63" t="str">
            <v>CW4702</v>
          </cell>
          <cell r="C63">
            <v>68427709</v>
          </cell>
          <cell r="D63" t="str">
            <v>485073032</v>
          </cell>
          <cell r="E63" t="str">
            <v>Servers</v>
          </cell>
          <cell r="F63" t="str">
            <v>Operations</v>
          </cell>
          <cell r="G63"/>
          <cell r="H63" t="str">
            <v>APP001908</v>
          </cell>
          <cell r="I63">
            <v>120252</v>
          </cell>
          <cell r="J63" t="str">
            <v>ATOS</v>
          </cell>
          <cell r="L63">
            <v>5401023588</v>
          </cell>
          <cell r="M63">
            <v>10</v>
          </cell>
          <cell r="N63" t="str">
            <v>Robin</v>
          </cell>
          <cell r="O63" t="str">
            <v>Carolyn</v>
          </cell>
          <cell r="P63" t="str">
            <v>Robin</v>
          </cell>
          <cell r="Q63" t="str">
            <v>L-FACTORIES-SIZE</v>
          </cell>
          <cell r="R63" t="str">
            <v>Infra/EUS</v>
          </cell>
          <cell r="S63">
            <v>31000</v>
          </cell>
          <cell r="T63">
            <v>31000</v>
          </cell>
          <cell r="U63">
            <v>0</v>
          </cell>
          <cell r="V63">
            <v>28615.53</v>
          </cell>
        </row>
        <row r="64">
          <cell r="A64" t="str">
            <v>Infra Cost AGVR AGV Joure</v>
          </cell>
          <cell r="B64" t="str">
            <v>CW4702</v>
          </cell>
          <cell r="C64">
            <v>68427709</v>
          </cell>
          <cell r="D64" t="str">
            <v>485073032</v>
          </cell>
          <cell r="E64" t="str">
            <v>Servers</v>
          </cell>
          <cell r="F64" t="str">
            <v>Operations</v>
          </cell>
          <cell r="G64"/>
          <cell r="H64" t="str">
            <v>APP002012</v>
          </cell>
          <cell r="I64">
            <v>120252</v>
          </cell>
          <cell r="J64" t="str">
            <v>ATOS</v>
          </cell>
          <cell r="L64">
            <v>5401023588</v>
          </cell>
          <cell r="M64">
            <v>10</v>
          </cell>
          <cell r="N64" t="str">
            <v>Robin</v>
          </cell>
          <cell r="O64" t="str">
            <v>Carolyn</v>
          </cell>
          <cell r="P64" t="str">
            <v>Robin</v>
          </cell>
          <cell r="Q64" t="str">
            <v>L-PC-USERS</v>
          </cell>
          <cell r="R64" t="str">
            <v>Infra/EUS</v>
          </cell>
          <cell r="S64">
            <v>31000</v>
          </cell>
          <cell r="T64">
            <v>31000</v>
          </cell>
          <cell r="U64">
            <v>0</v>
          </cell>
          <cell r="V64">
            <v>28615.53</v>
          </cell>
        </row>
        <row r="65">
          <cell r="A65" t="str">
            <v>T&amp;M hours, based on RFCs (Infra)</v>
          </cell>
          <cell r="B65" t="str">
            <v>CW4271</v>
          </cell>
          <cell r="C65">
            <v>68427709</v>
          </cell>
          <cell r="D65" t="str">
            <v>485073032</v>
          </cell>
          <cell r="E65" t="str">
            <v>Servers</v>
          </cell>
          <cell r="F65" t="str">
            <v>Operations</v>
          </cell>
          <cell r="G65" t="str">
            <v>PC and Connectivity</v>
          </cell>
          <cell r="H65" t="str">
            <v>PCConnectivity</v>
          </cell>
          <cell r="I65">
            <v>187516</v>
          </cell>
          <cell r="J65" t="str">
            <v>Accenture</v>
          </cell>
          <cell r="L65"/>
          <cell r="M65"/>
          <cell r="N65" t="str">
            <v>Oscar</v>
          </cell>
          <cell r="O65" t="str">
            <v>Carolyn</v>
          </cell>
          <cell r="P65" t="str">
            <v>Oscar</v>
          </cell>
          <cell r="Q65" t="str">
            <v>L-PC-USERS</v>
          </cell>
          <cell r="R65" t="str">
            <v>Infra/EUS</v>
          </cell>
          <cell r="S65">
            <v>50000</v>
          </cell>
          <cell r="T65">
            <v>25000</v>
          </cell>
          <cell r="U65">
            <v>-25000</v>
          </cell>
          <cell r="V65">
            <v>23077.040000000001</v>
          </cell>
        </row>
        <row r="66">
          <cell r="A66" t="str">
            <v>Non-Standard Services (StoreOnce )</v>
          </cell>
          <cell r="B66" t="str">
            <v>CW4879</v>
          </cell>
          <cell r="C66">
            <v>68427709</v>
          </cell>
          <cell r="D66" t="str">
            <v>485073032</v>
          </cell>
          <cell r="E66" t="str">
            <v>Servers</v>
          </cell>
          <cell r="F66" t="str">
            <v>Operations</v>
          </cell>
          <cell r="G66" t="str">
            <v>PC and Connectivity</v>
          </cell>
          <cell r="H66" t="str">
            <v>PCConnectivity</v>
          </cell>
          <cell r="J66" t="str">
            <v>HP</v>
          </cell>
          <cell r="L66"/>
          <cell r="M66"/>
          <cell r="N66" t="str">
            <v>Oscar</v>
          </cell>
          <cell r="O66" t="str">
            <v>Carolyn</v>
          </cell>
          <cell r="P66" t="str">
            <v>Oscar</v>
          </cell>
          <cell r="Q66" t="str">
            <v>L-PC-USERS</v>
          </cell>
          <cell r="R66" t="str">
            <v>Infra/EUS</v>
          </cell>
          <cell r="S66">
            <v>48544</v>
          </cell>
          <cell r="T66">
            <v>25000</v>
          </cell>
          <cell r="U66">
            <v>-23544</v>
          </cell>
          <cell r="V66">
            <v>23077.040000000001</v>
          </cell>
        </row>
        <row r="67">
          <cell r="A67" t="str">
            <v>Infra Cost Goldfire</v>
          </cell>
          <cell r="B67" t="str">
            <v>CW4702</v>
          </cell>
          <cell r="C67">
            <v>68427709</v>
          </cell>
          <cell r="D67" t="str">
            <v>485073032</v>
          </cell>
          <cell r="E67" t="str">
            <v>Servers</v>
          </cell>
          <cell r="F67" t="str">
            <v>Operations</v>
          </cell>
          <cell r="G67"/>
          <cell r="H67" t="str">
            <v>APP000051</v>
          </cell>
          <cell r="I67">
            <v>120252</v>
          </cell>
          <cell r="J67" t="str">
            <v>ATOS</v>
          </cell>
          <cell r="L67">
            <v>5401023588</v>
          </cell>
          <cell r="M67">
            <v>10</v>
          </cell>
          <cell r="N67" t="str">
            <v>Robin</v>
          </cell>
          <cell r="O67" t="str">
            <v>Carolyn</v>
          </cell>
          <cell r="P67" t="str">
            <v>Robin</v>
          </cell>
          <cell r="Q67" t="str">
            <v>Central</v>
          </cell>
          <cell r="R67" t="str">
            <v>Infra/EUS</v>
          </cell>
          <cell r="S67">
            <v>20700</v>
          </cell>
          <cell r="T67">
            <v>20700</v>
          </cell>
          <cell r="U67">
            <v>0</v>
          </cell>
          <cell r="V67">
            <v>19107.79</v>
          </cell>
        </row>
        <row r="68">
          <cell r="A68" t="str">
            <v>Infra Cost Rantsoen</v>
          </cell>
          <cell r="B68" t="str">
            <v>CW4702</v>
          </cell>
          <cell r="C68">
            <v>68427709</v>
          </cell>
          <cell r="D68" t="str">
            <v>485073032</v>
          </cell>
          <cell r="E68" t="str">
            <v>Servers</v>
          </cell>
          <cell r="F68" t="str">
            <v>Operations</v>
          </cell>
          <cell r="G68"/>
          <cell r="H68" t="str">
            <v>APP000205</v>
          </cell>
          <cell r="I68">
            <v>120252</v>
          </cell>
          <cell r="J68" t="str">
            <v>ATOS</v>
          </cell>
          <cell r="L68">
            <v>5401023588</v>
          </cell>
          <cell r="M68">
            <v>10</v>
          </cell>
          <cell r="N68" t="str">
            <v>Robin</v>
          </cell>
          <cell r="O68" t="str">
            <v>Carolyn</v>
          </cell>
          <cell r="P68" t="str">
            <v>Robin</v>
          </cell>
          <cell r="Q68" t="str">
            <v>L-PC-USERS</v>
          </cell>
          <cell r="R68" t="str">
            <v>Infra/EUS</v>
          </cell>
          <cell r="S68">
            <v>20700</v>
          </cell>
          <cell r="T68">
            <v>20700</v>
          </cell>
          <cell r="U68">
            <v>0</v>
          </cell>
          <cell r="V68">
            <v>19107.79</v>
          </cell>
        </row>
        <row r="69">
          <cell r="A69" t="str">
            <v>Infra Cost SAFIR (Romania)</v>
          </cell>
          <cell r="B69" t="str">
            <v>CW4702</v>
          </cell>
          <cell r="C69">
            <v>68427709</v>
          </cell>
          <cell r="D69" t="str">
            <v>485073032</v>
          </cell>
          <cell r="E69" t="str">
            <v>Servers</v>
          </cell>
          <cell r="F69" t="str">
            <v>Operations</v>
          </cell>
          <cell r="G69"/>
          <cell r="H69" t="str">
            <v>InfraNonSAP</v>
          </cell>
          <cell r="I69">
            <v>120252</v>
          </cell>
          <cell r="J69" t="str">
            <v>ATOS</v>
          </cell>
          <cell r="L69">
            <v>5401023588</v>
          </cell>
          <cell r="M69">
            <v>10</v>
          </cell>
          <cell r="N69" t="str">
            <v>Robin</v>
          </cell>
          <cell r="O69" t="str">
            <v>Carolyn</v>
          </cell>
          <cell r="P69" t="str">
            <v>Robin</v>
          </cell>
          <cell r="Q69" t="str">
            <v>L-PC-USERS</v>
          </cell>
          <cell r="R69" t="str">
            <v>Infra/EUS</v>
          </cell>
          <cell r="S69">
            <v>20700</v>
          </cell>
          <cell r="T69">
            <v>20700</v>
          </cell>
          <cell r="U69">
            <v>0</v>
          </cell>
          <cell r="V69">
            <v>19107.79</v>
          </cell>
        </row>
        <row r="70">
          <cell r="A70" t="str">
            <v>Infra Cost Solidworks (UK)</v>
          </cell>
          <cell r="B70" t="str">
            <v>CW4702</v>
          </cell>
          <cell r="C70">
            <v>68427709</v>
          </cell>
          <cell r="D70" t="str">
            <v>485073032</v>
          </cell>
          <cell r="E70" t="str">
            <v>Servers</v>
          </cell>
          <cell r="F70" t="str">
            <v>Operations</v>
          </cell>
          <cell r="G70"/>
          <cell r="H70" t="str">
            <v>APP000382</v>
          </cell>
          <cell r="I70">
            <v>120252</v>
          </cell>
          <cell r="J70" t="str">
            <v>ATOS</v>
          </cell>
          <cell r="L70">
            <v>5401023588</v>
          </cell>
          <cell r="M70">
            <v>10</v>
          </cell>
          <cell r="N70" t="str">
            <v>Robin</v>
          </cell>
          <cell r="O70" t="str">
            <v>Carolyn</v>
          </cell>
          <cell r="P70" t="str">
            <v>Robin</v>
          </cell>
          <cell r="Q70" t="str">
            <v>L-PC-USERS</v>
          </cell>
          <cell r="R70" t="str">
            <v>Infra/EUS</v>
          </cell>
          <cell r="S70">
            <v>20700</v>
          </cell>
          <cell r="T70">
            <v>20700</v>
          </cell>
          <cell r="U70">
            <v>0</v>
          </cell>
          <cell r="V70">
            <v>19107.79</v>
          </cell>
        </row>
        <row r="71">
          <cell r="A71" t="str">
            <v>Infra Cost !mpuls</v>
          </cell>
          <cell r="B71" t="str">
            <v>CW4702</v>
          </cell>
          <cell r="C71">
            <v>68427709</v>
          </cell>
          <cell r="D71" t="str">
            <v>485073032</v>
          </cell>
          <cell r="E71" t="str">
            <v>Servers</v>
          </cell>
          <cell r="F71" t="str">
            <v>Operations</v>
          </cell>
          <cell r="G71"/>
          <cell r="H71" t="str">
            <v>InfraNonSAP</v>
          </cell>
          <cell r="I71">
            <v>120252</v>
          </cell>
          <cell r="J71" t="str">
            <v>ATOS</v>
          </cell>
          <cell r="L71">
            <v>5401023588</v>
          </cell>
          <cell r="M71">
            <v>10</v>
          </cell>
          <cell r="N71" t="str">
            <v>Robin</v>
          </cell>
          <cell r="O71" t="str">
            <v>Carolyn</v>
          </cell>
          <cell r="P71" t="str">
            <v>Robin</v>
          </cell>
          <cell r="Q71" t="str">
            <v>L-PC-USERS</v>
          </cell>
          <cell r="R71" t="str">
            <v>Infra/EUS</v>
          </cell>
          <cell r="S71">
            <v>20700</v>
          </cell>
          <cell r="T71">
            <v>20700</v>
          </cell>
          <cell r="U71">
            <v>0</v>
          </cell>
          <cell r="V71">
            <v>19107.79</v>
          </cell>
        </row>
        <row r="72">
          <cell r="A72" t="str">
            <v>Infra Cost Janus - SQL DB AFH-MDP EU-3021</v>
          </cell>
          <cell r="B72" t="str">
            <v>CW4702</v>
          </cell>
          <cell r="C72">
            <v>68427709</v>
          </cell>
          <cell r="D72" t="str">
            <v>485073032</v>
          </cell>
          <cell r="E72" t="str">
            <v>Servers</v>
          </cell>
          <cell r="F72" t="str">
            <v>Operations</v>
          </cell>
          <cell r="G72"/>
          <cell r="H72" t="str">
            <v>InfraNonSAP</v>
          </cell>
          <cell r="I72">
            <v>120252</v>
          </cell>
          <cell r="J72" t="str">
            <v>ATOS</v>
          </cell>
          <cell r="L72">
            <v>5401023588</v>
          </cell>
          <cell r="M72">
            <v>10</v>
          </cell>
          <cell r="N72" t="str">
            <v>Robin</v>
          </cell>
          <cell r="O72" t="str">
            <v>Carolyn</v>
          </cell>
          <cell r="P72" t="str">
            <v>Robin</v>
          </cell>
          <cell r="Q72" t="str">
            <v>L-PC-USERS</v>
          </cell>
          <cell r="R72" t="str">
            <v>Infra/EUS</v>
          </cell>
          <cell r="S72">
            <v>20700</v>
          </cell>
          <cell r="T72">
            <v>20700</v>
          </cell>
          <cell r="U72">
            <v>0</v>
          </cell>
          <cell r="V72">
            <v>19107.79</v>
          </cell>
        </row>
        <row r="73">
          <cell r="A73" t="str">
            <v>Infra Cost Interflex (Germany)</v>
          </cell>
          <cell r="B73" t="str">
            <v>CW4702</v>
          </cell>
          <cell r="C73">
            <v>68427709</v>
          </cell>
          <cell r="D73" t="str">
            <v>485073032</v>
          </cell>
          <cell r="E73" t="str">
            <v>Servers</v>
          </cell>
          <cell r="F73" t="str">
            <v>Operations</v>
          </cell>
          <cell r="G73"/>
          <cell r="H73" t="str">
            <v>APP000428</v>
          </cell>
          <cell r="I73">
            <v>120252</v>
          </cell>
          <cell r="J73" t="str">
            <v>ATOS</v>
          </cell>
          <cell r="L73">
            <v>5401023588</v>
          </cell>
          <cell r="M73">
            <v>10</v>
          </cell>
          <cell r="N73" t="str">
            <v>Robin</v>
          </cell>
          <cell r="O73" t="str">
            <v>Carolyn</v>
          </cell>
          <cell r="P73" t="str">
            <v>Robin</v>
          </cell>
          <cell r="Q73" t="str">
            <v>L-PC-USERS</v>
          </cell>
          <cell r="R73" t="str">
            <v>Infra/EUS</v>
          </cell>
          <cell r="S73">
            <v>20700</v>
          </cell>
          <cell r="T73">
            <v>20700</v>
          </cell>
          <cell r="U73">
            <v>0</v>
          </cell>
          <cell r="V73">
            <v>19107.79</v>
          </cell>
        </row>
        <row r="74">
          <cell r="A74" t="str">
            <v>Infra Cost BOARD</v>
          </cell>
          <cell r="B74" t="str">
            <v>CW4702</v>
          </cell>
          <cell r="C74">
            <v>68427709</v>
          </cell>
          <cell r="D74" t="str">
            <v>485073032</v>
          </cell>
          <cell r="E74" t="str">
            <v>Servers</v>
          </cell>
          <cell r="F74" t="str">
            <v>Operations</v>
          </cell>
          <cell r="G74"/>
          <cell r="H74" t="str">
            <v>APP000990</v>
          </cell>
          <cell r="I74">
            <v>120252</v>
          </cell>
          <cell r="J74" t="str">
            <v>ATOS</v>
          </cell>
          <cell r="L74">
            <v>5401023588</v>
          </cell>
          <cell r="M74">
            <v>10</v>
          </cell>
          <cell r="N74" t="str">
            <v>Robin</v>
          </cell>
          <cell r="O74" t="str">
            <v>Carolyn</v>
          </cell>
          <cell r="P74" t="str">
            <v>Robin</v>
          </cell>
          <cell r="Q74" t="str">
            <v>L-PC-USERS</v>
          </cell>
          <cell r="R74" t="str">
            <v>Infra/EUS</v>
          </cell>
          <cell r="S74">
            <v>20700</v>
          </cell>
          <cell r="T74">
            <v>20700</v>
          </cell>
          <cell r="U74">
            <v>0</v>
          </cell>
          <cell r="V74">
            <v>19107.79</v>
          </cell>
        </row>
        <row r="75">
          <cell r="A75" t="str">
            <v>Infra Cost Honeywell</v>
          </cell>
          <cell r="B75" t="str">
            <v>CW4702</v>
          </cell>
          <cell r="C75">
            <v>68427709</v>
          </cell>
          <cell r="D75" t="str">
            <v>485073032</v>
          </cell>
          <cell r="E75" t="str">
            <v>Servers</v>
          </cell>
          <cell r="F75" t="str">
            <v>Operations</v>
          </cell>
          <cell r="G75"/>
          <cell r="H75" t="str">
            <v>InfraNonSAP</v>
          </cell>
          <cell r="I75">
            <v>120252</v>
          </cell>
          <cell r="J75" t="str">
            <v>ATOS</v>
          </cell>
          <cell r="L75">
            <v>5401023588</v>
          </cell>
          <cell r="M75">
            <v>10</v>
          </cell>
          <cell r="N75" t="str">
            <v>Robin</v>
          </cell>
          <cell r="O75" t="str">
            <v>Carolyn</v>
          </cell>
          <cell r="P75" t="str">
            <v>Robin</v>
          </cell>
          <cell r="Q75" t="str">
            <v>L-PC-USERS</v>
          </cell>
          <cell r="R75" t="str">
            <v>Infra/EUS</v>
          </cell>
          <cell r="S75">
            <v>20700</v>
          </cell>
          <cell r="T75">
            <v>20700</v>
          </cell>
          <cell r="U75">
            <v>0</v>
          </cell>
          <cell r="V75">
            <v>19107.79</v>
          </cell>
        </row>
        <row r="76">
          <cell r="A76" t="str">
            <v>Infra Cost IXOS</v>
          </cell>
          <cell r="B76" t="str">
            <v>CW4702</v>
          </cell>
          <cell r="C76">
            <v>68427709</v>
          </cell>
          <cell r="D76" t="str">
            <v>485073032</v>
          </cell>
          <cell r="E76" t="str">
            <v>Servers</v>
          </cell>
          <cell r="F76" t="str">
            <v>Operations</v>
          </cell>
          <cell r="G76"/>
          <cell r="H76" t="str">
            <v>APP001424</v>
          </cell>
          <cell r="I76">
            <v>120252</v>
          </cell>
          <cell r="J76" t="str">
            <v>ATOS</v>
          </cell>
          <cell r="L76">
            <v>5401023588</v>
          </cell>
          <cell r="M76">
            <v>10</v>
          </cell>
          <cell r="N76" t="str">
            <v>Robin</v>
          </cell>
          <cell r="O76" t="str">
            <v>Carolyn</v>
          </cell>
          <cell r="P76" t="str">
            <v>Robin</v>
          </cell>
          <cell r="Q76" t="str">
            <v>L-SAP-USERS</v>
          </cell>
          <cell r="R76" t="str">
            <v>Infra/EUS</v>
          </cell>
          <cell r="S76">
            <v>20700</v>
          </cell>
          <cell r="T76">
            <v>20700</v>
          </cell>
          <cell r="U76">
            <v>0</v>
          </cell>
          <cell r="V76">
            <v>19107.79</v>
          </cell>
        </row>
        <row r="77">
          <cell r="A77" t="str">
            <v>Infra Cost Alteryx Designer</v>
          </cell>
          <cell r="B77" t="str">
            <v>CW4702</v>
          </cell>
          <cell r="C77">
            <v>68427709</v>
          </cell>
          <cell r="D77" t="str">
            <v>485073032</v>
          </cell>
          <cell r="E77" t="str">
            <v>Servers</v>
          </cell>
          <cell r="F77" t="str">
            <v>Operations</v>
          </cell>
          <cell r="G77"/>
          <cell r="H77" t="str">
            <v>APP002652</v>
          </cell>
          <cell r="I77">
            <v>120252</v>
          </cell>
          <cell r="J77" t="str">
            <v>ATOS</v>
          </cell>
          <cell r="L77">
            <v>5401023588</v>
          </cell>
          <cell r="M77">
            <v>10</v>
          </cell>
          <cell r="N77" t="str">
            <v>Robin</v>
          </cell>
          <cell r="O77" t="str">
            <v>Carolyn</v>
          </cell>
          <cell r="P77" t="str">
            <v>Robin</v>
          </cell>
          <cell r="Q77" t="str">
            <v>L-ALTERYX-USERS</v>
          </cell>
          <cell r="R77" t="str">
            <v>Infra/EUS</v>
          </cell>
          <cell r="S77">
            <v>20700</v>
          </cell>
          <cell r="T77">
            <v>20700</v>
          </cell>
          <cell r="U77">
            <v>0</v>
          </cell>
          <cell r="V77">
            <v>19107.79</v>
          </cell>
        </row>
        <row r="78">
          <cell r="A78" t="str">
            <v>Infra Cost Zylab ONE</v>
          </cell>
          <cell r="B78" t="str">
            <v>CW4702</v>
          </cell>
          <cell r="C78">
            <v>68427709</v>
          </cell>
          <cell r="D78" t="str">
            <v>485073032</v>
          </cell>
          <cell r="E78" t="str">
            <v>Servers</v>
          </cell>
          <cell r="F78" t="str">
            <v>Operations</v>
          </cell>
          <cell r="G78"/>
          <cell r="H78" t="str">
            <v>APP000050</v>
          </cell>
          <cell r="I78">
            <v>120252</v>
          </cell>
          <cell r="J78" t="str">
            <v>ATOS</v>
          </cell>
          <cell r="L78">
            <v>5401023588</v>
          </cell>
          <cell r="M78">
            <v>10</v>
          </cell>
          <cell r="N78" t="str">
            <v>Robin</v>
          </cell>
          <cell r="O78" t="str">
            <v>Carolyn</v>
          </cell>
          <cell r="P78" t="str">
            <v>Robin</v>
          </cell>
          <cell r="Q78" t="str">
            <v>L-PC-USERS</v>
          </cell>
          <cell r="R78" t="str">
            <v>Infra/EUS</v>
          </cell>
          <cell r="S78">
            <v>10400</v>
          </cell>
          <cell r="T78">
            <v>10400</v>
          </cell>
          <cell r="U78">
            <v>0</v>
          </cell>
          <cell r="V78">
            <v>9600.0499999999993</v>
          </cell>
        </row>
        <row r="79">
          <cell r="A79" t="str">
            <v>Infra Cost QIS Utrecht - NL</v>
          </cell>
          <cell r="B79" t="str">
            <v>CW4702</v>
          </cell>
          <cell r="C79">
            <v>68427709</v>
          </cell>
          <cell r="D79" t="str">
            <v>485073032</v>
          </cell>
          <cell r="E79" t="str">
            <v>Servers</v>
          </cell>
          <cell r="F79" t="str">
            <v>Operations</v>
          </cell>
          <cell r="G79"/>
          <cell r="H79" t="str">
            <v>APP000061</v>
          </cell>
          <cell r="I79">
            <v>120252</v>
          </cell>
          <cell r="J79" t="str">
            <v>ATOS</v>
          </cell>
          <cell r="L79">
            <v>5401023588</v>
          </cell>
          <cell r="M79">
            <v>10</v>
          </cell>
          <cell r="N79" t="str">
            <v>Robin</v>
          </cell>
          <cell r="O79" t="str">
            <v>Carolyn</v>
          </cell>
          <cell r="P79" t="str">
            <v>Robin</v>
          </cell>
          <cell r="Q79" t="str">
            <v>L-PC-USERS</v>
          </cell>
          <cell r="R79" t="str">
            <v>Infra/EUS</v>
          </cell>
          <cell r="S79">
            <v>10400</v>
          </cell>
          <cell r="T79">
            <v>10400</v>
          </cell>
          <cell r="U79">
            <v>0</v>
          </cell>
          <cell r="V79">
            <v>9600.0499999999993</v>
          </cell>
        </row>
        <row r="80">
          <cell r="A80" t="str">
            <v>Infra Cost Proxxes</v>
          </cell>
          <cell r="B80" t="str">
            <v>CW4702</v>
          </cell>
          <cell r="C80">
            <v>68427709</v>
          </cell>
          <cell r="D80" t="str">
            <v>485073032</v>
          </cell>
          <cell r="E80" t="str">
            <v>Servers</v>
          </cell>
          <cell r="F80" t="str">
            <v>Operations</v>
          </cell>
          <cell r="G80"/>
          <cell r="H80" t="str">
            <v>InfraNonSAP</v>
          </cell>
          <cell r="I80">
            <v>120252</v>
          </cell>
          <cell r="J80" t="str">
            <v>ATOS</v>
          </cell>
          <cell r="L80">
            <v>5401023588</v>
          </cell>
          <cell r="M80">
            <v>10</v>
          </cell>
          <cell r="N80" t="str">
            <v>Robin</v>
          </cell>
          <cell r="O80" t="str">
            <v>Carolyn</v>
          </cell>
          <cell r="P80" t="str">
            <v>Robin</v>
          </cell>
          <cell r="Q80" t="str">
            <v>L-PC-USERS</v>
          </cell>
          <cell r="R80" t="str">
            <v>Infra/EUS</v>
          </cell>
          <cell r="S80">
            <v>10400</v>
          </cell>
          <cell r="T80">
            <v>10400</v>
          </cell>
          <cell r="U80">
            <v>0</v>
          </cell>
          <cell r="V80">
            <v>9600.0499999999993</v>
          </cell>
        </row>
        <row r="81">
          <cell r="A81" t="str">
            <v>Infra Cost CAPEPACK</v>
          </cell>
          <cell r="B81" t="str">
            <v>CW4702</v>
          </cell>
          <cell r="C81">
            <v>68427709</v>
          </cell>
          <cell r="D81" t="str">
            <v>485073032</v>
          </cell>
          <cell r="E81" t="str">
            <v>Servers</v>
          </cell>
          <cell r="F81" t="str">
            <v>Operations</v>
          </cell>
          <cell r="G81"/>
          <cell r="H81" t="str">
            <v>APP000369</v>
          </cell>
          <cell r="I81">
            <v>120252</v>
          </cell>
          <cell r="J81" t="str">
            <v>ATOS</v>
          </cell>
          <cell r="L81">
            <v>5401023588</v>
          </cell>
          <cell r="M81">
            <v>10</v>
          </cell>
          <cell r="N81" t="str">
            <v>Robin</v>
          </cell>
          <cell r="O81" t="str">
            <v>Carolyn</v>
          </cell>
          <cell r="P81" t="str">
            <v>Robin</v>
          </cell>
          <cell r="Q81" t="str">
            <v>Central</v>
          </cell>
          <cell r="R81" t="str">
            <v>Infra/EUS</v>
          </cell>
          <cell r="S81">
            <v>10400</v>
          </cell>
          <cell r="T81">
            <v>10400</v>
          </cell>
          <cell r="U81">
            <v>0</v>
          </cell>
          <cell r="V81">
            <v>9600.0499999999993</v>
          </cell>
        </row>
        <row r="82">
          <cell r="A82" t="str">
            <v>Infra Cost XLSTAT</v>
          </cell>
          <cell r="B82" t="str">
            <v>CW4702</v>
          </cell>
          <cell r="C82">
            <v>68427709</v>
          </cell>
          <cell r="D82" t="str">
            <v>485073032</v>
          </cell>
          <cell r="E82" t="str">
            <v>Servers</v>
          </cell>
          <cell r="F82" t="str">
            <v>Operations</v>
          </cell>
          <cell r="G82"/>
          <cell r="H82" t="str">
            <v>APP000383</v>
          </cell>
          <cell r="I82">
            <v>120252</v>
          </cell>
          <cell r="J82" t="str">
            <v>ATOS</v>
          </cell>
          <cell r="L82">
            <v>5401023588</v>
          </cell>
          <cell r="M82">
            <v>10</v>
          </cell>
          <cell r="N82" t="str">
            <v>Robin</v>
          </cell>
          <cell r="O82" t="str">
            <v>Carolyn</v>
          </cell>
          <cell r="P82" t="str">
            <v>Robin</v>
          </cell>
          <cell r="Q82" t="str">
            <v>L-PC-USERS</v>
          </cell>
          <cell r="R82" t="str">
            <v>Infra/EUS</v>
          </cell>
          <cell r="S82">
            <v>10400</v>
          </cell>
          <cell r="T82">
            <v>10400</v>
          </cell>
          <cell r="U82">
            <v>0</v>
          </cell>
          <cell r="V82">
            <v>9600.0499999999993</v>
          </cell>
        </row>
        <row r="83">
          <cell r="A83" t="str">
            <v>Infra Cost AIS</v>
          </cell>
          <cell r="B83" t="str">
            <v>CW4702</v>
          </cell>
          <cell r="C83">
            <v>68427709</v>
          </cell>
          <cell r="D83" t="str">
            <v>485073032</v>
          </cell>
          <cell r="E83" t="str">
            <v>Servers</v>
          </cell>
          <cell r="F83" t="str">
            <v>Operations</v>
          </cell>
          <cell r="G83"/>
          <cell r="H83" t="str">
            <v>APP000458</v>
          </cell>
          <cell r="I83">
            <v>120252</v>
          </cell>
          <cell r="J83" t="str">
            <v>ATOS</v>
          </cell>
          <cell r="L83">
            <v>5401023588</v>
          </cell>
          <cell r="M83">
            <v>10</v>
          </cell>
          <cell r="N83" t="str">
            <v>Robin</v>
          </cell>
          <cell r="O83" t="str">
            <v>Carolyn</v>
          </cell>
          <cell r="P83" t="str">
            <v>Robin</v>
          </cell>
          <cell r="Q83" t="str">
            <v>L-PC-USERS</v>
          </cell>
          <cell r="R83" t="str">
            <v>Infra/EUS</v>
          </cell>
          <cell r="S83">
            <v>10400</v>
          </cell>
          <cell r="T83">
            <v>10400</v>
          </cell>
          <cell r="U83">
            <v>0</v>
          </cell>
          <cell r="V83">
            <v>9600.0499999999993</v>
          </cell>
        </row>
        <row r="84">
          <cell r="A84" t="str">
            <v>Infra Cost Bonsai</v>
          </cell>
          <cell r="B84" t="str">
            <v>CW4702</v>
          </cell>
          <cell r="C84">
            <v>68427709</v>
          </cell>
          <cell r="D84" t="str">
            <v>485073032</v>
          </cell>
          <cell r="E84" t="str">
            <v>Servers</v>
          </cell>
          <cell r="F84" t="str">
            <v>Operations</v>
          </cell>
          <cell r="G84"/>
          <cell r="H84" t="str">
            <v>APP000558</v>
          </cell>
          <cell r="I84">
            <v>120252</v>
          </cell>
          <cell r="J84" t="str">
            <v>ATOS</v>
          </cell>
          <cell r="L84">
            <v>5401023588</v>
          </cell>
          <cell r="M84">
            <v>10</v>
          </cell>
          <cell r="N84" t="str">
            <v>Robin</v>
          </cell>
          <cell r="O84" t="str">
            <v>Carolyn</v>
          </cell>
          <cell r="P84" t="str">
            <v>Robin</v>
          </cell>
          <cell r="Q84" t="str">
            <v>L-PC-USERS</v>
          </cell>
          <cell r="R84" t="str">
            <v>Infra/EUS</v>
          </cell>
          <cell r="S84">
            <v>10400</v>
          </cell>
          <cell r="T84">
            <v>10400</v>
          </cell>
          <cell r="U84">
            <v>0</v>
          </cell>
          <cell r="V84">
            <v>9600.0499999999993</v>
          </cell>
        </row>
        <row r="85">
          <cell r="A85" t="str">
            <v>Infra Cost Honeywell EBI</v>
          </cell>
          <cell r="B85" t="str">
            <v>CW4702</v>
          </cell>
          <cell r="C85">
            <v>68427709</v>
          </cell>
          <cell r="D85" t="str">
            <v>485073032</v>
          </cell>
          <cell r="E85" t="str">
            <v>Servers</v>
          </cell>
          <cell r="F85" t="str">
            <v>Operations</v>
          </cell>
          <cell r="G85"/>
          <cell r="H85" t="str">
            <v>APP000820</v>
          </cell>
          <cell r="I85">
            <v>120252</v>
          </cell>
          <cell r="J85" t="str">
            <v>ATOS</v>
          </cell>
          <cell r="L85">
            <v>5401023588</v>
          </cell>
          <cell r="M85">
            <v>10</v>
          </cell>
          <cell r="N85" t="str">
            <v>Robin</v>
          </cell>
          <cell r="O85" t="str">
            <v>Carolyn</v>
          </cell>
          <cell r="P85" t="str">
            <v>Robin</v>
          </cell>
          <cell r="Q85" t="str">
            <v>L-PC-USERS</v>
          </cell>
          <cell r="R85" t="str">
            <v>Infra/EUS</v>
          </cell>
          <cell r="S85">
            <v>10400</v>
          </cell>
          <cell r="T85">
            <v>10400</v>
          </cell>
          <cell r="U85">
            <v>0</v>
          </cell>
          <cell r="V85">
            <v>9600.0499999999993</v>
          </cell>
        </row>
        <row r="86">
          <cell r="A86" t="str">
            <v>Infra Cost Proxsafe</v>
          </cell>
          <cell r="B86" t="str">
            <v>CW4702</v>
          </cell>
          <cell r="C86">
            <v>68427709</v>
          </cell>
          <cell r="D86" t="str">
            <v>485073032</v>
          </cell>
          <cell r="E86" t="str">
            <v>Servers</v>
          </cell>
          <cell r="F86" t="str">
            <v>Operations</v>
          </cell>
          <cell r="G86"/>
          <cell r="H86" t="str">
            <v>APP000965</v>
          </cell>
          <cell r="I86">
            <v>120252</v>
          </cell>
          <cell r="J86" t="str">
            <v>ATOS</v>
          </cell>
          <cell r="L86">
            <v>5401023588</v>
          </cell>
          <cell r="M86">
            <v>10</v>
          </cell>
          <cell r="N86" t="str">
            <v>Robin</v>
          </cell>
          <cell r="O86" t="str">
            <v>Carolyn</v>
          </cell>
          <cell r="P86" t="str">
            <v>Robin</v>
          </cell>
          <cell r="Q86" t="str">
            <v>L-PC-USERS</v>
          </cell>
          <cell r="R86" t="str">
            <v>Infra/EUS</v>
          </cell>
          <cell r="S86">
            <v>10400</v>
          </cell>
          <cell r="T86">
            <v>10400</v>
          </cell>
          <cell r="U86">
            <v>0</v>
          </cell>
          <cell r="V86">
            <v>9600.0499999999993</v>
          </cell>
        </row>
        <row r="87">
          <cell r="A87" t="str">
            <v>Infra Cost DEP CRM - Obrazovka</v>
          </cell>
          <cell r="B87" t="str">
            <v>CW4702</v>
          </cell>
          <cell r="C87">
            <v>68427709</v>
          </cell>
          <cell r="D87" t="str">
            <v>485073032</v>
          </cell>
          <cell r="E87" t="str">
            <v>Servers</v>
          </cell>
          <cell r="F87" t="str">
            <v>Operations</v>
          </cell>
          <cell r="G87"/>
          <cell r="H87" t="str">
            <v>APP000985</v>
          </cell>
          <cell r="I87">
            <v>120252</v>
          </cell>
          <cell r="J87" t="str">
            <v>ATOS</v>
          </cell>
          <cell r="L87">
            <v>5401023588</v>
          </cell>
          <cell r="M87">
            <v>10</v>
          </cell>
          <cell r="N87" t="str">
            <v>Robin</v>
          </cell>
          <cell r="O87" t="str">
            <v>Carolyn</v>
          </cell>
          <cell r="P87" t="str">
            <v>Robin</v>
          </cell>
          <cell r="Q87" t="str">
            <v>L-PC-USERS</v>
          </cell>
          <cell r="R87" t="str">
            <v>Infra/EUS</v>
          </cell>
          <cell r="S87">
            <v>10400</v>
          </cell>
          <cell r="T87">
            <v>10400</v>
          </cell>
          <cell r="U87">
            <v>0</v>
          </cell>
          <cell r="V87">
            <v>9600.0499999999993</v>
          </cell>
        </row>
        <row r="88">
          <cell r="A88" t="str">
            <v>Infra Cost Tax(VAT) reporting application</v>
          </cell>
          <cell r="B88" t="str">
            <v>CW4702</v>
          </cell>
          <cell r="C88">
            <v>68427709</v>
          </cell>
          <cell r="D88" t="str">
            <v>485073032</v>
          </cell>
          <cell r="E88" t="str">
            <v>Servers</v>
          </cell>
          <cell r="F88" t="str">
            <v>Operations</v>
          </cell>
          <cell r="G88"/>
          <cell r="H88" t="str">
            <v>APP001157</v>
          </cell>
          <cell r="I88">
            <v>120252</v>
          </cell>
          <cell r="J88" t="str">
            <v>ATOS</v>
          </cell>
          <cell r="L88">
            <v>5401023588</v>
          </cell>
          <cell r="M88">
            <v>10</v>
          </cell>
          <cell r="N88" t="str">
            <v>Robin</v>
          </cell>
          <cell r="O88" t="str">
            <v>Carolyn</v>
          </cell>
          <cell r="P88" t="str">
            <v>Robin</v>
          </cell>
          <cell r="Q88" t="str">
            <v>L-PC-USERS</v>
          </cell>
          <cell r="R88" t="str">
            <v>Infra/EUS</v>
          </cell>
          <cell r="S88">
            <v>10400</v>
          </cell>
          <cell r="T88">
            <v>10400</v>
          </cell>
          <cell r="U88">
            <v>0</v>
          </cell>
          <cell r="V88">
            <v>9600.0499999999993</v>
          </cell>
        </row>
        <row r="89">
          <cell r="A89" t="str">
            <v>Infra Cost Winshuttle</v>
          </cell>
          <cell r="B89" t="str">
            <v>CW4702</v>
          </cell>
          <cell r="C89">
            <v>68427709</v>
          </cell>
          <cell r="D89" t="str">
            <v>485073032</v>
          </cell>
          <cell r="E89" t="str">
            <v>Servers</v>
          </cell>
          <cell r="F89" t="str">
            <v>Operations</v>
          </cell>
          <cell r="G89"/>
          <cell r="H89" t="str">
            <v>APP001635</v>
          </cell>
          <cell r="I89">
            <v>120252</v>
          </cell>
          <cell r="J89" t="str">
            <v>ATOS</v>
          </cell>
          <cell r="L89">
            <v>5401023588</v>
          </cell>
          <cell r="M89">
            <v>10</v>
          </cell>
          <cell r="N89" t="str">
            <v>Robin</v>
          </cell>
          <cell r="O89" t="str">
            <v>Carolyn</v>
          </cell>
          <cell r="P89" t="str">
            <v>Robin</v>
          </cell>
          <cell r="Q89" t="str">
            <v>L-SAP-USERS</v>
          </cell>
          <cell r="R89" t="str">
            <v>Infra/EUS</v>
          </cell>
          <cell r="S89">
            <v>10400</v>
          </cell>
          <cell r="T89">
            <v>10400</v>
          </cell>
          <cell r="U89">
            <v>0</v>
          </cell>
          <cell r="V89">
            <v>9600.0499999999993</v>
          </cell>
        </row>
        <row r="90">
          <cell r="A90" t="str">
            <v>Infra Cost Salesforce Sales Cloud Retail</v>
          </cell>
          <cell r="B90" t="str">
            <v>CW4702</v>
          </cell>
          <cell r="C90">
            <v>68427709</v>
          </cell>
          <cell r="D90" t="str">
            <v>485073032</v>
          </cell>
          <cell r="E90" t="str">
            <v>Servers</v>
          </cell>
          <cell r="F90" t="str">
            <v>Operations</v>
          </cell>
          <cell r="G90"/>
          <cell r="H90" t="str">
            <v>APP001724</v>
          </cell>
          <cell r="I90">
            <v>120252</v>
          </cell>
          <cell r="J90" t="str">
            <v>ATOS</v>
          </cell>
          <cell r="L90">
            <v>5401023588</v>
          </cell>
          <cell r="M90">
            <v>10</v>
          </cell>
          <cell r="N90" t="str">
            <v>Robin</v>
          </cell>
          <cell r="O90" t="str">
            <v>Carolyn</v>
          </cell>
          <cell r="P90" t="str">
            <v>Robin</v>
          </cell>
          <cell r="Q90" t="str">
            <v>L-PC-USERS</v>
          </cell>
          <cell r="R90" t="str">
            <v>Infra/EUS</v>
          </cell>
          <cell r="S90">
            <v>10400</v>
          </cell>
          <cell r="T90">
            <v>10400</v>
          </cell>
          <cell r="U90">
            <v>0</v>
          </cell>
          <cell r="V90">
            <v>9600.0499999999993</v>
          </cell>
        </row>
        <row r="91">
          <cell r="A91" t="str">
            <v>Infra Cost Baylo AGV UK</v>
          </cell>
          <cell r="B91" t="str">
            <v>CW4702</v>
          </cell>
          <cell r="C91">
            <v>68427709</v>
          </cell>
          <cell r="D91" t="str">
            <v>485073032</v>
          </cell>
          <cell r="E91" t="str">
            <v>Servers</v>
          </cell>
          <cell r="F91" t="str">
            <v>Operations</v>
          </cell>
          <cell r="G91"/>
          <cell r="H91" t="str">
            <v>APP001857</v>
          </cell>
          <cell r="I91">
            <v>120252</v>
          </cell>
          <cell r="J91" t="str">
            <v>ATOS</v>
          </cell>
          <cell r="L91">
            <v>5401023588</v>
          </cell>
          <cell r="M91">
            <v>10</v>
          </cell>
          <cell r="N91" t="str">
            <v>Robin</v>
          </cell>
          <cell r="O91" t="str">
            <v>Carolyn</v>
          </cell>
          <cell r="P91" t="str">
            <v>Robin</v>
          </cell>
          <cell r="Q91" t="str">
            <v>L-PC-USERS</v>
          </cell>
          <cell r="R91" t="str">
            <v>Infra/EUS</v>
          </cell>
          <cell r="S91">
            <v>10400</v>
          </cell>
          <cell r="T91">
            <v>10400</v>
          </cell>
          <cell r="U91">
            <v>0</v>
          </cell>
          <cell r="V91">
            <v>9600.0499999999993</v>
          </cell>
        </row>
        <row r="92">
          <cell r="A92" t="str">
            <v>Infra Cost RFGEN Global Instance 2</v>
          </cell>
          <cell r="B92" t="str">
            <v>CW4702</v>
          </cell>
          <cell r="C92">
            <v>68427709</v>
          </cell>
          <cell r="D92" t="str">
            <v>485073032</v>
          </cell>
          <cell r="E92" t="str">
            <v>Servers</v>
          </cell>
          <cell r="F92" t="str">
            <v>Operations</v>
          </cell>
          <cell r="G92"/>
          <cell r="H92" t="str">
            <v>InfraNonSAP</v>
          </cell>
          <cell r="I92">
            <v>120252</v>
          </cell>
          <cell r="J92" t="str">
            <v>ATOS</v>
          </cell>
          <cell r="L92">
            <v>5401023588</v>
          </cell>
          <cell r="M92">
            <v>10</v>
          </cell>
          <cell r="N92" t="str">
            <v>Robin</v>
          </cell>
          <cell r="O92" t="str">
            <v>Carolyn</v>
          </cell>
          <cell r="P92" t="str">
            <v>Robin</v>
          </cell>
          <cell r="Q92" t="str">
            <v>L-PC-USERS</v>
          </cell>
          <cell r="R92" t="str">
            <v>Infra/EUS</v>
          </cell>
          <cell r="S92">
            <v>10400</v>
          </cell>
          <cell r="T92">
            <v>10400</v>
          </cell>
          <cell r="U92">
            <v>0</v>
          </cell>
          <cell r="V92">
            <v>9600.0499999999993</v>
          </cell>
        </row>
        <row r="93">
          <cell r="A93" t="str">
            <v>Infra Cost PwC Invoicing Tool</v>
          </cell>
          <cell r="B93" t="str">
            <v>CW4702</v>
          </cell>
          <cell r="C93">
            <v>68427709</v>
          </cell>
          <cell r="D93" t="str">
            <v>485073032</v>
          </cell>
          <cell r="E93" t="str">
            <v>Servers</v>
          </cell>
          <cell r="F93" t="str">
            <v>Operations</v>
          </cell>
          <cell r="G93"/>
          <cell r="H93" t="str">
            <v>APP002306</v>
          </cell>
          <cell r="I93">
            <v>120252</v>
          </cell>
          <cell r="J93" t="str">
            <v>ATOS</v>
          </cell>
          <cell r="L93">
            <v>5401023588</v>
          </cell>
          <cell r="M93">
            <v>10</v>
          </cell>
          <cell r="N93" t="str">
            <v>Robin</v>
          </cell>
          <cell r="O93" t="str">
            <v>Carolyn</v>
          </cell>
          <cell r="P93" t="str">
            <v>Robin</v>
          </cell>
          <cell r="Q93" t="str">
            <v>L-PC-USERS</v>
          </cell>
          <cell r="R93" t="str">
            <v>Infra/EUS</v>
          </cell>
          <cell r="S93">
            <v>10400</v>
          </cell>
          <cell r="T93">
            <v>10400</v>
          </cell>
          <cell r="U93">
            <v>0</v>
          </cell>
          <cell r="V93">
            <v>9600.0499999999993</v>
          </cell>
        </row>
        <row r="94">
          <cell r="A94" t="str">
            <v>Infra Cost Comscale</v>
          </cell>
          <cell r="B94" t="str">
            <v>CW4702</v>
          </cell>
          <cell r="C94">
            <v>68427709</v>
          </cell>
          <cell r="D94" t="str">
            <v>485073032</v>
          </cell>
          <cell r="E94" t="str">
            <v>Servers</v>
          </cell>
          <cell r="F94" t="str">
            <v>Operations</v>
          </cell>
          <cell r="G94"/>
          <cell r="H94" t="str">
            <v>APP002589</v>
          </cell>
          <cell r="I94">
            <v>120252</v>
          </cell>
          <cell r="J94" t="str">
            <v>ATOS</v>
          </cell>
          <cell r="L94">
            <v>5401023588</v>
          </cell>
          <cell r="M94">
            <v>10</v>
          </cell>
          <cell r="N94" t="str">
            <v>Robin</v>
          </cell>
          <cell r="O94" t="str">
            <v>Carolyn</v>
          </cell>
          <cell r="P94" t="str">
            <v>Robin</v>
          </cell>
          <cell r="Q94" t="str">
            <v>L-PC-USERS</v>
          </cell>
          <cell r="R94" t="str">
            <v>Infra/EUS</v>
          </cell>
          <cell r="S94">
            <v>10400</v>
          </cell>
          <cell r="T94">
            <v>10400</v>
          </cell>
          <cell r="U94">
            <v>0</v>
          </cell>
          <cell r="V94">
            <v>9600.0499999999993</v>
          </cell>
        </row>
        <row r="95">
          <cell r="A95" t="str">
            <v>Infra Cost HarvesterStore (Nordics)</v>
          </cell>
          <cell r="B95" t="str">
            <v>CW4702</v>
          </cell>
          <cell r="C95">
            <v>68427709</v>
          </cell>
          <cell r="D95" t="str">
            <v>485073032</v>
          </cell>
          <cell r="E95" t="str">
            <v>Servers</v>
          </cell>
          <cell r="F95" t="str">
            <v>Operations</v>
          </cell>
          <cell r="G95"/>
          <cell r="H95" t="str">
            <v>APP002906</v>
          </cell>
          <cell r="I95">
            <v>120252</v>
          </cell>
          <cell r="J95" t="str">
            <v>ATOS</v>
          </cell>
          <cell r="L95">
            <v>5401023588</v>
          </cell>
          <cell r="M95">
            <v>10</v>
          </cell>
          <cell r="N95" t="str">
            <v>Robin</v>
          </cell>
          <cell r="O95" t="str">
            <v>Carolyn</v>
          </cell>
          <cell r="P95" t="str">
            <v>Robin</v>
          </cell>
          <cell r="Q95" t="str">
            <v>L-PC-USERS</v>
          </cell>
          <cell r="R95" t="str">
            <v>Infra/EUS</v>
          </cell>
          <cell r="S95">
            <v>10400</v>
          </cell>
          <cell r="T95">
            <v>10400</v>
          </cell>
          <cell r="U95">
            <v>0</v>
          </cell>
          <cell r="V95">
            <v>9600.0499999999993</v>
          </cell>
        </row>
        <row r="96">
          <cell r="A96" t="str">
            <v>Infra Cost PLM4Process (Kalypso)</v>
          </cell>
          <cell r="B96" t="str">
            <v>CW4702</v>
          </cell>
          <cell r="C96">
            <v>68427709</v>
          </cell>
          <cell r="D96" t="str">
            <v>485073032</v>
          </cell>
          <cell r="E96" t="str">
            <v>Servers</v>
          </cell>
          <cell r="F96" t="str">
            <v>Operations</v>
          </cell>
          <cell r="G96"/>
          <cell r="H96" t="str">
            <v>APP000041</v>
          </cell>
          <cell r="I96">
            <v>120252</v>
          </cell>
          <cell r="J96" t="str">
            <v>ATOS</v>
          </cell>
          <cell r="L96"/>
          <cell r="M96"/>
          <cell r="N96" t="str">
            <v>Robin</v>
          </cell>
          <cell r="O96" t="str">
            <v>Carolyn</v>
          </cell>
          <cell r="P96" t="str">
            <v>Robin</v>
          </cell>
          <cell r="Q96" t="str">
            <v>L-PC-USERS</v>
          </cell>
          <cell r="R96" t="str">
            <v>Infra/EUS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A97" t="str">
            <v>Infra Cost Concur Expense</v>
          </cell>
          <cell r="B97" t="str">
            <v>CW4702</v>
          </cell>
          <cell r="C97">
            <v>68427709</v>
          </cell>
          <cell r="D97" t="str">
            <v>485073032</v>
          </cell>
          <cell r="E97" t="str">
            <v>Servers</v>
          </cell>
          <cell r="F97" t="str">
            <v>Operations</v>
          </cell>
          <cell r="G97"/>
          <cell r="H97" t="str">
            <v>APP000049</v>
          </cell>
          <cell r="I97">
            <v>120252</v>
          </cell>
          <cell r="J97" t="str">
            <v>ATOS</v>
          </cell>
          <cell r="L97"/>
          <cell r="M97"/>
          <cell r="N97" t="str">
            <v>Robin</v>
          </cell>
          <cell r="O97" t="str">
            <v>Carolyn</v>
          </cell>
          <cell r="P97" t="str">
            <v>Robin</v>
          </cell>
          <cell r="Q97" t="str">
            <v>L-PC-USERS</v>
          </cell>
          <cell r="R97" t="str">
            <v>Infra/EUS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8">
          <cell r="A98" t="str">
            <v>Infra Cost TAS</v>
          </cell>
          <cell r="B98" t="str">
            <v>CW4702</v>
          </cell>
          <cell r="C98">
            <v>68427709</v>
          </cell>
          <cell r="D98" t="str">
            <v>485073032</v>
          </cell>
          <cell r="E98" t="str">
            <v>Servers</v>
          </cell>
          <cell r="F98" t="str">
            <v>Operations</v>
          </cell>
          <cell r="G98"/>
          <cell r="H98" t="str">
            <v>APP000053</v>
          </cell>
          <cell r="I98">
            <v>120252</v>
          </cell>
          <cell r="J98" t="str">
            <v>ATOS</v>
          </cell>
          <cell r="L98"/>
          <cell r="M98"/>
          <cell r="N98" t="str">
            <v>Robin</v>
          </cell>
          <cell r="O98" t="str">
            <v>Carolyn</v>
          </cell>
          <cell r="P98" t="str">
            <v>Robin</v>
          </cell>
          <cell r="Q98" t="str">
            <v>L-PC-USERS</v>
          </cell>
          <cell r="R98" t="str">
            <v>Infra/EUS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</row>
        <row r="99">
          <cell r="A99" t="str">
            <v>Infra Cost Qlikview</v>
          </cell>
          <cell r="B99" t="str">
            <v>CW4702</v>
          </cell>
          <cell r="C99">
            <v>68427709</v>
          </cell>
          <cell r="D99" t="str">
            <v>485073032</v>
          </cell>
          <cell r="E99" t="str">
            <v>Servers</v>
          </cell>
          <cell r="F99" t="str">
            <v>Operations</v>
          </cell>
          <cell r="G99"/>
          <cell r="H99" t="str">
            <v>APP000338</v>
          </cell>
          <cell r="I99">
            <v>120252</v>
          </cell>
          <cell r="J99" t="str">
            <v>ATOS</v>
          </cell>
          <cell r="L99">
            <v>5401023588</v>
          </cell>
          <cell r="M99">
            <v>10</v>
          </cell>
          <cell r="N99" t="str">
            <v>Robin</v>
          </cell>
          <cell r="O99" t="str">
            <v>Carolyn</v>
          </cell>
          <cell r="P99" t="str">
            <v>Robin</v>
          </cell>
          <cell r="Q99" t="str">
            <v>L-PC-USERS</v>
          </cell>
          <cell r="R99" t="str">
            <v>Infra/EUS</v>
          </cell>
          <cell r="S99">
            <v>31000</v>
          </cell>
          <cell r="T99">
            <v>0</v>
          </cell>
          <cell r="U99">
            <v>-31000</v>
          </cell>
          <cell r="V99">
            <v>0</v>
          </cell>
        </row>
        <row r="100">
          <cell r="A100" t="str">
            <v>Infra Cost PDM</v>
          </cell>
          <cell r="B100" t="str">
            <v>CW4702</v>
          </cell>
          <cell r="C100">
            <v>68427709</v>
          </cell>
          <cell r="D100" t="str">
            <v>485073032</v>
          </cell>
          <cell r="E100" t="str">
            <v>Servers</v>
          </cell>
          <cell r="F100" t="str">
            <v>Operations</v>
          </cell>
          <cell r="G100"/>
          <cell r="H100" t="str">
            <v>APP000869</v>
          </cell>
          <cell r="I100">
            <v>120252</v>
          </cell>
          <cell r="J100" t="str">
            <v>ATOS</v>
          </cell>
          <cell r="L100">
            <v>5401023588</v>
          </cell>
          <cell r="M100">
            <v>10</v>
          </cell>
          <cell r="N100" t="str">
            <v>Robin</v>
          </cell>
          <cell r="O100" t="str">
            <v>Carolyn</v>
          </cell>
          <cell r="P100" t="str">
            <v>Robin</v>
          </cell>
          <cell r="Q100" t="str">
            <v>L-PC-USERS</v>
          </cell>
          <cell r="R100" t="str">
            <v>Infra/EUS</v>
          </cell>
          <cell r="S100">
            <v>10400</v>
          </cell>
          <cell r="T100">
            <v>0</v>
          </cell>
          <cell r="U100">
            <v>-10400</v>
          </cell>
          <cell r="V100">
            <v>0</v>
          </cell>
        </row>
        <row r="101">
          <cell r="A101" t="str">
            <v>Infra Cost KEVOX</v>
          </cell>
          <cell r="B101" t="str">
            <v>CW4702</v>
          </cell>
          <cell r="C101">
            <v>68427709</v>
          </cell>
          <cell r="D101" t="str">
            <v>485073032</v>
          </cell>
          <cell r="E101" t="str">
            <v>Servers</v>
          </cell>
          <cell r="F101" t="str">
            <v>Operations</v>
          </cell>
          <cell r="G101"/>
          <cell r="H101" t="str">
            <v>APP002912</v>
          </cell>
          <cell r="I101">
            <v>120252</v>
          </cell>
          <cell r="J101" t="str">
            <v>ATOS</v>
          </cell>
          <cell r="L101">
            <v>5401023588</v>
          </cell>
          <cell r="M101">
            <v>10</v>
          </cell>
          <cell r="N101" t="str">
            <v>Robin</v>
          </cell>
          <cell r="O101" t="str">
            <v>Carolyn</v>
          </cell>
          <cell r="P101" t="str">
            <v>Robin</v>
          </cell>
          <cell r="Q101" t="str">
            <v>L-PC-USERS</v>
          </cell>
          <cell r="R101" t="str">
            <v>Infra/EUS</v>
          </cell>
          <cell r="S101">
            <v>10400</v>
          </cell>
          <cell r="T101">
            <v>0</v>
          </cell>
          <cell r="U101">
            <v>-10400</v>
          </cell>
          <cell r="V101">
            <v>0</v>
          </cell>
        </row>
        <row r="102">
          <cell r="A102" t="str">
            <v>Non-SAP Operations, Storage, VoC Hotel &amp; Service Management</v>
          </cell>
          <cell r="B102" t="str">
            <v>CW4702</v>
          </cell>
          <cell r="C102">
            <v>68427709</v>
          </cell>
          <cell r="D102" t="str">
            <v>485073032</v>
          </cell>
          <cell r="E102" t="str">
            <v>Servers</v>
          </cell>
          <cell r="F102" t="str">
            <v>Operations</v>
          </cell>
          <cell r="G102" t="str">
            <v>Infrastructure Cost Non-SAP applications</v>
          </cell>
          <cell r="H102" t="str">
            <v>InfraNonSAP</v>
          </cell>
          <cell r="I102">
            <v>120252</v>
          </cell>
          <cell r="J102" t="str">
            <v>ATOS</v>
          </cell>
          <cell r="L102">
            <v>5401023588</v>
          </cell>
          <cell r="M102">
            <v>10</v>
          </cell>
          <cell r="N102" t="str">
            <v>Oscar</v>
          </cell>
          <cell r="O102" t="str">
            <v>Carolyn</v>
          </cell>
          <cell r="P102" t="str">
            <v>Oscar</v>
          </cell>
          <cell r="Q102" t="str">
            <v>L-PC-USERS</v>
          </cell>
          <cell r="R102" t="str">
            <v>Infra/EUS</v>
          </cell>
          <cell r="S102">
            <v>100000</v>
          </cell>
          <cell r="T102">
            <v>0</v>
          </cell>
          <cell r="U102">
            <v>-100000</v>
          </cell>
          <cell r="V102">
            <v>0</v>
          </cell>
        </row>
        <row r="103">
          <cell r="A103" t="str">
            <v>Atos Bonus</v>
          </cell>
          <cell r="B103" t="str">
            <v>CW4702</v>
          </cell>
          <cell r="C103">
            <v>68427709</v>
          </cell>
          <cell r="D103" t="str">
            <v>485073032</v>
          </cell>
          <cell r="E103" t="str">
            <v>Servers</v>
          </cell>
          <cell r="F103" t="str">
            <v>Operations</v>
          </cell>
          <cell r="G103" t="str">
            <v>Infrastructure Cost Non-SAP applications</v>
          </cell>
          <cell r="H103" t="str">
            <v>InfraNonSAP</v>
          </cell>
          <cell r="I103">
            <v>120252</v>
          </cell>
          <cell r="J103" t="str">
            <v>ATOS</v>
          </cell>
          <cell r="L103"/>
          <cell r="M103">
            <v>10</v>
          </cell>
          <cell r="N103" t="str">
            <v>Robin</v>
          </cell>
          <cell r="O103" t="str">
            <v>Carolyn</v>
          </cell>
          <cell r="P103" t="str">
            <v>Robin</v>
          </cell>
          <cell r="Q103" t="str">
            <v>L-PC-USERS</v>
          </cell>
          <cell r="R103" t="str">
            <v>Shared Platforms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A104" t="str">
            <v>MICR support fee (Data protector)</v>
          </cell>
          <cell r="C104">
            <v>68427709</v>
          </cell>
          <cell r="D104" t="str">
            <v>485073033</v>
          </cell>
          <cell r="E104" t="str">
            <v>Other Oper. Infra</v>
          </cell>
          <cell r="F104" t="str">
            <v>Operations</v>
          </cell>
          <cell r="G104" t="str">
            <v>Factory Security</v>
          </cell>
          <cell r="H104" t="str">
            <v>FactorySec</v>
          </cell>
          <cell r="I104">
            <v>187516</v>
          </cell>
          <cell r="J104" t="str">
            <v>Accenture</v>
          </cell>
          <cell r="L104"/>
          <cell r="M104"/>
          <cell r="N104" t="str">
            <v>Oscar</v>
          </cell>
          <cell r="O104" t="str">
            <v>Carolyn</v>
          </cell>
          <cell r="P104" t="str">
            <v>Oscar</v>
          </cell>
          <cell r="Q104" t="str">
            <v>L-FACTORIES-SIZE</v>
          </cell>
          <cell r="R104" t="str">
            <v>Infra/EUS</v>
          </cell>
          <cell r="S104">
            <v>50000</v>
          </cell>
          <cell r="T104">
            <v>50000</v>
          </cell>
          <cell r="U104">
            <v>0</v>
          </cell>
          <cell r="V104">
            <v>46154.07</v>
          </cell>
        </row>
        <row r="105">
          <cell r="A105" t="str">
            <v>T&amp;M Infrastructure changes; VDI, adding DNS records, modifying volumes (Infra)</v>
          </cell>
          <cell r="B105" t="str">
            <v>CW4271</v>
          </cell>
          <cell r="C105">
            <v>68427709</v>
          </cell>
          <cell r="D105" t="str">
            <v>485073033</v>
          </cell>
          <cell r="E105" t="str">
            <v>Other Oper. Infra</v>
          </cell>
          <cell r="F105" t="str">
            <v>Operations</v>
          </cell>
          <cell r="G105" t="str">
            <v>PC and Connectivity</v>
          </cell>
          <cell r="H105" t="str">
            <v>PCConnectivity</v>
          </cell>
          <cell r="I105">
            <v>187516</v>
          </cell>
          <cell r="J105" t="str">
            <v>Accenture</v>
          </cell>
          <cell r="L105"/>
          <cell r="M105"/>
          <cell r="N105" t="str">
            <v>Oscar</v>
          </cell>
          <cell r="O105" t="str">
            <v>Carolyn</v>
          </cell>
          <cell r="P105" t="str">
            <v>Oscar</v>
          </cell>
          <cell r="Q105" t="str">
            <v>L-PC-USERS</v>
          </cell>
          <cell r="R105" t="str">
            <v>Infra/EUS</v>
          </cell>
          <cell r="S105">
            <v>50000</v>
          </cell>
          <cell r="T105">
            <v>25000</v>
          </cell>
          <cell r="U105">
            <v>-25000</v>
          </cell>
          <cell r="V105">
            <v>23077.040000000001</v>
          </cell>
        </row>
        <row r="106">
          <cell r="A106" t="str">
            <v>T&amp;M Maintenance Projects, interfacing (Infra)</v>
          </cell>
          <cell r="B106" t="str">
            <v>CW4271</v>
          </cell>
          <cell r="C106">
            <v>68427709</v>
          </cell>
          <cell r="D106" t="str">
            <v>485073033</v>
          </cell>
          <cell r="E106" t="str">
            <v>Other Oper. Infra</v>
          </cell>
          <cell r="F106" t="str">
            <v>Operations</v>
          </cell>
          <cell r="G106" t="str">
            <v>PC and Connectivity</v>
          </cell>
          <cell r="H106" t="str">
            <v>PCConnectivity</v>
          </cell>
          <cell r="I106">
            <v>187516</v>
          </cell>
          <cell r="J106" t="str">
            <v>Accenture</v>
          </cell>
          <cell r="L106"/>
          <cell r="M106"/>
          <cell r="N106" t="str">
            <v>Oscar</v>
          </cell>
          <cell r="O106" t="str">
            <v>Carolyn</v>
          </cell>
          <cell r="P106" t="str">
            <v>Oscar</v>
          </cell>
          <cell r="Q106" t="str">
            <v>L-PC-USERS</v>
          </cell>
          <cell r="R106" t="str">
            <v>Infra/EUS</v>
          </cell>
          <cell r="S106">
            <v>49920</v>
          </cell>
          <cell r="T106">
            <v>25000</v>
          </cell>
          <cell r="U106">
            <v>-24920</v>
          </cell>
          <cell r="V106">
            <v>23077.040000000001</v>
          </cell>
        </row>
        <row r="107">
          <cell r="A107" t="str">
            <v>Software assurance (StoreOnce)</v>
          </cell>
          <cell r="C107">
            <v>68427709</v>
          </cell>
          <cell r="D107" t="str">
            <v>485073033</v>
          </cell>
          <cell r="E107" t="str">
            <v>Other Oper. Infra</v>
          </cell>
          <cell r="F107" t="str">
            <v>Operations</v>
          </cell>
          <cell r="G107" t="str">
            <v>PC and Connectivity</v>
          </cell>
          <cell r="H107" t="str">
            <v>PCConnectivity</v>
          </cell>
          <cell r="J107" t="str">
            <v>HPE</v>
          </cell>
          <cell r="M107"/>
          <cell r="N107" t="str">
            <v>Oscar</v>
          </cell>
          <cell r="O107" t="str">
            <v>Carolyn</v>
          </cell>
          <cell r="P107" t="str">
            <v>Oscar</v>
          </cell>
          <cell r="Q107" t="str">
            <v>L-PC-USERS</v>
          </cell>
          <cell r="R107" t="str">
            <v>Infra/EUS</v>
          </cell>
          <cell r="S107">
            <v>25000</v>
          </cell>
          <cell r="T107">
            <v>25000</v>
          </cell>
          <cell r="U107">
            <v>0</v>
          </cell>
          <cell r="V107">
            <v>23077.040000000001</v>
          </cell>
        </row>
        <row r="108">
          <cell r="A108" t="str">
            <v>Software assurance (StoreOnce or another backup solution)</v>
          </cell>
          <cell r="C108">
            <v>68427709</v>
          </cell>
          <cell r="D108" t="str">
            <v>485073033</v>
          </cell>
          <cell r="E108" t="str">
            <v>Other Oper. Infra</v>
          </cell>
          <cell r="F108" t="str">
            <v>Operations</v>
          </cell>
          <cell r="G108" t="str">
            <v>Factory Security</v>
          </cell>
          <cell r="H108" t="str">
            <v>FactorySec</v>
          </cell>
          <cell r="I108">
            <v>187516</v>
          </cell>
          <cell r="J108" t="str">
            <v>Accenture</v>
          </cell>
          <cell r="L108"/>
          <cell r="M108"/>
          <cell r="N108" t="str">
            <v>Oscar</v>
          </cell>
          <cell r="O108" t="str">
            <v>Carolyn</v>
          </cell>
          <cell r="P108" t="str">
            <v>Oscar</v>
          </cell>
          <cell r="Q108" t="str">
            <v>L-FACTORIES-SIZE</v>
          </cell>
          <cell r="R108" t="str">
            <v>Infra/EUS</v>
          </cell>
          <cell r="S108">
            <v>12500</v>
          </cell>
          <cell r="T108">
            <v>12500</v>
          </cell>
          <cell r="U108">
            <v>0</v>
          </cell>
          <cell r="V108">
            <v>11538.52</v>
          </cell>
        </row>
        <row r="109">
          <cell r="A109" t="str">
            <v>MU NSSR support</v>
          </cell>
          <cell r="C109">
            <v>68427709</v>
          </cell>
          <cell r="D109" t="str">
            <v>485073033</v>
          </cell>
          <cell r="E109" t="str">
            <v>Other Oper. Infra</v>
          </cell>
          <cell r="F109" t="str">
            <v>Operations</v>
          </cell>
          <cell r="G109" t="str">
            <v>Factory Security</v>
          </cell>
          <cell r="H109" t="str">
            <v>FactorySec</v>
          </cell>
          <cell r="I109">
            <v>187516</v>
          </cell>
          <cell r="J109" t="str">
            <v>Accenture</v>
          </cell>
          <cell r="L109"/>
          <cell r="M109"/>
          <cell r="N109" t="str">
            <v>Oscar</v>
          </cell>
          <cell r="O109" t="str">
            <v>Carolyn</v>
          </cell>
          <cell r="P109" t="str">
            <v>Oscar</v>
          </cell>
          <cell r="Q109" t="str">
            <v>L-FACTORIES-SIZE</v>
          </cell>
          <cell r="R109" t="str">
            <v>Infra/EUS</v>
          </cell>
          <cell r="S109">
            <v>20000</v>
          </cell>
          <cell r="T109">
            <v>10000</v>
          </cell>
          <cell r="U109">
            <v>-10000</v>
          </cell>
          <cell r="V109">
            <v>9230.81</v>
          </cell>
        </row>
        <row r="110">
          <cell r="A110" t="str">
            <v>Non-Standard Services (StoreOnce or another backup solution )</v>
          </cell>
          <cell r="C110">
            <v>68427709</v>
          </cell>
          <cell r="D110" t="str">
            <v>485073033</v>
          </cell>
          <cell r="E110" t="str">
            <v>Other Oper. Infra</v>
          </cell>
          <cell r="F110" t="str">
            <v>Operations</v>
          </cell>
          <cell r="G110" t="str">
            <v>Factory Security</v>
          </cell>
          <cell r="H110" t="str">
            <v>FactorySec</v>
          </cell>
          <cell r="I110">
            <v>187516</v>
          </cell>
          <cell r="J110" t="str">
            <v>Accenture</v>
          </cell>
          <cell r="L110"/>
          <cell r="M110"/>
          <cell r="N110" t="str">
            <v>Oscar</v>
          </cell>
          <cell r="O110" t="str">
            <v>Carolyn</v>
          </cell>
          <cell r="P110" t="str">
            <v>Oscar</v>
          </cell>
          <cell r="Q110" t="str">
            <v>L-FACTORIES-SIZE</v>
          </cell>
          <cell r="R110" t="str">
            <v>Infra/EUS</v>
          </cell>
          <cell r="S110">
            <v>10000</v>
          </cell>
          <cell r="T110">
            <v>10000</v>
          </cell>
          <cell r="U110">
            <v>0</v>
          </cell>
          <cell r="V110">
            <v>9230.81</v>
          </cell>
        </row>
        <row r="111">
          <cell r="A111" t="str">
            <v>Ad hoc support compliance (AMS)</v>
          </cell>
          <cell r="C111">
            <v>68427709</v>
          </cell>
          <cell r="D111" t="str">
            <v>485074001</v>
          </cell>
          <cell r="E111" t="str">
            <v>Accenture Appl. supp</v>
          </cell>
          <cell r="F111" t="str">
            <v>Application Support</v>
          </cell>
          <cell r="G111" t="str">
            <v>SAP suite</v>
          </cell>
          <cell r="H111" t="str">
            <v>APP000018</v>
          </cell>
          <cell r="I111">
            <v>187516</v>
          </cell>
          <cell r="J111" t="str">
            <v>Accenture</v>
          </cell>
          <cell r="K111"/>
          <cell r="L111"/>
          <cell r="M111"/>
          <cell r="N111" t="str">
            <v>Diego</v>
          </cell>
          <cell r="O111" t="str">
            <v>Carolyn</v>
          </cell>
          <cell r="P111" t="str">
            <v>Diego</v>
          </cell>
          <cell r="Q111" t="str">
            <v>L-SAP-USERS</v>
          </cell>
          <cell r="R111" t="str">
            <v>Security</v>
          </cell>
          <cell r="S111">
            <v>150000</v>
          </cell>
          <cell r="T111">
            <v>150000</v>
          </cell>
          <cell r="U111">
            <v>0</v>
          </cell>
          <cell r="V111">
            <v>138462.22</v>
          </cell>
        </row>
        <row r="112">
          <cell r="A112" t="str">
            <v>Avecto</v>
          </cell>
          <cell r="B112" t="str">
            <v>CW10007</v>
          </cell>
          <cell r="C112">
            <v>68427709</v>
          </cell>
          <cell r="D112" t="str">
            <v>485074005</v>
          </cell>
          <cell r="E112" t="str">
            <v>Software li oth appl</v>
          </cell>
          <cell r="F112" t="str">
            <v>Application Support</v>
          </cell>
          <cell r="G112" t="str">
            <v>IT4IT</v>
          </cell>
          <cell r="H112" t="str">
            <v>APP001977</v>
          </cell>
          <cell r="I112">
            <v>192268</v>
          </cell>
          <cell r="J112" t="str">
            <v>Professional Developm Systems B.V.</v>
          </cell>
          <cell r="L112">
            <v>5400864541</v>
          </cell>
          <cell r="M112">
            <v>30</v>
          </cell>
          <cell r="N112" t="str">
            <v>Diego</v>
          </cell>
          <cell r="O112" t="str">
            <v>Carolyn</v>
          </cell>
          <cell r="P112" t="str">
            <v>Diego</v>
          </cell>
          <cell r="Q112" t="str">
            <v>L-PC-USERS</v>
          </cell>
          <cell r="R112" t="str">
            <v>Security</v>
          </cell>
          <cell r="S112">
            <v>10700</v>
          </cell>
          <cell r="T112">
            <v>11000</v>
          </cell>
          <cell r="U112">
            <v>300</v>
          </cell>
          <cell r="V112">
            <v>10153.9</v>
          </cell>
        </row>
        <row r="113">
          <cell r="A113" t="str">
            <v>Awareness Campaign</v>
          </cell>
          <cell r="C113">
            <v>68427709</v>
          </cell>
          <cell r="D113" t="str">
            <v>485073034</v>
          </cell>
          <cell r="E113" t="str">
            <v>Security</v>
          </cell>
          <cell r="F113" t="str">
            <v>Security</v>
          </cell>
          <cell r="G113" t="str">
            <v>PC and Connectivity</v>
          </cell>
          <cell r="H113" t="str">
            <v>PCConnectivity</v>
          </cell>
          <cell r="I113"/>
          <cell r="J113"/>
          <cell r="K113"/>
          <cell r="L113"/>
          <cell r="M113"/>
          <cell r="N113" t="str">
            <v>Diego</v>
          </cell>
          <cell r="O113" t="str">
            <v>Carolyn</v>
          </cell>
          <cell r="P113" t="str">
            <v>Diego</v>
          </cell>
          <cell r="Q113" t="str">
            <v>L-PC-USERS</v>
          </cell>
          <cell r="R113" t="str">
            <v>Security</v>
          </cell>
          <cell r="S113">
            <v>70000</v>
          </cell>
          <cell r="T113">
            <v>70000</v>
          </cell>
          <cell r="U113">
            <v>0</v>
          </cell>
          <cell r="V113">
            <v>64615.7</v>
          </cell>
        </row>
        <row r="114">
          <cell r="A114" t="str">
            <v>Awareness standard e-training subscription</v>
          </cell>
          <cell r="B114" t="str">
            <v>CW7747</v>
          </cell>
          <cell r="C114">
            <v>68427709</v>
          </cell>
          <cell r="D114" t="str">
            <v>485073034</v>
          </cell>
          <cell r="E114" t="str">
            <v>Security</v>
          </cell>
          <cell r="F114" t="str">
            <v>Application Support</v>
          </cell>
          <cell r="G114" t="str">
            <v>PC and Connectivity</v>
          </cell>
          <cell r="H114" t="str">
            <v>PCConnectivity</v>
          </cell>
          <cell r="I114">
            <v>195870</v>
          </cell>
          <cell r="J114" t="str">
            <v>Sans Institute</v>
          </cell>
          <cell r="L114">
            <v>5401030717</v>
          </cell>
          <cell r="M114">
            <v>10</v>
          </cell>
          <cell r="N114" t="str">
            <v>Diego</v>
          </cell>
          <cell r="O114" t="str">
            <v>Carolyn</v>
          </cell>
          <cell r="P114" t="str">
            <v>Diego</v>
          </cell>
          <cell r="Q114" t="str">
            <v>L-PC-USERS</v>
          </cell>
          <cell r="R114" t="str">
            <v>Security</v>
          </cell>
          <cell r="S114">
            <v>80000</v>
          </cell>
          <cell r="T114">
            <v>80000</v>
          </cell>
          <cell r="U114">
            <v>0</v>
          </cell>
          <cell r="V114">
            <v>73846.52</v>
          </cell>
        </row>
        <row r="115">
          <cell r="A115" t="str">
            <v>Bitsight subscription</v>
          </cell>
          <cell r="B115" t="str">
            <v>CW4346</v>
          </cell>
          <cell r="C115">
            <v>68427709</v>
          </cell>
          <cell r="D115" t="str">
            <v>485073034</v>
          </cell>
          <cell r="E115" t="str">
            <v>Security</v>
          </cell>
          <cell r="F115" t="str">
            <v>Security</v>
          </cell>
          <cell r="G115" t="str">
            <v>PC and Connectivity</v>
          </cell>
          <cell r="H115" t="str">
            <v>PCConnectivity</v>
          </cell>
          <cell r="I115">
            <v>187516</v>
          </cell>
          <cell r="J115" t="str">
            <v>Accenture</v>
          </cell>
          <cell r="L115">
            <v>5400881922</v>
          </cell>
          <cell r="M115">
            <v>10</v>
          </cell>
          <cell r="N115" t="str">
            <v>Diego</v>
          </cell>
          <cell r="O115" t="str">
            <v>Carolyn</v>
          </cell>
          <cell r="P115" t="str">
            <v>Diego</v>
          </cell>
          <cell r="Q115" t="str">
            <v>L-PC-USERS</v>
          </cell>
          <cell r="R115" t="str">
            <v>Security</v>
          </cell>
          <cell r="S115">
            <v>30000</v>
          </cell>
          <cell r="T115">
            <v>31500</v>
          </cell>
          <cell r="U115">
            <v>1500</v>
          </cell>
          <cell r="V115">
            <v>29077.07</v>
          </cell>
        </row>
        <row r="116">
          <cell r="A116" t="str">
            <v>Cyberark</v>
          </cell>
          <cell r="C116">
            <v>68427709</v>
          </cell>
          <cell r="D116" t="str">
            <v>485073034</v>
          </cell>
          <cell r="E116" t="str">
            <v>Security</v>
          </cell>
          <cell r="F116" t="str">
            <v>Security</v>
          </cell>
          <cell r="G116"/>
          <cell r="H116" t="str">
            <v>APP003224</v>
          </cell>
          <cell r="J116"/>
          <cell r="K116"/>
          <cell r="L116"/>
          <cell r="M116"/>
          <cell r="N116" t="str">
            <v>Diego</v>
          </cell>
          <cell r="O116" t="str">
            <v>Carolyn</v>
          </cell>
          <cell r="P116" t="str">
            <v>Diego</v>
          </cell>
          <cell r="Q116" t="str">
            <v>L-PC-USERS</v>
          </cell>
          <cell r="R116" t="str">
            <v>Security</v>
          </cell>
          <cell r="S116"/>
          <cell r="T116">
            <v>100000</v>
          </cell>
          <cell r="U116">
            <v>100000</v>
          </cell>
          <cell r="V116">
            <v>92308.15</v>
          </cell>
        </row>
        <row r="117">
          <cell r="A117" t="str">
            <v>Description</v>
          </cell>
          <cell r="B117" t="str">
            <v>Contract ID</v>
          </cell>
          <cell r="C117" t="str">
            <v>Cost Center</v>
          </cell>
          <cell r="D117" t="str">
            <v>GL</v>
          </cell>
          <cell r="E117" t="str">
            <v>Category</v>
          </cell>
          <cell r="F117" t="str">
            <v>Line in AOP template</v>
          </cell>
          <cell r="G117" t="str">
            <v>Service1</v>
          </cell>
          <cell r="H117" t="str">
            <v>Service2</v>
          </cell>
          <cell r="I117" t="str">
            <v>Vendor Code</v>
          </cell>
          <cell r="J117" t="str">
            <v>Vendor</v>
          </cell>
          <cell r="K117" t="str">
            <v>Updated PO</v>
          </cell>
          <cell r="L117" t="str">
            <v>PO</v>
          </cell>
          <cell r="M117" t="str">
            <v>Line</v>
          </cell>
          <cell r="N117" t="str">
            <v>Owner</v>
          </cell>
          <cell r="O117" t="str">
            <v>ITMT member</v>
          </cell>
          <cell r="P117" t="str">
            <v>Consulted</v>
          </cell>
          <cell r="Q117" t="str">
            <v>Charging Basis</v>
          </cell>
          <cell r="R117" t="str">
            <v>FUNCTION</v>
          </cell>
          <cell r="S117" t="str">
            <v>AOP 2024</v>
          </cell>
          <cell r="T117" t="str">
            <v>AOP 2025</v>
          </cell>
          <cell r="U117" t="str">
            <v>Variance</v>
          </cell>
          <cell r="V117" t="str">
            <v>AOP 2025 adjusted</v>
          </cell>
        </row>
        <row r="118">
          <cell r="A118" t="str">
            <v>E5 Support contract (EUC)</v>
          </cell>
          <cell r="C118">
            <v>68427709</v>
          </cell>
          <cell r="D118" t="str">
            <v>485073034</v>
          </cell>
          <cell r="E118" t="str">
            <v>Security</v>
          </cell>
          <cell r="F118" t="str">
            <v>Security</v>
          </cell>
          <cell r="G118" t="str">
            <v>PC and Connectivity</v>
          </cell>
          <cell r="H118" t="str">
            <v>PCConnectivity</v>
          </cell>
          <cell r="I118">
            <v>187516</v>
          </cell>
          <cell r="J118" t="str">
            <v>Accenture</v>
          </cell>
          <cell r="K118"/>
          <cell r="L118">
            <v>5400912390</v>
          </cell>
          <cell r="M118">
            <v>10</v>
          </cell>
          <cell r="N118" t="str">
            <v>Diego</v>
          </cell>
          <cell r="O118" t="str">
            <v>Carolyn</v>
          </cell>
          <cell r="P118" t="str">
            <v>Diego</v>
          </cell>
          <cell r="Q118" t="str">
            <v>L-PC-USERS</v>
          </cell>
          <cell r="R118" t="str">
            <v>Security</v>
          </cell>
          <cell r="S118">
            <v>141000</v>
          </cell>
          <cell r="T118">
            <v>141000</v>
          </cell>
          <cell r="U118">
            <v>0</v>
          </cell>
          <cell r="V118">
            <v>130154.49</v>
          </cell>
        </row>
        <row r="119">
          <cell r="A119" t="str">
            <v>Email Protection</v>
          </cell>
          <cell r="C119">
            <v>68427709</v>
          </cell>
          <cell r="D119" t="str">
            <v>485073034</v>
          </cell>
          <cell r="E119" t="str">
            <v>Security</v>
          </cell>
          <cell r="F119" t="str">
            <v>Security</v>
          </cell>
          <cell r="G119" t="str">
            <v>PC and Connectivity</v>
          </cell>
          <cell r="H119" t="str">
            <v>PCConnectivity</v>
          </cell>
          <cell r="I119"/>
          <cell r="J119" t="str">
            <v>Ironscales</v>
          </cell>
          <cell r="L119">
            <v>5400913325</v>
          </cell>
          <cell r="M119">
            <v>20</v>
          </cell>
          <cell r="N119" t="str">
            <v>Diego</v>
          </cell>
          <cell r="O119" t="str">
            <v>Carolyn</v>
          </cell>
          <cell r="P119" t="str">
            <v>Diego</v>
          </cell>
          <cell r="Q119" t="str">
            <v>L-PC-USERS</v>
          </cell>
          <cell r="R119" t="str">
            <v>Security</v>
          </cell>
          <cell r="S119">
            <v>250000</v>
          </cell>
          <cell r="T119">
            <v>250000</v>
          </cell>
          <cell r="U119">
            <v>0</v>
          </cell>
          <cell r="V119">
            <v>230770.37</v>
          </cell>
        </row>
        <row r="120">
          <cell r="A120" t="str">
            <v>GRC Access Controls</v>
          </cell>
          <cell r="B120" t="str">
            <v>CW9851</v>
          </cell>
          <cell r="C120">
            <v>68427709</v>
          </cell>
          <cell r="D120" t="str">
            <v>485074003</v>
          </cell>
          <cell r="E120" t="str">
            <v>Other Sup Appl Sup</v>
          </cell>
          <cell r="F120" t="str">
            <v>Application Support</v>
          </cell>
          <cell r="G120" t="str">
            <v>SAP suite</v>
          </cell>
          <cell r="H120" t="str">
            <v>APP000026</v>
          </cell>
          <cell r="I120">
            <v>121208</v>
          </cell>
          <cell r="J120" t="str">
            <v>KPMG</v>
          </cell>
          <cell r="L120">
            <v>5401018997</v>
          </cell>
          <cell r="M120">
            <v>10</v>
          </cell>
          <cell r="N120" t="str">
            <v>Diego</v>
          </cell>
          <cell r="O120" t="str">
            <v>Carolyn</v>
          </cell>
          <cell r="P120" t="str">
            <v>Diego</v>
          </cell>
          <cell r="Q120" t="str">
            <v>L-SAP-USERS</v>
          </cell>
          <cell r="R120" t="str">
            <v>Security</v>
          </cell>
          <cell r="S120">
            <v>35000</v>
          </cell>
          <cell r="T120">
            <v>35000</v>
          </cell>
          <cell r="U120">
            <v>0</v>
          </cell>
          <cell r="V120">
            <v>32307.85</v>
          </cell>
        </row>
        <row r="121">
          <cell r="A121" t="str">
            <v>GRC Process Control Support</v>
          </cell>
          <cell r="B121" t="str">
            <v>CW9851</v>
          </cell>
          <cell r="C121">
            <v>68427709</v>
          </cell>
          <cell r="D121" t="str">
            <v>485074003</v>
          </cell>
          <cell r="E121" t="str">
            <v>Other Sup Appl Sup</v>
          </cell>
          <cell r="F121" t="str">
            <v>Application Support</v>
          </cell>
          <cell r="G121" t="str">
            <v>SAP suite</v>
          </cell>
          <cell r="H121" t="str">
            <v>APP000026</v>
          </cell>
          <cell r="I121">
            <v>121208</v>
          </cell>
          <cell r="J121" t="str">
            <v>KPMG</v>
          </cell>
          <cell r="L121"/>
          <cell r="M121">
            <v>10</v>
          </cell>
          <cell r="N121" t="str">
            <v>Diego</v>
          </cell>
          <cell r="O121" t="str">
            <v>Carolyn</v>
          </cell>
          <cell r="P121" t="str">
            <v>Diego</v>
          </cell>
          <cell r="Q121" t="str">
            <v>L-SAP-USERS</v>
          </cell>
          <cell r="R121" t="str">
            <v>Security</v>
          </cell>
          <cell r="S121">
            <v>60000</v>
          </cell>
          <cell r="T121">
            <v>60000</v>
          </cell>
          <cell r="U121">
            <v>0</v>
          </cell>
          <cell r="V121">
            <v>55384.89</v>
          </cell>
        </row>
        <row r="122">
          <cell r="A122" t="str">
            <v>ICAP File scanning Managed Service</v>
          </cell>
          <cell r="B122"/>
          <cell r="C122">
            <v>68427709</v>
          </cell>
          <cell r="D122" t="str">
            <v>485073034</v>
          </cell>
          <cell r="E122" t="str">
            <v>Security</v>
          </cell>
          <cell r="F122" t="str">
            <v>Security</v>
          </cell>
          <cell r="G122" t="str">
            <v>Factory Security</v>
          </cell>
          <cell r="H122" t="str">
            <v>Music3</v>
          </cell>
          <cell r="I122"/>
          <cell r="J122"/>
          <cell r="K122"/>
          <cell r="L122"/>
          <cell r="M122"/>
          <cell r="N122" t="str">
            <v>Diego</v>
          </cell>
          <cell r="O122" t="str">
            <v>Music3</v>
          </cell>
          <cell r="P122" t="str">
            <v>Diego</v>
          </cell>
          <cell r="Q122" t="str">
            <v>L-FACTORIES-SIZE</v>
          </cell>
          <cell r="R122" t="str">
            <v>Music3</v>
          </cell>
          <cell r="S122"/>
          <cell r="T122">
            <v>25000</v>
          </cell>
          <cell r="U122">
            <v>25000</v>
          </cell>
          <cell r="V122">
            <v>25000</v>
          </cell>
        </row>
        <row r="123">
          <cell r="A123" t="str">
            <v>ICS (AMS) position)</v>
          </cell>
          <cell r="C123">
            <v>68427709</v>
          </cell>
          <cell r="D123" t="str">
            <v>485074001</v>
          </cell>
          <cell r="E123" t="str">
            <v>Accenture Appl. supp</v>
          </cell>
          <cell r="F123" t="str">
            <v>Application Support</v>
          </cell>
          <cell r="G123" t="str">
            <v>SAP suite</v>
          </cell>
          <cell r="H123" t="str">
            <v>APP000018</v>
          </cell>
          <cell r="I123">
            <v>187516</v>
          </cell>
          <cell r="J123" t="str">
            <v>Accenture</v>
          </cell>
          <cell r="L123"/>
          <cell r="M123"/>
          <cell r="N123" t="str">
            <v>Diego</v>
          </cell>
          <cell r="O123" t="str">
            <v>Carolyn</v>
          </cell>
          <cell r="P123" t="str">
            <v>Diego</v>
          </cell>
          <cell r="Q123" t="str">
            <v>L-SAP-USERS</v>
          </cell>
          <cell r="R123" t="str">
            <v>Security</v>
          </cell>
          <cell r="S123"/>
          <cell r="T123">
            <v>120000</v>
          </cell>
          <cell r="U123">
            <v>120000</v>
          </cell>
          <cell r="V123">
            <v>110769.78</v>
          </cell>
        </row>
        <row r="124">
          <cell r="A124" t="str">
            <v>BAS Services</v>
          </cell>
          <cell r="B124" t="str">
            <v>CW4363</v>
          </cell>
          <cell r="C124">
            <v>68427709</v>
          </cell>
          <cell r="D124" t="str">
            <v>485074001</v>
          </cell>
          <cell r="E124" t="str">
            <v>Accenture Appl. supp</v>
          </cell>
          <cell r="F124" t="str">
            <v>Application Support</v>
          </cell>
          <cell r="G124" t="str">
            <v>SAP suite</v>
          </cell>
          <cell r="H124" t="str">
            <v>APP000018</v>
          </cell>
          <cell r="I124">
            <v>187516</v>
          </cell>
          <cell r="J124" t="str">
            <v>Accenture</v>
          </cell>
          <cell r="K124"/>
          <cell r="L124">
            <v>5401023508</v>
          </cell>
          <cell r="M124">
            <v>110</v>
          </cell>
          <cell r="N124" t="str">
            <v>Robin</v>
          </cell>
          <cell r="O124" t="str">
            <v>Carolyn</v>
          </cell>
          <cell r="P124" t="str">
            <v>Lieke</v>
          </cell>
          <cell r="Q124" t="str">
            <v>L-SAP-USERS</v>
          </cell>
          <cell r="R124" t="str">
            <v>Shared Platforms</v>
          </cell>
          <cell r="S124">
            <v>1331000</v>
          </cell>
          <cell r="T124">
            <v>924000</v>
          </cell>
          <cell r="U124">
            <v>-407000</v>
          </cell>
          <cell r="V124">
            <v>852927.27</v>
          </cell>
        </row>
        <row r="125">
          <cell r="A125" t="str">
            <v>Core AMS - Foundation Services</v>
          </cell>
          <cell r="B125" t="str">
            <v>CW4363</v>
          </cell>
          <cell r="C125">
            <v>68427709</v>
          </cell>
          <cell r="D125" t="str">
            <v>485074001</v>
          </cell>
          <cell r="E125" t="str">
            <v>Accenture Appl. supp</v>
          </cell>
          <cell r="F125" t="str">
            <v>Application Support</v>
          </cell>
          <cell r="G125" t="str">
            <v>SAP suite</v>
          </cell>
          <cell r="H125" t="str">
            <v>APP000018</v>
          </cell>
          <cell r="I125">
            <v>187516</v>
          </cell>
          <cell r="J125" t="str">
            <v>Accenture</v>
          </cell>
          <cell r="K125"/>
          <cell r="L125">
            <v>5401023508</v>
          </cell>
          <cell r="M125">
            <v>40</v>
          </cell>
          <cell r="N125" t="str">
            <v>Robin</v>
          </cell>
          <cell r="O125" t="str">
            <v>Carolyn</v>
          </cell>
          <cell r="P125" t="str">
            <v>Lieke</v>
          </cell>
          <cell r="Q125" t="str">
            <v>L-SAP-USERS</v>
          </cell>
          <cell r="R125" t="str">
            <v>Shared Platforms</v>
          </cell>
          <cell r="S125">
            <v>675000</v>
          </cell>
          <cell r="T125">
            <v>736500</v>
          </cell>
          <cell r="U125">
            <v>61500</v>
          </cell>
          <cell r="V125">
            <v>679849.5</v>
          </cell>
        </row>
        <row r="126">
          <cell r="A126" t="str">
            <v>Professional DevOps - QTC</v>
          </cell>
          <cell r="B126" t="str">
            <v>CW9370</v>
          </cell>
          <cell r="C126">
            <v>68427719</v>
          </cell>
          <cell r="D126" t="str">
            <v>485074001</v>
          </cell>
          <cell r="E126" t="str">
            <v>Accenture Appl. supp</v>
          </cell>
          <cell r="F126" t="str">
            <v>Application Support</v>
          </cell>
          <cell r="G126"/>
          <cell r="H126" t="str">
            <v>APP001951</v>
          </cell>
          <cell r="I126">
            <v>210046</v>
          </cell>
          <cell r="J126" t="str">
            <v>Globant</v>
          </cell>
          <cell r="L126">
            <v>5401020917</v>
          </cell>
          <cell r="M126">
            <v>10</v>
          </cell>
          <cell r="N126" t="str">
            <v>Linda</v>
          </cell>
          <cell r="O126" t="str">
            <v>Linda</v>
          </cell>
          <cell r="P126" t="str">
            <v>Linda</v>
          </cell>
          <cell r="Q126" t="str">
            <v>L-APT-USERS</v>
          </cell>
          <cell r="R126" t="str">
            <v>Professional DevOps</v>
          </cell>
          <cell r="S126">
            <v>650000</v>
          </cell>
          <cell r="T126">
            <v>725000</v>
          </cell>
          <cell r="U126">
            <v>75000</v>
          </cell>
          <cell r="V126">
            <v>650000</v>
          </cell>
        </row>
        <row r="127">
          <cell r="A127" t="str">
            <v>ServiceNow, service management and platform</v>
          </cell>
          <cell r="B127" t="str">
            <v>CW4271</v>
          </cell>
          <cell r="C127">
            <v>68427709</v>
          </cell>
          <cell r="D127" t="str">
            <v>485074001</v>
          </cell>
          <cell r="E127" t="str">
            <v>Accenture Appl. supp</v>
          </cell>
          <cell r="F127" t="str">
            <v>Application Support</v>
          </cell>
          <cell r="G127"/>
          <cell r="H127" t="str">
            <v>APP000007</v>
          </cell>
          <cell r="I127">
            <v>187516</v>
          </cell>
          <cell r="J127" t="str">
            <v xml:space="preserve">Accenture </v>
          </cell>
          <cell r="L127">
            <v>5400853128</v>
          </cell>
          <cell r="M127">
            <v>10</v>
          </cell>
          <cell r="N127" t="str">
            <v>Michal</v>
          </cell>
          <cell r="O127" t="str">
            <v>Carolyn</v>
          </cell>
          <cell r="P127" t="str">
            <v>Michal</v>
          </cell>
          <cell r="Q127" t="str">
            <v>L-PC-USERS</v>
          </cell>
          <cell r="R127" t="str">
            <v>Shared Platforms</v>
          </cell>
          <cell r="S127">
            <v>700000</v>
          </cell>
          <cell r="T127">
            <v>720000</v>
          </cell>
          <cell r="U127">
            <v>20000</v>
          </cell>
          <cell r="V127">
            <v>664618.65</v>
          </cell>
        </row>
        <row r="128">
          <cell r="A128" t="str">
            <v>Professional DevOps - S&amp;M</v>
          </cell>
          <cell r="B128" t="str">
            <v>CW9370</v>
          </cell>
          <cell r="C128">
            <v>68427719</v>
          </cell>
          <cell r="D128" t="str">
            <v>485074001</v>
          </cell>
          <cell r="E128" t="str">
            <v>Accenture Appl. supp</v>
          </cell>
          <cell r="F128" t="str">
            <v>Application Support</v>
          </cell>
          <cell r="G128"/>
          <cell r="H128" t="str">
            <v>APP002132</v>
          </cell>
          <cell r="I128">
            <v>209288</v>
          </cell>
          <cell r="J128" t="str">
            <v>Emakina</v>
          </cell>
          <cell r="K128"/>
          <cell r="L128"/>
          <cell r="M128"/>
          <cell r="N128" t="str">
            <v>Linda</v>
          </cell>
          <cell r="O128" t="str">
            <v>Linda</v>
          </cell>
          <cell r="P128" t="str">
            <v>Linda</v>
          </cell>
          <cell r="Q128" t="str">
            <v>L-SF-USERS</v>
          </cell>
          <cell r="R128" t="str">
            <v>Professional DevOps</v>
          </cell>
          <cell r="S128">
            <v>625000</v>
          </cell>
          <cell r="T128">
            <v>695000</v>
          </cell>
          <cell r="U128">
            <v>70000</v>
          </cell>
          <cell r="V128">
            <v>625000</v>
          </cell>
        </row>
        <row r="129">
          <cell r="A129" t="str">
            <v>Appl. Development Enhancement Services – SAP/NSA</v>
          </cell>
          <cell r="B129" t="str">
            <v>CW4363</v>
          </cell>
          <cell r="C129">
            <v>68427709</v>
          </cell>
          <cell r="D129" t="str">
            <v>485074001</v>
          </cell>
          <cell r="E129" t="str">
            <v>Accenture Appl. supp</v>
          </cell>
          <cell r="F129" t="str">
            <v>Application Support</v>
          </cell>
          <cell r="G129" t="str">
            <v>SAP suite</v>
          </cell>
          <cell r="H129" t="str">
            <v>APP000018</v>
          </cell>
          <cell r="I129">
            <v>187516</v>
          </cell>
          <cell r="J129" t="str">
            <v>Accenture</v>
          </cell>
          <cell r="K129"/>
          <cell r="L129">
            <v>5401023508</v>
          </cell>
          <cell r="M129">
            <v>70</v>
          </cell>
          <cell r="N129" t="str">
            <v>Robin</v>
          </cell>
          <cell r="O129" t="str">
            <v>Carolyn</v>
          </cell>
          <cell r="P129" t="str">
            <v>Lieke</v>
          </cell>
          <cell r="Q129" t="str">
            <v>L-SAP-USERS</v>
          </cell>
          <cell r="R129" t="str">
            <v>Shared Platforms</v>
          </cell>
          <cell r="S129">
            <v>650000</v>
          </cell>
          <cell r="T129">
            <v>650000</v>
          </cell>
          <cell r="U129">
            <v>0</v>
          </cell>
          <cell r="V129">
            <v>600002.94999999995</v>
          </cell>
        </row>
        <row r="130">
          <cell r="A130" t="str">
            <v>iPaaS Dellboomi DevOps Support</v>
          </cell>
          <cell r="C130">
            <v>68427709</v>
          </cell>
          <cell r="D130" t="str">
            <v>485074001</v>
          </cell>
          <cell r="E130" t="str">
            <v>Accenture Appl. supp</v>
          </cell>
          <cell r="F130" t="str">
            <v>Application Support</v>
          </cell>
          <cell r="G130"/>
          <cell r="H130" t="str">
            <v>APP002101</v>
          </cell>
          <cell r="I130">
            <v>187516</v>
          </cell>
          <cell r="J130" t="str">
            <v>Accenture</v>
          </cell>
          <cell r="K130"/>
          <cell r="L130">
            <v>5401023508</v>
          </cell>
          <cell r="M130">
            <v>170</v>
          </cell>
          <cell r="N130" t="str">
            <v>Robin</v>
          </cell>
          <cell r="O130" t="str">
            <v>Carolyn</v>
          </cell>
          <cell r="P130" t="str">
            <v>Roberto</v>
          </cell>
          <cell r="Q130" t="str">
            <v>L-SAP-USERS</v>
          </cell>
          <cell r="R130" t="str">
            <v>Shared Platforms</v>
          </cell>
          <cell r="S130">
            <v>470000</v>
          </cell>
          <cell r="T130">
            <v>545000</v>
          </cell>
          <cell r="U130">
            <v>75000</v>
          </cell>
          <cell r="V130">
            <v>503079.4</v>
          </cell>
        </row>
        <row r="131">
          <cell r="A131" t="str">
            <v>Core AMS - Incident Management Services</v>
          </cell>
          <cell r="B131" t="str">
            <v>CW4363</v>
          </cell>
          <cell r="C131">
            <v>68427709</v>
          </cell>
          <cell r="D131" t="str">
            <v>485074001</v>
          </cell>
          <cell r="E131" t="str">
            <v>Accenture Appl. supp</v>
          </cell>
          <cell r="F131" t="str">
            <v>Application Support</v>
          </cell>
          <cell r="G131" t="str">
            <v>SAP suite</v>
          </cell>
          <cell r="H131" t="str">
            <v>APP000018</v>
          </cell>
          <cell r="I131">
            <v>187516</v>
          </cell>
          <cell r="J131" t="str">
            <v>Accenture</v>
          </cell>
          <cell r="K131"/>
          <cell r="L131">
            <v>5401023508</v>
          </cell>
          <cell r="M131">
            <v>10</v>
          </cell>
          <cell r="N131" t="str">
            <v>Robin</v>
          </cell>
          <cell r="O131" t="str">
            <v>Carolyn</v>
          </cell>
          <cell r="P131" t="str">
            <v>Lieke</v>
          </cell>
          <cell r="Q131" t="str">
            <v>L-SAP-USERS</v>
          </cell>
          <cell r="R131" t="str">
            <v>Shared Platforms</v>
          </cell>
          <cell r="S131">
            <v>460000</v>
          </cell>
          <cell r="T131">
            <v>357000</v>
          </cell>
          <cell r="U131">
            <v>-103000</v>
          </cell>
          <cell r="V131">
            <v>329540.08</v>
          </cell>
        </row>
        <row r="132">
          <cell r="A132" t="str">
            <v>Robotics support AMS</v>
          </cell>
          <cell r="B132" t="str">
            <v>CW4363</v>
          </cell>
          <cell r="C132">
            <v>68427709</v>
          </cell>
          <cell r="D132" t="str">
            <v>485074001</v>
          </cell>
          <cell r="E132" t="str">
            <v>Accenture Appl. supp</v>
          </cell>
          <cell r="F132" t="str">
            <v>Application Support</v>
          </cell>
          <cell r="G132" t="str">
            <v>IT4IT</v>
          </cell>
          <cell r="H132" t="str">
            <v>APP002834</v>
          </cell>
          <cell r="I132">
            <v>187516</v>
          </cell>
          <cell r="J132" t="str">
            <v>Accenture</v>
          </cell>
          <cell r="K132"/>
          <cell r="L132">
            <v>5401023508</v>
          </cell>
          <cell r="M132">
            <v>120</v>
          </cell>
          <cell r="N132" t="str">
            <v>Robin</v>
          </cell>
          <cell r="O132" t="str">
            <v>Carolyn</v>
          </cell>
          <cell r="P132" t="str">
            <v>Gagan</v>
          </cell>
          <cell r="Q132" t="str">
            <v>L-PC-USERS</v>
          </cell>
          <cell r="R132" t="str">
            <v>Shared Platforms</v>
          </cell>
          <cell r="S132">
            <v>100000</v>
          </cell>
          <cell r="T132">
            <v>310000</v>
          </cell>
          <cell r="U132">
            <v>210000</v>
          </cell>
          <cell r="V132">
            <v>286155.25</v>
          </cell>
        </row>
        <row r="133">
          <cell r="A133" t="str">
            <v>Service Support 24 X 5 APAC &amp; ANZ</v>
          </cell>
          <cell r="B133" t="str">
            <v>CW4363</v>
          </cell>
          <cell r="C133">
            <v>68427709</v>
          </cell>
          <cell r="D133" t="str">
            <v>485074001</v>
          </cell>
          <cell r="E133" t="str">
            <v>Accenture Appl. supp</v>
          </cell>
          <cell r="F133" t="str">
            <v>Application Support</v>
          </cell>
          <cell r="G133" t="str">
            <v>SAP suite</v>
          </cell>
          <cell r="H133" t="str">
            <v>APP000018</v>
          </cell>
          <cell r="I133">
            <v>187516</v>
          </cell>
          <cell r="J133" t="str">
            <v>Accenture</v>
          </cell>
          <cell r="L133">
            <v>5401023508</v>
          </cell>
          <cell r="M133">
            <v>140</v>
          </cell>
          <cell r="N133" t="str">
            <v>Robin</v>
          </cell>
          <cell r="O133" t="str">
            <v>Carolyn</v>
          </cell>
          <cell r="P133" t="str">
            <v>Robin</v>
          </cell>
          <cell r="Q133" t="str">
            <v>L-SAP-USERS</v>
          </cell>
          <cell r="R133" t="str">
            <v>Shared Platforms</v>
          </cell>
          <cell r="S133">
            <v>305000</v>
          </cell>
          <cell r="T133">
            <v>305000</v>
          </cell>
          <cell r="U133">
            <v>0</v>
          </cell>
          <cell r="V133">
            <v>281539.84999999998</v>
          </cell>
        </row>
        <row r="134">
          <cell r="A134" t="str">
            <v>Development team digital</v>
          </cell>
          <cell r="C134">
            <v>68427709</v>
          </cell>
          <cell r="D134" t="str">
            <v>485074001</v>
          </cell>
          <cell r="E134" t="str">
            <v>Accenture Appl. supp</v>
          </cell>
          <cell r="F134" t="str">
            <v>Application Support</v>
          </cell>
          <cell r="G134"/>
          <cell r="H134" t="str">
            <v>APP001010</v>
          </cell>
          <cell r="I134">
            <v>187516</v>
          </cell>
          <cell r="J134" t="str">
            <v>Accenture</v>
          </cell>
          <cell r="K134"/>
          <cell r="L134">
            <v>5401023508</v>
          </cell>
          <cell r="M134">
            <v>60</v>
          </cell>
          <cell r="N134" t="str">
            <v>Robin</v>
          </cell>
          <cell r="O134" t="str">
            <v>Bas</v>
          </cell>
          <cell r="P134" t="str">
            <v>Bas</v>
          </cell>
          <cell r="Q134" t="str">
            <v>L-PC-USERS</v>
          </cell>
          <cell r="R134" t="str">
            <v>Digital</v>
          </cell>
          <cell r="S134">
            <v>300000</v>
          </cell>
          <cell r="T134">
            <v>300000</v>
          </cell>
          <cell r="U134">
            <v>0</v>
          </cell>
          <cell r="V134">
            <v>257856.98</v>
          </cell>
        </row>
        <row r="135">
          <cell r="A135" t="str">
            <v>Test Factory Services</v>
          </cell>
          <cell r="B135" t="str">
            <v>CW4363</v>
          </cell>
          <cell r="C135">
            <v>68427709</v>
          </cell>
          <cell r="D135" t="str">
            <v>485074001</v>
          </cell>
          <cell r="E135" t="str">
            <v>Accenture Appl. supp</v>
          </cell>
          <cell r="F135" t="str">
            <v>Application Support</v>
          </cell>
          <cell r="G135" t="str">
            <v>SAP suite</v>
          </cell>
          <cell r="H135" t="str">
            <v>APP000018</v>
          </cell>
          <cell r="I135">
            <v>187516</v>
          </cell>
          <cell r="J135" t="str">
            <v>Accenture</v>
          </cell>
          <cell r="K135"/>
          <cell r="L135">
            <v>5401023508</v>
          </cell>
          <cell r="M135">
            <v>90</v>
          </cell>
          <cell r="N135" t="str">
            <v>Robin</v>
          </cell>
          <cell r="O135" t="str">
            <v>Carolyn</v>
          </cell>
          <cell r="P135" t="str">
            <v>Gagan</v>
          </cell>
          <cell r="Q135" t="str">
            <v>L-SAP-USERS</v>
          </cell>
          <cell r="R135" t="str">
            <v>Shared Platforms</v>
          </cell>
          <cell r="S135">
            <v>250000</v>
          </cell>
          <cell r="T135">
            <v>250000</v>
          </cell>
          <cell r="U135">
            <v>0</v>
          </cell>
          <cell r="V135">
            <v>230770.37</v>
          </cell>
        </row>
        <row r="136">
          <cell r="A136" t="str">
            <v>Professional DevOps - TS</v>
          </cell>
          <cell r="B136" t="str">
            <v>CW9370</v>
          </cell>
          <cell r="C136">
            <v>68427719</v>
          </cell>
          <cell r="D136" t="str">
            <v>485074001</v>
          </cell>
          <cell r="E136" t="str">
            <v>Accenture Appl. supp</v>
          </cell>
          <cell r="F136" t="str">
            <v>Application Support</v>
          </cell>
          <cell r="G136"/>
          <cell r="H136" t="str">
            <v>APP001725</v>
          </cell>
          <cell r="I136">
            <v>209288</v>
          </cell>
          <cell r="J136" t="str">
            <v>Emakina</v>
          </cell>
          <cell r="K136"/>
          <cell r="L136"/>
          <cell r="M136"/>
          <cell r="N136" t="str">
            <v>Linda</v>
          </cell>
          <cell r="O136" t="str">
            <v>Linda</v>
          </cell>
          <cell r="P136" t="str">
            <v>Linda</v>
          </cell>
          <cell r="Q136" t="str">
            <v>L-CLICK-USERS</v>
          </cell>
          <cell r="R136" t="str">
            <v>Professional DevOps</v>
          </cell>
          <cell r="S136">
            <v>200000</v>
          </cell>
          <cell r="T136">
            <v>230000</v>
          </cell>
          <cell r="U136">
            <v>30000</v>
          </cell>
          <cell r="V136">
            <v>200000</v>
          </cell>
        </row>
        <row r="137">
          <cell r="A137" t="str">
            <v>DevOps SFDC - DTC</v>
          </cell>
          <cell r="B137" t="str">
            <v>CW4363</v>
          </cell>
          <cell r="C137">
            <v>68427709</v>
          </cell>
          <cell r="D137" t="str">
            <v>485074001</v>
          </cell>
          <cell r="E137" t="str">
            <v>Accenture Appl. supp</v>
          </cell>
          <cell r="F137" t="str">
            <v>Application Support</v>
          </cell>
          <cell r="G137"/>
          <cell r="H137" t="str">
            <v>APP001874</v>
          </cell>
          <cell r="I137">
            <v>187516</v>
          </cell>
          <cell r="J137" t="str">
            <v>Accenture</v>
          </cell>
          <cell r="K137"/>
          <cell r="L137">
            <v>5401023508</v>
          </cell>
          <cell r="M137">
            <v>100</v>
          </cell>
          <cell r="N137" t="str">
            <v>Robin</v>
          </cell>
          <cell r="O137" t="str">
            <v>Bas</v>
          </cell>
          <cell r="P137" t="str">
            <v>Bas</v>
          </cell>
          <cell r="Q137" t="str">
            <v>L-PC-USERS</v>
          </cell>
          <cell r="R137" t="str">
            <v>Digital</v>
          </cell>
          <cell r="S137">
            <v>136000</v>
          </cell>
          <cell r="T137">
            <v>206000</v>
          </cell>
          <cell r="U137">
            <v>70000</v>
          </cell>
          <cell r="V137">
            <v>136000</v>
          </cell>
        </row>
        <row r="138">
          <cell r="A138" t="str">
            <v>Connected Coffee Machine Support</v>
          </cell>
          <cell r="B138" t="str">
            <v>CW9430</v>
          </cell>
          <cell r="C138">
            <v>68427719</v>
          </cell>
          <cell r="D138" t="str">
            <v>485074001</v>
          </cell>
          <cell r="E138" t="str">
            <v>Accenture Appl. supp</v>
          </cell>
          <cell r="F138" t="str">
            <v>Application Support</v>
          </cell>
          <cell r="G138"/>
          <cell r="H138" t="str">
            <v>APP002668</v>
          </cell>
          <cell r="I138">
            <v>196055</v>
          </cell>
          <cell r="J138" t="str">
            <v>Cognizant</v>
          </cell>
          <cell r="K138"/>
          <cell r="L138">
            <v>5401019020</v>
          </cell>
          <cell r="M138">
            <v>10</v>
          </cell>
          <cell r="N138" t="str">
            <v>Robin</v>
          </cell>
          <cell r="O138" t="str">
            <v>Linda</v>
          </cell>
          <cell r="P138" t="str">
            <v>Kelvin</v>
          </cell>
          <cell r="Q138" t="str">
            <v>L-PC-USERS</v>
          </cell>
          <cell r="R138" t="str">
            <v>Professional DevOps</v>
          </cell>
          <cell r="S138">
            <v>165000</v>
          </cell>
          <cell r="T138">
            <v>165000</v>
          </cell>
          <cell r="U138">
            <v>0</v>
          </cell>
          <cell r="V138">
            <v>165000</v>
          </cell>
        </row>
        <row r="139">
          <cell r="A139" t="str">
            <v>Identity &amp; Access mgt tool Savyint</v>
          </cell>
          <cell r="B139" t="str">
            <v>CW6059</v>
          </cell>
          <cell r="C139">
            <v>68427709</v>
          </cell>
          <cell r="D139" t="str">
            <v>485074003</v>
          </cell>
          <cell r="E139" t="str">
            <v>Other Sup Appl Sup</v>
          </cell>
          <cell r="F139" t="str">
            <v>Application Support</v>
          </cell>
          <cell r="G139"/>
          <cell r="H139" t="str">
            <v>APP002649</v>
          </cell>
          <cell r="I139">
            <v>198668</v>
          </cell>
          <cell r="J139" t="str">
            <v>Saviynt Europe Ltd</v>
          </cell>
          <cell r="L139">
            <v>5400958294</v>
          </cell>
          <cell r="M139">
            <v>20</v>
          </cell>
          <cell r="N139" t="str">
            <v>Diego</v>
          </cell>
          <cell r="O139" t="str">
            <v>Carolyn</v>
          </cell>
          <cell r="P139" t="str">
            <v>Diego</v>
          </cell>
          <cell r="Q139" t="str">
            <v>L-PC-USERS</v>
          </cell>
          <cell r="R139" t="str">
            <v>Security</v>
          </cell>
          <cell r="S139">
            <v>362000</v>
          </cell>
          <cell r="T139">
            <v>362000</v>
          </cell>
          <cell r="U139">
            <v>0</v>
          </cell>
          <cell r="V139">
            <v>334155.49</v>
          </cell>
        </row>
        <row r="140">
          <cell r="A140" t="str">
            <v>Additional budget outsourcing requests core functions</v>
          </cell>
          <cell r="C140">
            <v>68427709</v>
          </cell>
          <cell r="D140" t="str">
            <v>485074001</v>
          </cell>
          <cell r="E140" t="str">
            <v>Accenture Appl. supp</v>
          </cell>
          <cell r="F140" t="str">
            <v>Application Support</v>
          </cell>
          <cell r="G140" t="str">
            <v>SAP suite</v>
          </cell>
          <cell r="H140" t="str">
            <v>APP000018</v>
          </cell>
          <cell r="I140">
            <v>187516</v>
          </cell>
          <cell r="J140" t="str">
            <v>Accenture</v>
          </cell>
          <cell r="K140"/>
          <cell r="L140"/>
          <cell r="M140"/>
          <cell r="N140" t="str">
            <v>Robin</v>
          </cell>
          <cell r="O140" t="str">
            <v>Carolyn</v>
          </cell>
          <cell r="P140" t="str">
            <v>Lieke</v>
          </cell>
          <cell r="Q140" t="str">
            <v>L-SAP-USERS</v>
          </cell>
          <cell r="R140" t="str">
            <v>Shared Platforms</v>
          </cell>
          <cell r="S140">
            <v>250000</v>
          </cell>
          <cell r="T140">
            <v>150000</v>
          </cell>
          <cell r="U140">
            <v>-100000</v>
          </cell>
          <cell r="V140">
            <v>138462.22</v>
          </cell>
        </row>
        <row r="141">
          <cell r="A141" t="str">
            <v>SuccessFactors Support</v>
          </cell>
          <cell r="B141" t="str">
            <v>CW10432</v>
          </cell>
          <cell r="C141">
            <v>68427709</v>
          </cell>
          <cell r="D141" t="str">
            <v>485074001</v>
          </cell>
          <cell r="E141" t="str">
            <v>Accenture Appl. supp</v>
          </cell>
          <cell r="F141" t="str">
            <v>Application Support</v>
          </cell>
          <cell r="G141"/>
          <cell r="H141" t="str">
            <v>APP002642</v>
          </cell>
          <cell r="I141">
            <v>187516</v>
          </cell>
          <cell r="J141" t="str">
            <v>Accenture</v>
          </cell>
          <cell r="K141"/>
          <cell r="L141">
            <v>5401023508</v>
          </cell>
          <cell r="M141">
            <v>180</v>
          </cell>
          <cell r="N141" t="str">
            <v>Robin</v>
          </cell>
          <cell r="O141" t="str">
            <v>Carolyn</v>
          </cell>
          <cell r="P141" t="str">
            <v>Lieke</v>
          </cell>
          <cell r="Q141" t="str">
            <v>L-PC-USERS</v>
          </cell>
          <cell r="R141" t="str">
            <v>Shared Platforms</v>
          </cell>
          <cell r="S141">
            <v>140000</v>
          </cell>
          <cell r="T141">
            <v>140000</v>
          </cell>
          <cell r="U141">
            <v>0</v>
          </cell>
          <cell r="V141">
            <v>129231.4</v>
          </cell>
        </row>
        <row r="142">
          <cell r="A142" t="str">
            <v>Mandiant Incident Response</v>
          </cell>
          <cell r="C142">
            <v>68427709</v>
          </cell>
          <cell r="D142" t="str">
            <v>485073034</v>
          </cell>
          <cell r="E142" t="str">
            <v>Security</v>
          </cell>
          <cell r="F142" t="str">
            <v>Security</v>
          </cell>
          <cell r="G142" t="str">
            <v>PC and Connectivity</v>
          </cell>
          <cell r="H142" t="str">
            <v>PCConnectivity</v>
          </cell>
          <cell r="I142">
            <v>209773</v>
          </cell>
          <cell r="J142" t="str">
            <v>Mandiant Ireland Limited</v>
          </cell>
          <cell r="K142"/>
          <cell r="L142">
            <v>5401041896</v>
          </cell>
          <cell r="M142">
            <v>10</v>
          </cell>
          <cell r="N142" t="str">
            <v>Diego</v>
          </cell>
          <cell r="O142" t="str">
            <v>Carolyn</v>
          </cell>
          <cell r="P142" t="str">
            <v>Diego</v>
          </cell>
          <cell r="Q142" t="str">
            <v>L-PC-USERS</v>
          </cell>
          <cell r="R142" t="str">
            <v>Security</v>
          </cell>
          <cell r="S142">
            <v>74000</v>
          </cell>
          <cell r="T142">
            <v>74000</v>
          </cell>
          <cell r="U142">
            <v>0</v>
          </cell>
          <cell r="V142">
            <v>68308.03</v>
          </cell>
        </row>
        <row r="143">
          <cell r="A143" t="str">
            <v>Small projects funding (support)</v>
          </cell>
          <cell r="C143">
            <v>68427709</v>
          </cell>
          <cell r="D143" t="str">
            <v>485074001</v>
          </cell>
          <cell r="E143" t="str">
            <v>Accenture Appl. supp</v>
          </cell>
          <cell r="F143" t="str">
            <v>Application Support</v>
          </cell>
          <cell r="G143" t="str">
            <v>SAP suite</v>
          </cell>
          <cell r="H143" t="str">
            <v>APP000018</v>
          </cell>
          <cell r="I143">
            <v>187516</v>
          </cell>
          <cell r="J143" t="str">
            <v>Accenture</v>
          </cell>
          <cell r="K143"/>
          <cell r="L143">
            <v>5401023610</v>
          </cell>
          <cell r="M143">
            <v>10</v>
          </cell>
          <cell r="N143" t="str">
            <v>Robin</v>
          </cell>
          <cell r="O143" t="str">
            <v>Carolyn</v>
          </cell>
          <cell r="P143" t="str">
            <v>Robin</v>
          </cell>
          <cell r="Q143" t="str">
            <v>L-SAP-USERS</v>
          </cell>
          <cell r="R143" t="str">
            <v>Shared Platforms</v>
          </cell>
          <cell r="S143">
            <v>128000</v>
          </cell>
          <cell r="T143">
            <v>128000</v>
          </cell>
          <cell r="U143">
            <v>0</v>
          </cell>
          <cell r="V143">
            <v>118154.43</v>
          </cell>
        </row>
        <row r="144">
          <cell r="A144" t="str">
            <v>Core AMS - Enhancement Services – AM – SAP/NSA</v>
          </cell>
          <cell r="B144" t="str">
            <v>CW4363</v>
          </cell>
          <cell r="C144">
            <v>68427709</v>
          </cell>
          <cell r="D144" t="str">
            <v>485074001</v>
          </cell>
          <cell r="E144" t="str">
            <v>Accenture Appl. supp</v>
          </cell>
          <cell r="F144" t="str">
            <v>Application Support</v>
          </cell>
          <cell r="G144" t="str">
            <v>SAP suite</v>
          </cell>
          <cell r="H144" t="str">
            <v>APP000018</v>
          </cell>
          <cell r="I144">
            <v>187516</v>
          </cell>
          <cell r="J144" t="str">
            <v>Accenture</v>
          </cell>
          <cell r="K144"/>
          <cell r="L144">
            <v>5401023508</v>
          </cell>
          <cell r="M144">
            <v>50</v>
          </cell>
          <cell r="N144" t="str">
            <v>Robin</v>
          </cell>
          <cell r="O144" t="str">
            <v>Carolyn</v>
          </cell>
          <cell r="P144" t="str">
            <v>Lieke</v>
          </cell>
          <cell r="Q144" t="str">
            <v>L-SAP-USERS</v>
          </cell>
          <cell r="R144" t="str">
            <v>Shared Platforms</v>
          </cell>
          <cell r="S144">
            <v>120000</v>
          </cell>
          <cell r="T144">
            <v>120000</v>
          </cell>
          <cell r="U144">
            <v>0</v>
          </cell>
          <cell r="V144">
            <v>110769.78</v>
          </cell>
        </row>
        <row r="145">
          <cell r="A145" t="str">
            <v>OT RAS - (Tech. Account Man.)</v>
          </cell>
          <cell r="B145"/>
          <cell r="C145">
            <v>68427709</v>
          </cell>
          <cell r="D145" t="str">
            <v>485073034</v>
          </cell>
          <cell r="E145" t="str">
            <v>Security</v>
          </cell>
          <cell r="F145" t="str">
            <v>Security</v>
          </cell>
          <cell r="G145" t="str">
            <v>Factory Security</v>
          </cell>
          <cell r="H145" t="str">
            <v>Music3</v>
          </cell>
          <cell r="I145"/>
          <cell r="J145"/>
          <cell r="K145"/>
          <cell r="L145"/>
          <cell r="M145"/>
          <cell r="N145" t="str">
            <v>Diego</v>
          </cell>
          <cell r="O145" t="str">
            <v>Music3</v>
          </cell>
          <cell r="P145" t="str">
            <v>Diego</v>
          </cell>
          <cell r="Q145" t="str">
            <v>L-FACTORIES-SIZE</v>
          </cell>
          <cell r="R145" t="str">
            <v>Music3</v>
          </cell>
          <cell r="S145"/>
          <cell r="T145">
            <v>12000</v>
          </cell>
          <cell r="U145">
            <v>12000</v>
          </cell>
          <cell r="V145">
            <v>12000</v>
          </cell>
        </row>
        <row r="146">
          <cell r="A146" t="str">
            <v>SPSS Upgrade</v>
          </cell>
          <cell r="C146">
            <v>68427709</v>
          </cell>
          <cell r="D146" t="str">
            <v>485074001</v>
          </cell>
          <cell r="E146" t="str">
            <v>Accenture Appl. supp</v>
          </cell>
          <cell r="F146" t="str">
            <v>Application Support</v>
          </cell>
          <cell r="G146" t="str">
            <v>SAP suite</v>
          </cell>
          <cell r="H146" t="str">
            <v>APP000018</v>
          </cell>
          <cell r="I146">
            <v>187516</v>
          </cell>
          <cell r="J146" t="str">
            <v>Accenture</v>
          </cell>
          <cell r="K146"/>
          <cell r="L146"/>
          <cell r="M146"/>
          <cell r="N146" t="str">
            <v>Robin</v>
          </cell>
          <cell r="O146" t="str">
            <v>Carolyn</v>
          </cell>
          <cell r="P146" t="str">
            <v>Rob</v>
          </cell>
          <cell r="Q146" t="str">
            <v>L-SAP-USERS</v>
          </cell>
          <cell r="R146" t="str">
            <v>Shared Platforms</v>
          </cell>
          <cell r="S146">
            <v>110000</v>
          </cell>
          <cell r="T146">
            <v>110000</v>
          </cell>
          <cell r="U146">
            <v>0</v>
          </cell>
          <cell r="V146">
            <v>101538.96</v>
          </cell>
        </row>
        <row r="147">
          <cell r="A147" t="str">
            <v>ITSM SIAMS / EUC</v>
          </cell>
          <cell r="C147">
            <v>68427709</v>
          </cell>
          <cell r="D147" t="str">
            <v>485074001</v>
          </cell>
          <cell r="E147" t="str">
            <v>Accenture Appl. supp</v>
          </cell>
          <cell r="F147" t="str">
            <v>Application Support</v>
          </cell>
          <cell r="G147"/>
          <cell r="H147" t="str">
            <v>APP000007</v>
          </cell>
          <cell r="I147">
            <v>187516</v>
          </cell>
          <cell r="J147" t="str">
            <v>Accenture</v>
          </cell>
          <cell r="K147"/>
          <cell r="L147"/>
          <cell r="M147"/>
          <cell r="N147" t="str">
            <v>Michal</v>
          </cell>
          <cell r="O147" t="str">
            <v>Carolyn</v>
          </cell>
          <cell r="P147" t="str">
            <v>Michal</v>
          </cell>
          <cell r="Q147" t="str">
            <v>L-PC-USERS</v>
          </cell>
          <cell r="R147" t="str">
            <v>Shared Platforms</v>
          </cell>
          <cell r="S147">
            <v>100000</v>
          </cell>
          <cell r="T147">
            <v>100000</v>
          </cell>
          <cell r="U147">
            <v>0</v>
          </cell>
          <cell r="V147">
            <v>92308.15</v>
          </cell>
        </row>
        <row r="148">
          <cell r="A148" t="str">
            <v>Other services/ bonus</v>
          </cell>
          <cell r="B148" t="str">
            <v>CW4363</v>
          </cell>
          <cell r="C148">
            <v>68427709</v>
          </cell>
          <cell r="D148" t="str">
            <v>485074001</v>
          </cell>
          <cell r="E148" t="str">
            <v>Accenture Appl. supp</v>
          </cell>
          <cell r="F148" t="str">
            <v>Application Support</v>
          </cell>
          <cell r="G148" t="str">
            <v>SAP suite</v>
          </cell>
          <cell r="H148" t="str">
            <v>APP000018</v>
          </cell>
          <cell r="I148">
            <v>187516</v>
          </cell>
          <cell r="J148" t="str">
            <v>Accenture</v>
          </cell>
          <cell r="K148"/>
          <cell r="L148">
            <v>5401023508</v>
          </cell>
          <cell r="M148">
            <v>190</v>
          </cell>
          <cell r="N148" t="str">
            <v>Robin</v>
          </cell>
          <cell r="O148" t="str">
            <v>Carolyn</v>
          </cell>
          <cell r="P148" t="str">
            <v>Lieke</v>
          </cell>
          <cell r="Q148" t="str">
            <v>L-SAP-USERS</v>
          </cell>
          <cell r="R148" t="str">
            <v>Shared Platforms</v>
          </cell>
          <cell r="S148">
            <v>100000</v>
          </cell>
          <cell r="T148">
            <v>100000</v>
          </cell>
          <cell r="U148">
            <v>0</v>
          </cell>
          <cell r="V148">
            <v>92308.15</v>
          </cell>
        </row>
        <row r="149">
          <cell r="A149" t="str">
            <v>SAP Lifecycle Management</v>
          </cell>
          <cell r="B149" t="str">
            <v>CW4702</v>
          </cell>
          <cell r="C149">
            <v>68427709</v>
          </cell>
          <cell r="D149" t="str">
            <v>485074001</v>
          </cell>
          <cell r="E149" t="str">
            <v>Accenture Appl. supp</v>
          </cell>
          <cell r="F149" t="str">
            <v>Application Support</v>
          </cell>
          <cell r="G149" t="str">
            <v>SAP suite</v>
          </cell>
          <cell r="H149" t="str">
            <v>APP000018</v>
          </cell>
          <cell r="I149">
            <v>187516</v>
          </cell>
          <cell r="J149" t="str">
            <v>Accenture</v>
          </cell>
          <cell r="L149"/>
          <cell r="M149"/>
          <cell r="N149" t="str">
            <v>Robin</v>
          </cell>
          <cell r="O149" t="str">
            <v>Carolyn</v>
          </cell>
          <cell r="P149" t="str">
            <v>Robin</v>
          </cell>
          <cell r="Q149" t="str">
            <v>L-SAP-USERS</v>
          </cell>
          <cell r="R149" t="str">
            <v>Shared Platforms</v>
          </cell>
          <cell r="S149">
            <v>100000</v>
          </cell>
          <cell r="T149">
            <v>100000</v>
          </cell>
          <cell r="U149">
            <v>0</v>
          </cell>
          <cell r="V149">
            <v>92308.15</v>
          </cell>
        </row>
        <row r="150">
          <cell r="A150" t="str">
            <v>Core AMS - Websites</v>
          </cell>
          <cell r="B150" t="str">
            <v>CW4363</v>
          </cell>
          <cell r="C150">
            <v>68427709</v>
          </cell>
          <cell r="D150" t="str">
            <v>485074001</v>
          </cell>
          <cell r="E150" t="str">
            <v>Accenture Appl. supp</v>
          </cell>
          <cell r="F150" t="str">
            <v>Application Support</v>
          </cell>
          <cell r="G150"/>
          <cell r="H150" t="str">
            <v>APP001010</v>
          </cell>
          <cell r="I150">
            <v>187516</v>
          </cell>
          <cell r="J150" t="str">
            <v>Accenture</v>
          </cell>
          <cell r="K150"/>
          <cell r="L150">
            <v>5401023508</v>
          </cell>
          <cell r="M150">
            <v>30</v>
          </cell>
          <cell r="N150" t="str">
            <v>Robin</v>
          </cell>
          <cell r="O150" t="str">
            <v>Carolyn</v>
          </cell>
          <cell r="P150" t="str">
            <v>Lieke</v>
          </cell>
          <cell r="Q150" t="str">
            <v>L-PC-USERS</v>
          </cell>
          <cell r="R150" t="str">
            <v>Shared Platforms</v>
          </cell>
          <cell r="S150">
            <v>270000</v>
          </cell>
          <cell r="T150">
            <v>70000</v>
          </cell>
          <cell r="U150">
            <v>-200000</v>
          </cell>
          <cell r="V150">
            <v>64615.7</v>
          </cell>
        </row>
        <row r="151">
          <cell r="A151" t="str">
            <v>Service Reliability Engineers (SRE)</v>
          </cell>
          <cell r="B151" t="str">
            <v>CW4363</v>
          </cell>
          <cell r="C151">
            <v>68427709</v>
          </cell>
          <cell r="D151" t="str">
            <v>485074001</v>
          </cell>
          <cell r="E151" t="str">
            <v>Accenture Appl. supp</v>
          </cell>
          <cell r="F151" t="str">
            <v>Application Support</v>
          </cell>
          <cell r="G151" t="str">
            <v>SAP suite</v>
          </cell>
          <cell r="H151" t="str">
            <v>APP000018</v>
          </cell>
          <cell r="I151">
            <v>187516</v>
          </cell>
          <cell r="J151" t="str">
            <v>Accenture</v>
          </cell>
          <cell r="K151"/>
          <cell r="L151">
            <v>5401023508</v>
          </cell>
          <cell r="M151">
            <v>130</v>
          </cell>
          <cell r="N151" t="str">
            <v>Robin</v>
          </cell>
          <cell r="O151" t="str">
            <v>Carolyn</v>
          </cell>
          <cell r="P151" t="str">
            <v>Lieke</v>
          </cell>
          <cell r="Q151" t="str">
            <v>L-SAP-USERS</v>
          </cell>
          <cell r="R151" t="str">
            <v>Shared Platforms</v>
          </cell>
          <cell r="S151">
            <v>69000</v>
          </cell>
          <cell r="T151">
            <v>69000</v>
          </cell>
          <cell r="U151">
            <v>0</v>
          </cell>
          <cell r="V151">
            <v>63692.62</v>
          </cell>
        </row>
        <row r="152">
          <cell r="A152" t="str">
            <v>Core AMS - User Management Services</v>
          </cell>
          <cell r="B152" t="str">
            <v>CW4363</v>
          </cell>
          <cell r="C152">
            <v>68427709</v>
          </cell>
          <cell r="D152" t="str">
            <v>485074001</v>
          </cell>
          <cell r="E152" t="str">
            <v>Accenture Appl. supp</v>
          </cell>
          <cell r="F152" t="str">
            <v>Application Support</v>
          </cell>
          <cell r="G152" t="str">
            <v>SAP suite</v>
          </cell>
          <cell r="H152" t="str">
            <v>APP000018</v>
          </cell>
          <cell r="I152">
            <v>187516</v>
          </cell>
          <cell r="J152" t="str">
            <v>Accenture</v>
          </cell>
          <cell r="K152"/>
          <cell r="L152">
            <v>5401023508</v>
          </cell>
          <cell r="M152">
            <v>20</v>
          </cell>
          <cell r="N152" t="str">
            <v>Robin</v>
          </cell>
          <cell r="O152" t="str">
            <v>Carolyn</v>
          </cell>
          <cell r="P152" t="str">
            <v>Lieke</v>
          </cell>
          <cell r="Q152" t="str">
            <v>L-SAP-USERS</v>
          </cell>
          <cell r="R152" t="str">
            <v>Shared Platforms</v>
          </cell>
          <cell r="S152">
            <v>65000</v>
          </cell>
          <cell r="T152">
            <v>65000</v>
          </cell>
          <cell r="U152">
            <v>0</v>
          </cell>
          <cell r="V152">
            <v>60000.29</v>
          </cell>
        </row>
        <row r="153">
          <cell r="A153" t="str">
            <v>SAP C4C Support</v>
          </cell>
          <cell r="C153">
            <v>68427709</v>
          </cell>
          <cell r="D153" t="str">
            <v>485074001</v>
          </cell>
          <cell r="E153" t="str">
            <v>Accenture Appl. supp</v>
          </cell>
          <cell r="F153" t="str">
            <v>Application Support</v>
          </cell>
          <cell r="G153" t="str">
            <v>SAP suite</v>
          </cell>
          <cell r="H153" t="str">
            <v>APP000029</v>
          </cell>
          <cell r="I153">
            <v>187516</v>
          </cell>
          <cell r="J153" t="str">
            <v>Accenture</v>
          </cell>
          <cell r="K153"/>
          <cell r="L153"/>
          <cell r="M153"/>
          <cell r="N153" t="str">
            <v>Robin</v>
          </cell>
          <cell r="O153" t="str">
            <v>Carolyn</v>
          </cell>
          <cell r="P153" t="str">
            <v>Lieke</v>
          </cell>
          <cell r="Q153" t="str">
            <v>L-C4C-USERS</v>
          </cell>
          <cell r="R153" t="str">
            <v>Shared Platforms</v>
          </cell>
          <cell r="S153">
            <v>65000</v>
          </cell>
          <cell r="T153">
            <v>65000</v>
          </cell>
          <cell r="U153">
            <v>0</v>
          </cell>
          <cell r="V153">
            <v>60000.29</v>
          </cell>
        </row>
        <row r="154">
          <cell r="A154" t="str">
            <v>AMS / Service Desk Onboarding</v>
          </cell>
          <cell r="B154" t="str">
            <v>CW4363</v>
          </cell>
          <cell r="C154">
            <v>68427709</v>
          </cell>
          <cell r="D154" t="str">
            <v>485074001</v>
          </cell>
          <cell r="E154" t="str">
            <v>Accenture Appl. supp</v>
          </cell>
          <cell r="F154" t="str">
            <v>Application Support</v>
          </cell>
          <cell r="G154" t="str">
            <v>SAP suite</v>
          </cell>
          <cell r="H154" t="str">
            <v>SAPAPPS</v>
          </cell>
          <cell r="I154">
            <v>187516</v>
          </cell>
          <cell r="J154" t="str">
            <v>Accenture</v>
          </cell>
          <cell r="K154"/>
          <cell r="L154"/>
          <cell r="M154"/>
          <cell r="N154" t="str">
            <v>Robin</v>
          </cell>
          <cell r="O154" t="str">
            <v>Carolyn</v>
          </cell>
          <cell r="P154" t="str">
            <v>Lieke</v>
          </cell>
          <cell r="Q154" t="str">
            <v>L-SAP-USERS</v>
          </cell>
          <cell r="R154" t="str">
            <v>Shared Platforms</v>
          </cell>
          <cell r="S154">
            <v>50000</v>
          </cell>
          <cell r="T154">
            <v>50000</v>
          </cell>
          <cell r="U154">
            <v>0</v>
          </cell>
          <cell r="V154">
            <v>46154.07</v>
          </cell>
        </row>
        <row r="155">
          <cell r="A155" t="str">
            <v>Jira Support</v>
          </cell>
          <cell r="C155">
            <v>68427709</v>
          </cell>
          <cell r="D155" t="str">
            <v>485074001</v>
          </cell>
          <cell r="E155" t="str">
            <v>Accenture Appl. supp</v>
          </cell>
          <cell r="F155" t="str">
            <v>Application Support</v>
          </cell>
          <cell r="G155" t="str">
            <v>IT4IT</v>
          </cell>
          <cell r="H155" t="str">
            <v>APP000150</v>
          </cell>
          <cell r="I155">
            <v>187516</v>
          </cell>
          <cell r="J155" t="str">
            <v>Accenture</v>
          </cell>
          <cell r="K155"/>
          <cell r="L155"/>
          <cell r="M155"/>
          <cell r="N155" t="str">
            <v>Robin</v>
          </cell>
          <cell r="O155" t="str">
            <v>Carolyn</v>
          </cell>
          <cell r="P155" t="str">
            <v>Lieke</v>
          </cell>
          <cell r="Q155" t="str">
            <v>L-PC-USERS</v>
          </cell>
          <cell r="R155" t="str">
            <v>Shared Platforms</v>
          </cell>
          <cell r="S155">
            <v>65000</v>
          </cell>
          <cell r="T155">
            <v>38000</v>
          </cell>
          <cell r="U155">
            <v>-27000</v>
          </cell>
          <cell r="V155">
            <v>35077.1</v>
          </cell>
        </row>
        <row r="156">
          <cell r="A156" t="str">
            <v>Splunk Monitoring</v>
          </cell>
          <cell r="C156">
            <v>68427709</v>
          </cell>
          <cell r="D156" t="str">
            <v>485074001</v>
          </cell>
          <cell r="E156" t="str">
            <v>Accenture Appl. supp</v>
          </cell>
          <cell r="F156" t="str">
            <v>Application Support</v>
          </cell>
          <cell r="G156"/>
          <cell r="H156" t="str">
            <v>APP002856</v>
          </cell>
          <cell r="I156">
            <v>187516</v>
          </cell>
          <cell r="J156" t="str">
            <v>Accenture</v>
          </cell>
          <cell r="K156"/>
          <cell r="L156">
            <v>5400976834</v>
          </cell>
          <cell r="M156">
            <v>10</v>
          </cell>
          <cell r="N156" t="str">
            <v>Robin</v>
          </cell>
          <cell r="O156" t="str">
            <v>Carolyn</v>
          </cell>
          <cell r="P156" t="str">
            <v>Robin</v>
          </cell>
          <cell r="Q156" t="str">
            <v>L-PC-USERS</v>
          </cell>
          <cell r="R156" t="str">
            <v>Shared Platforms</v>
          </cell>
          <cell r="S156">
            <v>25000</v>
          </cell>
          <cell r="T156">
            <v>25000</v>
          </cell>
          <cell r="U156">
            <v>0</v>
          </cell>
          <cell r="V156">
            <v>23077.040000000001</v>
          </cell>
        </row>
        <row r="157">
          <cell r="A157" t="str">
            <v>Appl. Development Enhancement Services – Digital</v>
          </cell>
          <cell r="B157" t="str">
            <v>CW4363</v>
          </cell>
          <cell r="C157">
            <v>68427709</v>
          </cell>
          <cell r="D157" t="str">
            <v>485074001</v>
          </cell>
          <cell r="E157" t="str">
            <v>Accenture Appl. supp</v>
          </cell>
          <cell r="F157" t="str">
            <v>Application Support</v>
          </cell>
          <cell r="G157"/>
          <cell r="H157" t="str">
            <v>APP001010</v>
          </cell>
          <cell r="I157">
            <v>187516</v>
          </cell>
          <cell r="J157" t="str">
            <v>Accenture</v>
          </cell>
          <cell r="K157"/>
          <cell r="L157">
            <v>5401023508</v>
          </cell>
          <cell r="M157">
            <v>80</v>
          </cell>
          <cell r="N157" t="str">
            <v>Robin</v>
          </cell>
          <cell r="O157" t="str">
            <v>Carolyn</v>
          </cell>
          <cell r="P157" t="str">
            <v>Lieke</v>
          </cell>
          <cell r="Q157" t="str">
            <v>L-PC-USERS</v>
          </cell>
          <cell r="R157" t="str">
            <v>Shared Platforms</v>
          </cell>
          <cell r="S157">
            <v>180000</v>
          </cell>
          <cell r="T157">
            <v>0</v>
          </cell>
          <cell r="U157">
            <v>-180000</v>
          </cell>
          <cell r="V157">
            <v>0</v>
          </cell>
        </row>
        <row r="158">
          <cell r="A158" t="str">
            <v>Core AMS - Enhancement Services – AM – Digital</v>
          </cell>
          <cell r="B158" t="str">
            <v>CW4363</v>
          </cell>
          <cell r="C158">
            <v>68427709</v>
          </cell>
          <cell r="D158" t="str">
            <v>485074001</v>
          </cell>
          <cell r="E158" t="str">
            <v>Accenture Appl. supp</v>
          </cell>
          <cell r="F158" t="str">
            <v>Application Support</v>
          </cell>
          <cell r="G158"/>
          <cell r="H158" t="str">
            <v>APP001010</v>
          </cell>
          <cell r="I158">
            <v>187516</v>
          </cell>
          <cell r="J158" t="str">
            <v>Accenture</v>
          </cell>
          <cell r="K158"/>
          <cell r="L158">
            <v>5401023508</v>
          </cell>
          <cell r="M158">
            <v>60</v>
          </cell>
          <cell r="N158" t="str">
            <v>Robin</v>
          </cell>
          <cell r="O158" t="str">
            <v>Carolyn</v>
          </cell>
          <cell r="P158" t="str">
            <v>Lieke</v>
          </cell>
          <cell r="Q158" t="str">
            <v>L-PC-USERS</v>
          </cell>
          <cell r="R158" t="str">
            <v>Shared Platforms</v>
          </cell>
          <cell r="S158">
            <v>45000</v>
          </cell>
          <cell r="T158">
            <v>0</v>
          </cell>
          <cell r="U158">
            <v>-45000</v>
          </cell>
          <cell r="V158">
            <v>0</v>
          </cell>
        </row>
        <row r="159">
          <cell r="A159" t="str">
            <v>Azure Cloud Monitoring &amp; Support</v>
          </cell>
          <cell r="B159" t="str">
            <v>CW4363</v>
          </cell>
          <cell r="C159">
            <v>68427709</v>
          </cell>
          <cell r="D159" t="str">
            <v>485074001</v>
          </cell>
          <cell r="E159" t="str">
            <v>Accenture Appl. supp</v>
          </cell>
          <cell r="F159" t="str">
            <v>Application Support</v>
          </cell>
          <cell r="G159"/>
          <cell r="H159" t="str">
            <v>APP001010</v>
          </cell>
          <cell r="I159">
            <v>187516</v>
          </cell>
          <cell r="J159" t="str">
            <v>Accenture</v>
          </cell>
          <cell r="K159"/>
          <cell r="L159"/>
          <cell r="M159"/>
          <cell r="N159" t="str">
            <v>Robin</v>
          </cell>
          <cell r="O159" t="str">
            <v>Carolyn</v>
          </cell>
          <cell r="P159" t="str">
            <v>Robin</v>
          </cell>
          <cell r="Q159" t="str">
            <v>L-PC-USERS</v>
          </cell>
          <cell r="R159" t="str">
            <v>Shared Platforms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</row>
        <row r="160">
          <cell r="A160" t="str">
            <v>Coffee Care Support (Pega) Upgrade budget</v>
          </cell>
          <cell r="B160" t="str">
            <v>CW4363</v>
          </cell>
          <cell r="C160">
            <v>68427709</v>
          </cell>
          <cell r="D160" t="str">
            <v>485074001</v>
          </cell>
          <cell r="E160" t="str">
            <v>Accenture Appl. supp</v>
          </cell>
          <cell r="F160" t="str">
            <v>Application Support</v>
          </cell>
          <cell r="G160"/>
          <cell r="H160" t="str">
            <v>APP002609</v>
          </cell>
          <cell r="I160">
            <v>187516</v>
          </cell>
          <cell r="J160" t="str">
            <v>Accenture</v>
          </cell>
          <cell r="K160"/>
          <cell r="L160"/>
          <cell r="M160"/>
          <cell r="N160" t="str">
            <v>Robin</v>
          </cell>
          <cell r="O160" t="str">
            <v>Ahmet</v>
          </cell>
          <cell r="P160" t="str">
            <v>Stefan Jochems</v>
          </cell>
          <cell r="Q160" t="str">
            <v>Central</v>
          </cell>
          <cell r="R160" t="str">
            <v>R&amp;D</v>
          </cell>
          <cell r="S160">
            <v>8000</v>
          </cell>
          <cell r="T160">
            <v>0</v>
          </cell>
          <cell r="U160">
            <v>-8000</v>
          </cell>
          <cell r="V160">
            <v>0</v>
          </cell>
        </row>
        <row r="161">
          <cell r="A161" t="str">
            <v>Ecommerce Application Support</v>
          </cell>
          <cell r="C161">
            <v>68427709</v>
          </cell>
          <cell r="D161" t="str">
            <v>485074001</v>
          </cell>
          <cell r="E161" t="str">
            <v>Accenture Appl. supp</v>
          </cell>
          <cell r="F161" t="str">
            <v>Application Support</v>
          </cell>
          <cell r="G161"/>
          <cell r="H161" t="str">
            <v>APP002415</v>
          </cell>
          <cell r="I161"/>
          <cell r="J161"/>
          <cell r="K161"/>
          <cell r="L161"/>
          <cell r="M161"/>
          <cell r="N161" t="str">
            <v>Robin</v>
          </cell>
          <cell r="O161" t="str">
            <v>Bas</v>
          </cell>
          <cell r="P161" t="str">
            <v>Bas</v>
          </cell>
          <cell r="Q161" t="str">
            <v>Central</v>
          </cell>
          <cell r="R161" t="str">
            <v>DTC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</row>
        <row r="162">
          <cell r="A162" t="str">
            <v>SalesForce Annual Subscription + Support Professional</v>
          </cell>
          <cell r="B162" t="str">
            <v>CW9490</v>
          </cell>
          <cell r="C162">
            <v>68427719</v>
          </cell>
          <cell r="D162" t="str">
            <v>485074003</v>
          </cell>
          <cell r="E162" t="str">
            <v>Other Sup Appl Sup</v>
          </cell>
          <cell r="F162" t="str">
            <v>Application Support</v>
          </cell>
          <cell r="G162"/>
          <cell r="H162" t="str">
            <v>APP002132</v>
          </cell>
          <cell r="I162">
            <v>193275</v>
          </cell>
          <cell r="J162" t="str">
            <v>SalesForce</v>
          </cell>
          <cell r="L162">
            <v>5400972346</v>
          </cell>
          <cell r="M162">
            <v>10</v>
          </cell>
          <cell r="N162" t="str">
            <v>Linda</v>
          </cell>
          <cell r="O162" t="str">
            <v>Linda</v>
          </cell>
          <cell r="P162" t="str">
            <v>Linda</v>
          </cell>
          <cell r="Q162" t="str">
            <v>L-SF-USERS</v>
          </cell>
          <cell r="R162" t="str">
            <v>Professional DevOps</v>
          </cell>
          <cell r="S162">
            <v>2320000</v>
          </cell>
          <cell r="T162">
            <v>2445000</v>
          </cell>
          <cell r="U162">
            <v>125000</v>
          </cell>
          <cell r="V162">
            <v>2575000</v>
          </cell>
        </row>
        <row r="163">
          <cell r="A163" t="str">
            <v>D&amp;A Retail Support</v>
          </cell>
          <cell r="B163" t="str">
            <v>CW9446</v>
          </cell>
          <cell r="C163">
            <v>68427709</v>
          </cell>
          <cell r="D163" t="str">
            <v>485074003</v>
          </cell>
          <cell r="E163" t="str">
            <v>Other Sup Appl Sup</v>
          </cell>
          <cell r="F163" t="str">
            <v>Application Support</v>
          </cell>
          <cell r="G163" t="str">
            <v>SAP suite</v>
          </cell>
          <cell r="H163" t="str">
            <v>APP000018</v>
          </cell>
          <cell r="I163">
            <v>142582</v>
          </cell>
          <cell r="J163" t="str">
            <v>Just BI B.V.</v>
          </cell>
          <cell r="L163">
            <v>5401023799</v>
          </cell>
          <cell r="M163">
            <v>10</v>
          </cell>
          <cell r="N163" t="str">
            <v>Robin</v>
          </cell>
          <cell r="O163" t="str">
            <v>Carolyn</v>
          </cell>
          <cell r="P163" t="str">
            <v>Patrick</v>
          </cell>
          <cell r="Q163" t="str">
            <v>L-SAP-USERS</v>
          </cell>
          <cell r="R163" t="str">
            <v>D&amp;A</v>
          </cell>
          <cell r="S163">
            <v>1716000</v>
          </cell>
          <cell r="T163">
            <v>1797000</v>
          </cell>
          <cell r="U163">
            <v>81000</v>
          </cell>
          <cell r="V163">
            <v>1658777.38</v>
          </cell>
        </row>
        <row r="164">
          <cell r="A164" t="str">
            <v>Conga Annual Subscription + Support</v>
          </cell>
          <cell r="B164" t="str">
            <v>CW4286</v>
          </cell>
          <cell r="C164">
            <v>68427719</v>
          </cell>
          <cell r="D164" t="str">
            <v>485074003</v>
          </cell>
          <cell r="E164" t="str">
            <v>Other Sup Appl Sup</v>
          </cell>
          <cell r="F164" t="str">
            <v>Application Support</v>
          </cell>
          <cell r="G164"/>
          <cell r="H164" t="str">
            <v>APP001951</v>
          </cell>
          <cell r="I164">
            <v>188873</v>
          </cell>
          <cell r="J164" t="str">
            <v>Conga Corporation</v>
          </cell>
          <cell r="L164">
            <v>5400962069</v>
          </cell>
          <cell r="M164">
            <v>20</v>
          </cell>
          <cell r="N164" t="str">
            <v>Linda</v>
          </cell>
          <cell r="O164" t="str">
            <v>Linda</v>
          </cell>
          <cell r="P164" t="str">
            <v>Linda</v>
          </cell>
          <cell r="Q164" t="str">
            <v>L-APT-USERS</v>
          </cell>
          <cell r="R164" t="str">
            <v>Professional DevOps</v>
          </cell>
          <cell r="S164">
            <v>1291000</v>
          </cell>
          <cell r="T164">
            <v>1400000</v>
          </cell>
          <cell r="U164">
            <v>109000</v>
          </cell>
          <cell r="V164">
            <v>1291000</v>
          </cell>
        </row>
        <row r="165">
          <cell r="A165" t="str">
            <v>Microsoft Azure : Data &amp; Analytics</v>
          </cell>
          <cell r="B165" t="str">
            <v>CW7803</v>
          </cell>
          <cell r="C165">
            <v>68427709</v>
          </cell>
          <cell r="D165" t="str">
            <v>485074003</v>
          </cell>
          <cell r="E165" t="str">
            <v>Software li MS Infr</v>
          </cell>
          <cell r="F165" t="str">
            <v>Desktop Management</v>
          </cell>
          <cell r="G165"/>
          <cell r="H165" t="str">
            <v>APP002619</v>
          </cell>
          <cell r="I165">
            <v>166304</v>
          </cell>
          <cell r="J165" t="str">
            <v>Microsoft B.V.</v>
          </cell>
          <cell r="K165"/>
          <cell r="L165">
            <v>5400878308</v>
          </cell>
          <cell r="M165">
            <v>20</v>
          </cell>
          <cell r="N165" t="str">
            <v>Oscar</v>
          </cell>
          <cell r="O165" t="str">
            <v>Carolyn</v>
          </cell>
          <cell r="P165" t="str">
            <v>Oscar</v>
          </cell>
          <cell r="Q165" t="str">
            <v>L-PC-USERS</v>
          </cell>
          <cell r="R165" t="str">
            <v>Infra/EUS</v>
          </cell>
          <cell r="S165">
            <v>235000</v>
          </cell>
          <cell r="T165">
            <v>550000</v>
          </cell>
          <cell r="U165">
            <v>315000</v>
          </cell>
          <cell r="V165">
            <v>507694.8</v>
          </cell>
        </row>
        <row r="166">
          <cell r="A166" t="str">
            <v>Xtel Application AMS Support</v>
          </cell>
          <cell r="B166" t="str">
            <v>CW5395</v>
          </cell>
          <cell r="C166">
            <v>68427709</v>
          </cell>
          <cell r="D166" t="str">
            <v>485074003</v>
          </cell>
          <cell r="E166" t="str">
            <v>Other Sup Appl Sup</v>
          </cell>
          <cell r="F166" t="str">
            <v>Application Support</v>
          </cell>
          <cell r="G166"/>
          <cell r="H166" t="str">
            <v>APP001828</v>
          </cell>
          <cell r="I166">
            <v>191793</v>
          </cell>
          <cell r="J166" t="str">
            <v>Kantar Retail</v>
          </cell>
          <cell r="L166">
            <v>5401023517</v>
          </cell>
          <cell r="M166">
            <v>10</v>
          </cell>
          <cell r="N166" t="str">
            <v>Robin</v>
          </cell>
          <cell r="O166" t="str">
            <v>Cesare</v>
          </cell>
          <cell r="P166" t="str">
            <v>Cesare</v>
          </cell>
          <cell r="Q166" t="str">
            <v>L-XTEL-USERS</v>
          </cell>
          <cell r="R166" t="str">
            <v>Retail Sales</v>
          </cell>
          <cell r="S166">
            <v>308000</v>
          </cell>
          <cell r="T166">
            <v>438000</v>
          </cell>
          <cell r="U166">
            <v>130000</v>
          </cell>
          <cell r="V166">
            <v>405591.07</v>
          </cell>
        </row>
        <row r="167">
          <cell r="A167" t="str">
            <v>Open Text Business Network (VAN)</v>
          </cell>
          <cell r="B167" t="str">
            <v>CW7957</v>
          </cell>
          <cell r="C167">
            <v>68427709</v>
          </cell>
          <cell r="D167" t="str">
            <v>485074003</v>
          </cell>
          <cell r="E167" t="str">
            <v>Other Sup Appl Sup</v>
          </cell>
          <cell r="F167" t="str">
            <v>Application Support</v>
          </cell>
          <cell r="G167"/>
          <cell r="H167" t="str">
            <v>APP002550</v>
          </cell>
          <cell r="I167">
            <v>168933</v>
          </cell>
          <cell r="J167" t="str">
            <v>Open Text Coöperatief U.A.</v>
          </cell>
          <cell r="K167"/>
          <cell r="L167">
            <v>5400963483</v>
          </cell>
          <cell r="M167">
            <v>29</v>
          </cell>
          <cell r="N167" t="str">
            <v>Robin</v>
          </cell>
          <cell r="O167" t="str">
            <v>Carolyn</v>
          </cell>
          <cell r="P167" t="str">
            <v>Roberto</v>
          </cell>
          <cell r="Q167" t="str">
            <v>L-PC-USERS</v>
          </cell>
          <cell r="R167" t="str">
            <v>Tech Integration</v>
          </cell>
          <cell r="S167">
            <v>281000</v>
          </cell>
          <cell r="T167">
            <v>365000</v>
          </cell>
          <cell r="U167">
            <v>84000</v>
          </cell>
          <cell r="V167">
            <v>336924.73</v>
          </cell>
        </row>
        <row r="168">
          <cell r="A168" t="str">
            <v>OT RAS - BeyondTrust Appliance B Series-VM Subscription</v>
          </cell>
          <cell r="B168"/>
          <cell r="C168">
            <v>68427709</v>
          </cell>
          <cell r="D168" t="str">
            <v>485073034</v>
          </cell>
          <cell r="E168" t="str">
            <v>Security</v>
          </cell>
          <cell r="F168" t="str">
            <v>Security</v>
          </cell>
          <cell r="G168" t="str">
            <v>Factory Security</v>
          </cell>
          <cell r="H168" t="str">
            <v>Music3</v>
          </cell>
          <cell r="I168"/>
          <cell r="J168"/>
          <cell r="K168"/>
          <cell r="L168"/>
          <cell r="M168"/>
          <cell r="N168" t="str">
            <v>Diego</v>
          </cell>
          <cell r="O168" t="str">
            <v>Music3</v>
          </cell>
          <cell r="P168" t="str">
            <v>Diego</v>
          </cell>
          <cell r="Q168" t="str">
            <v>L-FACTORIES-SIZE</v>
          </cell>
          <cell r="R168" t="str">
            <v>Music3</v>
          </cell>
          <cell r="S168"/>
          <cell r="T168">
            <v>1221</v>
          </cell>
          <cell r="U168">
            <v>1221</v>
          </cell>
          <cell r="V168">
            <v>1221</v>
          </cell>
        </row>
        <row r="169">
          <cell r="A169" t="str">
            <v>Snow Managed Service + Hosting</v>
          </cell>
          <cell r="B169" t="str">
            <v>CW9121</v>
          </cell>
          <cell r="C169">
            <v>68427709</v>
          </cell>
          <cell r="D169" t="str">
            <v>485074003</v>
          </cell>
          <cell r="E169" t="str">
            <v>Other Sup Appl Sup</v>
          </cell>
          <cell r="F169" t="str">
            <v>Application Support</v>
          </cell>
          <cell r="G169"/>
          <cell r="H169" t="str">
            <v>APP001797</v>
          </cell>
          <cell r="I169">
            <v>189203</v>
          </cell>
          <cell r="J169" t="str">
            <v>Van Sambeek Org Adviesbureau B.V.</v>
          </cell>
          <cell r="L169">
            <v>5400904915</v>
          </cell>
          <cell r="M169">
            <v>40</v>
          </cell>
          <cell r="N169" t="str">
            <v>Rohan</v>
          </cell>
          <cell r="O169" t="str">
            <v>Carolyn</v>
          </cell>
          <cell r="P169" t="str">
            <v>Diego</v>
          </cell>
          <cell r="Q169" t="str">
            <v>L-PC-USERS</v>
          </cell>
          <cell r="R169" t="str">
            <v>Security</v>
          </cell>
          <cell r="S169">
            <v>310000</v>
          </cell>
          <cell r="T169">
            <v>356500</v>
          </cell>
          <cell r="U169">
            <v>46500</v>
          </cell>
          <cell r="V169">
            <v>329078.53999999998</v>
          </cell>
        </row>
        <row r="170">
          <cell r="A170" t="str">
            <v>Salesforce Marketing / Sales Cloud licenses Retail</v>
          </cell>
          <cell r="B170" t="str">
            <v>CW9490</v>
          </cell>
          <cell r="C170">
            <v>68427709</v>
          </cell>
          <cell r="D170" t="str">
            <v>485074003</v>
          </cell>
          <cell r="E170" t="str">
            <v>Other Sup Appl Sup</v>
          </cell>
          <cell r="F170" t="str">
            <v>Application Support</v>
          </cell>
          <cell r="G170"/>
          <cell r="H170" t="str">
            <v>APP001874</v>
          </cell>
          <cell r="I170">
            <v>193275</v>
          </cell>
          <cell r="J170" t="str">
            <v>Salesforce</v>
          </cell>
          <cell r="L170">
            <v>5400972346</v>
          </cell>
          <cell r="M170">
            <v>10</v>
          </cell>
          <cell r="N170" t="str">
            <v>Robin</v>
          </cell>
          <cell r="O170" t="str">
            <v>Bas</v>
          </cell>
          <cell r="P170" t="str">
            <v>Bas</v>
          </cell>
          <cell r="Q170" t="str">
            <v>L-PC-USERS</v>
          </cell>
          <cell r="R170" t="str">
            <v>Digital</v>
          </cell>
          <cell r="S170">
            <v>333000</v>
          </cell>
          <cell r="T170">
            <v>333000</v>
          </cell>
          <cell r="U170">
            <v>0</v>
          </cell>
          <cell r="V170">
            <v>286221.25</v>
          </cell>
        </row>
        <row r="171">
          <cell r="A171" t="str">
            <v>Click Annual Subscription</v>
          </cell>
          <cell r="B171" t="str">
            <v>CW5966</v>
          </cell>
          <cell r="C171">
            <v>68427719</v>
          </cell>
          <cell r="D171" t="str">
            <v>485074003</v>
          </cell>
          <cell r="E171" t="str">
            <v>Other Sup Appl Sup</v>
          </cell>
          <cell r="F171" t="str">
            <v>Application Support</v>
          </cell>
          <cell r="G171"/>
          <cell r="H171" t="str">
            <v>APP001725</v>
          </cell>
          <cell r="I171">
            <v>193275</v>
          </cell>
          <cell r="J171" t="str">
            <v>SalesForce</v>
          </cell>
          <cell r="L171">
            <v>5400972346</v>
          </cell>
          <cell r="M171">
            <v>70</v>
          </cell>
          <cell r="N171" t="str">
            <v>Linda</v>
          </cell>
          <cell r="O171" t="str">
            <v>Linda</v>
          </cell>
          <cell r="P171" t="str">
            <v>Linda</v>
          </cell>
          <cell r="Q171" t="str">
            <v>L-CLICK-USERS</v>
          </cell>
          <cell r="R171" t="str">
            <v>Professional DevOps</v>
          </cell>
          <cell r="S171">
            <v>262000</v>
          </cell>
          <cell r="T171">
            <v>262000</v>
          </cell>
          <cell r="U171">
            <v>0</v>
          </cell>
          <cell r="V171">
            <v>262000</v>
          </cell>
        </row>
        <row r="172">
          <cell r="A172" t="str">
            <v>D&amp;A Prof Support</v>
          </cell>
          <cell r="B172" t="str">
            <v>CW9446</v>
          </cell>
          <cell r="C172">
            <v>68427719</v>
          </cell>
          <cell r="D172" t="str">
            <v>485074003</v>
          </cell>
          <cell r="E172" t="str">
            <v>Other Sup Appl Sup</v>
          </cell>
          <cell r="F172" t="str">
            <v>Application Support</v>
          </cell>
          <cell r="G172"/>
          <cell r="H172" t="str">
            <v>APP001760</v>
          </cell>
          <cell r="I172">
            <v>142582</v>
          </cell>
          <cell r="J172" t="str">
            <v>Just BI B.V.</v>
          </cell>
          <cell r="K172"/>
          <cell r="L172">
            <v>5401023573</v>
          </cell>
          <cell r="M172">
            <v>10</v>
          </cell>
          <cell r="N172" t="str">
            <v>Patrick</v>
          </cell>
          <cell r="O172" t="str">
            <v>Linda</v>
          </cell>
          <cell r="P172" t="str">
            <v>Kelvin</v>
          </cell>
          <cell r="Q172" t="str">
            <v>L-SF-USERS</v>
          </cell>
          <cell r="R172" t="str">
            <v>Professional DevOps</v>
          </cell>
          <cell r="S172">
            <v>215000</v>
          </cell>
          <cell r="T172">
            <v>237000</v>
          </cell>
          <cell r="U172">
            <v>22000</v>
          </cell>
          <cell r="V172">
            <v>215000</v>
          </cell>
        </row>
        <row r="173">
          <cell r="A173" t="str">
            <v>i21 Maintenance</v>
          </cell>
          <cell r="B173" t="str">
            <v>CW4322</v>
          </cell>
          <cell r="C173">
            <v>68427709</v>
          </cell>
          <cell r="D173" t="str">
            <v>485074003</v>
          </cell>
          <cell r="E173" t="str">
            <v>Other Sup Appl Sup</v>
          </cell>
          <cell r="F173" t="str">
            <v>Application Support</v>
          </cell>
          <cell r="G173"/>
          <cell r="H173" t="str">
            <v>APP001536</v>
          </cell>
          <cell r="I173">
            <v>188831</v>
          </cell>
          <cell r="J173" t="str">
            <v>iRely</v>
          </cell>
          <cell r="K173"/>
          <cell r="L173">
            <v>5401024595</v>
          </cell>
          <cell r="M173">
            <v>10</v>
          </cell>
          <cell r="N173" t="str">
            <v>Robin</v>
          </cell>
          <cell r="O173" t="str">
            <v>Ahmet</v>
          </cell>
          <cell r="P173" t="str">
            <v>James Gracey</v>
          </cell>
          <cell r="Q173" t="str">
            <v>Central</v>
          </cell>
          <cell r="R173" t="str">
            <v>C&amp;T</v>
          </cell>
          <cell r="S173">
            <v>200000</v>
          </cell>
          <cell r="T173">
            <v>200000</v>
          </cell>
          <cell r="U173">
            <v>0</v>
          </cell>
          <cell r="V173">
            <v>193222.38</v>
          </cell>
        </row>
        <row r="174">
          <cell r="A174" t="str">
            <v>Actemium - Mobile scanning RFGEN</v>
          </cell>
          <cell r="B174" t="str">
            <v>CW7648</v>
          </cell>
          <cell r="C174">
            <v>68427709</v>
          </cell>
          <cell r="D174" t="str">
            <v>485074003</v>
          </cell>
          <cell r="E174" t="str">
            <v>Other Sup Appl Sup</v>
          </cell>
          <cell r="F174" t="str">
            <v>Application Support</v>
          </cell>
          <cell r="G174"/>
          <cell r="H174" t="str">
            <v>APP000054</v>
          </cell>
          <cell r="I174">
            <v>115995</v>
          </cell>
          <cell r="J174" t="str">
            <v>Actemium</v>
          </cell>
          <cell r="K174"/>
          <cell r="L174">
            <v>5400996763</v>
          </cell>
          <cell r="M174">
            <v>10</v>
          </cell>
          <cell r="N174" t="str">
            <v>Robin</v>
          </cell>
          <cell r="O174" t="str">
            <v>Carolyn</v>
          </cell>
          <cell r="P174" t="str">
            <v>Albert</v>
          </cell>
          <cell r="Q174" t="str">
            <v>L-FACTORIES-SIZE</v>
          </cell>
          <cell r="R174" t="str">
            <v>Manufacturing</v>
          </cell>
          <cell r="S174">
            <v>160000</v>
          </cell>
          <cell r="T174">
            <v>172000</v>
          </cell>
          <cell r="U174">
            <v>12000</v>
          </cell>
          <cell r="V174">
            <v>158770.01</v>
          </cell>
        </row>
        <row r="175">
          <cell r="A175" t="str">
            <v>Syncforce support</v>
          </cell>
          <cell r="B175" t="str">
            <v>CW7757</v>
          </cell>
          <cell r="C175">
            <v>68427709</v>
          </cell>
          <cell r="D175" t="str">
            <v>485074003</v>
          </cell>
          <cell r="E175" t="str">
            <v>Other Sup Appl Sup</v>
          </cell>
          <cell r="F175" t="str">
            <v>Application Support</v>
          </cell>
          <cell r="G175"/>
          <cell r="H175" t="str">
            <v>APP000867</v>
          </cell>
          <cell r="I175">
            <v>192202</v>
          </cell>
          <cell r="J175" t="str">
            <v>SyncForce B.V.</v>
          </cell>
          <cell r="K175"/>
          <cell r="L175">
            <v>5401040711</v>
          </cell>
          <cell r="M175">
            <v>10</v>
          </cell>
          <cell r="N175" t="str">
            <v>Robin</v>
          </cell>
          <cell r="O175" t="str">
            <v>Ahmet</v>
          </cell>
          <cell r="P175" t="str">
            <v>Vasco</v>
          </cell>
          <cell r="Q175" t="str">
            <v>L-PC-USERS</v>
          </cell>
          <cell r="R175" t="str">
            <v>R&amp;D</v>
          </cell>
          <cell r="S175">
            <v>165000</v>
          </cell>
          <cell r="T175">
            <v>165000</v>
          </cell>
          <cell r="U175">
            <v>0</v>
          </cell>
          <cell r="V175">
            <v>159408.47</v>
          </cell>
        </row>
        <row r="176">
          <cell r="A176" t="str">
            <v>Xtel Maintenance Fee</v>
          </cell>
          <cell r="B176" t="str">
            <v>CW4442</v>
          </cell>
          <cell r="C176">
            <v>68427709</v>
          </cell>
          <cell r="D176" t="str">
            <v>485074003</v>
          </cell>
          <cell r="E176" t="str">
            <v>Other Sup Appl Sup</v>
          </cell>
          <cell r="F176" t="str">
            <v>Application Support</v>
          </cell>
          <cell r="G176"/>
          <cell r="H176" t="str">
            <v>APP001828</v>
          </cell>
          <cell r="I176">
            <v>191793</v>
          </cell>
          <cell r="J176" t="str">
            <v>Kantar Retail</v>
          </cell>
          <cell r="L176">
            <v>5400904702</v>
          </cell>
          <cell r="M176">
            <v>30</v>
          </cell>
          <cell r="N176" t="str">
            <v>Robin</v>
          </cell>
          <cell r="O176" t="str">
            <v>Cesare</v>
          </cell>
          <cell r="P176" t="str">
            <v>Cesare</v>
          </cell>
          <cell r="Q176" t="str">
            <v>L-XTEL-USERS</v>
          </cell>
          <cell r="R176" t="str">
            <v>Retail Sales</v>
          </cell>
          <cell r="S176">
            <v>302000</v>
          </cell>
          <cell r="T176">
            <v>152000</v>
          </cell>
          <cell r="U176">
            <v>-150000</v>
          </cell>
          <cell r="V176">
            <v>140753.06</v>
          </cell>
        </row>
        <row r="177">
          <cell r="A177" t="str">
            <v>Sitecore Support</v>
          </cell>
          <cell r="C177">
            <v>68427709</v>
          </cell>
          <cell r="D177" t="str">
            <v>485074003</v>
          </cell>
          <cell r="E177" t="str">
            <v>Other Sup Appl Sup</v>
          </cell>
          <cell r="F177" t="str">
            <v>Application Support</v>
          </cell>
          <cell r="G177"/>
          <cell r="H177" t="str">
            <v>APP002952</v>
          </cell>
          <cell r="I177">
            <v>187516</v>
          </cell>
          <cell r="J177" t="str">
            <v>Accenture/Avenade</v>
          </cell>
          <cell r="K177"/>
          <cell r="L177"/>
          <cell r="M177"/>
          <cell r="N177" t="str">
            <v>Robin</v>
          </cell>
          <cell r="O177" t="str">
            <v>Bas</v>
          </cell>
          <cell r="P177" t="str">
            <v>Bas</v>
          </cell>
          <cell r="Q177" t="str">
            <v>New Key</v>
          </cell>
          <cell r="R177" t="str">
            <v>Digital</v>
          </cell>
          <cell r="S177">
            <v>432000</v>
          </cell>
          <cell r="T177">
            <v>125000</v>
          </cell>
          <cell r="U177">
            <v>-307000</v>
          </cell>
          <cell r="V177">
            <v>107440.41</v>
          </cell>
        </row>
        <row r="178">
          <cell r="A178" t="str">
            <v>Artefact support (GA/GTM/OT) Digital</v>
          </cell>
          <cell r="C178">
            <v>68427709</v>
          </cell>
          <cell r="D178" t="str">
            <v>485074003</v>
          </cell>
          <cell r="E178" t="str">
            <v>Other Sup Appl Sup</v>
          </cell>
          <cell r="F178" t="str">
            <v>Application Support</v>
          </cell>
          <cell r="G178"/>
          <cell r="H178" t="str">
            <v>APP003153</v>
          </cell>
          <cell r="I178">
            <v>197254</v>
          </cell>
          <cell r="J178" t="str">
            <v>Internet Advantage Nederland B.V.</v>
          </cell>
          <cell r="K178"/>
          <cell r="L178">
            <v>5401034435</v>
          </cell>
          <cell r="M178">
            <v>10</v>
          </cell>
          <cell r="N178" t="str">
            <v>Robin</v>
          </cell>
          <cell r="O178" t="str">
            <v>Bas</v>
          </cell>
          <cell r="P178" t="str">
            <v>Bas</v>
          </cell>
          <cell r="Q178" t="str">
            <v>L-PC-USERS</v>
          </cell>
          <cell r="R178" t="str">
            <v>Digital</v>
          </cell>
          <cell r="S178">
            <v>105000</v>
          </cell>
          <cell r="T178">
            <v>105000</v>
          </cell>
          <cell r="U178">
            <v>0</v>
          </cell>
          <cell r="V178">
            <v>90249.94</v>
          </cell>
        </row>
        <row r="179">
          <cell r="A179" t="str">
            <v>Artefact support (GA/GTM/OT) eCommerce</v>
          </cell>
          <cell r="C179">
            <v>68427709</v>
          </cell>
          <cell r="D179" t="str">
            <v>485074003</v>
          </cell>
          <cell r="E179" t="str">
            <v>Other Sup Appl Sup</v>
          </cell>
          <cell r="F179" t="str">
            <v>Application Support</v>
          </cell>
          <cell r="G179"/>
          <cell r="H179" t="str">
            <v>APP003153</v>
          </cell>
          <cell r="I179">
            <v>197254</v>
          </cell>
          <cell r="J179" t="str">
            <v>Internet Advantage Nederland B.V.</v>
          </cell>
          <cell r="K179"/>
          <cell r="L179">
            <v>5401034435</v>
          </cell>
          <cell r="M179">
            <v>10</v>
          </cell>
          <cell r="N179" t="str">
            <v>Robin</v>
          </cell>
          <cell r="O179" t="str">
            <v>Bas</v>
          </cell>
          <cell r="P179" t="str">
            <v>Bas</v>
          </cell>
          <cell r="Q179" t="str">
            <v>L-PC-USERS</v>
          </cell>
          <cell r="R179" t="str">
            <v>DTC</v>
          </cell>
          <cell r="S179">
            <v>105000</v>
          </cell>
          <cell r="T179">
            <v>105000</v>
          </cell>
          <cell r="U179">
            <v>0</v>
          </cell>
          <cell r="V179">
            <v>90249.94</v>
          </cell>
        </row>
        <row r="180">
          <cell r="A180" t="str">
            <v>Aveva - 24/7 support</v>
          </cell>
          <cell r="C180">
            <v>68427709</v>
          </cell>
          <cell r="D180" t="str">
            <v>485074003</v>
          </cell>
          <cell r="E180" t="str">
            <v>Other Sup Appl Sup</v>
          </cell>
          <cell r="F180" t="str">
            <v>Application Support</v>
          </cell>
          <cell r="G180"/>
          <cell r="H180" t="str">
            <v>APP002146</v>
          </cell>
          <cell r="I180">
            <v>193317</v>
          </cell>
          <cell r="J180" t="str">
            <v>AVEVA Software Netherlands B.V.</v>
          </cell>
          <cell r="K180"/>
          <cell r="L180">
            <v>5401023807</v>
          </cell>
          <cell r="M180">
            <v>10</v>
          </cell>
          <cell r="N180" t="str">
            <v>Robin</v>
          </cell>
          <cell r="O180" t="str">
            <v>Ahmet</v>
          </cell>
          <cell r="P180" t="str">
            <v>Murat</v>
          </cell>
          <cell r="Q180" t="str">
            <v>L-FACTORIES-SIZE</v>
          </cell>
          <cell r="R180" t="str">
            <v>Manufacturing</v>
          </cell>
          <cell r="S180">
            <v>110000</v>
          </cell>
          <cell r="T180">
            <v>105000</v>
          </cell>
          <cell r="U180">
            <v>-5000</v>
          </cell>
          <cell r="V180">
            <v>101441.75</v>
          </cell>
        </row>
        <row r="181">
          <cell r="A181" t="str">
            <v xml:space="preserve">IXOS Support </v>
          </cell>
          <cell r="B181" t="str">
            <v>CW6679</v>
          </cell>
          <cell r="C181">
            <v>68427709</v>
          </cell>
          <cell r="D181" t="str">
            <v>485074003</v>
          </cell>
          <cell r="E181" t="str">
            <v>Other Sup Appl Sup</v>
          </cell>
          <cell r="F181" t="str">
            <v>Application Support</v>
          </cell>
          <cell r="G181"/>
          <cell r="H181" t="str">
            <v>APP001424</v>
          </cell>
          <cell r="I181">
            <v>165589</v>
          </cell>
          <cell r="J181" t="str">
            <v>X-center</v>
          </cell>
          <cell r="K181"/>
          <cell r="L181">
            <v>5401014604</v>
          </cell>
          <cell r="M181">
            <v>10</v>
          </cell>
          <cell r="N181" t="str">
            <v>Robin</v>
          </cell>
          <cell r="O181" t="str">
            <v>Carolyn</v>
          </cell>
          <cell r="P181" t="str">
            <v>Rob</v>
          </cell>
          <cell r="Q181" t="str">
            <v>L-SAP-USERS</v>
          </cell>
          <cell r="R181" t="str">
            <v>Shared Platforms</v>
          </cell>
          <cell r="S181">
            <v>85000</v>
          </cell>
          <cell r="T181">
            <v>85000</v>
          </cell>
          <cell r="U181">
            <v>0</v>
          </cell>
          <cell r="V181">
            <v>78461.919999999998</v>
          </cell>
        </row>
        <row r="182">
          <cell r="A182" t="str">
            <v>Platform fee &amp; managed service</v>
          </cell>
          <cell r="B182" t="str">
            <v>CW6157</v>
          </cell>
          <cell r="C182">
            <v>68427709</v>
          </cell>
          <cell r="D182" t="str">
            <v>485074003</v>
          </cell>
          <cell r="E182" t="str">
            <v>Other Sup Appl Sup</v>
          </cell>
          <cell r="F182" t="str">
            <v>Application Support</v>
          </cell>
          <cell r="G182" t="str">
            <v>IT4IT</v>
          </cell>
          <cell r="H182" t="str">
            <v>APP000007</v>
          </cell>
          <cell r="I182">
            <v>193174</v>
          </cell>
          <cell r="J182" t="str">
            <v>Giarte</v>
          </cell>
          <cell r="L182">
            <v>5400861908</v>
          </cell>
          <cell r="M182">
            <v>30</v>
          </cell>
          <cell r="N182" t="str">
            <v>Michal</v>
          </cell>
          <cell r="O182" t="str">
            <v>Carolyn</v>
          </cell>
          <cell r="P182" t="str">
            <v>Michal</v>
          </cell>
          <cell r="Q182" t="str">
            <v>L-PC-USERS</v>
          </cell>
          <cell r="R182" t="str">
            <v>Shared Platforms</v>
          </cell>
          <cell r="S182">
            <v>80000</v>
          </cell>
          <cell r="T182">
            <v>80000</v>
          </cell>
          <cell r="U182">
            <v>0</v>
          </cell>
          <cell r="V182">
            <v>73846.52</v>
          </cell>
        </row>
        <row r="183">
          <cell r="A183" t="str">
            <v>BPC Support</v>
          </cell>
          <cell r="B183" t="str">
            <v>CW9648</v>
          </cell>
          <cell r="C183">
            <v>68427709</v>
          </cell>
          <cell r="D183" t="str">
            <v>485074003</v>
          </cell>
          <cell r="E183" t="str">
            <v>Other Sup Appl Sup</v>
          </cell>
          <cell r="F183" t="str">
            <v>Application Support</v>
          </cell>
          <cell r="G183" t="str">
            <v>SAP suite</v>
          </cell>
          <cell r="H183" t="str">
            <v>APP000020</v>
          </cell>
          <cell r="I183">
            <v>167557</v>
          </cell>
          <cell r="J183" t="str">
            <v>Swap Support</v>
          </cell>
          <cell r="K183"/>
          <cell r="L183">
            <v>5401024330</v>
          </cell>
          <cell r="M183">
            <v>10</v>
          </cell>
          <cell r="N183" t="str">
            <v>Robin</v>
          </cell>
          <cell r="O183" t="str">
            <v>Carolyn</v>
          </cell>
          <cell r="P183" t="str">
            <v>Patrick</v>
          </cell>
          <cell r="Q183" t="str">
            <v>L-SAP-USERS</v>
          </cell>
          <cell r="R183" t="str">
            <v>D&amp;A</v>
          </cell>
          <cell r="S183">
            <v>70000</v>
          </cell>
          <cell r="T183">
            <v>70000</v>
          </cell>
          <cell r="U183">
            <v>0</v>
          </cell>
          <cell r="V183">
            <v>64615.7</v>
          </cell>
        </row>
        <row r="184">
          <cell r="A184" t="str">
            <v>Winshuttle Maintenance + Support</v>
          </cell>
          <cell r="B184" t="str">
            <v>CW6000</v>
          </cell>
          <cell r="C184">
            <v>68427709</v>
          </cell>
          <cell r="D184" t="str">
            <v>485074003</v>
          </cell>
          <cell r="E184" t="str">
            <v>Other Sup Appl Sup</v>
          </cell>
          <cell r="F184" t="str">
            <v>Application Support</v>
          </cell>
          <cell r="G184"/>
          <cell r="H184" t="str">
            <v>APP001635</v>
          </cell>
          <cell r="I184">
            <v>189205</v>
          </cell>
          <cell r="J184" t="str">
            <v>Ctac B.V.</v>
          </cell>
          <cell r="K184"/>
          <cell r="L184">
            <v>5401006892</v>
          </cell>
          <cell r="M184">
            <v>10</v>
          </cell>
          <cell r="N184" t="str">
            <v>Robin</v>
          </cell>
          <cell r="O184" t="str">
            <v>Ahmet</v>
          </cell>
          <cell r="P184" t="str">
            <v>Vanessa Barmpa</v>
          </cell>
          <cell r="Q184" t="str">
            <v>L-SAP-USERS</v>
          </cell>
          <cell r="R184" t="str">
            <v>Finance</v>
          </cell>
          <cell r="S184">
            <v>60000</v>
          </cell>
          <cell r="T184">
            <v>60000</v>
          </cell>
          <cell r="U184">
            <v>0</v>
          </cell>
          <cell r="V184">
            <v>57966.720000000001</v>
          </cell>
        </row>
        <row r="185">
          <cell r="A185" t="str">
            <v xml:space="preserve">Xtel Application RFQ / Change budget </v>
          </cell>
          <cell r="B185" t="str">
            <v>CW5395</v>
          </cell>
          <cell r="C185">
            <v>68427709</v>
          </cell>
          <cell r="D185" t="str">
            <v>485074003</v>
          </cell>
          <cell r="E185" t="str">
            <v>Other Sup Appl Sup</v>
          </cell>
          <cell r="F185" t="str">
            <v>Application Support</v>
          </cell>
          <cell r="G185"/>
          <cell r="H185" t="str">
            <v>APP001828</v>
          </cell>
          <cell r="I185">
            <v>191793</v>
          </cell>
          <cell r="J185" t="str">
            <v>Kantar Retail</v>
          </cell>
          <cell r="L185">
            <v>5401023517</v>
          </cell>
          <cell r="M185">
            <v>10</v>
          </cell>
          <cell r="N185" t="str">
            <v>Robin</v>
          </cell>
          <cell r="O185" t="str">
            <v>Cesare</v>
          </cell>
          <cell r="P185" t="str">
            <v>Cesare</v>
          </cell>
          <cell r="Q185" t="str">
            <v>L-XTEL-USERS</v>
          </cell>
          <cell r="R185" t="str">
            <v>Retail Sales</v>
          </cell>
          <cell r="S185">
            <v>60000</v>
          </cell>
          <cell r="T185">
            <v>60000</v>
          </cell>
          <cell r="U185">
            <v>0</v>
          </cell>
          <cell r="V185">
            <v>55560.42</v>
          </cell>
        </row>
        <row r="186">
          <cell r="A186" t="str">
            <v>OT RAS - BeyondTrust licenses Priviledged Remote Access (PRA)</v>
          </cell>
          <cell r="B186"/>
          <cell r="C186">
            <v>68427709</v>
          </cell>
          <cell r="D186" t="str">
            <v>485073034</v>
          </cell>
          <cell r="E186" t="str">
            <v>Security</v>
          </cell>
          <cell r="F186" t="str">
            <v>Security</v>
          </cell>
          <cell r="G186" t="str">
            <v>Factory Security</v>
          </cell>
          <cell r="H186" t="str">
            <v>Music3</v>
          </cell>
          <cell r="I186"/>
          <cell r="J186"/>
          <cell r="K186"/>
          <cell r="L186"/>
          <cell r="M186"/>
          <cell r="N186" t="str">
            <v>Diego</v>
          </cell>
          <cell r="O186" t="str">
            <v>Music3</v>
          </cell>
          <cell r="P186" t="str">
            <v>Diego</v>
          </cell>
          <cell r="Q186" t="str">
            <v>L-FACTORIES-SIZE</v>
          </cell>
          <cell r="R186" t="str">
            <v>Music3</v>
          </cell>
          <cell r="S186"/>
          <cell r="T186">
            <v>57025</v>
          </cell>
          <cell r="U186">
            <v>57025</v>
          </cell>
          <cell r="V186">
            <v>57025</v>
          </cell>
        </row>
        <row r="187">
          <cell r="A187" t="str">
            <v>Actemium - Strippenkaart</v>
          </cell>
          <cell r="B187" t="str">
            <v>CW9425</v>
          </cell>
          <cell r="C187">
            <v>68427709</v>
          </cell>
          <cell r="D187" t="str">
            <v>485074003</v>
          </cell>
          <cell r="E187" t="str">
            <v>Other Sup Appl Sup</v>
          </cell>
          <cell r="F187" t="str">
            <v>Application Support</v>
          </cell>
          <cell r="G187"/>
          <cell r="H187" t="str">
            <v>APP000054</v>
          </cell>
          <cell r="I187">
            <v>115995</v>
          </cell>
          <cell r="J187" t="str">
            <v>Actemium</v>
          </cell>
          <cell r="K187"/>
          <cell r="L187">
            <v>5401014598</v>
          </cell>
          <cell r="M187">
            <v>10</v>
          </cell>
          <cell r="N187" t="str">
            <v>Robin</v>
          </cell>
          <cell r="O187" t="str">
            <v>Carolyn</v>
          </cell>
          <cell r="P187" t="str">
            <v>Albert</v>
          </cell>
          <cell r="Q187" t="str">
            <v>L-FACTORIES-SIZE</v>
          </cell>
          <cell r="R187" t="str">
            <v>Manufacturing</v>
          </cell>
          <cell r="S187">
            <v>45000</v>
          </cell>
          <cell r="T187">
            <v>50000</v>
          </cell>
          <cell r="U187">
            <v>5000</v>
          </cell>
          <cell r="V187">
            <v>46154.07</v>
          </cell>
        </row>
        <row r="188">
          <cell r="A188" t="str">
            <v>Effacts | Legisway</v>
          </cell>
          <cell r="B188" t="str">
            <v>CW6670</v>
          </cell>
          <cell r="C188">
            <v>68427709</v>
          </cell>
          <cell r="D188" t="str">
            <v>485074003</v>
          </cell>
          <cell r="E188" t="str">
            <v>Other Sup Appl Sup</v>
          </cell>
          <cell r="F188" t="str">
            <v>Application Support</v>
          </cell>
          <cell r="G188"/>
          <cell r="H188" t="str">
            <v>APP001834</v>
          </cell>
          <cell r="I188">
            <v>121566</v>
          </cell>
          <cell r="J188" t="str">
            <v>Wolters Kluwer</v>
          </cell>
          <cell r="L188">
            <v>5401001836</v>
          </cell>
          <cell r="M188">
            <v>10</v>
          </cell>
          <cell r="N188" t="str">
            <v>Robin</v>
          </cell>
          <cell r="O188" t="str">
            <v>Ahmet</v>
          </cell>
          <cell r="P188" t="str">
            <v>James Gracey</v>
          </cell>
          <cell r="Q188" t="str">
            <v>L-PC-USERS</v>
          </cell>
          <cell r="R188" t="str">
            <v>HR/Legal</v>
          </cell>
          <cell r="S188">
            <v>33000</v>
          </cell>
          <cell r="T188">
            <v>46000</v>
          </cell>
          <cell r="U188">
            <v>13000</v>
          </cell>
          <cell r="V188">
            <v>44441.15</v>
          </cell>
        </row>
        <row r="189">
          <cell r="A189" t="str">
            <v>TraceIT</v>
          </cell>
          <cell r="B189" t="str">
            <v>CW4360</v>
          </cell>
          <cell r="C189">
            <v>68427709</v>
          </cell>
          <cell r="D189" t="str">
            <v>485074003</v>
          </cell>
          <cell r="E189" t="str">
            <v>Other Sup Appl Sup</v>
          </cell>
          <cell r="F189" t="str">
            <v>Application Support</v>
          </cell>
          <cell r="G189"/>
          <cell r="H189" t="str">
            <v>APP000065</v>
          </cell>
          <cell r="I189">
            <v>169089</v>
          </cell>
          <cell r="J189" t="str">
            <v>Novexx</v>
          </cell>
          <cell r="L189">
            <v>5401024321</v>
          </cell>
          <cell r="M189">
            <v>10</v>
          </cell>
          <cell r="N189" t="str">
            <v>Robin</v>
          </cell>
          <cell r="O189" t="str">
            <v>Ahmet</v>
          </cell>
          <cell r="P189" t="str">
            <v>Stefan Jochems</v>
          </cell>
          <cell r="Q189" t="str">
            <v>L-FACTORIES-SIZE</v>
          </cell>
          <cell r="R189" t="str">
            <v>Manufacturing</v>
          </cell>
          <cell r="S189">
            <v>37000</v>
          </cell>
          <cell r="T189">
            <v>37000</v>
          </cell>
          <cell r="U189">
            <v>0</v>
          </cell>
          <cell r="V189">
            <v>35746.14</v>
          </cell>
        </row>
        <row r="190">
          <cell r="A190" t="str">
            <v>OT RAS - SIEM Tool Integration Subscription (PRA) &amp; Advanced Web Access Subscription</v>
          </cell>
          <cell r="B190"/>
          <cell r="C190">
            <v>68427709</v>
          </cell>
          <cell r="D190" t="str">
            <v>485073034</v>
          </cell>
          <cell r="E190" t="str">
            <v>Security</v>
          </cell>
          <cell r="F190" t="str">
            <v>Security</v>
          </cell>
          <cell r="G190" t="str">
            <v>Factory Security</v>
          </cell>
          <cell r="H190" t="str">
            <v>Music3</v>
          </cell>
          <cell r="I190"/>
          <cell r="J190"/>
          <cell r="K190"/>
          <cell r="L190"/>
          <cell r="M190"/>
          <cell r="N190" t="str">
            <v>Diego</v>
          </cell>
          <cell r="O190" t="str">
            <v>Music3</v>
          </cell>
          <cell r="P190" t="str">
            <v>Diego</v>
          </cell>
          <cell r="Q190" t="str">
            <v>L-FACTORIES-SIZE</v>
          </cell>
          <cell r="R190" t="str">
            <v>Music3</v>
          </cell>
          <cell r="S190"/>
          <cell r="T190">
            <v>4757</v>
          </cell>
          <cell r="U190">
            <v>4757</v>
          </cell>
          <cell r="V190">
            <v>4757</v>
          </cell>
        </row>
        <row r="191">
          <cell r="A191" t="str">
            <v>Github Annual Subscription + Support</v>
          </cell>
          <cell r="B191" t="str">
            <v>CW9827</v>
          </cell>
          <cell r="C191">
            <v>68427709</v>
          </cell>
          <cell r="D191" t="str">
            <v>485074003</v>
          </cell>
          <cell r="E191" t="str">
            <v>Other Sup Appl Sup</v>
          </cell>
          <cell r="F191" t="str">
            <v>Application Support</v>
          </cell>
          <cell r="G191" t="str">
            <v>IT4IT</v>
          </cell>
          <cell r="H191" t="str">
            <v>APP002314</v>
          </cell>
          <cell r="I191">
            <v>166304</v>
          </cell>
          <cell r="J191" t="str">
            <v>Microsoft B.V.</v>
          </cell>
          <cell r="L191">
            <v>5400995538</v>
          </cell>
          <cell r="M191">
            <v>10</v>
          </cell>
          <cell r="N191" t="str">
            <v>Robin</v>
          </cell>
          <cell r="O191" t="str">
            <v>Carolyn</v>
          </cell>
          <cell r="P191" t="str">
            <v>Robin</v>
          </cell>
          <cell r="Q191" t="str">
            <v>L-PC-USERS</v>
          </cell>
          <cell r="R191" t="str">
            <v>Shared Platforms</v>
          </cell>
          <cell r="S191">
            <v>30000</v>
          </cell>
          <cell r="T191">
            <v>30000</v>
          </cell>
          <cell r="U191">
            <v>0</v>
          </cell>
          <cell r="V191">
            <v>27692.44</v>
          </cell>
        </row>
        <row r="192">
          <cell r="A192" t="str">
            <v>Vaimo Application support</v>
          </cell>
          <cell r="C192">
            <v>68427709</v>
          </cell>
          <cell r="D192" t="str">
            <v>485074003</v>
          </cell>
          <cell r="E192" t="str">
            <v>Other Sup Appl Sup</v>
          </cell>
          <cell r="F192" t="str">
            <v>Application Support</v>
          </cell>
          <cell r="G192"/>
          <cell r="H192" t="str">
            <v>APP002415</v>
          </cell>
          <cell r="I192">
            <v>196742</v>
          </cell>
          <cell r="J192" t="str">
            <v>Vaimo</v>
          </cell>
          <cell r="K192"/>
          <cell r="L192">
            <v>5400965900</v>
          </cell>
          <cell r="M192">
            <v>10</v>
          </cell>
          <cell r="N192" t="str">
            <v>Robin</v>
          </cell>
          <cell r="O192" t="str">
            <v>Bas</v>
          </cell>
          <cell r="P192" t="str">
            <v>Bas</v>
          </cell>
          <cell r="Q192" t="str">
            <v>Central</v>
          </cell>
          <cell r="R192" t="str">
            <v>DTC</v>
          </cell>
          <cell r="S192">
            <v>48600</v>
          </cell>
          <cell r="T192">
            <v>20500</v>
          </cell>
          <cell r="U192">
            <v>-28100</v>
          </cell>
          <cell r="V192">
            <v>17620.23</v>
          </cell>
        </row>
        <row r="193">
          <cell r="A193" t="str">
            <v>Qualtrics support</v>
          </cell>
          <cell r="C193">
            <v>68427709</v>
          </cell>
          <cell r="D193" t="str">
            <v>485074003</v>
          </cell>
          <cell r="E193" t="str">
            <v>Other Sup Appl Sup</v>
          </cell>
          <cell r="F193" t="str">
            <v>Application Support</v>
          </cell>
          <cell r="G193"/>
          <cell r="H193" t="str">
            <v>APP003151</v>
          </cell>
          <cell r="I193">
            <v>204075</v>
          </cell>
          <cell r="J193" t="str">
            <v>Qualtrics LLC</v>
          </cell>
          <cell r="L193">
            <v>5401030709</v>
          </cell>
          <cell r="M193">
            <v>10</v>
          </cell>
          <cell r="N193" t="str">
            <v>Robin</v>
          </cell>
          <cell r="O193" t="str">
            <v>Ahmet</v>
          </cell>
          <cell r="P193" t="str">
            <v>Kostya</v>
          </cell>
          <cell r="Q193" t="str">
            <v>L-PC-USERS</v>
          </cell>
          <cell r="R193" t="str">
            <v>HR/Legal</v>
          </cell>
          <cell r="S193">
            <v>12500</v>
          </cell>
          <cell r="T193">
            <v>12500</v>
          </cell>
          <cell r="U193">
            <v>0</v>
          </cell>
          <cell r="V193">
            <v>12076.4</v>
          </cell>
        </row>
        <row r="194">
          <cell r="A194" t="str">
            <v>15189452 Oracle Database Standard Edition 2 - Processor Perpetual</v>
          </cell>
          <cell r="B194" t="str">
            <v>CW9746</v>
          </cell>
          <cell r="C194">
            <v>68427709</v>
          </cell>
          <cell r="D194" t="str">
            <v>485074003</v>
          </cell>
          <cell r="E194" t="str">
            <v>Other Sup Appl Sup</v>
          </cell>
          <cell r="F194" t="str">
            <v>Application Support</v>
          </cell>
          <cell r="G194" t="str">
            <v>SAP suite</v>
          </cell>
          <cell r="H194" t="str">
            <v>APP000744</v>
          </cell>
          <cell r="I194">
            <v>118054</v>
          </cell>
          <cell r="J194" t="str">
            <v>Oracle</v>
          </cell>
          <cell r="L194">
            <v>5401052877</v>
          </cell>
          <cell r="M194">
            <v>10</v>
          </cell>
          <cell r="N194" t="str">
            <v>Robin</v>
          </cell>
          <cell r="O194" t="str">
            <v>Carolyn</v>
          </cell>
          <cell r="P194" t="str">
            <v>Robin</v>
          </cell>
          <cell r="Q194" t="str">
            <v>L-SAP-USERS</v>
          </cell>
          <cell r="R194" t="str">
            <v>Shared Platforms</v>
          </cell>
          <cell r="S194">
            <v>7100</v>
          </cell>
          <cell r="T194">
            <v>7100</v>
          </cell>
          <cell r="U194">
            <v>0</v>
          </cell>
          <cell r="V194">
            <v>6553.88</v>
          </cell>
        </row>
        <row r="195">
          <cell r="A195" t="str">
            <v>Global Efax tool</v>
          </cell>
          <cell r="B195" t="str">
            <v>CW6681</v>
          </cell>
          <cell r="C195">
            <v>68427709</v>
          </cell>
          <cell r="D195" t="str">
            <v>485074003</v>
          </cell>
          <cell r="E195" t="str">
            <v>Software li oth appl</v>
          </cell>
          <cell r="F195" t="str">
            <v>Application Support</v>
          </cell>
          <cell r="G195"/>
          <cell r="H195" t="str">
            <v>APP000114</v>
          </cell>
          <cell r="I195">
            <v>210231</v>
          </cell>
          <cell r="J195" t="str">
            <v>J2 Global Ireland Limited (Consensus)</v>
          </cell>
          <cell r="K195"/>
          <cell r="L195">
            <v>5401024377</v>
          </cell>
          <cell r="M195">
            <v>10</v>
          </cell>
          <cell r="N195" t="str">
            <v>Robin</v>
          </cell>
          <cell r="O195" t="str">
            <v>Ahmet</v>
          </cell>
          <cell r="P195" t="str">
            <v>Theo van Vliet</v>
          </cell>
          <cell r="Q195" t="str">
            <v>L-PC-USERS</v>
          </cell>
          <cell r="R195" t="str">
            <v>Shared Platforms</v>
          </cell>
          <cell r="S195">
            <v>6000</v>
          </cell>
          <cell r="T195">
            <v>6000</v>
          </cell>
          <cell r="U195">
            <v>0</v>
          </cell>
          <cell r="V195">
            <v>5796.67</v>
          </cell>
        </row>
        <row r="196">
          <cell r="A196" t="str">
            <v>Google Translate</v>
          </cell>
          <cell r="C196">
            <v>68427709</v>
          </cell>
          <cell r="D196" t="str">
            <v>485074003</v>
          </cell>
          <cell r="E196" t="str">
            <v>Other Sup Appl Sup</v>
          </cell>
          <cell r="F196" t="str">
            <v>Application Support</v>
          </cell>
          <cell r="G196"/>
          <cell r="H196" t="str">
            <v>APP002944</v>
          </cell>
          <cell r="I196">
            <v>120252</v>
          </cell>
          <cell r="J196" t="str">
            <v>ATOS</v>
          </cell>
          <cell r="L196">
            <v>5401023593</v>
          </cell>
          <cell r="M196">
            <v>10</v>
          </cell>
          <cell r="N196" t="str">
            <v>Robin</v>
          </cell>
          <cell r="O196" t="str">
            <v>Ahmet</v>
          </cell>
          <cell r="P196" t="str">
            <v>Stefan Jochems</v>
          </cell>
          <cell r="Q196" t="str">
            <v>L-PC-USERS</v>
          </cell>
          <cell r="R196" t="str">
            <v>R&amp;D</v>
          </cell>
          <cell r="S196">
            <v>5300</v>
          </cell>
          <cell r="T196">
            <v>5300</v>
          </cell>
          <cell r="U196">
            <v>0</v>
          </cell>
          <cell r="V196">
            <v>5120.3900000000003</v>
          </cell>
        </row>
        <row r="197">
          <cell r="A197" t="str">
            <v>EDI: Comarch</v>
          </cell>
          <cell r="B197" t="str">
            <v>CW8581</v>
          </cell>
          <cell r="C197">
            <v>68427709</v>
          </cell>
          <cell r="D197" t="str">
            <v>485074003</v>
          </cell>
          <cell r="E197" t="str">
            <v>Other Sup Appl Sup</v>
          </cell>
          <cell r="F197" t="str">
            <v>Application Support</v>
          </cell>
          <cell r="G197"/>
          <cell r="H197" t="str">
            <v>APP002928</v>
          </cell>
          <cell r="I197">
            <v>169060</v>
          </cell>
          <cell r="J197" t="str">
            <v>Comarch AG Belgian branch</v>
          </cell>
          <cell r="L197">
            <v>5401024578</v>
          </cell>
          <cell r="M197">
            <v>10</v>
          </cell>
          <cell r="N197" t="str">
            <v>Robin</v>
          </cell>
          <cell r="O197" t="str">
            <v>Carolyn</v>
          </cell>
          <cell r="P197" t="str">
            <v>Roberto</v>
          </cell>
          <cell r="Q197" t="str">
            <v>L-PC-USERS</v>
          </cell>
          <cell r="R197" t="str">
            <v>Tech Integration</v>
          </cell>
          <cell r="S197">
            <v>2000</v>
          </cell>
          <cell r="T197">
            <v>2000</v>
          </cell>
          <cell r="U197">
            <v>0</v>
          </cell>
          <cell r="V197">
            <v>1846.16</v>
          </cell>
        </row>
        <row r="198">
          <cell r="A198" t="str">
            <v>Global Water fall (GWF) + IQS</v>
          </cell>
          <cell r="B198" t="str">
            <v>CW7049</v>
          </cell>
          <cell r="C198">
            <v>68427709</v>
          </cell>
          <cell r="D198" t="str">
            <v>485074003</v>
          </cell>
          <cell r="E198" t="str">
            <v>Other Sup Appl Sup</v>
          </cell>
          <cell r="F198" t="str">
            <v>Application Support</v>
          </cell>
          <cell r="G198"/>
          <cell r="H198" t="str">
            <v>APP000069</v>
          </cell>
          <cell r="I198">
            <v>178449</v>
          </cell>
          <cell r="J198" t="str">
            <v>Alizent Canada Inc.</v>
          </cell>
          <cell r="K198"/>
          <cell r="M198">
            <v>10</v>
          </cell>
          <cell r="N198" t="str">
            <v>Robin</v>
          </cell>
          <cell r="O198" t="str">
            <v>Ahmet</v>
          </cell>
          <cell r="P198" t="str">
            <v>Stefan Jochems</v>
          </cell>
          <cell r="Q198" t="str">
            <v>L-PC-USERS</v>
          </cell>
          <cell r="R198" t="str">
            <v>Manufacturing</v>
          </cell>
          <cell r="S198">
            <v>40000</v>
          </cell>
          <cell r="T198">
            <v>0</v>
          </cell>
          <cell r="U198">
            <v>-40000</v>
          </cell>
          <cell r="V198">
            <v>0</v>
          </cell>
        </row>
        <row r="199">
          <cell r="A199" t="str">
            <v>Support Cornerstone</v>
          </cell>
          <cell r="B199" t="str">
            <v>CW9111</v>
          </cell>
          <cell r="C199">
            <v>68427709</v>
          </cell>
          <cell r="D199" t="str">
            <v>485074003</v>
          </cell>
          <cell r="E199" t="str">
            <v>Other Sup Appl Sup</v>
          </cell>
          <cell r="F199" t="str">
            <v>Application Support</v>
          </cell>
          <cell r="G199"/>
          <cell r="H199" t="str">
            <v>APP000043</v>
          </cell>
          <cell r="I199">
            <v>198740</v>
          </cell>
          <cell r="J199" t="str">
            <v>DXC Technology B.V.</v>
          </cell>
          <cell r="K199"/>
          <cell r="L199"/>
          <cell r="M199">
            <v>10</v>
          </cell>
          <cell r="N199" t="str">
            <v>Robin</v>
          </cell>
          <cell r="O199" t="str">
            <v>Ahmet</v>
          </cell>
          <cell r="P199" t="str">
            <v>Kostya</v>
          </cell>
          <cell r="Q199" t="str">
            <v>L-PC-USERS</v>
          </cell>
          <cell r="R199" t="str">
            <v>HR/Legal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</row>
        <row r="200">
          <cell r="A200" t="str">
            <v>Manufacturing Dashboard Coffee en Tea</v>
          </cell>
          <cell r="C200">
            <v>68427709</v>
          </cell>
          <cell r="D200" t="str">
            <v>485074003</v>
          </cell>
          <cell r="E200" t="str">
            <v>Other Sup Appl Sup</v>
          </cell>
          <cell r="F200" t="str">
            <v>Application Support</v>
          </cell>
          <cell r="G200"/>
          <cell r="H200" t="str">
            <v>APP001588</v>
          </cell>
          <cell r="I200">
            <v>179303</v>
          </cell>
          <cell r="J200" t="str">
            <v>Eenvoud Media</v>
          </cell>
          <cell r="K200"/>
          <cell r="L200">
            <v>5401026864</v>
          </cell>
          <cell r="M200">
            <v>10</v>
          </cell>
          <cell r="N200" t="str">
            <v>Robin</v>
          </cell>
          <cell r="O200" t="str">
            <v>Ahmet</v>
          </cell>
          <cell r="P200" t="str">
            <v>Marco</v>
          </cell>
          <cell r="Q200" t="str">
            <v>L-PC-USERS</v>
          </cell>
          <cell r="R200" t="str">
            <v>Manufacturing</v>
          </cell>
          <cell r="S200">
            <v>24000</v>
          </cell>
          <cell r="T200">
            <v>0</v>
          </cell>
          <cell r="U200">
            <v>-24000</v>
          </cell>
          <cell r="V200">
            <v>0</v>
          </cell>
        </row>
        <row r="201">
          <cell r="A201" t="str">
            <v>GeONE Excellent Support Bundle (NINTEX)</v>
          </cell>
          <cell r="B201" t="str">
            <v>CW8846</v>
          </cell>
          <cell r="C201">
            <v>68427709</v>
          </cell>
          <cell r="D201" t="str">
            <v>485074003</v>
          </cell>
          <cell r="E201" t="str">
            <v>Other Sup Appl Sup</v>
          </cell>
          <cell r="F201" t="str">
            <v>Application Support</v>
          </cell>
          <cell r="G201"/>
          <cell r="H201" t="str">
            <v>APP000997</v>
          </cell>
          <cell r="I201">
            <v>3000002</v>
          </cell>
          <cell r="J201" t="str">
            <v>Nintex UK</v>
          </cell>
          <cell r="L201">
            <v>5401018969</v>
          </cell>
          <cell r="M201">
            <v>20</v>
          </cell>
          <cell r="N201" t="str">
            <v>Robin</v>
          </cell>
          <cell r="O201" t="str">
            <v>Ahmet</v>
          </cell>
          <cell r="P201" t="str">
            <v>Martijn</v>
          </cell>
          <cell r="Q201" t="str">
            <v>L-PC-USERS</v>
          </cell>
          <cell r="R201" t="str">
            <v>HR/Legal</v>
          </cell>
          <cell r="S201">
            <v>10000</v>
          </cell>
          <cell r="T201">
            <v>0</v>
          </cell>
          <cell r="U201">
            <v>-10000</v>
          </cell>
          <cell r="V201">
            <v>0</v>
          </cell>
        </row>
        <row r="202">
          <cell r="A202" t="str">
            <v>Apttio Support TBM</v>
          </cell>
          <cell r="B202" t="str">
            <v>CW9512</v>
          </cell>
          <cell r="C202">
            <v>68427709</v>
          </cell>
          <cell r="D202" t="str">
            <v>485074003</v>
          </cell>
          <cell r="E202" t="str">
            <v>Other Sup Appl Sup</v>
          </cell>
          <cell r="F202" t="str">
            <v>Application Support</v>
          </cell>
          <cell r="G202" t="str">
            <v>IT4IT</v>
          </cell>
          <cell r="H202" t="str">
            <v>APP002309</v>
          </cell>
          <cell r="I202">
            <v>199492</v>
          </cell>
          <cell r="J202" t="str">
            <v>ITs Value Consultancy</v>
          </cell>
          <cell r="K202"/>
          <cell r="M202">
            <v>10</v>
          </cell>
          <cell r="N202" t="str">
            <v>Robin</v>
          </cell>
          <cell r="O202" t="str">
            <v>Ahmet</v>
          </cell>
          <cell r="P202" t="str">
            <v>Marek</v>
          </cell>
          <cell r="Q202" t="str">
            <v>L-PC-USERS</v>
          </cell>
          <cell r="R202" t="str">
            <v>Shared Platforms</v>
          </cell>
          <cell r="S202">
            <v>87000</v>
          </cell>
          <cell r="T202">
            <v>0</v>
          </cell>
          <cell r="U202">
            <v>-87000</v>
          </cell>
          <cell r="V202">
            <v>0</v>
          </cell>
        </row>
        <row r="203">
          <cell r="A203" t="str">
            <v>Platform.sh (Magento Hosting)</v>
          </cell>
          <cell r="C203">
            <v>68427709</v>
          </cell>
          <cell r="D203" t="str">
            <v>485074003</v>
          </cell>
          <cell r="E203" t="str">
            <v>Other Sup Appl Sup</v>
          </cell>
          <cell r="F203" t="str">
            <v>Application Support</v>
          </cell>
          <cell r="G203"/>
          <cell r="H203" t="str">
            <v>APP002415</v>
          </cell>
          <cell r="I203">
            <v>205476</v>
          </cell>
          <cell r="J203" t="str">
            <v>Platform.sh</v>
          </cell>
          <cell r="K203"/>
          <cell r="L203"/>
          <cell r="M203">
            <v>10</v>
          </cell>
          <cell r="N203" t="str">
            <v>Robin</v>
          </cell>
          <cell r="O203" t="str">
            <v>Bas</v>
          </cell>
          <cell r="P203" t="str">
            <v>Bas</v>
          </cell>
          <cell r="Q203" t="str">
            <v>Central</v>
          </cell>
          <cell r="R203" t="str">
            <v>DTC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</row>
        <row r="204">
          <cell r="A204" t="str">
            <v>Sap Ent. Support Appendix 11 : Sequoia Extension</v>
          </cell>
          <cell r="B204" t="str">
            <v>CW7745</v>
          </cell>
          <cell r="C204">
            <v>68427709</v>
          </cell>
          <cell r="D204" t="str">
            <v>485074004</v>
          </cell>
          <cell r="E204" t="str">
            <v>Software li SAP appl</v>
          </cell>
          <cell r="F204" t="str">
            <v>Application Support</v>
          </cell>
          <cell r="G204" t="str">
            <v>SAP suite</v>
          </cell>
          <cell r="H204" t="str">
            <v>APP000018</v>
          </cell>
          <cell r="I204">
            <v>117570</v>
          </cell>
          <cell r="J204" t="str">
            <v>SAP</v>
          </cell>
          <cell r="K204"/>
          <cell r="L204">
            <v>5401024359</v>
          </cell>
          <cell r="M204">
            <v>110</v>
          </cell>
          <cell r="N204" t="str">
            <v>Robin</v>
          </cell>
          <cell r="O204" t="str">
            <v>Carolyn</v>
          </cell>
          <cell r="P204" t="str">
            <v>Robin</v>
          </cell>
          <cell r="Q204" t="str">
            <v>L-SAP-USERS</v>
          </cell>
          <cell r="R204" t="str">
            <v>Shared Platforms</v>
          </cell>
          <cell r="S204">
            <v>1266493</v>
          </cell>
          <cell r="T204">
            <v>1266493</v>
          </cell>
          <cell r="U204">
            <v>0</v>
          </cell>
          <cell r="V204">
            <v>1169076.21</v>
          </cell>
        </row>
        <row r="205">
          <cell r="A205" t="str">
            <v>Sap Ent. Support Appendix 1 : Initial Scope</v>
          </cell>
          <cell r="B205" t="str">
            <v>CW7745</v>
          </cell>
          <cell r="C205">
            <v>68427709</v>
          </cell>
          <cell r="D205" t="str">
            <v>485074004</v>
          </cell>
          <cell r="E205" t="str">
            <v>Software li SAP appl</v>
          </cell>
          <cell r="F205" t="str">
            <v>Application Support</v>
          </cell>
          <cell r="G205" t="str">
            <v>SAP suite</v>
          </cell>
          <cell r="H205" t="str">
            <v>APP000018</v>
          </cell>
          <cell r="I205">
            <v>117570</v>
          </cell>
          <cell r="J205" t="str">
            <v>SAP</v>
          </cell>
          <cell r="K205"/>
          <cell r="L205">
            <v>5401024359</v>
          </cell>
          <cell r="M205">
            <v>10</v>
          </cell>
          <cell r="N205" t="str">
            <v>Robin</v>
          </cell>
          <cell r="O205" t="str">
            <v>Carolyn</v>
          </cell>
          <cell r="P205" t="str">
            <v>Robin</v>
          </cell>
          <cell r="Q205" t="str">
            <v>L-SAP-USERS</v>
          </cell>
          <cell r="R205" t="str">
            <v>Shared Platforms</v>
          </cell>
          <cell r="S205">
            <v>1232165</v>
          </cell>
          <cell r="T205">
            <v>1232165</v>
          </cell>
          <cell r="U205">
            <v>0</v>
          </cell>
          <cell r="V205">
            <v>1137388.67</v>
          </cell>
        </row>
        <row r="206">
          <cell r="A206" t="str">
            <v>Sap Ent. Support Appendix 13 : Sequoia + HANA</v>
          </cell>
          <cell r="B206" t="str">
            <v>CW7745</v>
          </cell>
          <cell r="C206">
            <v>68427709</v>
          </cell>
          <cell r="D206" t="str">
            <v>485074004</v>
          </cell>
          <cell r="E206" t="str">
            <v>Software li SAP appl</v>
          </cell>
          <cell r="F206" t="str">
            <v>Application Support</v>
          </cell>
          <cell r="G206" t="str">
            <v>SAP suite</v>
          </cell>
          <cell r="H206" t="str">
            <v>APP000018</v>
          </cell>
          <cell r="I206">
            <v>117570</v>
          </cell>
          <cell r="J206" t="str">
            <v>SAP</v>
          </cell>
          <cell r="K206"/>
          <cell r="L206">
            <v>5401024359</v>
          </cell>
          <cell r="M206">
            <v>130</v>
          </cell>
          <cell r="N206" t="str">
            <v>Robin</v>
          </cell>
          <cell r="O206" t="str">
            <v>Carolyn</v>
          </cell>
          <cell r="P206" t="str">
            <v>Robin</v>
          </cell>
          <cell r="Q206" t="str">
            <v>L-SAP-USERS</v>
          </cell>
          <cell r="R206" t="str">
            <v>Shared Platforms</v>
          </cell>
          <cell r="S206">
            <v>958152</v>
          </cell>
          <cell r="T206">
            <v>958152</v>
          </cell>
          <cell r="U206">
            <v>0</v>
          </cell>
          <cell r="V206">
            <v>884452.35</v>
          </cell>
        </row>
        <row r="207">
          <cell r="A207" t="str">
            <v>Sap C4C Licenses</v>
          </cell>
          <cell r="B207" t="str">
            <v>CW5686</v>
          </cell>
          <cell r="C207">
            <v>68427709</v>
          </cell>
          <cell r="D207" t="str">
            <v>485074004</v>
          </cell>
          <cell r="E207" t="str">
            <v>Software li SAP appl</v>
          </cell>
          <cell r="F207" t="str">
            <v>Application Support</v>
          </cell>
          <cell r="G207"/>
          <cell r="H207" t="str">
            <v>APP000029</v>
          </cell>
          <cell r="I207">
            <v>117570</v>
          </cell>
          <cell r="J207" t="str">
            <v>SAP</v>
          </cell>
          <cell r="L207">
            <v>5401019012</v>
          </cell>
          <cell r="M207">
            <v>10</v>
          </cell>
          <cell r="N207" t="str">
            <v>Robin</v>
          </cell>
          <cell r="O207" t="str">
            <v>Cesare</v>
          </cell>
          <cell r="P207" t="str">
            <v>Cesare</v>
          </cell>
          <cell r="Q207" t="str">
            <v>L-C4C-USERS</v>
          </cell>
          <cell r="R207" t="str">
            <v>Retail Sales</v>
          </cell>
          <cell r="S207">
            <v>455000</v>
          </cell>
          <cell r="T207">
            <v>432000</v>
          </cell>
          <cell r="U207">
            <v>-23000</v>
          </cell>
          <cell r="V207">
            <v>400035.03</v>
          </cell>
        </row>
        <row r="208">
          <cell r="A208" t="str">
            <v>10615492 Oracle Database Enterprise Edition - Processor Perpetual</v>
          </cell>
          <cell r="B208" t="str">
            <v>CW9748</v>
          </cell>
          <cell r="C208">
            <v>68427709</v>
          </cell>
          <cell r="D208" t="str">
            <v>485074004</v>
          </cell>
          <cell r="E208" t="str">
            <v>Software li SAP appl</v>
          </cell>
          <cell r="F208" t="str">
            <v>Application Support</v>
          </cell>
          <cell r="G208" t="str">
            <v>SAP suite</v>
          </cell>
          <cell r="H208" t="str">
            <v>APP001828</v>
          </cell>
          <cell r="I208">
            <v>118054</v>
          </cell>
          <cell r="J208" t="str">
            <v>Oracle</v>
          </cell>
          <cell r="K208"/>
          <cell r="L208">
            <v>5400990636</v>
          </cell>
          <cell r="M208">
            <v>10</v>
          </cell>
          <cell r="N208" t="str">
            <v>Robin</v>
          </cell>
          <cell r="O208" t="str">
            <v>Carolyn</v>
          </cell>
          <cell r="P208" t="str">
            <v>Robin</v>
          </cell>
          <cell r="Q208" t="str">
            <v>L-XTEL-USERS</v>
          </cell>
          <cell r="R208" t="str">
            <v>Shared Platforms</v>
          </cell>
          <cell r="S208">
            <v>415640</v>
          </cell>
          <cell r="T208">
            <v>415640</v>
          </cell>
          <cell r="U208">
            <v>0</v>
          </cell>
          <cell r="V208">
            <v>383669.58</v>
          </cell>
        </row>
        <row r="209">
          <cell r="A209" t="str">
            <v>Sap Ent. Support Appendix 16 : Native HANA + PO + AIF</v>
          </cell>
          <cell r="B209" t="str">
            <v>CW7745</v>
          </cell>
          <cell r="C209">
            <v>68427709</v>
          </cell>
          <cell r="D209" t="str">
            <v>485074004</v>
          </cell>
          <cell r="E209" t="str">
            <v>Software li SAP appl</v>
          </cell>
          <cell r="F209" t="str">
            <v>Application Support</v>
          </cell>
          <cell r="G209" t="str">
            <v>SAP suite</v>
          </cell>
          <cell r="H209" t="str">
            <v>APP000018</v>
          </cell>
          <cell r="I209">
            <v>117570</v>
          </cell>
          <cell r="J209" t="str">
            <v>SAP</v>
          </cell>
          <cell r="K209"/>
          <cell r="L209">
            <v>5401024359</v>
          </cell>
          <cell r="M209">
            <v>160</v>
          </cell>
          <cell r="N209" t="str">
            <v>Robin</v>
          </cell>
          <cell r="O209" t="str">
            <v>Carolyn</v>
          </cell>
          <cell r="P209" t="str">
            <v>Robin</v>
          </cell>
          <cell r="Q209" t="str">
            <v>L-SAP-USERS</v>
          </cell>
          <cell r="R209" t="str">
            <v>Shared Platforms</v>
          </cell>
          <cell r="S209">
            <v>365000</v>
          </cell>
          <cell r="T209">
            <v>365000</v>
          </cell>
          <cell r="U209">
            <v>0</v>
          </cell>
          <cell r="V209">
            <v>336924.73</v>
          </cell>
        </row>
        <row r="210">
          <cell r="A210" t="str">
            <v>Sap Ent. Support Appendix 15 : Cypress License Acquisition</v>
          </cell>
          <cell r="B210" t="str">
            <v>CW7745</v>
          </cell>
          <cell r="C210">
            <v>68427709</v>
          </cell>
          <cell r="D210" t="str">
            <v>485074004</v>
          </cell>
          <cell r="E210" t="str">
            <v>Software li SAP appl</v>
          </cell>
          <cell r="F210" t="str">
            <v>Application Support</v>
          </cell>
          <cell r="G210" t="str">
            <v>SAP suite</v>
          </cell>
          <cell r="H210" t="str">
            <v>APP000018</v>
          </cell>
          <cell r="I210">
            <v>117570</v>
          </cell>
          <cell r="J210" t="str">
            <v>SAP</v>
          </cell>
          <cell r="K210"/>
          <cell r="L210">
            <v>5401024359</v>
          </cell>
          <cell r="M210">
            <v>150</v>
          </cell>
          <cell r="N210" t="str">
            <v>Robin</v>
          </cell>
          <cell r="O210" t="str">
            <v>Carolyn</v>
          </cell>
          <cell r="P210" t="str">
            <v>Robin</v>
          </cell>
          <cell r="Q210" t="str">
            <v>L-SAP-USERS</v>
          </cell>
          <cell r="R210" t="str">
            <v>Shared Platforms</v>
          </cell>
          <cell r="S210">
            <v>240000</v>
          </cell>
          <cell r="T210">
            <v>240000</v>
          </cell>
          <cell r="U210">
            <v>0</v>
          </cell>
          <cell r="V210">
            <v>221539.55</v>
          </cell>
        </row>
        <row r="211">
          <cell r="A211" t="str">
            <v>Active Embedded Support</v>
          </cell>
          <cell r="B211" t="str">
            <v>CW5457</v>
          </cell>
          <cell r="C211">
            <v>68427709</v>
          </cell>
          <cell r="D211" t="str">
            <v>485074004</v>
          </cell>
          <cell r="E211" t="str">
            <v>Software li SAP appl</v>
          </cell>
          <cell r="F211" t="str">
            <v>Application Support</v>
          </cell>
          <cell r="G211" t="str">
            <v>SAP suite</v>
          </cell>
          <cell r="H211" t="str">
            <v>APP000018</v>
          </cell>
          <cell r="I211">
            <v>117570</v>
          </cell>
          <cell r="J211" t="str">
            <v>SAP</v>
          </cell>
          <cell r="K211"/>
          <cell r="L211">
            <v>5400904056</v>
          </cell>
          <cell r="M211">
            <v>10</v>
          </cell>
          <cell r="N211" t="str">
            <v>Robin</v>
          </cell>
          <cell r="O211" t="str">
            <v>Carolyn</v>
          </cell>
          <cell r="P211" t="str">
            <v>Robin</v>
          </cell>
          <cell r="Q211" t="str">
            <v>L-SAP-USERS</v>
          </cell>
          <cell r="R211" t="str">
            <v>Shared Platforms</v>
          </cell>
          <cell r="S211">
            <v>237000</v>
          </cell>
          <cell r="T211">
            <v>237000</v>
          </cell>
          <cell r="U211">
            <v>0</v>
          </cell>
          <cell r="V211">
            <v>218770.31</v>
          </cell>
        </row>
        <row r="212">
          <cell r="A212" t="str">
            <v>SAP Archiving solution (OpenText)</v>
          </cell>
          <cell r="B212" t="str">
            <v>CW7829</v>
          </cell>
          <cell r="C212">
            <v>68427709</v>
          </cell>
          <cell r="D212" t="str">
            <v>485074004</v>
          </cell>
          <cell r="E212" t="str">
            <v>Software li SAP appl</v>
          </cell>
          <cell r="F212" t="str">
            <v>Application Support</v>
          </cell>
          <cell r="G212"/>
          <cell r="H212" t="str">
            <v>APP001424</v>
          </cell>
          <cell r="I212">
            <v>168933</v>
          </cell>
          <cell r="J212" t="str">
            <v>Open Text</v>
          </cell>
          <cell r="L212">
            <v>5401017896</v>
          </cell>
          <cell r="M212">
            <v>10</v>
          </cell>
          <cell r="N212" t="str">
            <v>Robin</v>
          </cell>
          <cell r="O212" t="str">
            <v>Carolyn</v>
          </cell>
          <cell r="P212" t="str">
            <v>Robin</v>
          </cell>
          <cell r="Q212" t="str">
            <v>L-SAP-USERS</v>
          </cell>
          <cell r="R212" t="str">
            <v>Shared Platforms</v>
          </cell>
          <cell r="S212">
            <v>235000</v>
          </cell>
          <cell r="T212">
            <v>235000</v>
          </cell>
          <cell r="U212">
            <v>0</v>
          </cell>
          <cell r="V212">
            <v>216924.14</v>
          </cell>
        </row>
        <row r="213">
          <cell r="A213" t="str">
            <v xml:space="preserve">Seeburger RFC </v>
          </cell>
          <cell r="B213" t="str">
            <v>CW4405</v>
          </cell>
          <cell r="C213">
            <v>68427709</v>
          </cell>
          <cell r="D213" t="str">
            <v>485074004</v>
          </cell>
          <cell r="E213" t="str">
            <v>Software li SAP appl</v>
          </cell>
          <cell r="F213" t="str">
            <v>Application Support</v>
          </cell>
          <cell r="G213"/>
          <cell r="H213" t="str">
            <v>APP000063</v>
          </cell>
          <cell r="I213">
            <v>151290</v>
          </cell>
          <cell r="J213" t="str">
            <v>Seeburger</v>
          </cell>
          <cell r="K213"/>
          <cell r="L213">
            <v>5401024590</v>
          </cell>
          <cell r="M213">
            <v>10</v>
          </cell>
          <cell r="N213" t="str">
            <v>Robin</v>
          </cell>
          <cell r="O213" t="str">
            <v>Carolyn</v>
          </cell>
          <cell r="P213" t="str">
            <v>Roberto</v>
          </cell>
          <cell r="Q213" t="str">
            <v>L-SAP-USERS</v>
          </cell>
          <cell r="R213" t="str">
            <v>Tech Integration</v>
          </cell>
          <cell r="S213">
            <v>224000</v>
          </cell>
          <cell r="T213">
            <v>224000</v>
          </cell>
          <cell r="U213">
            <v>0</v>
          </cell>
          <cell r="V213">
            <v>206770.25</v>
          </cell>
        </row>
        <row r="214">
          <cell r="A214" t="str">
            <v>Sap Ent. Support Appendix 20 : Audit find LAE, BI</v>
          </cell>
          <cell r="B214" t="str">
            <v>CW7745</v>
          </cell>
          <cell r="C214">
            <v>68427709</v>
          </cell>
          <cell r="D214" t="str">
            <v>485074004</v>
          </cell>
          <cell r="E214" t="str">
            <v>Software li SAP appl</v>
          </cell>
          <cell r="F214" t="str">
            <v>Application Support</v>
          </cell>
          <cell r="G214" t="str">
            <v>SAP suite</v>
          </cell>
          <cell r="H214" t="str">
            <v>APP002552</v>
          </cell>
          <cell r="I214">
            <v>117570</v>
          </cell>
          <cell r="J214" t="str">
            <v>SAP</v>
          </cell>
          <cell r="L214">
            <v>5401024359</v>
          </cell>
          <cell r="M214">
            <v>200</v>
          </cell>
          <cell r="N214" t="str">
            <v>Robin</v>
          </cell>
          <cell r="O214" t="str">
            <v>Carolyn</v>
          </cell>
          <cell r="P214" t="str">
            <v>Robin</v>
          </cell>
          <cell r="Q214" t="str">
            <v>L-SAP-USERS</v>
          </cell>
          <cell r="R214" t="str">
            <v>Shared Platforms</v>
          </cell>
          <cell r="S214">
            <v>219000</v>
          </cell>
          <cell r="T214">
            <v>219000</v>
          </cell>
          <cell r="U214">
            <v>0</v>
          </cell>
          <cell r="V214">
            <v>202154.84</v>
          </cell>
        </row>
        <row r="215">
          <cell r="A215" t="str">
            <v>SRC (PDM) Contribution 1Sync</v>
          </cell>
          <cell r="B215" t="str">
            <v>CW3310</v>
          </cell>
          <cell r="C215">
            <v>68427709</v>
          </cell>
          <cell r="D215" t="str">
            <v>485074004</v>
          </cell>
          <cell r="E215" t="str">
            <v>Software li SAP appl</v>
          </cell>
          <cell r="F215" t="str">
            <v>Application Support</v>
          </cell>
          <cell r="G215"/>
          <cell r="H215" t="str">
            <v>APP000057</v>
          </cell>
          <cell r="I215">
            <v>166350</v>
          </cell>
          <cell r="J215" t="str">
            <v>1SYNC Inc.</v>
          </cell>
          <cell r="K215"/>
          <cell r="L215">
            <v>5400945798</v>
          </cell>
          <cell r="M215">
            <v>10</v>
          </cell>
          <cell r="N215" t="str">
            <v>Robin</v>
          </cell>
          <cell r="O215" t="str">
            <v>Ahmet</v>
          </cell>
          <cell r="P215" t="str">
            <v>Sharath</v>
          </cell>
          <cell r="Q215" t="str">
            <v>L-SAP-USERS</v>
          </cell>
          <cell r="R215" t="str">
            <v>Shared Platforms</v>
          </cell>
          <cell r="S215">
            <v>175000</v>
          </cell>
          <cell r="T215">
            <v>175000</v>
          </cell>
          <cell r="U215">
            <v>0</v>
          </cell>
          <cell r="V215">
            <v>169069.59</v>
          </cell>
        </row>
        <row r="216">
          <cell r="A216" t="str">
            <v>Sap Ent. Support Appendix 17 : License audit</v>
          </cell>
          <cell r="B216" t="str">
            <v>CW7745</v>
          </cell>
          <cell r="C216">
            <v>68427709</v>
          </cell>
          <cell r="D216" t="str">
            <v>485074004</v>
          </cell>
          <cell r="E216" t="str">
            <v>Software li SAP appl</v>
          </cell>
          <cell r="F216" t="str">
            <v>Application Support</v>
          </cell>
          <cell r="G216" t="str">
            <v>SAP suite</v>
          </cell>
          <cell r="H216" t="str">
            <v>APP000018</v>
          </cell>
          <cell r="I216">
            <v>117570</v>
          </cell>
          <cell r="J216" t="str">
            <v>SAP</v>
          </cell>
          <cell r="K216"/>
          <cell r="L216">
            <v>5401024359</v>
          </cell>
          <cell r="M216">
            <v>170</v>
          </cell>
          <cell r="N216" t="str">
            <v>Robin</v>
          </cell>
          <cell r="O216" t="str">
            <v>Carolyn</v>
          </cell>
          <cell r="P216" t="str">
            <v>Robin</v>
          </cell>
          <cell r="Q216" t="str">
            <v>L-SAP-USERS</v>
          </cell>
          <cell r="R216" t="str">
            <v>Shared Platforms</v>
          </cell>
          <cell r="S216">
            <v>164000</v>
          </cell>
          <cell r="T216">
            <v>164000</v>
          </cell>
          <cell r="U216">
            <v>0</v>
          </cell>
          <cell r="V216">
            <v>151385.35999999999</v>
          </cell>
        </row>
        <row r="217">
          <cell r="A217" t="str">
            <v>Seeburger (EDI Connection)</v>
          </cell>
          <cell r="B217" t="str">
            <v>CW4405</v>
          </cell>
          <cell r="C217">
            <v>68427709</v>
          </cell>
          <cell r="D217" t="str">
            <v>485074004</v>
          </cell>
          <cell r="E217" t="str">
            <v>Software li SAP appl</v>
          </cell>
          <cell r="F217" t="str">
            <v>Application Support</v>
          </cell>
          <cell r="G217"/>
          <cell r="H217" t="str">
            <v>APP000063</v>
          </cell>
          <cell r="I217">
            <v>3000043</v>
          </cell>
          <cell r="J217" t="str">
            <v>Seeburger</v>
          </cell>
          <cell r="K217"/>
          <cell r="L217">
            <v>5401020209</v>
          </cell>
          <cell r="M217">
            <v>10</v>
          </cell>
          <cell r="N217" t="str">
            <v>Robin</v>
          </cell>
          <cell r="O217" t="str">
            <v>Carolyn</v>
          </cell>
          <cell r="P217" t="str">
            <v>Roberto</v>
          </cell>
          <cell r="Q217" t="str">
            <v>L-SAP-USERS</v>
          </cell>
          <cell r="R217" t="str">
            <v>Tech Integration</v>
          </cell>
          <cell r="S217">
            <v>120000</v>
          </cell>
          <cell r="T217">
            <v>160000</v>
          </cell>
          <cell r="U217">
            <v>40000</v>
          </cell>
          <cell r="V217">
            <v>147693.03</v>
          </cell>
        </row>
        <row r="218">
          <cell r="A218" t="str">
            <v>Sap Ent. Support Appendix 6 : APO</v>
          </cell>
          <cell r="B218" t="str">
            <v>CW7745</v>
          </cell>
          <cell r="C218">
            <v>68427709</v>
          </cell>
          <cell r="D218" t="str">
            <v>485074004</v>
          </cell>
          <cell r="E218" t="str">
            <v>Software li SAP appl</v>
          </cell>
          <cell r="F218" t="str">
            <v>Application Support</v>
          </cell>
          <cell r="G218" t="str">
            <v>SAP suite</v>
          </cell>
          <cell r="H218" t="str">
            <v>APP000018</v>
          </cell>
          <cell r="I218">
            <v>117570</v>
          </cell>
          <cell r="J218" t="str">
            <v>SAP</v>
          </cell>
          <cell r="K218"/>
          <cell r="L218">
            <v>5401024359</v>
          </cell>
          <cell r="M218">
            <v>60</v>
          </cell>
          <cell r="N218" t="str">
            <v>Robin</v>
          </cell>
          <cell r="O218" t="str">
            <v>Carolyn</v>
          </cell>
          <cell r="P218" t="str">
            <v>Robin</v>
          </cell>
          <cell r="Q218" t="str">
            <v>L-SAP-USERS</v>
          </cell>
          <cell r="R218" t="str">
            <v>Shared Platforms</v>
          </cell>
          <cell r="S218">
            <v>145587</v>
          </cell>
          <cell r="T218">
            <v>145587</v>
          </cell>
          <cell r="U218">
            <v>0</v>
          </cell>
          <cell r="V218">
            <v>134388.66</v>
          </cell>
        </row>
        <row r="219">
          <cell r="A219" t="str">
            <v>Ariba</v>
          </cell>
          <cell r="B219" t="str">
            <v>CW13459</v>
          </cell>
          <cell r="C219">
            <v>68427709</v>
          </cell>
          <cell r="D219" t="str">
            <v>485074004</v>
          </cell>
          <cell r="E219" t="str">
            <v>Software li SAP appl</v>
          </cell>
          <cell r="F219" t="str">
            <v>Application Support</v>
          </cell>
          <cell r="G219"/>
          <cell r="H219" t="str">
            <v>APP001804</v>
          </cell>
          <cell r="I219">
            <v>117570</v>
          </cell>
          <cell r="J219" t="str">
            <v>SAP</v>
          </cell>
          <cell r="L219">
            <v>5400880684</v>
          </cell>
          <cell r="M219">
            <v>30</v>
          </cell>
          <cell r="N219" t="str">
            <v>Robin</v>
          </cell>
          <cell r="O219" t="str">
            <v>Ahmet</v>
          </cell>
          <cell r="P219" t="str">
            <v>Stanislav Stoyanov</v>
          </cell>
          <cell r="Q219" t="str">
            <v>Central</v>
          </cell>
          <cell r="R219" t="str">
            <v>PROC</v>
          </cell>
          <cell r="S219">
            <v>130000</v>
          </cell>
          <cell r="T219">
            <v>85000</v>
          </cell>
          <cell r="U219">
            <v>-45000</v>
          </cell>
          <cell r="V219">
            <v>82119.509999999995</v>
          </cell>
        </row>
        <row r="220">
          <cell r="A220" t="str">
            <v>Ariba</v>
          </cell>
          <cell r="B220" t="str">
            <v>CW13459</v>
          </cell>
          <cell r="C220">
            <v>68427709</v>
          </cell>
          <cell r="D220" t="str">
            <v>485074004</v>
          </cell>
          <cell r="E220" t="str">
            <v>Software li SAP appl</v>
          </cell>
          <cell r="F220" t="str">
            <v>Application Support</v>
          </cell>
          <cell r="G220"/>
          <cell r="H220" t="str">
            <v>APP003312</v>
          </cell>
          <cell r="I220">
            <v>117570</v>
          </cell>
          <cell r="J220" t="str">
            <v>SAP</v>
          </cell>
          <cell r="L220">
            <v>5400880684</v>
          </cell>
          <cell r="M220">
            <v>30</v>
          </cell>
          <cell r="N220" t="str">
            <v>Robin</v>
          </cell>
          <cell r="O220" t="str">
            <v>Ahmet</v>
          </cell>
          <cell r="P220" t="str">
            <v>Stanislav Stoyanov</v>
          </cell>
          <cell r="Q220" t="str">
            <v>L-SAP-USERS</v>
          </cell>
          <cell r="R220" t="str">
            <v>PROC</v>
          </cell>
          <cell r="S220">
            <v>0</v>
          </cell>
          <cell r="T220">
            <v>45000</v>
          </cell>
          <cell r="U220">
            <v>45000</v>
          </cell>
          <cell r="V220">
            <v>43475.040000000001</v>
          </cell>
        </row>
        <row r="221">
          <cell r="A221" t="str">
            <v>Sap Ent. Support Appendix 4 : BPC, HANA, BO BI</v>
          </cell>
          <cell r="B221" t="str">
            <v>CW7745</v>
          </cell>
          <cell r="C221">
            <v>68427709</v>
          </cell>
          <cell r="D221" t="str">
            <v>485074004</v>
          </cell>
          <cell r="E221" t="str">
            <v>Software li SAP appl</v>
          </cell>
          <cell r="F221" t="str">
            <v>Application Support</v>
          </cell>
          <cell r="G221" t="str">
            <v>SAP suite</v>
          </cell>
          <cell r="H221" t="str">
            <v>APP000020</v>
          </cell>
          <cell r="I221">
            <v>117570</v>
          </cell>
          <cell r="J221" t="str">
            <v>SAP</v>
          </cell>
          <cell r="K221"/>
          <cell r="L221">
            <v>5401024359</v>
          </cell>
          <cell r="M221">
            <v>40</v>
          </cell>
          <cell r="N221" t="str">
            <v>Robin</v>
          </cell>
          <cell r="O221" t="str">
            <v>Carolyn</v>
          </cell>
          <cell r="P221" t="str">
            <v>Robin</v>
          </cell>
          <cell r="Q221" t="str">
            <v>L-SAP-USERS</v>
          </cell>
          <cell r="R221" t="str">
            <v>Shared Platforms</v>
          </cell>
          <cell r="S221">
            <v>125272</v>
          </cell>
          <cell r="T221">
            <v>125272</v>
          </cell>
          <cell r="U221">
            <v>0</v>
          </cell>
          <cell r="V221">
            <v>115636.26</v>
          </cell>
        </row>
        <row r="222">
          <cell r="A222" t="str">
            <v>Sap Ent. Support Appendix 12 : CPS (Redwood) - changed to: Run my Jobs</v>
          </cell>
          <cell r="B222" t="str">
            <v>CW7745</v>
          </cell>
          <cell r="C222">
            <v>68427709</v>
          </cell>
          <cell r="D222" t="str">
            <v>485074004</v>
          </cell>
          <cell r="E222" t="str">
            <v>Software li SAP appl</v>
          </cell>
          <cell r="F222" t="str">
            <v>Application Support</v>
          </cell>
          <cell r="G222" t="str">
            <v>SAP suite</v>
          </cell>
          <cell r="H222" t="str">
            <v>APP000018</v>
          </cell>
          <cell r="I222">
            <v>117570</v>
          </cell>
          <cell r="J222" t="str">
            <v>SAP</v>
          </cell>
          <cell r="K222"/>
          <cell r="L222">
            <v>5401024359</v>
          </cell>
          <cell r="M222">
            <v>120</v>
          </cell>
          <cell r="N222" t="str">
            <v>Robin</v>
          </cell>
          <cell r="O222" t="str">
            <v>Carolyn</v>
          </cell>
          <cell r="P222" t="str">
            <v>Robin</v>
          </cell>
          <cell r="Q222" t="str">
            <v>L-SAP-USERS</v>
          </cell>
          <cell r="R222" t="str">
            <v>Shared Platforms</v>
          </cell>
          <cell r="S222">
            <v>75263</v>
          </cell>
          <cell r="T222">
            <v>115263</v>
          </cell>
          <cell r="U222">
            <v>40000</v>
          </cell>
          <cell r="V222">
            <v>106397.14</v>
          </cell>
        </row>
        <row r="223">
          <cell r="A223" t="str">
            <v>Sap Ent. Support Appendix 14 : SAP TAO SDS</v>
          </cell>
          <cell r="B223" t="str">
            <v>CW7745</v>
          </cell>
          <cell r="C223">
            <v>68427709</v>
          </cell>
          <cell r="D223" t="str">
            <v>485074004</v>
          </cell>
          <cell r="E223" t="str">
            <v>Software li SAP appl</v>
          </cell>
          <cell r="F223" t="str">
            <v>Application Support</v>
          </cell>
          <cell r="G223" t="str">
            <v>SAP suite</v>
          </cell>
          <cell r="H223" t="str">
            <v>APP000018</v>
          </cell>
          <cell r="I223">
            <v>117570</v>
          </cell>
          <cell r="J223" t="str">
            <v>SAP</v>
          </cell>
          <cell r="K223"/>
          <cell r="L223">
            <v>5401024359</v>
          </cell>
          <cell r="M223">
            <v>140</v>
          </cell>
          <cell r="N223" t="str">
            <v>Robin</v>
          </cell>
          <cell r="O223" t="str">
            <v>Carolyn</v>
          </cell>
          <cell r="P223" t="str">
            <v>Robin</v>
          </cell>
          <cell r="Q223" t="str">
            <v>L-SAP-USERS</v>
          </cell>
          <cell r="R223" t="str">
            <v>Shared Platforms</v>
          </cell>
          <cell r="S223">
            <v>110084</v>
          </cell>
          <cell r="T223">
            <v>110084</v>
          </cell>
          <cell r="U223">
            <v>0</v>
          </cell>
          <cell r="V223">
            <v>101616.5</v>
          </cell>
        </row>
        <row r="224">
          <cell r="A224" t="str">
            <v>Influe / EWR</v>
          </cell>
          <cell r="B224" t="str">
            <v>CW6061</v>
          </cell>
          <cell r="C224">
            <v>68427709</v>
          </cell>
          <cell r="D224" t="str">
            <v>485074004</v>
          </cell>
          <cell r="E224" t="str">
            <v>Software li SAP appl</v>
          </cell>
          <cell r="F224" t="str">
            <v>Application Support</v>
          </cell>
          <cell r="G224"/>
          <cell r="H224" t="str">
            <v>APP000394</v>
          </cell>
          <cell r="I224">
            <v>167392</v>
          </cell>
          <cell r="J224" t="str">
            <v>GENERIX</v>
          </cell>
          <cell r="L224">
            <v>5401014593</v>
          </cell>
          <cell r="M224">
            <v>10</v>
          </cell>
          <cell r="N224" t="str">
            <v>Robin</v>
          </cell>
          <cell r="O224" t="str">
            <v>Ahmet</v>
          </cell>
          <cell r="P224" t="str">
            <v>Sharath</v>
          </cell>
          <cell r="Q224" t="str">
            <v>L-SAP-USERS</v>
          </cell>
          <cell r="R224" t="str">
            <v>Supply Chain</v>
          </cell>
          <cell r="S224">
            <v>82000</v>
          </cell>
          <cell r="T224">
            <v>82000</v>
          </cell>
          <cell r="U224">
            <v>0</v>
          </cell>
          <cell r="V224">
            <v>79221.179999999993</v>
          </cell>
        </row>
        <row r="225">
          <cell r="A225" t="str">
            <v>Sap Ent. Support Appendix 3 : GRC</v>
          </cell>
          <cell r="C225">
            <v>68427709</v>
          </cell>
          <cell r="D225" t="str">
            <v>485074004</v>
          </cell>
          <cell r="E225" t="str">
            <v>Software li SAP appl</v>
          </cell>
          <cell r="F225" t="str">
            <v>Application Support</v>
          </cell>
          <cell r="G225" t="str">
            <v>SAP suite</v>
          </cell>
          <cell r="H225" t="str">
            <v>APP000026</v>
          </cell>
          <cell r="I225">
            <v>117570</v>
          </cell>
          <cell r="J225" t="str">
            <v>SAP</v>
          </cell>
          <cell r="K225"/>
          <cell r="L225">
            <v>5401024359</v>
          </cell>
          <cell r="M225">
            <v>30</v>
          </cell>
          <cell r="N225" t="str">
            <v>Robin</v>
          </cell>
          <cell r="O225" t="str">
            <v>Carolyn</v>
          </cell>
          <cell r="P225" t="str">
            <v>Robin</v>
          </cell>
          <cell r="Q225" t="str">
            <v>L-SAP-USERS</v>
          </cell>
          <cell r="R225" t="str">
            <v>Shared Platforms</v>
          </cell>
          <cell r="S225">
            <v>65148</v>
          </cell>
          <cell r="T225">
            <v>65148</v>
          </cell>
          <cell r="U225">
            <v>0</v>
          </cell>
          <cell r="V225">
            <v>60136.91</v>
          </cell>
        </row>
        <row r="226">
          <cell r="A226" t="str">
            <v>Sap Ent. Support Appendix 5 : APO</v>
          </cell>
          <cell r="B226" t="str">
            <v>CW7745</v>
          </cell>
          <cell r="C226">
            <v>68427709</v>
          </cell>
          <cell r="D226" t="str">
            <v>485074004</v>
          </cell>
          <cell r="E226" t="str">
            <v>Software li SAP appl</v>
          </cell>
          <cell r="F226" t="str">
            <v>Application Support</v>
          </cell>
          <cell r="G226" t="str">
            <v>SAP suite</v>
          </cell>
          <cell r="H226" t="str">
            <v>APP000022</v>
          </cell>
          <cell r="I226">
            <v>117570</v>
          </cell>
          <cell r="J226" t="str">
            <v>SAP</v>
          </cell>
          <cell r="K226"/>
          <cell r="L226">
            <v>5401024359</v>
          </cell>
          <cell r="M226">
            <v>50</v>
          </cell>
          <cell r="N226" t="str">
            <v>Robin</v>
          </cell>
          <cell r="O226" t="str">
            <v>Carolyn</v>
          </cell>
          <cell r="P226" t="str">
            <v>Robin</v>
          </cell>
          <cell r="Q226" t="str">
            <v>L-SAP-USERS</v>
          </cell>
          <cell r="R226" t="str">
            <v>Shared Platforms</v>
          </cell>
          <cell r="S226">
            <v>61486</v>
          </cell>
          <cell r="T226">
            <v>61486</v>
          </cell>
          <cell r="U226">
            <v>0</v>
          </cell>
          <cell r="V226">
            <v>56756.59</v>
          </cell>
        </row>
        <row r="227">
          <cell r="A227" t="str">
            <v>SAP CDP Project Support</v>
          </cell>
          <cell r="C227">
            <v>68427709</v>
          </cell>
          <cell r="D227" t="str">
            <v>485074004</v>
          </cell>
          <cell r="E227" t="str">
            <v>Software li SAP appl</v>
          </cell>
          <cell r="F227" t="str">
            <v>Application Support</v>
          </cell>
          <cell r="G227" t="str">
            <v>SAP suite</v>
          </cell>
          <cell r="H227" t="str">
            <v>APP000018</v>
          </cell>
          <cell r="I227">
            <v>117570</v>
          </cell>
          <cell r="J227" t="str">
            <v>SAP</v>
          </cell>
          <cell r="L227">
            <v>5401024336</v>
          </cell>
          <cell r="M227">
            <v>10</v>
          </cell>
          <cell r="N227" t="str">
            <v>Robin</v>
          </cell>
          <cell r="O227" t="str">
            <v>Carolyn</v>
          </cell>
          <cell r="P227" t="str">
            <v>Robin</v>
          </cell>
          <cell r="Q227" t="str">
            <v>L-SAP-USERS</v>
          </cell>
          <cell r="R227" t="str">
            <v>Shared Platforms</v>
          </cell>
          <cell r="S227">
            <v>29000</v>
          </cell>
          <cell r="T227">
            <v>29000</v>
          </cell>
          <cell r="U227">
            <v>0</v>
          </cell>
          <cell r="V227">
            <v>26769.360000000001</v>
          </cell>
        </row>
        <row r="228">
          <cell r="A228" t="str">
            <v>OpenText Maintenance Fee</v>
          </cell>
          <cell r="B228" t="str">
            <v>CW7829</v>
          </cell>
          <cell r="C228">
            <v>68427709</v>
          </cell>
          <cell r="D228" t="str">
            <v>485074004</v>
          </cell>
          <cell r="E228" t="str">
            <v>Software li SAP appl</v>
          </cell>
          <cell r="F228" t="str">
            <v>Application Support</v>
          </cell>
          <cell r="G228" t="str">
            <v>SAP suite</v>
          </cell>
          <cell r="H228" t="str">
            <v>APP000018</v>
          </cell>
          <cell r="I228">
            <v>168933</v>
          </cell>
          <cell r="J228" t="str">
            <v>Open Text</v>
          </cell>
          <cell r="L228">
            <v>5401017896</v>
          </cell>
          <cell r="M228">
            <v>10</v>
          </cell>
          <cell r="N228" t="str">
            <v>Robin</v>
          </cell>
          <cell r="O228" t="str">
            <v>Carolyn</v>
          </cell>
          <cell r="P228" t="str">
            <v>Robin</v>
          </cell>
          <cell r="Q228" t="str">
            <v>L-SAP-USERS</v>
          </cell>
          <cell r="R228" t="str">
            <v>Shared Platforms</v>
          </cell>
          <cell r="S228">
            <v>28000</v>
          </cell>
          <cell r="T228">
            <v>28000</v>
          </cell>
          <cell r="U228">
            <v>0</v>
          </cell>
          <cell r="V228">
            <v>25846.28</v>
          </cell>
        </row>
        <row r="229">
          <cell r="A229" t="str">
            <v>Sap Ent. Support Appendix 9 : Open Text</v>
          </cell>
          <cell r="B229" t="str">
            <v>CW7745</v>
          </cell>
          <cell r="C229">
            <v>68427709</v>
          </cell>
          <cell r="D229" t="str">
            <v>485074004</v>
          </cell>
          <cell r="E229" t="str">
            <v>Software li SAP appl</v>
          </cell>
          <cell r="F229" t="str">
            <v>Application Support</v>
          </cell>
          <cell r="G229" t="str">
            <v>SAP suite</v>
          </cell>
          <cell r="H229" t="str">
            <v>APP000018</v>
          </cell>
          <cell r="I229">
            <v>117570</v>
          </cell>
          <cell r="J229" t="str">
            <v>SAP</v>
          </cell>
          <cell r="K229"/>
          <cell r="L229">
            <v>5401024359</v>
          </cell>
          <cell r="M229">
            <v>90</v>
          </cell>
          <cell r="N229" t="str">
            <v>Robin</v>
          </cell>
          <cell r="O229" t="str">
            <v>Carolyn</v>
          </cell>
          <cell r="P229" t="str">
            <v>Robin</v>
          </cell>
          <cell r="Q229" t="str">
            <v>L-SAP-USERS</v>
          </cell>
          <cell r="R229" t="str">
            <v>Shared Platforms</v>
          </cell>
          <cell r="S229">
            <v>26059</v>
          </cell>
          <cell r="T229">
            <v>26059</v>
          </cell>
          <cell r="U229">
            <v>0</v>
          </cell>
          <cell r="V229">
            <v>24054.58</v>
          </cell>
        </row>
        <row r="230">
          <cell r="A230" t="str">
            <v>EPI-Use Maintenance</v>
          </cell>
          <cell r="B230" t="str">
            <v>CW4382</v>
          </cell>
          <cell r="C230">
            <v>68427709</v>
          </cell>
          <cell r="D230" t="str">
            <v>485074004</v>
          </cell>
          <cell r="E230" t="str">
            <v>Software li SAP appl</v>
          </cell>
          <cell r="F230" t="str">
            <v>Application Support</v>
          </cell>
          <cell r="G230" t="str">
            <v>SAP suite</v>
          </cell>
          <cell r="H230" t="str">
            <v>APP001036</v>
          </cell>
          <cell r="I230">
            <v>205005</v>
          </cell>
          <cell r="J230" t="str">
            <v>Eulabs B.V.</v>
          </cell>
          <cell r="L230">
            <v>5401032431</v>
          </cell>
          <cell r="M230">
            <v>10</v>
          </cell>
          <cell r="N230" t="str">
            <v>Robin</v>
          </cell>
          <cell r="O230" t="str">
            <v>Carolyn</v>
          </cell>
          <cell r="P230" t="str">
            <v>Rob</v>
          </cell>
          <cell r="Q230" t="str">
            <v>L-SAP-USERS</v>
          </cell>
          <cell r="R230" t="str">
            <v>Shared Platforms</v>
          </cell>
          <cell r="S230">
            <v>24000</v>
          </cell>
          <cell r="T230">
            <v>24000</v>
          </cell>
          <cell r="U230">
            <v>0</v>
          </cell>
          <cell r="V230">
            <v>22153.96</v>
          </cell>
        </row>
        <row r="231">
          <cell r="A231" t="str">
            <v>SAP Appendix 23: Oracle/Hana fees</v>
          </cell>
          <cell r="C231">
            <v>68427709</v>
          </cell>
          <cell r="D231" t="str">
            <v>485074004</v>
          </cell>
          <cell r="E231" t="str">
            <v>Software li SAP appl</v>
          </cell>
          <cell r="F231" t="str">
            <v>Application Support</v>
          </cell>
          <cell r="G231" t="str">
            <v>SAP suite</v>
          </cell>
          <cell r="H231" t="str">
            <v>APP000018</v>
          </cell>
          <cell r="I231">
            <v>117570</v>
          </cell>
          <cell r="J231" t="str">
            <v>SAP</v>
          </cell>
          <cell r="L231">
            <v>5401024359</v>
          </cell>
          <cell r="M231">
            <v>230</v>
          </cell>
          <cell r="N231" t="str">
            <v>Robin</v>
          </cell>
          <cell r="O231" t="str">
            <v>Carolyn</v>
          </cell>
          <cell r="P231" t="str">
            <v>Robin</v>
          </cell>
          <cell r="Q231" t="str">
            <v>L-SAP-USERS</v>
          </cell>
          <cell r="R231" t="str">
            <v>Shared Platforms</v>
          </cell>
          <cell r="S231">
            <v>21250</v>
          </cell>
          <cell r="T231">
            <v>21250</v>
          </cell>
          <cell r="U231">
            <v>0</v>
          </cell>
          <cell r="V231">
            <v>19615.48</v>
          </cell>
        </row>
        <row r="232">
          <cell r="A232" t="str">
            <v>Sap Ent. Support Appendix 21 : SAP SSO 3.0</v>
          </cell>
          <cell r="B232" t="str">
            <v>CW7745</v>
          </cell>
          <cell r="C232">
            <v>68427709</v>
          </cell>
          <cell r="D232" t="str">
            <v>485074004</v>
          </cell>
          <cell r="E232" t="str">
            <v>Software li SAP appl</v>
          </cell>
          <cell r="F232" t="str">
            <v>Application Support</v>
          </cell>
          <cell r="G232" t="str">
            <v>SAP suite</v>
          </cell>
          <cell r="H232" t="str">
            <v>APP000018</v>
          </cell>
          <cell r="I232">
            <v>117570</v>
          </cell>
          <cell r="J232" t="str">
            <v>SAP</v>
          </cell>
          <cell r="K232"/>
          <cell r="L232">
            <v>5401024359</v>
          </cell>
          <cell r="M232">
            <v>210</v>
          </cell>
          <cell r="N232" t="str">
            <v>Robin</v>
          </cell>
          <cell r="O232" t="str">
            <v>Carolyn</v>
          </cell>
          <cell r="P232" t="str">
            <v>Robin</v>
          </cell>
          <cell r="Q232" t="str">
            <v>L-SAP-USERS</v>
          </cell>
          <cell r="R232" t="str">
            <v>Shared Platforms</v>
          </cell>
          <cell r="S232">
            <v>18700</v>
          </cell>
          <cell r="T232">
            <v>18700</v>
          </cell>
          <cell r="U232">
            <v>0</v>
          </cell>
          <cell r="V232">
            <v>17261.62</v>
          </cell>
        </row>
        <row r="233">
          <cell r="A233" t="str">
            <v>Sap Ent. Support Appendix 8 : Lease accounting Tickets (LAE)</v>
          </cell>
          <cell r="B233" t="str">
            <v>CW7745</v>
          </cell>
          <cell r="C233">
            <v>68427709</v>
          </cell>
          <cell r="D233" t="str">
            <v>485074004</v>
          </cell>
          <cell r="E233" t="str">
            <v>Software li SAP appl</v>
          </cell>
          <cell r="F233" t="str">
            <v>Application Support</v>
          </cell>
          <cell r="G233" t="str">
            <v>SAP suite</v>
          </cell>
          <cell r="H233" t="str">
            <v>APP000018</v>
          </cell>
          <cell r="I233">
            <v>117570</v>
          </cell>
          <cell r="J233" t="str">
            <v>SAP</v>
          </cell>
          <cell r="K233"/>
          <cell r="L233">
            <v>5401024359</v>
          </cell>
          <cell r="M233">
            <v>80</v>
          </cell>
          <cell r="N233" t="str">
            <v>Robin</v>
          </cell>
          <cell r="O233" t="str">
            <v>Carolyn</v>
          </cell>
          <cell r="P233" t="str">
            <v>Robin</v>
          </cell>
          <cell r="Q233" t="str">
            <v>L-SAP-USERS</v>
          </cell>
          <cell r="R233" t="str">
            <v>Shared Platforms</v>
          </cell>
          <cell r="S233">
            <v>18273</v>
          </cell>
          <cell r="T233">
            <v>18273</v>
          </cell>
          <cell r="U233">
            <v>0</v>
          </cell>
          <cell r="V233">
            <v>16867.47</v>
          </cell>
        </row>
        <row r="234">
          <cell r="A234" t="str">
            <v>Sap Ent. Support Appendix 2 : Identity Management (IDM)</v>
          </cell>
          <cell r="B234" t="str">
            <v>CW7745</v>
          </cell>
          <cell r="C234">
            <v>68427709</v>
          </cell>
          <cell r="D234" t="str">
            <v>485074004</v>
          </cell>
          <cell r="E234" t="str">
            <v>Software li SAP appl</v>
          </cell>
          <cell r="F234" t="str">
            <v>Application Support</v>
          </cell>
          <cell r="G234" t="str">
            <v>SAP suite</v>
          </cell>
          <cell r="H234" t="str">
            <v>APP000018</v>
          </cell>
          <cell r="I234">
            <v>117570</v>
          </cell>
          <cell r="J234" t="str">
            <v>SAP</v>
          </cell>
          <cell r="K234"/>
          <cell r="L234">
            <v>5401024359</v>
          </cell>
          <cell r="M234">
            <v>20</v>
          </cell>
          <cell r="N234" t="str">
            <v>Robin</v>
          </cell>
          <cell r="O234" t="str">
            <v>Carolyn</v>
          </cell>
          <cell r="P234" t="str">
            <v>Robin</v>
          </cell>
          <cell r="Q234" t="str">
            <v>L-SAP-USERS</v>
          </cell>
          <cell r="R234" t="str">
            <v>Shared Platforms</v>
          </cell>
          <cell r="S234">
            <v>15961</v>
          </cell>
          <cell r="T234">
            <v>15961</v>
          </cell>
          <cell r="U234">
            <v>0</v>
          </cell>
          <cell r="V234">
            <v>14733.3</v>
          </cell>
        </row>
        <row r="235">
          <cell r="A235" t="str">
            <v>5950219 Oracle Database Enterprise Edition - Processor Perpetual</v>
          </cell>
          <cell r="B235" t="str">
            <v>CW9756</v>
          </cell>
          <cell r="C235">
            <v>68427709</v>
          </cell>
          <cell r="D235" t="str">
            <v>485074004</v>
          </cell>
          <cell r="E235" t="str">
            <v>Software li SAP appl</v>
          </cell>
          <cell r="F235" t="str">
            <v>Application Support</v>
          </cell>
          <cell r="G235" t="str">
            <v>SAP suite</v>
          </cell>
          <cell r="H235" t="str">
            <v>APP000744</v>
          </cell>
          <cell r="I235">
            <v>118054</v>
          </cell>
          <cell r="J235" t="str">
            <v>Oracle</v>
          </cell>
          <cell r="K235"/>
          <cell r="L235">
            <v>5400990629</v>
          </cell>
          <cell r="M235">
            <v>10</v>
          </cell>
          <cell r="N235" t="str">
            <v>Robin</v>
          </cell>
          <cell r="O235" t="str">
            <v>Carolyn</v>
          </cell>
          <cell r="P235" t="str">
            <v>Robin</v>
          </cell>
          <cell r="Q235" t="str">
            <v>L-SAP-USERS</v>
          </cell>
          <cell r="R235" t="str">
            <v>Shared Platforms</v>
          </cell>
          <cell r="S235">
            <v>13930</v>
          </cell>
          <cell r="T235">
            <v>13930</v>
          </cell>
          <cell r="U235">
            <v>0</v>
          </cell>
          <cell r="V235">
            <v>12858.52</v>
          </cell>
        </row>
        <row r="236">
          <cell r="A236" t="str">
            <v>SAP Cloud Enterprise Agreement</v>
          </cell>
          <cell r="C236">
            <v>68427709</v>
          </cell>
          <cell r="D236" t="str">
            <v>485074004</v>
          </cell>
          <cell r="E236" t="str">
            <v>Software li SAP appl</v>
          </cell>
          <cell r="F236" t="str">
            <v>Application Support</v>
          </cell>
          <cell r="G236" t="str">
            <v>SAP suite</v>
          </cell>
          <cell r="H236" t="str">
            <v>APP000018</v>
          </cell>
          <cell r="I236">
            <v>117570</v>
          </cell>
          <cell r="J236" t="str">
            <v>SAP</v>
          </cell>
          <cell r="K236"/>
          <cell r="L236">
            <v>5401050766</v>
          </cell>
          <cell r="M236">
            <v>10</v>
          </cell>
          <cell r="N236" t="str">
            <v>Robin</v>
          </cell>
          <cell r="O236" t="str">
            <v>Carolyn</v>
          </cell>
          <cell r="P236" t="str">
            <v>Robin</v>
          </cell>
          <cell r="Q236" t="str">
            <v>L-SAP-USERS</v>
          </cell>
          <cell r="R236" t="str">
            <v>Shared Platforms</v>
          </cell>
          <cell r="S236">
            <v>10000</v>
          </cell>
          <cell r="T236">
            <v>10000</v>
          </cell>
          <cell r="U236">
            <v>0</v>
          </cell>
          <cell r="V236">
            <v>9230.81</v>
          </cell>
        </row>
        <row r="237">
          <cell r="A237" t="str">
            <v>5850883 Oracle Database Enterprise Edition - Named user Plus</v>
          </cell>
          <cell r="B237" t="str">
            <v>CW9754</v>
          </cell>
          <cell r="C237">
            <v>68427709</v>
          </cell>
          <cell r="D237" t="str">
            <v>485074004</v>
          </cell>
          <cell r="E237" t="str">
            <v>Software li SAP appl</v>
          </cell>
          <cell r="F237" t="str">
            <v>Application Support</v>
          </cell>
          <cell r="G237" t="str">
            <v>SAP suite</v>
          </cell>
          <cell r="H237" t="str">
            <v>APP000744</v>
          </cell>
          <cell r="I237">
            <v>118054</v>
          </cell>
          <cell r="J237" t="str">
            <v>Oracle</v>
          </cell>
          <cell r="K237"/>
          <cell r="L237">
            <v>5400988025</v>
          </cell>
          <cell r="M237">
            <v>10</v>
          </cell>
          <cell r="N237" t="str">
            <v>Robin</v>
          </cell>
          <cell r="O237" t="str">
            <v>Carolyn</v>
          </cell>
          <cell r="P237" t="str">
            <v>Robin</v>
          </cell>
          <cell r="Q237" t="str">
            <v>L-SAP-USERS</v>
          </cell>
          <cell r="R237" t="str">
            <v>Shared Platforms</v>
          </cell>
          <cell r="S237">
            <v>6140</v>
          </cell>
          <cell r="T237">
            <v>6140</v>
          </cell>
          <cell r="U237">
            <v>0</v>
          </cell>
          <cell r="V237">
            <v>5667.72</v>
          </cell>
        </row>
        <row r="238">
          <cell r="A238" t="str">
            <v>Sap Ent. Support Appendix 10 : OCR OpenText</v>
          </cell>
          <cell r="B238" t="str">
            <v>CW7745</v>
          </cell>
          <cell r="C238">
            <v>68427709</v>
          </cell>
          <cell r="D238" t="str">
            <v>485074004</v>
          </cell>
          <cell r="E238" t="str">
            <v>Software li SAP appl</v>
          </cell>
          <cell r="F238" t="str">
            <v>Application Support</v>
          </cell>
          <cell r="G238" t="str">
            <v>SAP suite</v>
          </cell>
          <cell r="H238" t="str">
            <v>APP000018</v>
          </cell>
          <cell r="I238">
            <v>117570</v>
          </cell>
          <cell r="J238" t="str">
            <v>SAP</v>
          </cell>
          <cell r="K238"/>
          <cell r="L238">
            <v>5401024359</v>
          </cell>
          <cell r="M238">
            <v>100</v>
          </cell>
          <cell r="N238" t="str">
            <v>Robin</v>
          </cell>
          <cell r="O238" t="str">
            <v>Carolyn</v>
          </cell>
          <cell r="P238" t="str">
            <v>Robin</v>
          </cell>
          <cell r="Q238" t="str">
            <v>L-SAP-USERS</v>
          </cell>
          <cell r="R238" t="str">
            <v>Shared Platforms</v>
          </cell>
          <cell r="S238">
            <v>5892</v>
          </cell>
          <cell r="T238">
            <v>5892</v>
          </cell>
          <cell r="U238">
            <v>0</v>
          </cell>
          <cell r="V238">
            <v>5438.8</v>
          </cell>
        </row>
        <row r="239">
          <cell r="A239" t="str">
            <v>5651323 Oracle Database Standard Edition One - Oracle 1-Click Ordering Program - Processor Perpetual</v>
          </cell>
          <cell r="C239">
            <v>68427709</v>
          </cell>
          <cell r="D239" t="str">
            <v>485074004</v>
          </cell>
          <cell r="E239" t="str">
            <v>Software li SAP appl</v>
          </cell>
          <cell r="F239" t="str">
            <v>Application Support</v>
          </cell>
          <cell r="G239" t="str">
            <v>SAP suite</v>
          </cell>
          <cell r="H239" t="str">
            <v>APP000744</v>
          </cell>
          <cell r="I239">
            <v>118054</v>
          </cell>
          <cell r="J239" t="str">
            <v>Oracle</v>
          </cell>
          <cell r="K239"/>
          <cell r="L239">
            <v>5401001751</v>
          </cell>
          <cell r="M239">
            <v>10</v>
          </cell>
          <cell r="N239" t="str">
            <v>Robin</v>
          </cell>
          <cell r="O239" t="str">
            <v>Carolyn</v>
          </cell>
          <cell r="P239" t="str">
            <v>Robin</v>
          </cell>
          <cell r="Q239" t="str">
            <v>L-SAP-USERS</v>
          </cell>
          <cell r="R239" t="str">
            <v>Shared Platforms</v>
          </cell>
          <cell r="S239">
            <v>1800</v>
          </cell>
          <cell r="T239">
            <v>1800</v>
          </cell>
          <cell r="U239">
            <v>0</v>
          </cell>
          <cell r="V239">
            <v>1661.55</v>
          </cell>
        </row>
        <row r="240">
          <cell r="A240" t="str">
            <v xml:space="preserve">Sap Ent. Support Appendix 7 : Sales orders </v>
          </cell>
          <cell r="B240" t="str">
            <v>CW7745</v>
          </cell>
          <cell r="C240">
            <v>68427709</v>
          </cell>
          <cell r="D240" t="str">
            <v>485074004</v>
          </cell>
          <cell r="E240" t="str">
            <v>Software li SAP appl</v>
          </cell>
          <cell r="F240" t="str">
            <v>Application Support</v>
          </cell>
          <cell r="G240" t="str">
            <v>SAP suite</v>
          </cell>
          <cell r="H240" t="str">
            <v>APP000018</v>
          </cell>
          <cell r="I240">
            <v>117570</v>
          </cell>
          <cell r="J240" t="str">
            <v>SAP</v>
          </cell>
          <cell r="K240"/>
          <cell r="L240">
            <v>5401024359</v>
          </cell>
          <cell r="M240">
            <v>70</v>
          </cell>
          <cell r="N240" t="str">
            <v>Robin</v>
          </cell>
          <cell r="O240" t="str">
            <v>Carolyn</v>
          </cell>
          <cell r="P240" t="str">
            <v>Robin</v>
          </cell>
          <cell r="Q240" t="str">
            <v>L-SAP-USERS</v>
          </cell>
          <cell r="R240" t="str">
            <v>Shared Platforms</v>
          </cell>
          <cell r="S240">
            <v>1253</v>
          </cell>
          <cell r="T240">
            <v>1253</v>
          </cell>
          <cell r="U240">
            <v>0</v>
          </cell>
          <cell r="V240">
            <v>1156.6199999999999</v>
          </cell>
        </row>
        <row r="241">
          <cell r="A241" t="str">
            <v>Sap Ent. Support Appendix 18 : Lumira Licenses</v>
          </cell>
          <cell r="B241" t="str">
            <v>CW7745</v>
          </cell>
          <cell r="C241">
            <v>68427709</v>
          </cell>
          <cell r="D241" t="str">
            <v>485074004</v>
          </cell>
          <cell r="E241" t="str">
            <v>Software li SAP appl</v>
          </cell>
          <cell r="F241" t="str">
            <v>Application Support</v>
          </cell>
          <cell r="G241" t="str">
            <v>SAP suite</v>
          </cell>
          <cell r="H241" t="str">
            <v>APP000023</v>
          </cell>
          <cell r="I241">
            <v>117570</v>
          </cell>
          <cell r="J241" t="str">
            <v>SAP</v>
          </cell>
          <cell r="K241"/>
          <cell r="L241">
            <v>5401024359</v>
          </cell>
          <cell r="M241">
            <v>180</v>
          </cell>
          <cell r="N241" t="str">
            <v>Robin</v>
          </cell>
          <cell r="O241" t="str">
            <v>Carolyn</v>
          </cell>
          <cell r="P241" t="str">
            <v>Robin</v>
          </cell>
          <cell r="Q241" t="str">
            <v>L-SAP-USERS</v>
          </cell>
          <cell r="R241" t="str">
            <v>Shared Platforms</v>
          </cell>
          <cell r="S241">
            <v>1000</v>
          </cell>
          <cell r="T241">
            <v>1000</v>
          </cell>
          <cell r="U241">
            <v>0</v>
          </cell>
          <cell r="V241">
            <v>923.08</v>
          </cell>
        </row>
        <row r="242">
          <cell r="A242" t="str">
            <v>5829345 Oracle Database Enterprise Edition - Named User Plus Perpetual</v>
          </cell>
          <cell r="B242" t="str">
            <v>CW9750</v>
          </cell>
          <cell r="C242">
            <v>68427709</v>
          </cell>
          <cell r="D242" t="str">
            <v>485074004</v>
          </cell>
          <cell r="E242" t="str">
            <v>Software li SAP appl</v>
          </cell>
          <cell r="F242" t="str">
            <v>Application Support</v>
          </cell>
          <cell r="G242" t="str">
            <v>SAP suite</v>
          </cell>
          <cell r="H242" t="str">
            <v>APP000744</v>
          </cell>
          <cell r="I242">
            <v>118054</v>
          </cell>
          <cell r="J242" t="str">
            <v>Oracle</v>
          </cell>
          <cell r="K242"/>
          <cell r="L242">
            <v>5400973983</v>
          </cell>
          <cell r="M242">
            <v>10</v>
          </cell>
          <cell r="N242" t="str">
            <v>Robin</v>
          </cell>
          <cell r="O242" t="str">
            <v>Carolyn</v>
          </cell>
          <cell r="P242" t="str">
            <v>Robin</v>
          </cell>
          <cell r="Q242" t="str">
            <v>L-SAP-USERS</v>
          </cell>
          <cell r="R242" t="str">
            <v>Shared Platforms</v>
          </cell>
          <cell r="S242">
            <v>70000</v>
          </cell>
          <cell r="T242">
            <v>0</v>
          </cell>
          <cell r="U242">
            <v>-70000</v>
          </cell>
          <cell r="V242">
            <v>0</v>
          </cell>
        </row>
        <row r="243">
          <cell r="A243" t="str">
            <v>SAP Analytics Hub</v>
          </cell>
          <cell r="B243" t="str">
            <v>CW5684</v>
          </cell>
          <cell r="C243">
            <v>68427709</v>
          </cell>
          <cell r="D243" t="str">
            <v>485074004</v>
          </cell>
          <cell r="E243" t="str">
            <v>Software li SAP appl</v>
          </cell>
          <cell r="F243" t="str">
            <v>Application Support</v>
          </cell>
          <cell r="G243" t="str">
            <v>SAP suite</v>
          </cell>
          <cell r="H243" t="str">
            <v>APP000023</v>
          </cell>
          <cell r="I243">
            <v>117570</v>
          </cell>
          <cell r="J243" t="str">
            <v>SAP</v>
          </cell>
          <cell r="K243"/>
          <cell r="M243"/>
          <cell r="N243" t="str">
            <v>Robin</v>
          </cell>
          <cell r="O243" t="str">
            <v>Carolyn</v>
          </cell>
          <cell r="P243" t="str">
            <v>Patrick</v>
          </cell>
          <cell r="Q243" t="str">
            <v>L-SAP-USERS</v>
          </cell>
          <cell r="R243" t="str">
            <v>D&amp;A</v>
          </cell>
          <cell r="S243">
            <v>95000</v>
          </cell>
          <cell r="T243">
            <v>0</v>
          </cell>
          <cell r="U243">
            <v>-95000</v>
          </cell>
          <cell r="V243">
            <v>0</v>
          </cell>
        </row>
        <row r="244">
          <cell r="A244" t="str">
            <v>ServiceNow</v>
          </cell>
          <cell r="B244" t="str">
            <v>CW10044</v>
          </cell>
          <cell r="C244">
            <v>68427709</v>
          </cell>
          <cell r="D244" t="str">
            <v>485074005</v>
          </cell>
          <cell r="E244" t="str">
            <v>Software li oth appl</v>
          </cell>
          <cell r="F244" t="str">
            <v>Application Support</v>
          </cell>
          <cell r="G244" t="str">
            <v>IT4IT</v>
          </cell>
          <cell r="H244" t="str">
            <v>APP000007</v>
          </cell>
          <cell r="I244">
            <v>187876</v>
          </cell>
          <cell r="J244" t="str">
            <v>Service now</v>
          </cell>
          <cell r="L244">
            <v>5400941303</v>
          </cell>
          <cell r="M244">
            <v>20</v>
          </cell>
          <cell r="N244" t="str">
            <v>Michal</v>
          </cell>
          <cell r="O244" t="str">
            <v>Carolyn</v>
          </cell>
          <cell r="P244" t="str">
            <v>Michal</v>
          </cell>
          <cell r="Q244" t="str">
            <v>L-PC-USERS</v>
          </cell>
          <cell r="R244" t="str">
            <v>Shared Platforms</v>
          </cell>
          <cell r="S244">
            <v>750000</v>
          </cell>
          <cell r="T244">
            <v>750000</v>
          </cell>
          <cell r="U244">
            <v>0</v>
          </cell>
          <cell r="V244">
            <v>692311.1</v>
          </cell>
        </row>
        <row r="245">
          <cell r="A245" t="str">
            <v>Successfactors</v>
          </cell>
          <cell r="B245" t="str">
            <v>CW6216</v>
          </cell>
          <cell r="C245">
            <v>68427709</v>
          </cell>
          <cell r="D245" t="str">
            <v>485074005</v>
          </cell>
          <cell r="E245" t="str">
            <v>Software li oth appl</v>
          </cell>
          <cell r="F245" t="str">
            <v>Application Support</v>
          </cell>
          <cell r="G245"/>
          <cell r="H245" t="str">
            <v>APP002642</v>
          </cell>
          <cell r="I245">
            <v>117570</v>
          </cell>
          <cell r="J245" t="str">
            <v>SAP</v>
          </cell>
          <cell r="L245">
            <v>5400913334</v>
          </cell>
          <cell r="M245">
            <v>30</v>
          </cell>
          <cell r="N245" t="str">
            <v>Robin</v>
          </cell>
          <cell r="O245" t="str">
            <v>Carolyn</v>
          </cell>
          <cell r="P245" t="str">
            <v>Robin</v>
          </cell>
          <cell r="Q245" t="str">
            <v>L-PC-USERS</v>
          </cell>
          <cell r="R245" t="str">
            <v>HR/Legal</v>
          </cell>
          <cell r="S245">
            <v>562000</v>
          </cell>
          <cell r="T245">
            <v>606000</v>
          </cell>
          <cell r="U245">
            <v>44000</v>
          </cell>
          <cell r="V245">
            <v>559387.36</v>
          </cell>
        </row>
        <row r="246">
          <cell r="A246" t="str">
            <v xml:space="preserve">AlteryX </v>
          </cell>
          <cell r="B246" t="str">
            <v>CW4729</v>
          </cell>
          <cell r="C246">
            <v>68427709</v>
          </cell>
          <cell r="D246" t="str">
            <v>485074005</v>
          </cell>
          <cell r="E246" t="str">
            <v>Software li oth appl</v>
          </cell>
          <cell r="F246" t="str">
            <v>Application Support</v>
          </cell>
          <cell r="G246"/>
          <cell r="H246" t="str">
            <v>APP002652</v>
          </cell>
          <cell r="I246">
            <v>200133</v>
          </cell>
          <cell r="J246" t="str">
            <v>Alteryx</v>
          </cell>
          <cell r="K246"/>
          <cell r="L246">
            <v>5400942942</v>
          </cell>
          <cell r="M246">
            <v>30</v>
          </cell>
          <cell r="N246" t="str">
            <v>Robin</v>
          </cell>
          <cell r="O246" t="str">
            <v>Carolyn</v>
          </cell>
          <cell r="P246" t="str">
            <v>Patrick</v>
          </cell>
          <cell r="Q246" t="str">
            <v>L-ALTERYX-USERS</v>
          </cell>
          <cell r="R246" t="str">
            <v>D&amp;A</v>
          </cell>
          <cell r="S246">
            <v>380000</v>
          </cell>
          <cell r="T246">
            <v>560000</v>
          </cell>
          <cell r="U246">
            <v>180000</v>
          </cell>
          <cell r="V246">
            <v>516925.62</v>
          </cell>
        </row>
        <row r="247">
          <cell r="A247" t="str">
            <v>Digital MOS</v>
          </cell>
          <cell r="C247">
            <v>68427709</v>
          </cell>
          <cell r="D247" t="str">
            <v>485074005</v>
          </cell>
          <cell r="E247" t="str">
            <v>Software li oth appl</v>
          </cell>
          <cell r="F247" t="str">
            <v>Application Support</v>
          </cell>
          <cell r="G247"/>
          <cell r="H247" t="str">
            <v>APP002863</v>
          </cell>
          <cell r="I247">
            <v>210633</v>
          </cell>
          <cell r="J247" t="str">
            <v>4Industry b.v.</v>
          </cell>
          <cell r="K247"/>
          <cell r="L247">
            <v>5400949579</v>
          </cell>
          <cell r="M247">
            <v>20</v>
          </cell>
          <cell r="N247" t="str">
            <v>Robin</v>
          </cell>
          <cell r="O247" t="str">
            <v>Ahmet</v>
          </cell>
          <cell r="P247" t="str">
            <v>Marco</v>
          </cell>
          <cell r="Q247" t="str">
            <v>L-FACTORIES-SIZE</v>
          </cell>
          <cell r="R247" t="str">
            <v>Manufacturing</v>
          </cell>
          <cell r="S247">
            <v>482000</v>
          </cell>
          <cell r="T247">
            <v>552000</v>
          </cell>
          <cell r="U247">
            <v>70000</v>
          </cell>
          <cell r="V247">
            <v>533293.78</v>
          </cell>
        </row>
        <row r="248">
          <cell r="A248" t="str">
            <v>PLM Hamilton Grand</v>
          </cell>
          <cell r="C248">
            <v>68427709</v>
          </cell>
          <cell r="D248" t="str">
            <v>485074005</v>
          </cell>
          <cell r="E248" t="str">
            <v>Software li oth appl</v>
          </cell>
          <cell r="F248" t="str">
            <v>Application Support</v>
          </cell>
          <cell r="G248"/>
          <cell r="H248" t="str">
            <v>APP002882</v>
          </cell>
          <cell r="I248">
            <v>200670</v>
          </cell>
          <cell r="J248" t="str">
            <v>Hamilton Grant Software Limited</v>
          </cell>
          <cell r="K248"/>
          <cell r="L248">
            <v>5400910709</v>
          </cell>
          <cell r="M248">
            <v>10</v>
          </cell>
          <cell r="N248" t="str">
            <v>Robin</v>
          </cell>
          <cell r="O248" t="str">
            <v>Ahmet</v>
          </cell>
          <cell r="P248" t="str">
            <v>Vasco</v>
          </cell>
          <cell r="Q248" t="str">
            <v>Central</v>
          </cell>
          <cell r="R248" t="str">
            <v>R&amp;D</v>
          </cell>
          <cell r="S248">
            <v>410000</v>
          </cell>
          <cell r="T248">
            <v>485000</v>
          </cell>
          <cell r="U248">
            <v>75000</v>
          </cell>
          <cell r="V248">
            <v>468564.28</v>
          </cell>
        </row>
        <row r="249">
          <cell r="A249" t="str">
            <v>Uipath licenses</v>
          </cell>
          <cell r="C249">
            <v>68427709</v>
          </cell>
          <cell r="D249" t="str">
            <v>485074005</v>
          </cell>
          <cell r="E249" t="str">
            <v>Software li oth appl</v>
          </cell>
          <cell r="F249" t="str">
            <v>Application Support</v>
          </cell>
          <cell r="G249" t="str">
            <v>IT4IT</v>
          </cell>
          <cell r="H249" t="str">
            <v>APP002834</v>
          </cell>
          <cell r="I249">
            <v>210312</v>
          </cell>
          <cell r="J249" t="str">
            <v>UiPath</v>
          </cell>
          <cell r="K249"/>
          <cell r="L249">
            <v>5400935485</v>
          </cell>
          <cell r="M249">
            <v>10</v>
          </cell>
          <cell r="N249" t="str">
            <v>Robin</v>
          </cell>
          <cell r="O249" t="str">
            <v>Carolyn</v>
          </cell>
          <cell r="P249" t="str">
            <v>Gagan</v>
          </cell>
          <cell r="Q249" t="str">
            <v>L-PC-USERS</v>
          </cell>
          <cell r="R249" t="str">
            <v>Shared Platforms</v>
          </cell>
          <cell r="S249">
            <v>100000</v>
          </cell>
          <cell r="T249">
            <v>470000</v>
          </cell>
          <cell r="U249">
            <v>370000</v>
          </cell>
          <cell r="V249">
            <v>433848.29</v>
          </cell>
        </row>
        <row r="250">
          <cell r="A250" t="str">
            <v>Cognizant business services support</v>
          </cell>
          <cell r="C250">
            <v>68427709</v>
          </cell>
          <cell r="D250" t="str">
            <v>485074005</v>
          </cell>
          <cell r="E250" t="str">
            <v>Software li oth appl</v>
          </cell>
          <cell r="F250" t="str">
            <v>Application Support</v>
          </cell>
          <cell r="G250"/>
          <cell r="H250" t="str">
            <v>APP003255</v>
          </cell>
          <cell r="I250">
            <v>196055</v>
          </cell>
          <cell r="J250" t="str">
            <v>Cognizant</v>
          </cell>
          <cell r="K250"/>
          <cell r="L250"/>
          <cell r="M250"/>
          <cell r="N250" t="str">
            <v>Robin</v>
          </cell>
          <cell r="O250" t="str">
            <v>Bas</v>
          </cell>
          <cell r="P250" t="str">
            <v>Bas</v>
          </cell>
          <cell r="Q250" t="str">
            <v>New Key</v>
          </cell>
          <cell r="R250" t="str">
            <v>DTC</v>
          </cell>
          <cell r="S250"/>
          <cell r="T250">
            <v>385000</v>
          </cell>
          <cell r="U250">
            <v>385000</v>
          </cell>
          <cell r="V250">
            <v>330916.46000000002</v>
          </cell>
        </row>
        <row r="251">
          <cell r="A251" t="str">
            <v>Vonage</v>
          </cell>
          <cell r="C251">
            <v>68427719</v>
          </cell>
          <cell r="D251" t="str">
            <v>485074005</v>
          </cell>
          <cell r="E251" t="str">
            <v>Software li oth appl</v>
          </cell>
          <cell r="F251" t="str">
            <v>Application Support</v>
          </cell>
          <cell r="G251"/>
          <cell r="H251" t="str">
            <v>APP003042</v>
          </cell>
          <cell r="I251">
            <v>208282</v>
          </cell>
          <cell r="J251" t="str">
            <v>Vonage Business Limited</v>
          </cell>
          <cell r="K251"/>
          <cell r="L251">
            <v>5400938326</v>
          </cell>
          <cell r="M251"/>
          <cell r="N251" t="str">
            <v>Carolyn</v>
          </cell>
          <cell r="O251" t="str">
            <v>Carolyn</v>
          </cell>
          <cell r="P251" t="str">
            <v>Egon</v>
          </cell>
          <cell r="Q251" t="str">
            <v>L-PC-USERS</v>
          </cell>
          <cell r="R251" t="str">
            <v>Shared Platforms</v>
          </cell>
          <cell r="S251">
            <v>145000</v>
          </cell>
          <cell r="T251">
            <v>362000</v>
          </cell>
          <cell r="U251">
            <v>217000</v>
          </cell>
          <cell r="V251">
            <v>145000</v>
          </cell>
        </row>
        <row r="252">
          <cell r="A252" t="str">
            <v>Planisware</v>
          </cell>
          <cell r="C252">
            <v>68427709</v>
          </cell>
          <cell r="D252" t="str">
            <v>485074005</v>
          </cell>
          <cell r="E252" t="str">
            <v>Software li oth appl</v>
          </cell>
          <cell r="F252" t="str">
            <v>Application Support</v>
          </cell>
          <cell r="G252"/>
          <cell r="H252" t="str">
            <v>APP003164</v>
          </cell>
          <cell r="I252">
            <v>212251</v>
          </cell>
          <cell r="J252" t="str">
            <v>Planisware Sas</v>
          </cell>
          <cell r="K252"/>
          <cell r="L252">
            <v>5400997364</v>
          </cell>
          <cell r="M252">
            <v>10</v>
          </cell>
          <cell r="N252" t="str">
            <v>Robin</v>
          </cell>
          <cell r="O252" t="str">
            <v>Ahmet</v>
          </cell>
          <cell r="P252" t="str">
            <v>Marco</v>
          </cell>
          <cell r="Q252" t="str">
            <v>L-FACTORIES-SIZE</v>
          </cell>
          <cell r="R252" t="str">
            <v>Manufacturing</v>
          </cell>
          <cell r="S252">
            <v>190000</v>
          </cell>
          <cell r="T252">
            <v>360000</v>
          </cell>
          <cell r="U252">
            <v>170000</v>
          </cell>
          <cell r="V252">
            <v>347800.29</v>
          </cell>
        </row>
        <row r="253">
          <cell r="A253" t="str">
            <v>iPaaS DellBoomi Licenses</v>
          </cell>
          <cell r="B253" t="str">
            <v>CW5676</v>
          </cell>
          <cell r="C253">
            <v>68427709</v>
          </cell>
          <cell r="D253" t="str">
            <v>485074005</v>
          </cell>
          <cell r="E253" t="str">
            <v>Software li oth appl</v>
          </cell>
          <cell r="F253" t="str">
            <v>Application Support</v>
          </cell>
          <cell r="G253"/>
          <cell r="H253" t="str">
            <v>APP002101</v>
          </cell>
          <cell r="I253">
            <v>209478</v>
          </cell>
          <cell r="J253" t="str">
            <v>Boomi BeNeLux B.V</v>
          </cell>
          <cell r="K253"/>
          <cell r="L253">
            <v>5400912153</v>
          </cell>
          <cell r="M253">
            <v>30</v>
          </cell>
          <cell r="N253" t="str">
            <v>Robin</v>
          </cell>
          <cell r="O253" t="str">
            <v>Carolyn</v>
          </cell>
          <cell r="P253" t="str">
            <v>Roberto</v>
          </cell>
          <cell r="Q253" t="str">
            <v>L-SAP-USERS</v>
          </cell>
          <cell r="R253" t="str">
            <v>Tech Integration</v>
          </cell>
          <cell r="S253">
            <v>352000</v>
          </cell>
          <cell r="T253">
            <v>352000</v>
          </cell>
          <cell r="U253">
            <v>0</v>
          </cell>
          <cell r="V253">
            <v>324924.67</v>
          </cell>
        </row>
        <row r="254">
          <cell r="A254" t="str">
            <v>SAP hosting in India</v>
          </cell>
          <cell r="C254">
            <v>68427709</v>
          </cell>
          <cell r="D254" t="str">
            <v>485074005</v>
          </cell>
          <cell r="E254" t="str">
            <v>Software li oth appl</v>
          </cell>
          <cell r="F254" t="str">
            <v>Application Support</v>
          </cell>
          <cell r="G254" t="str">
            <v>SAP suite</v>
          </cell>
          <cell r="H254" t="str">
            <v>SAPAPPS</v>
          </cell>
          <cell r="J254" t="str">
            <v>HCL</v>
          </cell>
          <cell r="K254"/>
          <cell r="L254"/>
          <cell r="M254"/>
          <cell r="N254" t="str">
            <v>Oscar</v>
          </cell>
          <cell r="O254" t="str">
            <v>Carolyn</v>
          </cell>
          <cell r="P254" t="str">
            <v>Robin</v>
          </cell>
          <cell r="Q254" t="str">
            <v>L-SAP-USERS</v>
          </cell>
          <cell r="R254" t="str">
            <v>Infra/EUS</v>
          </cell>
          <cell r="S254"/>
          <cell r="T254">
            <v>350000</v>
          </cell>
          <cell r="U254">
            <v>350000</v>
          </cell>
          <cell r="V254">
            <v>323078.51</v>
          </cell>
        </row>
        <row r="255">
          <cell r="A255" t="str">
            <v>Icron</v>
          </cell>
          <cell r="C255">
            <v>68427709</v>
          </cell>
          <cell r="D255" t="str">
            <v>485074005</v>
          </cell>
          <cell r="E255" t="str">
            <v>Software li oth appl</v>
          </cell>
          <cell r="F255" t="str">
            <v>Application Support</v>
          </cell>
          <cell r="G255"/>
          <cell r="H255" t="str">
            <v>APP003006</v>
          </cell>
          <cell r="I255">
            <v>209378</v>
          </cell>
          <cell r="J255" t="str">
            <v>Icron Technologies Europe B.V.</v>
          </cell>
          <cell r="K255"/>
          <cell r="L255">
            <v>5400909342</v>
          </cell>
          <cell r="M255">
            <v>40</v>
          </cell>
          <cell r="N255" t="str">
            <v>Robin</v>
          </cell>
          <cell r="O255" t="str">
            <v>Ahmet</v>
          </cell>
          <cell r="P255" t="str">
            <v>Stefan Jochems</v>
          </cell>
          <cell r="Q255" t="str">
            <v>Central</v>
          </cell>
          <cell r="R255" t="str">
            <v>C&amp;T</v>
          </cell>
          <cell r="S255">
            <v>329000</v>
          </cell>
          <cell r="T255">
            <v>329000</v>
          </cell>
          <cell r="U255">
            <v>0</v>
          </cell>
          <cell r="V255">
            <v>317850.82</v>
          </cell>
        </row>
        <row r="256">
          <cell r="A256" t="str">
            <v>Sitecore licences</v>
          </cell>
          <cell r="C256">
            <v>68427709</v>
          </cell>
          <cell r="D256" t="str">
            <v>485074005</v>
          </cell>
          <cell r="E256" t="str">
            <v>Software li oth appl</v>
          </cell>
          <cell r="F256" t="str">
            <v>Application Support</v>
          </cell>
          <cell r="G256"/>
          <cell r="H256" t="str">
            <v>APP002952</v>
          </cell>
          <cell r="I256">
            <v>208280</v>
          </cell>
          <cell r="J256" t="str">
            <v>Sitecore</v>
          </cell>
          <cell r="L256">
            <v>5401000420</v>
          </cell>
          <cell r="M256">
            <v>10</v>
          </cell>
          <cell r="N256" t="str">
            <v>Robin</v>
          </cell>
          <cell r="O256" t="str">
            <v>Bas</v>
          </cell>
          <cell r="P256" t="str">
            <v>Bas</v>
          </cell>
          <cell r="Q256" t="str">
            <v>New Key</v>
          </cell>
          <cell r="R256" t="str">
            <v>Digital</v>
          </cell>
          <cell r="S256">
            <v>290000</v>
          </cell>
          <cell r="T256">
            <v>316000</v>
          </cell>
          <cell r="U256">
            <v>26000</v>
          </cell>
          <cell r="V256">
            <v>271609.34999999998</v>
          </cell>
        </row>
        <row r="257">
          <cell r="A257" t="str">
            <v>Concur T&amp;E Tool</v>
          </cell>
          <cell r="B257" t="str">
            <v>CW5181</v>
          </cell>
          <cell r="C257">
            <v>68427709</v>
          </cell>
          <cell r="D257" t="str">
            <v>485074005</v>
          </cell>
          <cell r="E257" t="str">
            <v>Software li oth appl</v>
          </cell>
          <cell r="F257" t="str">
            <v>Application Support</v>
          </cell>
          <cell r="G257"/>
          <cell r="H257" t="str">
            <v>APP000049</v>
          </cell>
          <cell r="I257">
            <v>168291</v>
          </cell>
          <cell r="J257" t="str">
            <v>Concur Holdings</v>
          </cell>
          <cell r="K257"/>
          <cell r="L257">
            <v>5400970737</v>
          </cell>
          <cell r="M257">
            <v>10</v>
          </cell>
          <cell r="N257" t="str">
            <v>Robin</v>
          </cell>
          <cell r="O257" t="str">
            <v>Ahmet</v>
          </cell>
          <cell r="P257" t="str">
            <v>Vanessa Barmpa</v>
          </cell>
          <cell r="Q257" t="str">
            <v>L-PC-USERS</v>
          </cell>
          <cell r="R257" t="str">
            <v>Finance</v>
          </cell>
          <cell r="S257">
            <v>276000</v>
          </cell>
          <cell r="T257">
            <v>304000</v>
          </cell>
          <cell r="U257">
            <v>28000</v>
          </cell>
          <cell r="V257">
            <v>293698.02</v>
          </cell>
        </row>
        <row r="258">
          <cell r="A258" t="str">
            <v>Aico</v>
          </cell>
          <cell r="C258">
            <v>68427709</v>
          </cell>
          <cell r="D258" t="str">
            <v>485074005</v>
          </cell>
          <cell r="E258" t="str">
            <v>Software li oth appl</v>
          </cell>
          <cell r="F258" t="str">
            <v>Application Support</v>
          </cell>
          <cell r="G258"/>
          <cell r="H258" t="str">
            <v>APP002809</v>
          </cell>
          <cell r="I258">
            <v>204773</v>
          </cell>
          <cell r="J258" t="str">
            <v>Aico Group Oy</v>
          </cell>
          <cell r="L258">
            <v>5401038265</v>
          </cell>
          <cell r="M258">
            <v>10</v>
          </cell>
          <cell r="N258" t="str">
            <v>Robin</v>
          </cell>
          <cell r="O258" t="str">
            <v>Ahmet</v>
          </cell>
          <cell r="P258" t="str">
            <v>Vanessa Barmpa</v>
          </cell>
          <cell r="Q258" t="str">
            <v>L_AIC_USERS</v>
          </cell>
          <cell r="R258" t="str">
            <v>Finance</v>
          </cell>
          <cell r="S258">
            <v>297000</v>
          </cell>
          <cell r="T258">
            <v>300000</v>
          </cell>
          <cell r="U258">
            <v>3000</v>
          </cell>
          <cell r="V258">
            <v>289833.58</v>
          </cell>
        </row>
        <row r="259">
          <cell r="A259" t="str">
            <v>Sprinklr</v>
          </cell>
          <cell r="C259">
            <v>68427709</v>
          </cell>
          <cell r="D259" t="str">
            <v>485074005</v>
          </cell>
          <cell r="E259" t="str">
            <v>Software li oth appl</v>
          </cell>
          <cell r="F259" t="str">
            <v>Application Support</v>
          </cell>
          <cell r="G259"/>
          <cell r="H259" t="str">
            <v>APP003293</v>
          </cell>
          <cell r="J259"/>
          <cell r="K259"/>
          <cell r="L259"/>
          <cell r="M259"/>
          <cell r="N259" t="str">
            <v>Robin</v>
          </cell>
          <cell r="O259" t="str">
            <v>Bas</v>
          </cell>
          <cell r="P259" t="str">
            <v>Bas</v>
          </cell>
          <cell r="Q259" t="str">
            <v>L-PC-USERS</v>
          </cell>
          <cell r="R259" t="str">
            <v>Digital</v>
          </cell>
          <cell r="S259"/>
          <cell r="T259">
            <v>300000</v>
          </cell>
          <cell r="U259">
            <v>300000</v>
          </cell>
          <cell r="V259">
            <v>257856.98</v>
          </cell>
        </row>
        <row r="260">
          <cell r="A260" t="str">
            <v>Salesforce Service Cloud Retail</v>
          </cell>
          <cell r="C260">
            <v>68427709</v>
          </cell>
          <cell r="D260" t="str">
            <v>485074005</v>
          </cell>
          <cell r="E260" t="str">
            <v>Software li oth appl</v>
          </cell>
          <cell r="F260" t="str">
            <v>Application Support</v>
          </cell>
          <cell r="G260"/>
          <cell r="H260" t="str">
            <v>APP003294</v>
          </cell>
          <cell r="J260"/>
          <cell r="K260"/>
          <cell r="L260"/>
          <cell r="M260"/>
          <cell r="N260" t="str">
            <v>Robin</v>
          </cell>
          <cell r="O260" t="str">
            <v>Bas</v>
          </cell>
          <cell r="P260" t="str">
            <v>Bas</v>
          </cell>
          <cell r="Q260" t="str">
            <v>Central</v>
          </cell>
          <cell r="R260" t="str">
            <v>R&amp;D</v>
          </cell>
          <cell r="S260"/>
          <cell r="T260">
            <v>150000</v>
          </cell>
          <cell r="U260">
            <v>150000</v>
          </cell>
          <cell r="V260">
            <v>185000</v>
          </cell>
        </row>
        <row r="261">
          <cell r="A261" t="str">
            <v>Salesforce Service Cloud Retail</v>
          </cell>
          <cell r="C261">
            <v>68427709</v>
          </cell>
          <cell r="D261" t="str">
            <v>485074005</v>
          </cell>
          <cell r="E261" t="str">
            <v>Software li oth appl</v>
          </cell>
          <cell r="F261" t="str">
            <v>Application Support</v>
          </cell>
          <cell r="G261"/>
          <cell r="H261" t="str">
            <v>APP003294</v>
          </cell>
          <cell r="J261"/>
          <cell r="K261"/>
          <cell r="L261"/>
          <cell r="M261"/>
          <cell r="N261" t="str">
            <v>Robin</v>
          </cell>
          <cell r="O261" t="str">
            <v>Bas</v>
          </cell>
          <cell r="P261" t="str">
            <v>Bas</v>
          </cell>
          <cell r="Q261" t="str">
            <v>Central</v>
          </cell>
          <cell r="R261" t="str">
            <v>DTC</v>
          </cell>
          <cell r="S261"/>
          <cell r="T261">
            <v>150000</v>
          </cell>
          <cell r="U261">
            <v>150000</v>
          </cell>
          <cell r="V261">
            <v>185000</v>
          </cell>
        </row>
        <row r="262">
          <cell r="A262" t="str">
            <v>Accolade</v>
          </cell>
          <cell r="B262" t="str">
            <v>CW9701</v>
          </cell>
          <cell r="C262">
            <v>68427709</v>
          </cell>
          <cell r="D262" t="str">
            <v>485074005</v>
          </cell>
          <cell r="E262" t="str">
            <v>Software li oth appl</v>
          </cell>
          <cell r="F262" t="str">
            <v>Application Support</v>
          </cell>
          <cell r="G262"/>
          <cell r="H262" t="str">
            <v>APP000039</v>
          </cell>
          <cell r="I262">
            <v>136544</v>
          </cell>
          <cell r="J262" t="str">
            <v>Sopheon</v>
          </cell>
          <cell r="L262">
            <v>5400963575</v>
          </cell>
          <cell r="M262">
            <v>30</v>
          </cell>
          <cell r="N262" t="str">
            <v>Robin</v>
          </cell>
          <cell r="O262" t="str">
            <v>Ahmet</v>
          </cell>
          <cell r="P262" t="str">
            <v>Stefan Jochems</v>
          </cell>
          <cell r="Q262" t="str">
            <v>L-PC-USERS</v>
          </cell>
          <cell r="R262" t="str">
            <v>R&amp;D</v>
          </cell>
          <cell r="S262">
            <v>235000</v>
          </cell>
          <cell r="T262">
            <v>290000</v>
          </cell>
          <cell r="U262">
            <v>55000</v>
          </cell>
          <cell r="V262">
            <v>280172.46000000002</v>
          </cell>
        </row>
        <row r="263">
          <cell r="A263" t="str">
            <v>Salesforce Order Management</v>
          </cell>
          <cell r="C263">
            <v>68427709</v>
          </cell>
          <cell r="D263" t="str">
            <v>485074005</v>
          </cell>
          <cell r="E263" t="str">
            <v>Software li oth appl</v>
          </cell>
          <cell r="F263" t="str">
            <v>Application Support</v>
          </cell>
          <cell r="G263"/>
          <cell r="H263" t="str">
            <v>APP002450</v>
          </cell>
          <cell r="I263">
            <v>193275</v>
          </cell>
          <cell r="J263" t="str">
            <v>SalesForce</v>
          </cell>
          <cell r="L263">
            <v>5401023756</v>
          </cell>
          <cell r="M263">
            <v>10</v>
          </cell>
          <cell r="N263" t="str">
            <v>Robin</v>
          </cell>
          <cell r="O263" t="str">
            <v>Bas</v>
          </cell>
          <cell r="P263" t="str">
            <v>Bas</v>
          </cell>
          <cell r="Q263" t="str">
            <v>Central</v>
          </cell>
          <cell r="R263" t="str">
            <v>DTC</v>
          </cell>
          <cell r="S263">
            <v>260000</v>
          </cell>
          <cell r="T263">
            <v>260000</v>
          </cell>
          <cell r="U263">
            <v>0</v>
          </cell>
          <cell r="V263">
            <v>223476.05</v>
          </cell>
        </row>
        <row r="264">
          <cell r="A264" t="str">
            <v>Project Link (Pega) + BIX</v>
          </cell>
          <cell r="C264">
            <v>68427709</v>
          </cell>
          <cell r="D264" t="str">
            <v>485074005</v>
          </cell>
          <cell r="E264" t="str">
            <v>Software li oth appl</v>
          </cell>
          <cell r="F264" t="str">
            <v>Application Support</v>
          </cell>
          <cell r="G264"/>
          <cell r="H264" t="str">
            <v>APP002880</v>
          </cell>
          <cell r="I264">
            <v>181895</v>
          </cell>
          <cell r="J264" t="str">
            <v>Pegasystems</v>
          </cell>
          <cell r="K264"/>
          <cell r="L264">
            <v>5400816292</v>
          </cell>
          <cell r="M264">
            <v>90</v>
          </cell>
          <cell r="N264" t="str">
            <v>Robin</v>
          </cell>
          <cell r="O264" t="str">
            <v>Ahmet</v>
          </cell>
          <cell r="P264" t="str">
            <v>Stefan Jochems</v>
          </cell>
          <cell r="Q264" t="str">
            <v>L-PC-USERS</v>
          </cell>
          <cell r="R264" t="str">
            <v>R&amp;D</v>
          </cell>
          <cell r="S264">
            <v>158000</v>
          </cell>
          <cell r="T264">
            <v>236000</v>
          </cell>
          <cell r="U264">
            <v>78000</v>
          </cell>
          <cell r="V264">
            <v>228002.41</v>
          </cell>
        </row>
        <row r="265">
          <cell r="A265" t="str">
            <v>Adobe Design</v>
          </cell>
          <cell r="B265" t="str">
            <v>CW7983</v>
          </cell>
          <cell r="C265">
            <v>68427709</v>
          </cell>
          <cell r="D265" t="str">
            <v>485074005</v>
          </cell>
          <cell r="E265" t="str">
            <v>Software li oth appl</v>
          </cell>
          <cell r="F265" t="str">
            <v>Application Support</v>
          </cell>
          <cell r="G265"/>
          <cell r="H265" t="str">
            <v>APP000011</v>
          </cell>
          <cell r="I265">
            <v>152539</v>
          </cell>
          <cell r="J265" t="str">
            <v>Insight Enterprise Netherlands B.V.</v>
          </cell>
          <cell r="K265"/>
          <cell r="L265">
            <v>5400945464</v>
          </cell>
          <cell r="M265">
            <v>20</v>
          </cell>
          <cell r="N265" t="str">
            <v>Oscar</v>
          </cell>
          <cell r="O265" t="str">
            <v>Carolyn</v>
          </cell>
          <cell r="P265" t="str">
            <v>Jeroen</v>
          </cell>
          <cell r="Q265" t="str">
            <v>L-PC-USERS</v>
          </cell>
          <cell r="R265" t="str">
            <v>Infra/EUS</v>
          </cell>
          <cell r="S265">
            <v>200000</v>
          </cell>
          <cell r="T265">
            <v>200000</v>
          </cell>
          <cell r="U265">
            <v>0</v>
          </cell>
          <cell r="V265">
            <v>184616.29</v>
          </cell>
        </row>
        <row r="266">
          <cell r="A266" t="str">
            <v>Dell Boomi MCS</v>
          </cell>
          <cell r="B266" t="str">
            <v>CW7618</v>
          </cell>
          <cell r="C266">
            <v>68427709</v>
          </cell>
          <cell r="D266" t="str">
            <v>485074005</v>
          </cell>
          <cell r="E266" t="str">
            <v>Software li oth appl</v>
          </cell>
          <cell r="F266" t="str">
            <v>Application Support</v>
          </cell>
          <cell r="G266"/>
          <cell r="H266" t="str">
            <v>APP002101</v>
          </cell>
          <cell r="I266">
            <v>209478</v>
          </cell>
          <cell r="J266" t="str">
            <v>Boomi BeNeLux B.V</v>
          </cell>
          <cell r="K266"/>
          <cell r="L266">
            <v>5400912153</v>
          </cell>
          <cell r="M266">
            <v>30</v>
          </cell>
          <cell r="N266" t="str">
            <v>Robin</v>
          </cell>
          <cell r="O266" t="str">
            <v>Carolyn</v>
          </cell>
          <cell r="P266" t="str">
            <v>Roberto</v>
          </cell>
          <cell r="Q266" t="str">
            <v>L-SAP-USERS</v>
          </cell>
          <cell r="R266" t="str">
            <v>Tech Integration</v>
          </cell>
          <cell r="S266">
            <v>157000</v>
          </cell>
          <cell r="T266">
            <v>187000</v>
          </cell>
          <cell r="U266">
            <v>30000</v>
          </cell>
          <cell r="V266">
            <v>172616.23</v>
          </cell>
        </row>
        <row r="267">
          <cell r="A267" t="str">
            <v>PlanView (iPPM)</v>
          </cell>
          <cell r="B267" t="str">
            <v>CW7965</v>
          </cell>
          <cell r="C267">
            <v>68427709</v>
          </cell>
          <cell r="D267" t="str">
            <v>485074005</v>
          </cell>
          <cell r="E267" t="str">
            <v>Software li oth appl</v>
          </cell>
          <cell r="F267" t="str">
            <v>Application Support</v>
          </cell>
          <cell r="G267" t="str">
            <v>IT4IT</v>
          </cell>
          <cell r="H267" t="str">
            <v>APP002666</v>
          </cell>
          <cell r="I267">
            <v>203647</v>
          </cell>
          <cell r="J267" t="str">
            <v>Planview International AB</v>
          </cell>
          <cell r="K267"/>
          <cell r="L267">
            <v>5400940618</v>
          </cell>
          <cell r="M267">
            <v>20</v>
          </cell>
          <cell r="N267" t="str">
            <v>Robin</v>
          </cell>
          <cell r="O267" t="str">
            <v>Dario</v>
          </cell>
          <cell r="P267" t="str">
            <v>Henk</v>
          </cell>
          <cell r="Q267" t="str">
            <v>L-PC-USERS</v>
          </cell>
          <cell r="R267" t="str">
            <v>S&amp;P</v>
          </cell>
          <cell r="S267">
            <v>176000</v>
          </cell>
          <cell r="T267">
            <v>176000</v>
          </cell>
          <cell r="U267">
            <v>0</v>
          </cell>
          <cell r="V267">
            <v>165440</v>
          </cell>
        </row>
        <row r="268">
          <cell r="A268" t="str">
            <v>Visier licences &amp; support</v>
          </cell>
          <cell r="C268">
            <v>68427709</v>
          </cell>
          <cell r="D268" t="str">
            <v>485074005</v>
          </cell>
          <cell r="E268" t="str">
            <v>Software li oth appl</v>
          </cell>
          <cell r="F268" t="str">
            <v>Application Support</v>
          </cell>
          <cell r="G268"/>
          <cell r="H268" t="str">
            <v>APP003152</v>
          </cell>
          <cell r="I268">
            <v>211572</v>
          </cell>
          <cell r="J268" t="str">
            <v>Visier Solutions Inc.</v>
          </cell>
          <cell r="L268">
            <v>5400975278</v>
          </cell>
          <cell r="M268">
            <v>20</v>
          </cell>
          <cell r="N268" t="str">
            <v>Robin</v>
          </cell>
          <cell r="O268" t="str">
            <v>Ahmet</v>
          </cell>
          <cell r="P268" t="str">
            <v>Kostya</v>
          </cell>
          <cell r="Q268" t="str">
            <v>L-PC-USERS</v>
          </cell>
          <cell r="R268" t="str">
            <v>HR/Legal</v>
          </cell>
          <cell r="S268">
            <v>155000</v>
          </cell>
          <cell r="T268">
            <v>168000</v>
          </cell>
          <cell r="U268">
            <v>13000</v>
          </cell>
          <cell r="V268">
            <v>162306.79999999999</v>
          </cell>
        </row>
        <row r="269">
          <cell r="A269" t="str">
            <v>Autocad</v>
          </cell>
          <cell r="B269" t="str">
            <v>CW7058</v>
          </cell>
          <cell r="C269">
            <v>68427709</v>
          </cell>
          <cell r="D269" t="str">
            <v>485074005</v>
          </cell>
          <cell r="E269" t="str">
            <v>Software li oth appl</v>
          </cell>
          <cell r="F269" t="str">
            <v>Application Support</v>
          </cell>
          <cell r="G269"/>
          <cell r="H269" t="str">
            <v>APP000167</v>
          </cell>
          <cell r="I269">
            <v>197093</v>
          </cell>
          <cell r="J269" t="str">
            <v>Cadac Group</v>
          </cell>
          <cell r="L269">
            <v>5400912389</v>
          </cell>
          <cell r="M269">
            <v>30</v>
          </cell>
          <cell r="N269" t="str">
            <v>Robin</v>
          </cell>
          <cell r="O269" t="str">
            <v>Ahmet</v>
          </cell>
          <cell r="P269" t="str">
            <v>Vasco</v>
          </cell>
          <cell r="Q269" t="str">
            <v>New Key</v>
          </cell>
          <cell r="R269" t="str">
            <v>R&amp;D</v>
          </cell>
          <cell r="S269">
            <v>199000</v>
          </cell>
          <cell r="T269">
            <v>167500</v>
          </cell>
          <cell r="U269">
            <v>-31500</v>
          </cell>
          <cell r="V269">
            <v>161823.75</v>
          </cell>
        </row>
        <row r="270">
          <cell r="A270" t="str">
            <v>Aravo</v>
          </cell>
          <cell r="C270">
            <v>68427709</v>
          </cell>
          <cell r="D270" t="str">
            <v>485074005</v>
          </cell>
          <cell r="E270" t="str">
            <v>Software li oth appl</v>
          </cell>
          <cell r="F270" t="str">
            <v>Application Support</v>
          </cell>
          <cell r="G270"/>
          <cell r="H270" t="str">
            <v>APP003015</v>
          </cell>
          <cell r="I270">
            <v>209152</v>
          </cell>
          <cell r="J270" t="str">
            <v>Aravo Solutions, Inc.</v>
          </cell>
          <cell r="L270">
            <v>5400938430</v>
          </cell>
          <cell r="M270">
            <v>20</v>
          </cell>
          <cell r="N270" t="str">
            <v>Robin</v>
          </cell>
          <cell r="O270" t="str">
            <v>Ahmet</v>
          </cell>
          <cell r="P270" t="str">
            <v>James Gracey</v>
          </cell>
          <cell r="Q270" t="str">
            <v>L-PC-USERS</v>
          </cell>
          <cell r="R270" t="str">
            <v>HR/Legal</v>
          </cell>
          <cell r="S270">
            <v>157000</v>
          </cell>
          <cell r="T270">
            <v>164500</v>
          </cell>
          <cell r="U270">
            <v>7500</v>
          </cell>
          <cell r="V270">
            <v>158925.41</v>
          </cell>
        </row>
        <row r="271">
          <cell r="A271" t="str">
            <v>Solace</v>
          </cell>
          <cell r="C271">
            <v>68427709</v>
          </cell>
          <cell r="D271" t="str">
            <v>485074005</v>
          </cell>
          <cell r="E271" t="str">
            <v>Software li oth appl</v>
          </cell>
          <cell r="F271" t="str">
            <v>Application Support</v>
          </cell>
          <cell r="G271"/>
          <cell r="H271" t="str">
            <v>APP002945</v>
          </cell>
          <cell r="I271">
            <v>209478</v>
          </cell>
          <cell r="J271" t="str">
            <v>Boomi BeNeLux B.V</v>
          </cell>
          <cell r="K271"/>
          <cell r="L271">
            <v>5400917805</v>
          </cell>
          <cell r="M271">
            <v>30</v>
          </cell>
          <cell r="N271" t="str">
            <v>Robin</v>
          </cell>
          <cell r="O271" t="str">
            <v>Carolyn</v>
          </cell>
          <cell r="P271" t="str">
            <v>Roberto</v>
          </cell>
          <cell r="Q271" t="str">
            <v>L-PC-USERS</v>
          </cell>
          <cell r="R271" t="str">
            <v>Tech Integration</v>
          </cell>
          <cell r="S271">
            <v>160000</v>
          </cell>
          <cell r="T271">
            <v>160000</v>
          </cell>
          <cell r="U271">
            <v>0</v>
          </cell>
          <cell r="V271">
            <v>147693.03</v>
          </cell>
        </row>
        <row r="272">
          <cell r="A272" t="str">
            <v>Jira Licenses</v>
          </cell>
          <cell r="B272" t="str">
            <v>CW9789</v>
          </cell>
          <cell r="C272">
            <v>68427709</v>
          </cell>
          <cell r="D272" t="str">
            <v>485074005</v>
          </cell>
          <cell r="E272" t="str">
            <v>Software li oth appl</v>
          </cell>
          <cell r="F272" t="str">
            <v>Application Support</v>
          </cell>
          <cell r="G272" t="str">
            <v>IT4IT</v>
          </cell>
          <cell r="H272" t="str">
            <v>APP000150</v>
          </cell>
          <cell r="I272">
            <v>189448</v>
          </cell>
          <cell r="J272" t="str">
            <v>Atlassian</v>
          </cell>
          <cell r="L272">
            <v>5401041462</v>
          </cell>
          <cell r="M272">
            <v>20</v>
          </cell>
          <cell r="N272" t="str">
            <v>Robin</v>
          </cell>
          <cell r="O272" t="str">
            <v>Carolyn</v>
          </cell>
          <cell r="P272" t="str">
            <v>Maksym</v>
          </cell>
          <cell r="Q272" t="str">
            <v>L-PC-USERS</v>
          </cell>
          <cell r="R272" t="str">
            <v>Shared Platforms</v>
          </cell>
          <cell r="S272">
            <v>150000</v>
          </cell>
          <cell r="T272">
            <v>150000</v>
          </cell>
          <cell r="U272">
            <v>0</v>
          </cell>
          <cell r="V272">
            <v>138462.22</v>
          </cell>
        </row>
        <row r="273">
          <cell r="A273" t="str">
            <v>Microsoft PowerBI</v>
          </cell>
          <cell r="B273" t="str">
            <v>CW7800</v>
          </cell>
          <cell r="C273">
            <v>68427709</v>
          </cell>
          <cell r="D273" t="str">
            <v>485074005</v>
          </cell>
          <cell r="E273" t="str">
            <v>Software li oth appl</v>
          </cell>
          <cell r="F273" t="str">
            <v>Application Support</v>
          </cell>
          <cell r="G273"/>
          <cell r="H273" t="str">
            <v>APP002619</v>
          </cell>
          <cell r="I273">
            <v>166304</v>
          </cell>
          <cell r="J273" t="str">
            <v>Microsoft B.V.</v>
          </cell>
          <cell r="K273"/>
          <cell r="L273">
            <v>5400878308</v>
          </cell>
          <cell r="M273">
            <v>40</v>
          </cell>
          <cell r="N273" t="str">
            <v>Patrick</v>
          </cell>
          <cell r="O273" t="str">
            <v>Carolyn</v>
          </cell>
          <cell r="P273" t="str">
            <v>Patrick</v>
          </cell>
          <cell r="Q273" t="str">
            <v>L-PC-USERS</v>
          </cell>
          <cell r="R273" t="str">
            <v>D&amp;A</v>
          </cell>
          <cell r="S273">
            <v>137500</v>
          </cell>
          <cell r="T273">
            <v>137500</v>
          </cell>
          <cell r="U273">
            <v>0</v>
          </cell>
          <cell r="V273">
            <v>126923.7</v>
          </cell>
        </row>
        <row r="274">
          <cell r="A274" t="str">
            <v>SmartRecruiters</v>
          </cell>
          <cell r="B274" t="str">
            <v>CW5692</v>
          </cell>
          <cell r="C274">
            <v>68427709</v>
          </cell>
          <cell r="D274" t="str">
            <v>485074005</v>
          </cell>
          <cell r="E274" t="str">
            <v>Software li oth appl</v>
          </cell>
          <cell r="F274" t="str">
            <v>Application Support</v>
          </cell>
          <cell r="G274"/>
          <cell r="H274" t="str">
            <v>APP002268</v>
          </cell>
          <cell r="I274">
            <v>197078</v>
          </cell>
          <cell r="J274" t="str">
            <v>SmartRecruiters</v>
          </cell>
          <cell r="K274"/>
          <cell r="L274">
            <v>5400871022</v>
          </cell>
          <cell r="M274">
            <v>30</v>
          </cell>
          <cell r="N274" t="str">
            <v>Robin</v>
          </cell>
          <cell r="O274" t="str">
            <v>Ahmet</v>
          </cell>
          <cell r="P274" t="str">
            <v>Kostya</v>
          </cell>
          <cell r="Q274" t="str">
            <v>L-PC-USERS</v>
          </cell>
          <cell r="R274" t="str">
            <v>HR/Legal</v>
          </cell>
          <cell r="S274">
            <v>135000</v>
          </cell>
          <cell r="T274">
            <v>135000</v>
          </cell>
          <cell r="U274">
            <v>0</v>
          </cell>
          <cell r="V274">
            <v>130425.11</v>
          </cell>
        </row>
        <row r="275">
          <cell r="A275" t="str">
            <v>IT2</v>
          </cell>
          <cell r="B275" t="str">
            <v>CW7975</v>
          </cell>
          <cell r="C275">
            <v>68427709</v>
          </cell>
          <cell r="D275" t="str">
            <v>485074005</v>
          </cell>
          <cell r="E275" t="str">
            <v>Software li oth appl</v>
          </cell>
          <cell r="F275" t="str">
            <v>Application Support</v>
          </cell>
          <cell r="G275"/>
          <cell r="H275" t="str">
            <v>APP000463</v>
          </cell>
          <cell r="I275">
            <v>188518</v>
          </cell>
          <cell r="J275" t="str">
            <v>Wall Street Systems UK Limited</v>
          </cell>
          <cell r="L275">
            <v>5400938331</v>
          </cell>
          <cell r="M275">
            <v>30</v>
          </cell>
          <cell r="N275" t="str">
            <v>Robin</v>
          </cell>
          <cell r="O275" t="str">
            <v>Ahmet</v>
          </cell>
          <cell r="P275" t="str">
            <v>Rabish Shaunak</v>
          </cell>
          <cell r="Q275" t="str">
            <v>L-PC-USERS</v>
          </cell>
          <cell r="R275" t="str">
            <v>Finance</v>
          </cell>
          <cell r="S275">
            <v>111000</v>
          </cell>
          <cell r="T275">
            <v>131000</v>
          </cell>
          <cell r="U275">
            <v>20000</v>
          </cell>
          <cell r="V275">
            <v>126560.66</v>
          </cell>
        </row>
        <row r="276">
          <cell r="A276" t="str">
            <v>Optimizely</v>
          </cell>
          <cell r="C276">
            <v>68427709</v>
          </cell>
          <cell r="D276" t="str">
            <v>485074005</v>
          </cell>
          <cell r="E276" t="str">
            <v>Software li oth appl</v>
          </cell>
          <cell r="F276" t="str">
            <v>Application Support</v>
          </cell>
          <cell r="G276"/>
          <cell r="H276" t="str">
            <v>APP003255</v>
          </cell>
          <cell r="J276"/>
          <cell r="K276"/>
          <cell r="L276"/>
          <cell r="M276"/>
          <cell r="N276" t="str">
            <v>Robin</v>
          </cell>
          <cell r="O276" t="str">
            <v>Bas</v>
          </cell>
          <cell r="P276" t="str">
            <v>Bas</v>
          </cell>
          <cell r="Q276" t="str">
            <v>New Key</v>
          </cell>
          <cell r="R276" t="str">
            <v>Digital</v>
          </cell>
          <cell r="S276"/>
          <cell r="T276">
            <v>150000</v>
          </cell>
          <cell r="U276">
            <v>150000</v>
          </cell>
          <cell r="V276">
            <v>128928.49</v>
          </cell>
        </row>
        <row r="277">
          <cell r="A277" t="str">
            <v>Aveva- Licences</v>
          </cell>
          <cell r="C277">
            <v>68427709</v>
          </cell>
          <cell r="D277" t="str">
            <v>485074005</v>
          </cell>
          <cell r="E277" t="str">
            <v>Software li oth appl</v>
          </cell>
          <cell r="F277" t="str">
            <v>Application Support</v>
          </cell>
          <cell r="G277"/>
          <cell r="H277" t="str">
            <v>APP002146</v>
          </cell>
          <cell r="I277">
            <v>193317</v>
          </cell>
          <cell r="J277" t="str">
            <v>AVEVA Software Netherlands B.V.</v>
          </cell>
          <cell r="K277"/>
          <cell r="L277">
            <v>5401033424</v>
          </cell>
          <cell r="M277">
            <v>10</v>
          </cell>
          <cell r="N277" t="str">
            <v>Robin</v>
          </cell>
          <cell r="O277" t="str">
            <v>Ahmet</v>
          </cell>
          <cell r="P277" t="str">
            <v>Murat</v>
          </cell>
          <cell r="Q277" t="str">
            <v>L-FACTORIES-SIZE</v>
          </cell>
          <cell r="R277" t="str">
            <v>Manufacturing</v>
          </cell>
          <cell r="S277">
            <v>162000</v>
          </cell>
          <cell r="T277">
            <v>128700</v>
          </cell>
          <cell r="U277">
            <v>-33300</v>
          </cell>
          <cell r="V277">
            <v>124338.6</v>
          </cell>
        </row>
        <row r="278">
          <cell r="A278" t="str">
            <v>SUMI Business SLA SIX-MIX</v>
          </cell>
          <cell r="B278" t="str">
            <v>CW9775</v>
          </cell>
          <cell r="C278">
            <v>68427709</v>
          </cell>
          <cell r="D278" t="str">
            <v>485074005</v>
          </cell>
          <cell r="E278" t="str">
            <v>Software li oth appl</v>
          </cell>
          <cell r="F278" t="str">
            <v>Application Support</v>
          </cell>
          <cell r="G278"/>
          <cell r="H278" t="str">
            <v>APP000560</v>
          </cell>
          <cell r="I278">
            <v>127376</v>
          </cell>
          <cell r="J278" t="str">
            <v>Intelligent Solutions</v>
          </cell>
          <cell r="K278"/>
          <cell r="L278">
            <v>5401006905</v>
          </cell>
          <cell r="M278">
            <v>20</v>
          </cell>
          <cell r="N278" t="str">
            <v>Robin</v>
          </cell>
          <cell r="O278" t="str">
            <v>Ahmet</v>
          </cell>
          <cell r="P278" t="str">
            <v>James Gracey</v>
          </cell>
          <cell r="Q278" t="str">
            <v>L-SAP-USERS</v>
          </cell>
          <cell r="R278" t="str">
            <v>Manufacturing</v>
          </cell>
          <cell r="S278">
            <v>126000</v>
          </cell>
          <cell r="T278">
            <v>126000</v>
          </cell>
          <cell r="U278">
            <v>0</v>
          </cell>
          <cell r="V278">
            <v>121730.1</v>
          </cell>
        </row>
        <row r="279">
          <cell r="A279" t="str">
            <v>Company.info</v>
          </cell>
          <cell r="C279">
            <v>68427719</v>
          </cell>
          <cell r="D279" t="str">
            <v>485074005</v>
          </cell>
          <cell r="E279" t="str">
            <v>Software li oth appl</v>
          </cell>
          <cell r="F279" t="str">
            <v>Application Support</v>
          </cell>
          <cell r="G279"/>
          <cell r="H279" t="str">
            <v>APP002318</v>
          </cell>
          <cell r="I279">
            <v>192010</v>
          </cell>
          <cell r="J279" t="str">
            <v>Company.info</v>
          </cell>
          <cell r="K279"/>
          <cell r="L279">
            <v>5400982329</v>
          </cell>
          <cell r="M279">
            <v>10</v>
          </cell>
          <cell r="N279" t="str">
            <v>Linda</v>
          </cell>
          <cell r="O279" t="str">
            <v>Linda</v>
          </cell>
          <cell r="P279" t="str">
            <v>Linda</v>
          </cell>
          <cell r="Q279" t="str">
            <v>L-SF-USERS</v>
          </cell>
          <cell r="R279" t="str">
            <v>Professional DevOps</v>
          </cell>
          <cell r="S279">
            <v>60000</v>
          </cell>
          <cell r="T279">
            <v>120000</v>
          </cell>
          <cell r="U279">
            <v>60000</v>
          </cell>
          <cell r="V279">
            <v>60000</v>
          </cell>
        </row>
        <row r="280">
          <cell r="A280" t="str">
            <v>Thinkstep - Sofi</v>
          </cell>
          <cell r="B280" t="str">
            <v>CW7158</v>
          </cell>
          <cell r="C280">
            <v>68427709</v>
          </cell>
          <cell r="D280" t="str">
            <v>485074005</v>
          </cell>
          <cell r="E280" t="str">
            <v>Software li oth appl</v>
          </cell>
          <cell r="F280" t="str">
            <v>Application Support</v>
          </cell>
          <cell r="G280"/>
          <cell r="H280" t="str">
            <v>APP001861</v>
          </cell>
          <cell r="I280">
            <v>181857</v>
          </cell>
          <cell r="J280" t="str">
            <v>Sphera Solutions Gmbh</v>
          </cell>
          <cell r="L280">
            <v>5400976225</v>
          </cell>
          <cell r="M280">
            <v>20</v>
          </cell>
          <cell r="N280" t="str">
            <v>Robin</v>
          </cell>
          <cell r="O280" t="str">
            <v>Ahmet</v>
          </cell>
          <cell r="P280" t="str">
            <v>Stefan Jochems</v>
          </cell>
          <cell r="Q280" t="str">
            <v>L-PC-USERS</v>
          </cell>
          <cell r="R280" t="str">
            <v>R&amp;D</v>
          </cell>
          <cell r="S280">
            <v>104000</v>
          </cell>
          <cell r="T280">
            <v>115000</v>
          </cell>
          <cell r="U280">
            <v>11000</v>
          </cell>
          <cell r="V280">
            <v>111102.87</v>
          </cell>
        </row>
        <row r="281">
          <cell r="A281" t="str">
            <v>Billtrust E-Invoicing</v>
          </cell>
          <cell r="C281">
            <v>68427709</v>
          </cell>
          <cell r="D281" t="str">
            <v>485074005</v>
          </cell>
          <cell r="E281" t="str">
            <v>Software li oth appl</v>
          </cell>
          <cell r="F281" t="str">
            <v>Application Support</v>
          </cell>
          <cell r="G281"/>
          <cell r="H281" t="str">
            <v>APP003261</v>
          </cell>
          <cell r="J281"/>
          <cell r="K281"/>
          <cell r="L281"/>
          <cell r="M281"/>
          <cell r="N281" t="str">
            <v>Robin</v>
          </cell>
          <cell r="O281" t="str">
            <v>Linda</v>
          </cell>
          <cell r="P281" t="str">
            <v>Koen</v>
          </cell>
          <cell r="Q281" t="str">
            <v>L-SF-USERS</v>
          </cell>
          <cell r="R281" t="str">
            <v>Professional DevOps</v>
          </cell>
          <cell r="S281"/>
          <cell r="T281">
            <v>110000</v>
          </cell>
          <cell r="U281">
            <v>110000</v>
          </cell>
          <cell r="V281">
            <v>0</v>
          </cell>
        </row>
        <row r="282">
          <cell r="A282" t="str">
            <v>PS Support (Zylab)</v>
          </cell>
          <cell r="B282" t="str">
            <v>CW5538</v>
          </cell>
          <cell r="C282">
            <v>68427709</v>
          </cell>
          <cell r="D282" t="str">
            <v>485074005</v>
          </cell>
          <cell r="E282" t="str">
            <v>Software li oth appl</v>
          </cell>
          <cell r="F282" t="str">
            <v>Application Support</v>
          </cell>
          <cell r="G282"/>
          <cell r="H282" t="str">
            <v>APP000050</v>
          </cell>
          <cell r="I282">
            <v>199680</v>
          </cell>
          <cell r="J282" t="str">
            <v>Zylab</v>
          </cell>
          <cell r="L282">
            <v>5401023844</v>
          </cell>
          <cell r="M282">
            <v>10</v>
          </cell>
          <cell r="N282" t="str">
            <v>Robin</v>
          </cell>
          <cell r="O282" t="str">
            <v>Ahmet</v>
          </cell>
          <cell r="P282" t="str">
            <v>Vasco</v>
          </cell>
          <cell r="Q282" t="str">
            <v>L-PC-USERS</v>
          </cell>
          <cell r="R282" t="str">
            <v>R&amp;D</v>
          </cell>
          <cell r="S282">
            <v>103000</v>
          </cell>
          <cell r="T282">
            <v>103000</v>
          </cell>
          <cell r="U282">
            <v>0</v>
          </cell>
          <cell r="V282">
            <v>99509.53</v>
          </cell>
        </row>
        <row r="283">
          <cell r="A283" t="str">
            <v>Metapack for Pudo services (Pick up points)</v>
          </cell>
          <cell r="C283">
            <v>68427709</v>
          </cell>
          <cell r="D283" t="str">
            <v>485074005</v>
          </cell>
          <cell r="E283" t="str">
            <v>Software li oth appl</v>
          </cell>
          <cell r="F283" t="str">
            <v>Application Support</v>
          </cell>
          <cell r="G283"/>
          <cell r="H283" t="str">
            <v>APP002947</v>
          </cell>
          <cell r="I283">
            <v>208526</v>
          </cell>
          <cell r="J283" t="str">
            <v>Metapack LtD</v>
          </cell>
          <cell r="K283"/>
          <cell r="L283">
            <v>5400948082</v>
          </cell>
          <cell r="M283">
            <v>20</v>
          </cell>
          <cell r="N283" t="str">
            <v>Robin</v>
          </cell>
          <cell r="O283" t="str">
            <v>Bas</v>
          </cell>
          <cell r="P283" t="str">
            <v>Bas</v>
          </cell>
          <cell r="Q283" t="str">
            <v>Central</v>
          </cell>
          <cell r="R283" t="str">
            <v>DTC</v>
          </cell>
          <cell r="S283">
            <v>102000</v>
          </cell>
          <cell r="T283">
            <v>102000</v>
          </cell>
          <cell r="U283">
            <v>0</v>
          </cell>
          <cell r="V283">
            <v>87671.37</v>
          </cell>
        </row>
        <row r="284">
          <cell r="A284" t="str">
            <v>OwnBackup</v>
          </cell>
          <cell r="B284" t="str">
            <v>CW4564</v>
          </cell>
          <cell r="C284">
            <v>68427709</v>
          </cell>
          <cell r="D284" t="str">
            <v>485074005</v>
          </cell>
          <cell r="E284" t="str">
            <v>Software li oth appl</v>
          </cell>
          <cell r="F284" t="str">
            <v>Application Support</v>
          </cell>
          <cell r="G284"/>
          <cell r="H284" t="str">
            <v>APP002647</v>
          </cell>
          <cell r="I284">
            <v>199977</v>
          </cell>
          <cell r="J284" t="str">
            <v>OwnBackup, Inc</v>
          </cell>
          <cell r="K284"/>
          <cell r="L284">
            <v>5400976352</v>
          </cell>
          <cell r="M284">
            <v>10</v>
          </cell>
          <cell r="N284" t="str">
            <v>Robin</v>
          </cell>
          <cell r="O284" t="str">
            <v>Linda</v>
          </cell>
          <cell r="P284" t="str">
            <v>Maksym</v>
          </cell>
          <cell r="Q284" t="str">
            <v>L-SF-USERS</v>
          </cell>
          <cell r="R284" t="str">
            <v>Professional DevOps</v>
          </cell>
          <cell r="S284">
            <v>100000</v>
          </cell>
          <cell r="T284">
            <v>100000</v>
          </cell>
          <cell r="U284">
            <v>0</v>
          </cell>
          <cell r="V284">
            <v>100000</v>
          </cell>
        </row>
        <row r="285">
          <cell r="A285" t="str">
            <v>Snow Licenses</v>
          </cell>
          <cell r="B285" t="str">
            <v>CW9121</v>
          </cell>
          <cell r="C285">
            <v>68427709</v>
          </cell>
          <cell r="D285" t="str">
            <v>485074005</v>
          </cell>
          <cell r="E285" t="str">
            <v>Software li oth appl</v>
          </cell>
          <cell r="F285" t="str">
            <v>Application Support</v>
          </cell>
          <cell r="G285" t="str">
            <v>IT4IT</v>
          </cell>
          <cell r="H285" t="str">
            <v>APP001797</v>
          </cell>
          <cell r="I285">
            <v>189203</v>
          </cell>
          <cell r="J285" t="str">
            <v>Van Sambeek Org Adviesbureau B.V.</v>
          </cell>
          <cell r="L285">
            <v>5400904915</v>
          </cell>
          <cell r="M285">
            <v>40</v>
          </cell>
          <cell r="N285" t="str">
            <v>Rohan</v>
          </cell>
          <cell r="O285" t="str">
            <v>Carolyn</v>
          </cell>
          <cell r="P285" t="str">
            <v>Diego</v>
          </cell>
          <cell r="Q285" t="str">
            <v>L-PC-USERS</v>
          </cell>
          <cell r="R285" t="str">
            <v>Security</v>
          </cell>
          <cell r="S285">
            <v>82000</v>
          </cell>
          <cell r="T285">
            <v>98400</v>
          </cell>
          <cell r="U285">
            <v>16400</v>
          </cell>
          <cell r="V285">
            <v>90831.22</v>
          </cell>
        </row>
        <row r="286">
          <cell r="A286" t="str">
            <v>Garvis</v>
          </cell>
          <cell r="C286">
            <v>68427709</v>
          </cell>
          <cell r="D286" t="str">
            <v>485074005</v>
          </cell>
          <cell r="E286" t="str">
            <v>Software li oth appl</v>
          </cell>
          <cell r="F286" t="str">
            <v>Application Support</v>
          </cell>
          <cell r="G286"/>
          <cell r="H286" t="str">
            <v>APP003046</v>
          </cell>
          <cell r="I286">
            <v>207958</v>
          </cell>
          <cell r="J286" t="str">
            <v>Garvis B.V.</v>
          </cell>
          <cell r="K286"/>
          <cell r="L286">
            <v>5401024588</v>
          </cell>
          <cell r="M286">
            <v>10</v>
          </cell>
          <cell r="N286" t="str">
            <v>Robin</v>
          </cell>
          <cell r="O286" t="str">
            <v>Ahmet</v>
          </cell>
          <cell r="P286" t="str">
            <v>Sharath</v>
          </cell>
          <cell r="Q286" t="str">
            <v>L-SAP-USERS</v>
          </cell>
          <cell r="R286" t="str">
            <v>Supply Chain</v>
          </cell>
          <cell r="S286">
            <v>81000</v>
          </cell>
          <cell r="T286">
            <v>81000</v>
          </cell>
          <cell r="U286">
            <v>0</v>
          </cell>
          <cell r="V286">
            <v>78255.070000000007</v>
          </cell>
        </row>
        <row r="287">
          <cell r="A287" t="str">
            <v>HP ALM</v>
          </cell>
          <cell r="B287" t="str">
            <v>CW5498</v>
          </cell>
          <cell r="C287">
            <v>68427709</v>
          </cell>
          <cell r="D287" t="str">
            <v>485074005</v>
          </cell>
          <cell r="E287" t="str">
            <v>Software li oth appl</v>
          </cell>
          <cell r="F287" t="str">
            <v>Application Support</v>
          </cell>
          <cell r="G287" t="str">
            <v>IT4IT</v>
          </cell>
          <cell r="H287" t="str">
            <v>APP001185</v>
          </cell>
          <cell r="I287">
            <v>187516</v>
          </cell>
          <cell r="J287" t="str">
            <v>Accenture</v>
          </cell>
          <cell r="L287">
            <v>5401023574</v>
          </cell>
          <cell r="M287">
            <v>10</v>
          </cell>
          <cell r="N287" t="str">
            <v>Robin</v>
          </cell>
          <cell r="O287" t="str">
            <v>Carolyn</v>
          </cell>
          <cell r="P287" t="str">
            <v>Gagan</v>
          </cell>
          <cell r="Q287" t="str">
            <v>L-PC-USERS</v>
          </cell>
          <cell r="R287" t="str">
            <v>Shared Platforms</v>
          </cell>
          <cell r="S287">
            <v>80000</v>
          </cell>
          <cell r="T287">
            <v>80000</v>
          </cell>
          <cell r="U287">
            <v>0</v>
          </cell>
          <cell r="V287">
            <v>73846.52</v>
          </cell>
        </row>
        <row r="288">
          <cell r="A288" t="str">
            <v>Project Link (Pega) + BIX - Markets</v>
          </cell>
          <cell r="C288">
            <v>68427709</v>
          </cell>
          <cell r="D288" t="str">
            <v>485074005</v>
          </cell>
          <cell r="E288" t="str">
            <v>Software li oth appl</v>
          </cell>
          <cell r="F288" t="str">
            <v>Application Support</v>
          </cell>
          <cell r="G288"/>
          <cell r="H288" t="str">
            <v>APP002880</v>
          </cell>
          <cell r="I288">
            <v>181895</v>
          </cell>
          <cell r="J288" t="str">
            <v>Pegasystems</v>
          </cell>
          <cell r="K288"/>
          <cell r="L288">
            <v>5400966895</v>
          </cell>
          <cell r="M288">
            <v>20</v>
          </cell>
          <cell r="N288" t="str">
            <v>Robin</v>
          </cell>
          <cell r="O288" t="str">
            <v>Ahmet</v>
          </cell>
          <cell r="P288" t="str">
            <v>Stefan jochems</v>
          </cell>
          <cell r="Q288" t="str">
            <v>L-PC-USERS</v>
          </cell>
          <cell r="R288" t="str">
            <v>R&amp;D</v>
          </cell>
          <cell r="S288">
            <v>78000</v>
          </cell>
          <cell r="T288">
            <v>78000</v>
          </cell>
          <cell r="U288">
            <v>0</v>
          </cell>
          <cell r="V288">
            <v>75356.73</v>
          </cell>
        </row>
        <row r="289">
          <cell r="A289" t="str">
            <v>Jmp Statistical Discovery Llc</v>
          </cell>
          <cell r="C289">
            <v>68427709</v>
          </cell>
          <cell r="D289" t="str">
            <v>485074005</v>
          </cell>
          <cell r="E289" t="str">
            <v>Software li oth appl</v>
          </cell>
          <cell r="F289" t="str">
            <v>Application Support</v>
          </cell>
          <cell r="G289"/>
          <cell r="H289" t="str">
            <v>APP000376</v>
          </cell>
          <cell r="J289"/>
          <cell r="K289"/>
          <cell r="L289"/>
          <cell r="M289"/>
          <cell r="N289" t="str">
            <v>Robin</v>
          </cell>
          <cell r="O289" t="str">
            <v>Ahmet</v>
          </cell>
          <cell r="P289" t="str">
            <v>Murat</v>
          </cell>
          <cell r="Q289" t="str">
            <v>Central</v>
          </cell>
          <cell r="R289" t="str">
            <v>R&amp;D</v>
          </cell>
          <cell r="S289"/>
          <cell r="T289">
            <v>73000</v>
          </cell>
          <cell r="U289">
            <v>73000</v>
          </cell>
          <cell r="V289">
            <v>70526.17</v>
          </cell>
        </row>
        <row r="290">
          <cell r="A290" t="str">
            <v>IBM API Management tool</v>
          </cell>
          <cell r="C290">
            <v>68427709</v>
          </cell>
          <cell r="D290" t="str">
            <v>485074005</v>
          </cell>
          <cell r="E290" t="str">
            <v>Software li oth appl</v>
          </cell>
          <cell r="F290" t="str">
            <v>Application Support</v>
          </cell>
          <cell r="G290"/>
          <cell r="H290" t="str">
            <v>APP003120</v>
          </cell>
          <cell r="I290">
            <v>211753</v>
          </cell>
          <cell r="J290" t="str">
            <v>Softwareone Netherlands B.V.</v>
          </cell>
          <cell r="L290">
            <v>5400976828</v>
          </cell>
          <cell r="M290">
            <v>20</v>
          </cell>
          <cell r="N290" t="str">
            <v>Robin</v>
          </cell>
          <cell r="O290" t="str">
            <v>Carolyn</v>
          </cell>
          <cell r="P290" t="str">
            <v>Roberto</v>
          </cell>
          <cell r="Q290" t="str">
            <v>L-PC-USERS</v>
          </cell>
          <cell r="R290" t="str">
            <v>Tech Integration</v>
          </cell>
          <cell r="S290">
            <v>70000</v>
          </cell>
          <cell r="T290">
            <v>70000</v>
          </cell>
          <cell r="U290">
            <v>0</v>
          </cell>
          <cell r="V290">
            <v>64615.7</v>
          </cell>
        </row>
        <row r="291">
          <cell r="A291" t="str">
            <v>Legal Privacy management tool</v>
          </cell>
          <cell r="C291">
            <v>68427709</v>
          </cell>
          <cell r="D291" t="str">
            <v>485074005</v>
          </cell>
          <cell r="E291" t="str">
            <v>Software li oth appl</v>
          </cell>
          <cell r="F291" t="str">
            <v>Application Support</v>
          </cell>
          <cell r="G291"/>
          <cell r="H291" t="str">
            <v>APP003288</v>
          </cell>
          <cell r="J291"/>
          <cell r="K291"/>
          <cell r="L291"/>
          <cell r="M291"/>
          <cell r="N291" t="str">
            <v>Robin</v>
          </cell>
          <cell r="O291" t="str">
            <v>Ahmet</v>
          </cell>
          <cell r="P291" t="str">
            <v>Kostya</v>
          </cell>
          <cell r="Q291" t="str">
            <v>L-PC-USERS</v>
          </cell>
          <cell r="R291" t="str">
            <v>HR/Legal</v>
          </cell>
          <cell r="S291"/>
          <cell r="T291">
            <v>70000</v>
          </cell>
          <cell r="U291">
            <v>70000</v>
          </cell>
          <cell r="V291">
            <v>67627.83</v>
          </cell>
        </row>
        <row r="292">
          <cell r="A292" t="str">
            <v>Star LIMS</v>
          </cell>
          <cell r="B292" t="str">
            <v>CW4537</v>
          </cell>
          <cell r="C292">
            <v>68427709</v>
          </cell>
          <cell r="D292" t="str">
            <v>485074005</v>
          </cell>
          <cell r="E292" t="str">
            <v>Software li oth appl</v>
          </cell>
          <cell r="F292" t="str">
            <v>Application Support</v>
          </cell>
          <cell r="G292"/>
          <cell r="H292" t="str">
            <v>APP002398</v>
          </cell>
          <cell r="I292">
            <v>197617</v>
          </cell>
          <cell r="J292" t="str">
            <v>Abbott Informatics Netherlands B.V.</v>
          </cell>
          <cell r="K292"/>
          <cell r="L292">
            <v>5400860691</v>
          </cell>
          <cell r="M292">
            <v>30</v>
          </cell>
          <cell r="N292" t="str">
            <v>Robin</v>
          </cell>
          <cell r="O292" t="str">
            <v>Ahmet</v>
          </cell>
          <cell r="P292" t="str">
            <v>Vasco</v>
          </cell>
          <cell r="Q292" t="str">
            <v>Central</v>
          </cell>
          <cell r="R292" t="str">
            <v>R&amp;D</v>
          </cell>
          <cell r="S292">
            <v>67000</v>
          </cell>
          <cell r="T292">
            <v>66000</v>
          </cell>
          <cell r="U292">
            <v>-1000</v>
          </cell>
          <cell r="V292">
            <v>63763.39</v>
          </cell>
        </row>
        <row r="293">
          <cell r="A293" t="str">
            <v>Connector4U Pro Licenses</v>
          </cell>
          <cell r="B293" t="str">
            <v>CW7941</v>
          </cell>
          <cell r="C293">
            <v>68427709</v>
          </cell>
          <cell r="D293" t="str">
            <v>485074005</v>
          </cell>
          <cell r="E293" t="str">
            <v>Software li oth appl</v>
          </cell>
          <cell r="F293" t="str">
            <v>Application Support</v>
          </cell>
          <cell r="G293"/>
          <cell r="H293" t="str">
            <v>APP000007</v>
          </cell>
          <cell r="I293">
            <v>199582</v>
          </cell>
          <cell r="J293" t="str">
            <v>Plat4mation B.V.</v>
          </cell>
          <cell r="K293"/>
          <cell r="L293">
            <v>5400937409</v>
          </cell>
          <cell r="M293">
            <v>30</v>
          </cell>
          <cell r="N293" t="str">
            <v>Robin</v>
          </cell>
          <cell r="O293" t="str">
            <v>Carolyn</v>
          </cell>
          <cell r="P293" t="str">
            <v>Robin</v>
          </cell>
          <cell r="Q293" t="str">
            <v>L-PC-USERS</v>
          </cell>
          <cell r="R293" t="str">
            <v>Shared Platforms</v>
          </cell>
          <cell r="S293">
            <v>66000</v>
          </cell>
          <cell r="T293">
            <v>66000</v>
          </cell>
          <cell r="U293">
            <v>0</v>
          </cell>
          <cell r="V293">
            <v>60923.38</v>
          </cell>
        </row>
        <row r="294">
          <cell r="A294" t="str">
            <v>AG5</v>
          </cell>
          <cell r="C294">
            <v>68427709</v>
          </cell>
          <cell r="D294" t="str">
            <v>485074005</v>
          </cell>
          <cell r="E294" t="str">
            <v>Software li oth appl</v>
          </cell>
          <cell r="F294" t="str">
            <v>Application Support</v>
          </cell>
          <cell r="G294"/>
          <cell r="H294" t="str">
            <v>APP002669</v>
          </cell>
          <cell r="I294">
            <v>193714</v>
          </cell>
          <cell r="J294" t="str">
            <v>AG5</v>
          </cell>
          <cell r="K294"/>
          <cell r="L294"/>
          <cell r="M294"/>
          <cell r="N294" t="str">
            <v>Robin</v>
          </cell>
          <cell r="O294" t="str">
            <v>Ahmet</v>
          </cell>
          <cell r="P294" t="str">
            <v>Kostya</v>
          </cell>
          <cell r="Q294" t="str">
            <v>L-PC-USERS</v>
          </cell>
          <cell r="R294" t="str">
            <v>HR/Legal</v>
          </cell>
          <cell r="S294">
            <v>0</v>
          </cell>
          <cell r="T294">
            <v>65000</v>
          </cell>
          <cell r="U294">
            <v>65000</v>
          </cell>
          <cell r="V294">
            <v>62797.27</v>
          </cell>
        </row>
        <row r="295">
          <cell r="A295" t="str">
            <v>MICR support fee (Data protector)</v>
          </cell>
          <cell r="B295" t="str">
            <v>CW5500</v>
          </cell>
          <cell r="C295">
            <v>68427709</v>
          </cell>
          <cell r="D295" t="str">
            <v>485074005</v>
          </cell>
          <cell r="E295" t="str">
            <v>Software li oth appl</v>
          </cell>
          <cell r="F295" t="str">
            <v>Application Support</v>
          </cell>
          <cell r="G295" t="str">
            <v>Infrastructure Cost Non-SAP applications</v>
          </cell>
          <cell r="H295" t="str">
            <v>InfraNonSAP</v>
          </cell>
          <cell r="I295">
            <v>187516</v>
          </cell>
          <cell r="J295" t="str">
            <v>Accenture</v>
          </cell>
          <cell r="M295"/>
          <cell r="N295" t="str">
            <v>Oscar</v>
          </cell>
          <cell r="O295" t="str">
            <v>Carolyn</v>
          </cell>
          <cell r="P295" t="str">
            <v>Oscar</v>
          </cell>
          <cell r="Q295" t="str">
            <v>L-PC-USERS</v>
          </cell>
          <cell r="R295" t="str">
            <v>Infra/EUS</v>
          </cell>
          <cell r="S295">
            <v>60000</v>
          </cell>
          <cell r="T295">
            <v>60000</v>
          </cell>
          <cell r="U295">
            <v>0</v>
          </cell>
          <cell r="V295">
            <v>55384.89</v>
          </cell>
        </row>
        <row r="296">
          <cell r="A296" t="str">
            <v>Telus</v>
          </cell>
          <cell r="C296">
            <v>68427709</v>
          </cell>
          <cell r="D296" t="str">
            <v>485074005</v>
          </cell>
          <cell r="E296" t="str">
            <v>Software li oth appl</v>
          </cell>
          <cell r="F296" t="str">
            <v>Application Support</v>
          </cell>
          <cell r="G296"/>
          <cell r="H296" t="str">
            <v>APP003296</v>
          </cell>
          <cell r="J296"/>
          <cell r="K296"/>
          <cell r="L296"/>
          <cell r="M296"/>
          <cell r="N296" t="str">
            <v>Robin</v>
          </cell>
          <cell r="O296" t="str">
            <v>Cesare</v>
          </cell>
          <cell r="P296" t="str">
            <v>Cesare</v>
          </cell>
          <cell r="Q296" t="str">
            <v>L-Telus-USERS</v>
          </cell>
          <cell r="R296" t="str">
            <v>Retail Sales</v>
          </cell>
          <cell r="S296"/>
          <cell r="T296">
            <v>60000</v>
          </cell>
          <cell r="U296">
            <v>60000</v>
          </cell>
          <cell r="V296">
            <v>55560.42</v>
          </cell>
        </row>
        <row r="297">
          <cell r="A297" t="str">
            <v>Safefood 360</v>
          </cell>
          <cell r="C297">
            <v>68427709</v>
          </cell>
          <cell r="D297" t="str">
            <v>485074005</v>
          </cell>
          <cell r="E297" t="str">
            <v>Software li oth appl</v>
          </cell>
          <cell r="F297" t="str">
            <v>Application Support</v>
          </cell>
          <cell r="G297"/>
          <cell r="H297" t="str">
            <v>APP002877</v>
          </cell>
          <cell r="I297">
            <v>205988</v>
          </cell>
          <cell r="J297" t="str">
            <v>Innovapeak Ltd</v>
          </cell>
          <cell r="K297"/>
          <cell r="L297">
            <v>5401017893</v>
          </cell>
          <cell r="M297">
            <v>10</v>
          </cell>
          <cell r="N297" t="str">
            <v>Robin</v>
          </cell>
          <cell r="O297" t="str">
            <v>Ahmet</v>
          </cell>
          <cell r="P297" t="str">
            <v>Vasco</v>
          </cell>
          <cell r="Q297" t="str">
            <v>Central</v>
          </cell>
          <cell r="R297" t="str">
            <v>R&amp;D</v>
          </cell>
          <cell r="S297">
            <v>52000</v>
          </cell>
          <cell r="T297">
            <v>57400</v>
          </cell>
          <cell r="U297">
            <v>5400</v>
          </cell>
          <cell r="V297">
            <v>55454.82</v>
          </cell>
        </row>
        <row r="298">
          <cell r="A298" t="str">
            <v>Onetrust</v>
          </cell>
          <cell r="C298">
            <v>68427709</v>
          </cell>
          <cell r="D298" t="str">
            <v>485074005</v>
          </cell>
          <cell r="E298" t="str">
            <v>Software li oth appl</v>
          </cell>
          <cell r="F298" t="str">
            <v>Application Support</v>
          </cell>
          <cell r="G298"/>
          <cell r="H298" t="str">
            <v>APP003168</v>
          </cell>
          <cell r="I298"/>
          <cell r="J298"/>
          <cell r="K298"/>
          <cell r="L298"/>
          <cell r="M298"/>
          <cell r="N298" t="str">
            <v>Robin</v>
          </cell>
          <cell r="O298" t="str">
            <v>Bas</v>
          </cell>
          <cell r="P298" t="str">
            <v>Bas</v>
          </cell>
          <cell r="Q298" t="str">
            <v>L-PC-USERS</v>
          </cell>
          <cell r="R298" t="str">
            <v>DTC</v>
          </cell>
          <cell r="S298">
            <v>56200</v>
          </cell>
          <cell r="T298">
            <v>56200</v>
          </cell>
          <cell r="U298">
            <v>0</v>
          </cell>
          <cell r="V298">
            <v>48305.21</v>
          </cell>
        </row>
        <row r="299">
          <cell r="A299" t="str">
            <v>Google Analytics /GTM contract</v>
          </cell>
          <cell r="C299">
            <v>68427709</v>
          </cell>
          <cell r="D299" t="str">
            <v>485074005</v>
          </cell>
          <cell r="E299" t="str">
            <v>Software li oth appl</v>
          </cell>
          <cell r="F299" t="str">
            <v>Application Support</v>
          </cell>
          <cell r="G299"/>
          <cell r="H299" t="str">
            <v>APP003153</v>
          </cell>
          <cell r="I299">
            <v>197254</v>
          </cell>
          <cell r="J299" t="str">
            <v>Internet Advantage Nederland B.V.</v>
          </cell>
          <cell r="K299"/>
          <cell r="L299">
            <v>5401044163</v>
          </cell>
          <cell r="M299"/>
          <cell r="N299" t="str">
            <v>Robin</v>
          </cell>
          <cell r="O299" t="str">
            <v>Bas</v>
          </cell>
          <cell r="P299" t="str">
            <v>Bas</v>
          </cell>
          <cell r="Q299" t="str">
            <v>L-PC-USERS</v>
          </cell>
          <cell r="R299" t="str">
            <v>Digital</v>
          </cell>
          <cell r="S299">
            <v>56200</v>
          </cell>
          <cell r="T299">
            <v>56200</v>
          </cell>
          <cell r="U299">
            <v>0</v>
          </cell>
          <cell r="V299">
            <v>48305.21</v>
          </cell>
        </row>
        <row r="300">
          <cell r="A300" t="str">
            <v>ALM Octane</v>
          </cell>
          <cell r="C300">
            <v>68427709</v>
          </cell>
          <cell r="D300" t="str">
            <v>485074005</v>
          </cell>
          <cell r="E300" t="str">
            <v>Software li oth appl</v>
          </cell>
          <cell r="F300" t="str">
            <v>Application Support</v>
          </cell>
          <cell r="G300" t="str">
            <v>IT4IT</v>
          </cell>
          <cell r="H300" t="str">
            <v>APP002758</v>
          </cell>
          <cell r="I300">
            <v>187516</v>
          </cell>
          <cell r="J300" t="str">
            <v>Accenture</v>
          </cell>
          <cell r="L300">
            <v>5401023574</v>
          </cell>
          <cell r="M300">
            <v>10</v>
          </cell>
          <cell r="N300" t="str">
            <v>Robin</v>
          </cell>
          <cell r="O300" t="str">
            <v>Carolyn</v>
          </cell>
          <cell r="P300" t="str">
            <v>Gagan</v>
          </cell>
          <cell r="Q300" t="str">
            <v>L-PC-USERS</v>
          </cell>
          <cell r="R300" t="str">
            <v>Shared Platforms</v>
          </cell>
          <cell r="S300">
            <v>50000</v>
          </cell>
          <cell r="T300">
            <v>50000</v>
          </cell>
          <cell r="U300">
            <v>0</v>
          </cell>
          <cell r="V300">
            <v>46154.07</v>
          </cell>
        </row>
        <row r="301">
          <cell r="A301" t="str">
            <v>Minitab</v>
          </cell>
          <cell r="C301">
            <v>68427709</v>
          </cell>
          <cell r="D301" t="str">
            <v>485074005</v>
          </cell>
          <cell r="E301" t="str">
            <v>Software li oth appl</v>
          </cell>
          <cell r="F301" t="str">
            <v>Application Support</v>
          </cell>
          <cell r="G301"/>
          <cell r="H301" t="str">
            <v>APP000827</v>
          </cell>
          <cell r="I301">
            <v>123087</v>
          </cell>
          <cell r="J301" t="str">
            <v>Minitab Ltd.</v>
          </cell>
          <cell r="L301">
            <v>5400938327</v>
          </cell>
          <cell r="M301">
            <v>20</v>
          </cell>
          <cell r="N301" t="str">
            <v>Robin</v>
          </cell>
          <cell r="O301" t="str">
            <v>Ahmet</v>
          </cell>
          <cell r="P301" t="str">
            <v>Vasco</v>
          </cell>
          <cell r="Q301" t="str">
            <v>L-PC-USERS</v>
          </cell>
          <cell r="R301" t="str">
            <v>Manufacturing</v>
          </cell>
          <cell r="S301">
            <v>50000</v>
          </cell>
          <cell r="T301">
            <v>50000</v>
          </cell>
          <cell r="U301">
            <v>0</v>
          </cell>
          <cell r="V301">
            <v>48305.599999999999</v>
          </cell>
        </row>
        <row r="302">
          <cell r="A302" t="str">
            <v>Aveva - template maintenance</v>
          </cell>
          <cell r="C302">
            <v>68427709</v>
          </cell>
          <cell r="D302" t="str">
            <v>485074005</v>
          </cell>
          <cell r="E302" t="str">
            <v>Software li oth appl</v>
          </cell>
          <cell r="F302" t="str">
            <v>Application Support</v>
          </cell>
          <cell r="G302"/>
          <cell r="H302" t="str">
            <v>APP002146</v>
          </cell>
          <cell r="I302">
            <v>193317</v>
          </cell>
          <cell r="J302" t="str">
            <v>AVEVA Software Netherlands B.V.</v>
          </cell>
          <cell r="K302"/>
          <cell r="L302">
            <v>5401023809</v>
          </cell>
          <cell r="M302">
            <v>10</v>
          </cell>
          <cell r="N302" t="str">
            <v>Robin</v>
          </cell>
          <cell r="O302" t="str">
            <v>Ahmet</v>
          </cell>
          <cell r="P302" t="str">
            <v>Marco</v>
          </cell>
          <cell r="Q302" t="str">
            <v>L-FACTORIES-SIZE</v>
          </cell>
          <cell r="R302" t="str">
            <v>Manufacturing</v>
          </cell>
          <cell r="S302">
            <v>50000</v>
          </cell>
          <cell r="T302">
            <v>50000</v>
          </cell>
          <cell r="U302">
            <v>0</v>
          </cell>
          <cell r="V302">
            <v>48305.599999999999</v>
          </cell>
        </row>
        <row r="303">
          <cell r="A303" t="str">
            <v>Coffee &amp; Tea Sourcing tool Cargoo</v>
          </cell>
          <cell r="C303">
            <v>68427709</v>
          </cell>
          <cell r="D303" t="str">
            <v>485074005</v>
          </cell>
          <cell r="E303" t="str">
            <v>Software li oth appl</v>
          </cell>
          <cell r="F303" t="str">
            <v>Application Support</v>
          </cell>
          <cell r="G303"/>
          <cell r="H303" t="str">
            <v>APP002825</v>
          </cell>
          <cell r="I303">
            <v>143600</v>
          </cell>
          <cell r="J303" t="str">
            <v>Commodity Supplies AG</v>
          </cell>
          <cell r="K303"/>
          <cell r="L303">
            <v>5400978055</v>
          </cell>
          <cell r="M303">
            <v>20</v>
          </cell>
          <cell r="N303" t="str">
            <v>Robin</v>
          </cell>
          <cell r="O303" t="str">
            <v>Ahmet</v>
          </cell>
          <cell r="P303" t="str">
            <v>James Gracey</v>
          </cell>
          <cell r="Q303" t="str">
            <v>Central</v>
          </cell>
          <cell r="R303" t="str">
            <v>C&amp;T</v>
          </cell>
          <cell r="S303">
            <v>45000</v>
          </cell>
          <cell r="T303">
            <v>45000</v>
          </cell>
          <cell r="U303">
            <v>0</v>
          </cell>
          <cell r="V303">
            <v>43475.040000000001</v>
          </cell>
        </row>
        <row r="304">
          <cell r="A304" t="str">
            <v>Workplace Licenses</v>
          </cell>
          <cell r="B304" t="str">
            <v>CW6955</v>
          </cell>
          <cell r="C304">
            <v>68427709</v>
          </cell>
          <cell r="D304" t="str">
            <v>485074005</v>
          </cell>
          <cell r="E304" t="str">
            <v>Software li oth appl</v>
          </cell>
          <cell r="F304" t="str">
            <v>Application Support</v>
          </cell>
          <cell r="G304"/>
          <cell r="H304" t="str">
            <v>APP002274</v>
          </cell>
          <cell r="I304">
            <v>197331</v>
          </cell>
          <cell r="J304" t="str">
            <v>Facebook</v>
          </cell>
          <cell r="K304"/>
          <cell r="L304">
            <v>5401018982</v>
          </cell>
          <cell r="M304">
            <v>20</v>
          </cell>
          <cell r="N304" t="str">
            <v>Robin</v>
          </cell>
          <cell r="O304" t="str">
            <v>Ahmet</v>
          </cell>
          <cell r="P304" t="str">
            <v>Martijn</v>
          </cell>
          <cell r="Q304" t="str">
            <v>L-PC-USERS</v>
          </cell>
          <cell r="R304" t="str">
            <v>HR/Legal</v>
          </cell>
          <cell r="S304">
            <v>240000</v>
          </cell>
          <cell r="T304">
            <v>40000</v>
          </cell>
          <cell r="U304">
            <v>-200000</v>
          </cell>
          <cell r="V304">
            <v>38644.480000000003</v>
          </cell>
        </row>
        <row r="305">
          <cell r="A305" t="str">
            <v>Plat4mation Enhancement budget</v>
          </cell>
          <cell r="C305">
            <v>68427709</v>
          </cell>
          <cell r="D305" t="str">
            <v>485074005</v>
          </cell>
          <cell r="E305" t="str">
            <v>Software li oth appl</v>
          </cell>
          <cell r="F305" t="str">
            <v>Application Support</v>
          </cell>
          <cell r="G305" t="str">
            <v>IT4IT</v>
          </cell>
          <cell r="H305" t="str">
            <v>APP002785</v>
          </cell>
          <cell r="I305">
            <v>199582</v>
          </cell>
          <cell r="J305" t="str">
            <v>Plat4mation B.V.</v>
          </cell>
          <cell r="K305"/>
          <cell r="L305">
            <v>5401023531</v>
          </cell>
          <cell r="M305">
            <v>10</v>
          </cell>
          <cell r="N305" t="str">
            <v>Robin</v>
          </cell>
          <cell r="O305" t="str">
            <v>Carolyn</v>
          </cell>
          <cell r="P305" t="str">
            <v>Robin</v>
          </cell>
          <cell r="Q305" t="str">
            <v>L-PC-USERS</v>
          </cell>
          <cell r="R305" t="str">
            <v>Shared Platforms</v>
          </cell>
          <cell r="S305">
            <v>40000</v>
          </cell>
          <cell r="T305">
            <v>40000</v>
          </cell>
          <cell r="U305">
            <v>0</v>
          </cell>
          <cell r="V305">
            <v>36923.26</v>
          </cell>
        </row>
        <row r="306">
          <cell r="A306" t="str">
            <v>Error Proof Loading (EPL)</v>
          </cell>
          <cell r="C306">
            <v>68427709</v>
          </cell>
          <cell r="D306" t="str">
            <v>485074005</v>
          </cell>
          <cell r="E306" t="str">
            <v>Software li oth appl</v>
          </cell>
          <cell r="F306" t="str">
            <v>Application Support</v>
          </cell>
          <cell r="G306"/>
          <cell r="H306" t="str">
            <v>APP002760</v>
          </cell>
          <cell r="J306"/>
          <cell r="K306"/>
          <cell r="L306"/>
          <cell r="M306"/>
          <cell r="N306" t="str">
            <v>Robin</v>
          </cell>
          <cell r="O306" t="str">
            <v>Ahmet</v>
          </cell>
          <cell r="P306" t="str">
            <v>Marco</v>
          </cell>
          <cell r="Q306" t="str">
            <v>L-FACTORIES-SIZE</v>
          </cell>
          <cell r="R306" t="str">
            <v>Manufacturing</v>
          </cell>
          <cell r="S306">
            <v>40000</v>
          </cell>
          <cell r="T306">
            <v>40000</v>
          </cell>
          <cell r="U306">
            <v>0</v>
          </cell>
          <cell r="V306">
            <v>38644.480000000003</v>
          </cell>
        </row>
        <row r="307">
          <cell r="A307" t="str">
            <v>Point.X Licenses</v>
          </cell>
          <cell r="B307" t="str">
            <v>CW4721</v>
          </cell>
          <cell r="C307">
            <v>68427709</v>
          </cell>
          <cell r="D307" t="str">
            <v>485074005</v>
          </cell>
          <cell r="E307" t="str">
            <v>Software li oth appl</v>
          </cell>
          <cell r="F307" t="str">
            <v>Application Support</v>
          </cell>
          <cell r="G307"/>
          <cell r="H307" t="str">
            <v>APP001908</v>
          </cell>
          <cell r="I307">
            <v>172149</v>
          </cell>
          <cell r="J307" t="str">
            <v>Point. X, spol. s r.o.</v>
          </cell>
          <cell r="K307"/>
          <cell r="L307">
            <v>5401024372</v>
          </cell>
          <cell r="M307">
            <v>10</v>
          </cell>
          <cell r="N307" t="str">
            <v>Robin</v>
          </cell>
          <cell r="O307" t="str">
            <v>Ahmet</v>
          </cell>
          <cell r="P307" t="str">
            <v>Murat</v>
          </cell>
          <cell r="Q307" t="str">
            <v>L-FACTORIES-SIZE</v>
          </cell>
          <cell r="R307" t="str">
            <v>Manufacturing</v>
          </cell>
          <cell r="S307">
            <v>39000</v>
          </cell>
          <cell r="T307">
            <v>39000</v>
          </cell>
          <cell r="U307">
            <v>0</v>
          </cell>
          <cell r="V307">
            <v>37678.36</v>
          </cell>
        </row>
        <row r="308">
          <cell r="A308" t="str">
            <v>SUMI Technical SLA</v>
          </cell>
          <cell r="B308" t="str">
            <v>CW9775</v>
          </cell>
          <cell r="C308">
            <v>68427709</v>
          </cell>
          <cell r="D308" t="str">
            <v>485074005</v>
          </cell>
          <cell r="E308" t="str">
            <v>Software li oth appl</v>
          </cell>
          <cell r="F308" t="str">
            <v>Application Support</v>
          </cell>
          <cell r="G308"/>
          <cell r="H308" t="str">
            <v>APP000560</v>
          </cell>
          <cell r="I308">
            <v>127376</v>
          </cell>
          <cell r="J308" t="str">
            <v>Intelligent Solutions</v>
          </cell>
          <cell r="K308"/>
          <cell r="L308">
            <v>5401006905</v>
          </cell>
          <cell r="M308">
            <v>10</v>
          </cell>
          <cell r="N308" t="str">
            <v>Robin</v>
          </cell>
          <cell r="O308" t="str">
            <v>Ahmet</v>
          </cell>
          <cell r="P308" t="str">
            <v>James Gracey</v>
          </cell>
          <cell r="Q308" t="str">
            <v>L-SAP-USERS</v>
          </cell>
          <cell r="R308" t="str">
            <v>C&amp;T</v>
          </cell>
          <cell r="S308">
            <v>36000</v>
          </cell>
          <cell r="T308">
            <v>36000</v>
          </cell>
          <cell r="U308">
            <v>0</v>
          </cell>
          <cell r="V308">
            <v>34780.03</v>
          </cell>
        </row>
        <row r="309">
          <cell r="A309" t="str">
            <v>Practitest</v>
          </cell>
          <cell r="C309">
            <v>68427709</v>
          </cell>
          <cell r="D309" t="str">
            <v>485074005</v>
          </cell>
          <cell r="E309" t="str">
            <v>Software li oth appl</v>
          </cell>
          <cell r="F309" t="str">
            <v>Application Support</v>
          </cell>
          <cell r="G309" t="str">
            <v>IT4IT</v>
          </cell>
          <cell r="H309" t="str">
            <v>APP002759</v>
          </cell>
          <cell r="I309">
            <v>203475</v>
          </cell>
          <cell r="J309" t="str">
            <v>Practitest</v>
          </cell>
          <cell r="K309"/>
          <cell r="L309">
            <v>5401030696</v>
          </cell>
          <cell r="M309">
            <v>10</v>
          </cell>
          <cell r="N309" t="str">
            <v>Robin</v>
          </cell>
          <cell r="O309" t="str">
            <v>Carolyn</v>
          </cell>
          <cell r="P309" t="str">
            <v>Gagan</v>
          </cell>
          <cell r="Q309" t="str">
            <v>L-PC-USERS</v>
          </cell>
          <cell r="R309" t="str">
            <v>Shared Platforms</v>
          </cell>
          <cell r="S309">
            <v>35000</v>
          </cell>
          <cell r="T309">
            <v>35000</v>
          </cell>
          <cell r="U309">
            <v>0</v>
          </cell>
          <cell r="V309">
            <v>32307.85</v>
          </cell>
        </row>
        <row r="310">
          <cell r="A310" t="str">
            <v>Qualtrics licences</v>
          </cell>
          <cell r="C310">
            <v>68427709</v>
          </cell>
          <cell r="D310" t="str">
            <v>485074005</v>
          </cell>
          <cell r="E310" t="str">
            <v>Software li oth appl</v>
          </cell>
          <cell r="F310" t="str">
            <v>Application Support</v>
          </cell>
          <cell r="G310"/>
          <cell r="H310" t="str">
            <v>APP003151</v>
          </cell>
          <cell r="I310">
            <v>204075</v>
          </cell>
          <cell r="J310" t="str">
            <v>Qualtrics LLC</v>
          </cell>
          <cell r="L310">
            <v>5401030709</v>
          </cell>
          <cell r="M310">
            <v>10</v>
          </cell>
          <cell r="N310" t="str">
            <v>Robin</v>
          </cell>
          <cell r="O310" t="str">
            <v>Ahmet</v>
          </cell>
          <cell r="P310" t="str">
            <v>Kostya</v>
          </cell>
          <cell r="Q310" t="str">
            <v>L-PC-USERS</v>
          </cell>
          <cell r="R310" t="str">
            <v>HR/Legal</v>
          </cell>
          <cell r="S310">
            <v>35000</v>
          </cell>
          <cell r="T310">
            <v>35000</v>
          </cell>
          <cell r="U310">
            <v>0</v>
          </cell>
          <cell r="V310">
            <v>33813.919999999998</v>
          </cell>
        </row>
        <row r="311">
          <cell r="A311" t="str">
            <v>HURIS Doc managemnt</v>
          </cell>
          <cell r="C311">
            <v>68427709</v>
          </cell>
          <cell r="D311" t="str">
            <v>485074005</v>
          </cell>
          <cell r="E311" t="str">
            <v>Software li oth appl</v>
          </cell>
          <cell r="F311" t="str">
            <v>Application Support</v>
          </cell>
          <cell r="G311"/>
          <cell r="H311" t="str">
            <v>APP003275</v>
          </cell>
          <cell r="J311"/>
          <cell r="K311"/>
          <cell r="L311"/>
          <cell r="M311"/>
          <cell r="N311" t="str">
            <v>Robin</v>
          </cell>
          <cell r="O311" t="str">
            <v>Ahmet</v>
          </cell>
          <cell r="P311" t="str">
            <v>Kostya</v>
          </cell>
          <cell r="Q311" t="str">
            <v>L-PC-USERS</v>
          </cell>
          <cell r="R311" t="str">
            <v>HR/Legal</v>
          </cell>
          <cell r="S311"/>
          <cell r="T311">
            <v>35000</v>
          </cell>
          <cell r="U311">
            <v>35000</v>
          </cell>
          <cell r="V311">
            <v>33813.919999999998</v>
          </cell>
        </row>
        <row r="312">
          <cell r="A312" t="str">
            <v>Capepack</v>
          </cell>
          <cell r="C312">
            <v>68427709</v>
          </cell>
          <cell r="D312" t="str">
            <v>485074005</v>
          </cell>
          <cell r="E312" t="str">
            <v>Software li oth appl</v>
          </cell>
          <cell r="F312" t="str">
            <v>Application Support</v>
          </cell>
          <cell r="G312"/>
          <cell r="H312" t="str">
            <v>APP000369</v>
          </cell>
          <cell r="I312">
            <v>167422</v>
          </cell>
          <cell r="J312" t="str">
            <v>Cape systems Esko</v>
          </cell>
          <cell r="L312">
            <v>5401017907</v>
          </cell>
          <cell r="M312">
            <v>10</v>
          </cell>
          <cell r="N312" t="str">
            <v>Robin</v>
          </cell>
          <cell r="O312" t="str">
            <v>Ahmet</v>
          </cell>
          <cell r="P312" t="str">
            <v>Vasco</v>
          </cell>
          <cell r="Q312" t="str">
            <v>Central</v>
          </cell>
          <cell r="R312" t="str">
            <v>R&amp;D</v>
          </cell>
          <cell r="S312">
            <v>30000</v>
          </cell>
          <cell r="T312">
            <v>33000</v>
          </cell>
          <cell r="U312">
            <v>3000</v>
          </cell>
          <cell r="V312">
            <v>31881.69</v>
          </cell>
        </row>
        <row r="313">
          <cell r="A313" t="str">
            <v>EyeQuestion SAAS</v>
          </cell>
          <cell r="B313" t="str">
            <v>CW5195</v>
          </cell>
          <cell r="C313">
            <v>68427709</v>
          </cell>
          <cell r="D313" t="str">
            <v>485074005</v>
          </cell>
          <cell r="E313" t="str">
            <v>Software li oth appl</v>
          </cell>
          <cell r="F313" t="str">
            <v>Application Support</v>
          </cell>
          <cell r="G313"/>
          <cell r="H313" t="str">
            <v>APP000354</v>
          </cell>
          <cell r="I313">
            <v>156247</v>
          </cell>
          <cell r="J313" t="str">
            <v>Logic8</v>
          </cell>
          <cell r="K313"/>
          <cell r="L313">
            <v>5401004143</v>
          </cell>
          <cell r="M313">
            <v>10</v>
          </cell>
          <cell r="N313" t="str">
            <v>Robin</v>
          </cell>
          <cell r="O313" t="str">
            <v>Ahmet</v>
          </cell>
          <cell r="P313" t="str">
            <v>Stefan Jochems</v>
          </cell>
          <cell r="Q313" t="str">
            <v>Central</v>
          </cell>
          <cell r="R313" t="str">
            <v>R&amp;D</v>
          </cell>
          <cell r="S313">
            <v>33000</v>
          </cell>
          <cell r="T313">
            <v>33000</v>
          </cell>
          <cell r="U313">
            <v>0</v>
          </cell>
          <cell r="V313">
            <v>31881.69</v>
          </cell>
        </row>
        <row r="314">
          <cell r="A314" t="str">
            <v>Loqate</v>
          </cell>
          <cell r="C314">
            <v>68427709</v>
          </cell>
          <cell r="D314" t="str">
            <v>485074005</v>
          </cell>
          <cell r="E314" t="str">
            <v>Software li oth appl</v>
          </cell>
          <cell r="F314" t="str">
            <v>Application Support</v>
          </cell>
          <cell r="G314"/>
          <cell r="H314" t="str">
            <v>APP002674</v>
          </cell>
          <cell r="I314">
            <v>204439</v>
          </cell>
          <cell r="J314" t="str">
            <v>GB Group plc</v>
          </cell>
          <cell r="K314"/>
          <cell r="L314">
            <v>5401011379</v>
          </cell>
          <cell r="M314">
            <v>10</v>
          </cell>
          <cell r="N314" t="str">
            <v>Robin</v>
          </cell>
          <cell r="O314" t="str">
            <v>Bas</v>
          </cell>
          <cell r="P314" t="str">
            <v>Bas</v>
          </cell>
          <cell r="Q314" t="str">
            <v>Central</v>
          </cell>
          <cell r="R314" t="str">
            <v>DTC</v>
          </cell>
          <cell r="S314">
            <v>32000</v>
          </cell>
          <cell r="T314">
            <v>32000</v>
          </cell>
          <cell r="U314">
            <v>0</v>
          </cell>
          <cell r="V314">
            <v>27504.74</v>
          </cell>
        </row>
        <row r="315">
          <cell r="A315" t="str">
            <v>Refinitiv</v>
          </cell>
          <cell r="C315">
            <v>68427709</v>
          </cell>
          <cell r="D315" t="str">
            <v>485074005</v>
          </cell>
          <cell r="E315" t="str">
            <v>Software li oth appl</v>
          </cell>
          <cell r="F315" t="str">
            <v>Application Support</v>
          </cell>
          <cell r="G315"/>
          <cell r="H315" t="str">
            <v>APP003162</v>
          </cell>
          <cell r="I315">
            <v>166010</v>
          </cell>
          <cell r="J315" t="str">
            <v>Refinitiv Limited</v>
          </cell>
          <cell r="K315"/>
          <cell r="L315">
            <v>5400986623</v>
          </cell>
          <cell r="M315">
            <v>20</v>
          </cell>
          <cell r="N315" t="str">
            <v>Robin</v>
          </cell>
          <cell r="O315" t="str">
            <v>Ahmet</v>
          </cell>
          <cell r="P315" t="str">
            <v>James Gracey</v>
          </cell>
          <cell r="Q315" t="str">
            <v>L-PC-USERS</v>
          </cell>
          <cell r="R315" t="str">
            <v>HR/Legal</v>
          </cell>
          <cell r="S315">
            <v>30500</v>
          </cell>
          <cell r="T315">
            <v>30500</v>
          </cell>
          <cell r="U315">
            <v>0</v>
          </cell>
          <cell r="V315">
            <v>29466.41</v>
          </cell>
        </row>
        <row r="316">
          <cell r="A316" t="str">
            <v>Digital MOS SHE Module</v>
          </cell>
          <cell r="C316">
            <v>68427709</v>
          </cell>
          <cell r="D316" t="str">
            <v>485074005</v>
          </cell>
          <cell r="E316" t="str">
            <v>Software li oth appl</v>
          </cell>
          <cell r="F316" t="str">
            <v>Application Support</v>
          </cell>
          <cell r="G316"/>
          <cell r="H316" t="str">
            <v>APP003053</v>
          </cell>
          <cell r="I316">
            <v>210633</v>
          </cell>
          <cell r="J316" t="str">
            <v>4Industry B.V.</v>
          </cell>
          <cell r="K316"/>
          <cell r="L316">
            <v>5400945790</v>
          </cell>
          <cell r="M316">
            <v>20</v>
          </cell>
          <cell r="N316" t="str">
            <v>Robin</v>
          </cell>
          <cell r="O316" t="str">
            <v>Ahmet</v>
          </cell>
          <cell r="P316" t="str">
            <v>Marco</v>
          </cell>
          <cell r="Q316" t="str">
            <v>L-FACTORIES-SIZE</v>
          </cell>
          <cell r="R316" t="str">
            <v>Manufacturing</v>
          </cell>
          <cell r="S316">
            <v>26000</v>
          </cell>
          <cell r="T316">
            <v>30000</v>
          </cell>
          <cell r="U316">
            <v>4000</v>
          </cell>
          <cell r="V316">
            <v>28983.360000000001</v>
          </cell>
        </row>
        <row r="317">
          <cell r="A317" t="str">
            <v>8308059 Oracle EBS Transportation Management</v>
          </cell>
          <cell r="B317" t="str">
            <v>CW9766</v>
          </cell>
          <cell r="C317">
            <v>68427709</v>
          </cell>
          <cell r="D317" t="str">
            <v>485074005</v>
          </cell>
          <cell r="E317" t="str">
            <v>Software li oth appl</v>
          </cell>
          <cell r="F317" t="str">
            <v>Application Support</v>
          </cell>
          <cell r="G317"/>
          <cell r="H317" t="str">
            <v>APP000398</v>
          </cell>
          <cell r="I317">
            <v>118054</v>
          </cell>
          <cell r="J317" t="str">
            <v>Oracle</v>
          </cell>
          <cell r="K317"/>
          <cell r="L317">
            <v>5401014591</v>
          </cell>
          <cell r="M317">
            <v>10</v>
          </cell>
          <cell r="N317" t="str">
            <v>Robin</v>
          </cell>
          <cell r="O317" t="str">
            <v>Carolyn</v>
          </cell>
          <cell r="P317" t="str">
            <v>Robin</v>
          </cell>
          <cell r="Q317" t="str">
            <v>L-PC-USERS</v>
          </cell>
          <cell r="R317" t="str">
            <v>Shared Platforms</v>
          </cell>
          <cell r="S317">
            <v>30000</v>
          </cell>
          <cell r="T317">
            <v>30000</v>
          </cell>
          <cell r="U317">
            <v>0</v>
          </cell>
          <cell r="V317">
            <v>27692.44</v>
          </cell>
        </row>
        <row r="318">
          <cell r="A318" t="str">
            <v>Legal COI tool</v>
          </cell>
          <cell r="C318">
            <v>68427709</v>
          </cell>
          <cell r="D318" t="str">
            <v>485074005</v>
          </cell>
          <cell r="E318" t="str">
            <v>Software li oth appl</v>
          </cell>
          <cell r="F318" t="str">
            <v>Application Support</v>
          </cell>
          <cell r="G318"/>
          <cell r="H318" t="str">
            <v>APP003287</v>
          </cell>
          <cell r="J318"/>
          <cell r="K318"/>
          <cell r="L318"/>
          <cell r="M318"/>
          <cell r="N318" t="str">
            <v>Robin</v>
          </cell>
          <cell r="O318" t="str">
            <v>Ahmet</v>
          </cell>
          <cell r="P318" t="str">
            <v>Kostya</v>
          </cell>
          <cell r="Q318" t="str">
            <v>L-PC-USERS</v>
          </cell>
          <cell r="R318" t="str">
            <v>HR/Legal</v>
          </cell>
          <cell r="S318"/>
          <cell r="T318">
            <v>30000</v>
          </cell>
          <cell r="U318">
            <v>30000</v>
          </cell>
          <cell r="V318">
            <v>28983.360000000001</v>
          </cell>
        </row>
        <row r="319">
          <cell r="A319" t="str">
            <v>FACTS Platform (OT Data Foundation)</v>
          </cell>
          <cell r="C319">
            <v>68427709</v>
          </cell>
          <cell r="D319" t="str">
            <v>485074005</v>
          </cell>
          <cell r="E319" t="str">
            <v>Software li oth appl</v>
          </cell>
          <cell r="F319" t="str">
            <v>Application Support</v>
          </cell>
          <cell r="G319" t="str">
            <v>Factory Security</v>
          </cell>
          <cell r="H319" t="str">
            <v>APP003236</v>
          </cell>
          <cell r="J319"/>
          <cell r="K319"/>
          <cell r="L319"/>
          <cell r="M319"/>
          <cell r="N319" t="str">
            <v>Oscar</v>
          </cell>
          <cell r="O319" t="str">
            <v>Carolyn</v>
          </cell>
          <cell r="P319"/>
          <cell r="Q319" t="str">
            <v>L-FACTORIES-SIZE</v>
          </cell>
          <cell r="R319" t="str">
            <v>Manufacturing</v>
          </cell>
          <cell r="S319"/>
          <cell r="T319">
            <v>30000</v>
          </cell>
          <cell r="U319">
            <v>30000</v>
          </cell>
          <cell r="V319">
            <v>27692.44</v>
          </cell>
        </row>
        <row r="320">
          <cell r="A320" t="str">
            <v>Insta Punch out</v>
          </cell>
          <cell r="C320">
            <v>68427709</v>
          </cell>
          <cell r="D320" t="str">
            <v>485074005</v>
          </cell>
          <cell r="E320" t="str">
            <v>Software li oth appl</v>
          </cell>
          <cell r="F320" t="str">
            <v>Application Support</v>
          </cell>
          <cell r="G320"/>
          <cell r="H320" t="str">
            <v>APP003277</v>
          </cell>
          <cell r="J320"/>
          <cell r="K320"/>
          <cell r="L320"/>
          <cell r="M320"/>
          <cell r="N320" t="str">
            <v>Robin</v>
          </cell>
          <cell r="O320" t="str">
            <v>Linda</v>
          </cell>
          <cell r="P320" t="str">
            <v>Koen</v>
          </cell>
          <cell r="Q320" t="str">
            <v>L-PC-USERS</v>
          </cell>
          <cell r="R320" t="str">
            <v>Professional DevOps</v>
          </cell>
          <cell r="S320"/>
          <cell r="T320">
            <v>28000</v>
          </cell>
          <cell r="U320">
            <v>28000</v>
          </cell>
          <cell r="V320">
            <v>0</v>
          </cell>
        </row>
        <row r="321">
          <cell r="A321" t="str">
            <v>Docusign</v>
          </cell>
          <cell r="B321" t="str">
            <v>CW7953</v>
          </cell>
          <cell r="C321">
            <v>68427709</v>
          </cell>
          <cell r="D321" t="str">
            <v>485074005</v>
          </cell>
          <cell r="E321" t="str">
            <v>Software li oth appl</v>
          </cell>
          <cell r="F321" t="str">
            <v>Application Support</v>
          </cell>
          <cell r="G321"/>
          <cell r="H321" t="str">
            <v>APP002655</v>
          </cell>
          <cell r="I321">
            <v>212793</v>
          </cell>
          <cell r="J321" t="str">
            <v>Docusign International (Emea) Ltd</v>
          </cell>
          <cell r="K321"/>
          <cell r="L321">
            <v>5401006578</v>
          </cell>
          <cell r="M321">
            <v>10</v>
          </cell>
          <cell r="N321" t="str">
            <v>Robin</v>
          </cell>
          <cell r="O321" t="str">
            <v>Dario</v>
          </cell>
          <cell r="P321" t="str">
            <v>Rohan</v>
          </cell>
          <cell r="Q321" t="str">
            <v>L-PC-USERS</v>
          </cell>
          <cell r="R321" t="str">
            <v>Shared Platforms</v>
          </cell>
          <cell r="S321">
            <v>27000</v>
          </cell>
          <cell r="T321">
            <v>27000</v>
          </cell>
          <cell r="U321">
            <v>0</v>
          </cell>
          <cell r="V321">
            <v>25380</v>
          </cell>
        </row>
        <row r="322">
          <cell r="A322" t="str">
            <v>Zoovu</v>
          </cell>
          <cell r="C322">
            <v>68427709</v>
          </cell>
          <cell r="D322" t="str">
            <v>485074005</v>
          </cell>
          <cell r="E322" t="str">
            <v>Software li oth appl</v>
          </cell>
          <cell r="F322" t="str">
            <v>Application Support</v>
          </cell>
          <cell r="G322"/>
          <cell r="H322" t="str">
            <v>APP002784</v>
          </cell>
          <cell r="I322">
            <v>212788</v>
          </cell>
          <cell r="J322" t="str">
            <v>Zoovu Limited</v>
          </cell>
          <cell r="L322">
            <v>5401006858</v>
          </cell>
          <cell r="M322">
            <v>10</v>
          </cell>
          <cell r="N322" t="str">
            <v>Robin</v>
          </cell>
          <cell r="O322" t="str">
            <v>Bas</v>
          </cell>
          <cell r="P322" t="str">
            <v>Bas</v>
          </cell>
          <cell r="Q322" t="str">
            <v>L-PC-USERS</v>
          </cell>
          <cell r="R322" t="str">
            <v>Digital</v>
          </cell>
          <cell r="S322">
            <v>25000</v>
          </cell>
          <cell r="T322">
            <v>25000</v>
          </cell>
          <cell r="U322">
            <v>0</v>
          </cell>
          <cell r="V322">
            <v>21488.080000000002</v>
          </cell>
        </row>
        <row r="323">
          <cell r="A323" t="str">
            <v>ROJO Middleware Monitoring Tool</v>
          </cell>
          <cell r="C323">
            <v>68427709</v>
          </cell>
          <cell r="D323" t="str">
            <v>485074005</v>
          </cell>
          <cell r="E323" t="str">
            <v>Software li oth appl</v>
          </cell>
          <cell r="F323" t="str">
            <v>Application Support</v>
          </cell>
          <cell r="G323"/>
          <cell r="H323" t="str">
            <v>APP003056</v>
          </cell>
          <cell r="I323">
            <v>209341</v>
          </cell>
          <cell r="J323" t="str">
            <v>Rojo Innovation B.V.</v>
          </cell>
          <cell r="K323"/>
          <cell r="L323">
            <v>5400915466</v>
          </cell>
          <cell r="M323">
            <v>20</v>
          </cell>
          <cell r="N323" t="str">
            <v>Robin</v>
          </cell>
          <cell r="O323" t="str">
            <v>Carolyn</v>
          </cell>
          <cell r="P323" t="str">
            <v>Roberto</v>
          </cell>
          <cell r="Q323" t="str">
            <v>L-PC-USERS</v>
          </cell>
          <cell r="R323" t="str">
            <v>Tech Integration</v>
          </cell>
          <cell r="S323">
            <v>24000</v>
          </cell>
          <cell r="T323">
            <v>24000</v>
          </cell>
          <cell r="U323">
            <v>0</v>
          </cell>
          <cell r="V323">
            <v>22153.96</v>
          </cell>
        </row>
        <row r="324">
          <cell r="A324" t="str">
            <v xml:space="preserve">Gearset </v>
          </cell>
          <cell r="B324" t="str">
            <v>CW10435</v>
          </cell>
          <cell r="C324">
            <v>68427709</v>
          </cell>
          <cell r="D324" t="str">
            <v>485074005</v>
          </cell>
          <cell r="E324" t="str">
            <v>Software li oth appl</v>
          </cell>
          <cell r="F324" t="str">
            <v>Application Support</v>
          </cell>
          <cell r="G324"/>
          <cell r="H324" t="str">
            <v>APP002662</v>
          </cell>
          <cell r="I324">
            <v>208651</v>
          </cell>
          <cell r="J324" t="str">
            <v>Bright Market LLC dba FastSpring</v>
          </cell>
          <cell r="L324">
            <v>5401001826</v>
          </cell>
          <cell r="M324">
            <v>10</v>
          </cell>
          <cell r="N324" t="str">
            <v>Robin</v>
          </cell>
          <cell r="O324" t="str">
            <v>Linda</v>
          </cell>
          <cell r="P324" t="str">
            <v>Maksym</v>
          </cell>
          <cell r="Q324" t="str">
            <v>L-SF-USERS</v>
          </cell>
          <cell r="R324" t="str">
            <v>Professional DevOps</v>
          </cell>
          <cell r="S324">
            <v>23000</v>
          </cell>
          <cell r="T324">
            <v>23000</v>
          </cell>
          <cell r="U324">
            <v>0</v>
          </cell>
          <cell r="V324">
            <v>23000</v>
          </cell>
        </row>
        <row r="325">
          <cell r="A325" t="str">
            <v>Mekko</v>
          </cell>
          <cell r="C325">
            <v>68427709</v>
          </cell>
          <cell r="D325" t="str">
            <v>485074005</v>
          </cell>
          <cell r="E325" t="str">
            <v>Software li oth appl</v>
          </cell>
          <cell r="F325" t="str">
            <v>Application Support</v>
          </cell>
          <cell r="G325"/>
          <cell r="H325" t="str">
            <v>APP000838</v>
          </cell>
          <cell r="I325">
            <v>167606</v>
          </cell>
          <cell r="J325" t="str">
            <v>insightsoftware, LLC</v>
          </cell>
          <cell r="L325">
            <v>5401032327</v>
          </cell>
          <cell r="M325">
            <v>10</v>
          </cell>
          <cell r="N325" t="str">
            <v>Oscar</v>
          </cell>
          <cell r="O325" t="str">
            <v>Carolyn</v>
          </cell>
          <cell r="P325" t="str">
            <v>Jeroen</v>
          </cell>
          <cell r="Q325" t="str">
            <v>L-PC-USERS</v>
          </cell>
          <cell r="R325" t="str">
            <v>Infra/EUS</v>
          </cell>
          <cell r="S325">
            <v>25000</v>
          </cell>
          <cell r="T325">
            <v>23000</v>
          </cell>
          <cell r="U325">
            <v>-2000</v>
          </cell>
          <cell r="V325">
            <v>21230.87</v>
          </cell>
        </row>
        <row r="326">
          <cell r="A326" t="str">
            <v>Pro.File</v>
          </cell>
          <cell r="C326">
            <v>68427709</v>
          </cell>
          <cell r="D326" t="str">
            <v>485074005</v>
          </cell>
          <cell r="E326" t="str">
            <v>Software li oth appl</v>
          </cell>
          <cell r="F326" t="str">
            <v>Application Support</v>
          </cell>
          <cell r="G326"/>
          <cell r="H326" t="str">
            <v>APP003158</v>
          </cell>
          <cell r="L326"/>
          <cell r="M326"/>
          <cell r="N326" t="str">
            <v>Robin</v>
          </cell>
          <cell r="O326" t="str">
            <v>Carolyn</v>
          </cell>
          <cell r="P326" t="str">
            <v>Albert</v>
          </cell>
          <cell r="Q326" t="str">
            <v>L-FACTORIES-SIZE</v>
          </cell>
          <cell r="R326" t="str">
            <v>Manufacturing</v>
          </cell>
          <cell r="S326">
            <v>42000</v>
          </cell>
          <cell r="T326">
            <v>22000</v>
          </cell>
          <cell r="U326">
            <v>-20000</v>
          </cell>
          <cell r="V326">
            <v>20307.79</v>
          </cell>
        </row>
        <row r="327">
          <cell r="A327" t="str">
            <v>Solarwinds Maintenance</v>
          </cell>
          <cell r="B327" t="str">
            <v>CW7235</v>
          </cell>
          <cell r="C327">
            <v>68427709</v>
          </cell>
          <cell r="D327" t="str">
            <v>485074005</v>
          </cell>
          <cell r="E327" t="str">
            <v>Software li oth appl</v>
          </cell>
          <cell r="F327" t="str">
            <v>Application Support</v>
          </cell>
          <cell r="G327" t="str">
            <v>IT4IT</v>
          </cell>
          <cell r="H327" t="str">
            <v>APP000900</v>
          </cell>
          <cell r="I327">
            <v>165943</v>
          </cell>
          <cell r="J327" t="str">
            <v>Procyon Networks B.V.</v>
          </cell>
          <cell r="L327">
            <v>5401028886</v>
          </cell>
          <cell r="M327">
            <v>10</v>
          </cell>
          <cell r="N327" t="str">
            <v>Oscar</v>
          </cell>
          <cell r="O327" t="str">
            <v>Carolyn</v>
          </cell>
          <cell r="P327" t="str">
            <v>Oscar</v>
          </cell>
          <cell r="Q327" t="str">
            <v>L-PC-USERS</v>
          </cell>
          <cell r="R327" t="str">
            <v>Infra/EUS</v>
          </cell>
          <cell r="S327">
            <v>20000</v>
          </cell>
          <cell r="T327">
            <v>20000</v>
          </cell>
          <cell r="U327">
            <v>0</v>
          </cell>
          <cell r="V327">
            <v>18461.63</v>
          </cell>
        </row>
        <row r="328">
          <cell r="A328" t="str">
            <v>Goldfire Application</v>
          </cell>
          <cell r="B328" t="str">
            <v>CW9780</v>
          </cell>
          <cell r="C328">
            <v>68427709</v>
          </cell>
          <cell r="D328" t="str">
            <v>485074005</v>
          </cell>
          <cell r="E328" t="str">
            <v>Software li oth appl</v>
          </cell>
          <cell r="F328" t="str">
            <v>Application Support</v>
          </cell>
          <cell r="G328"/>
          <cell r="H328" t="str">
            <v>APP000051</v>
          </cell>
          <cell r="I328">
            <v>212341</v>
          </cell>
          <cell r="J328" t="str">
            <v>Allium Uk Holdings Ltd.</v>
          </cell>
          <cell r="K328"/>
          <cell r="L328">
            <v>5400997187</v>
          </cell>
          <cell r="M328">
            <v>10</v>
          </cell>
          <cell r="N328" t="str">
            <v>Robin</v>
          </cell>
          <cell r="O328" t="str">
            <v>Ahmet</v>
          </cell>
          <cell r="P328" t="str">
            <v>Stefan Jochems</v>
          </cell>
          <cell r="Q328" t="str">
            <v>Central</v>
          </cell>
          <cell r="R328" t="str">
            <v>R&amp;d</v>
          </cell>
          <cell r="S328">
            <v>16000</v>
          </cell>
          <cell r="T328">
            <v>18000</v>
          </cell>
          <cell r="U328">
            <v>2000</v>
          </cell>
          <cell r="V328">
            <v>17390.009999999998</v>
          </cell>
        </row>
        <row r="329">
          <cell r="A329" t="str">
            <v>GE Light OEE Toolkit</v>
          </cell>
          <cell r="C329">
            <v>68427709</v>
          </cell>
          <cell r="D329" t="str">
            <v>485074005</v>
          </cell>
          <cell r="E329" t="str">
            <v>Software li oth appl</v>
          </cell>
          <cell r="F329" t="str">
            <v>Application Support</v>
          </cell>
          <cell r="G329"/>
          <cell r="H329" t="str">
            <v>APP003159</v>
          </cell>
          <cell r="J329"/>
          <cell r="K329"/>
          <cell r="L329"/>
          <cell r="M329"/>
          <cell r="N329" t="str">
            <v>Robin</v>
          </cell>
          <cell r="O329" t="str">
            <v>Ahmet</v>
          </cell>
          <cell r="P329" t="str">
            <v>Marco</v>
          </cell>
          <cell r="Q329" t="str">
            <v>L-FACTORIES-SIZE</v>
          </cell>
          <cell r="R329" t="str">
            <v>Manufacturing</v>
          </cell>
          <cell r="S329">
            <v>23000</v>
          </cell>
          <cell r="T329">
            <v>15000</v>
          </cell>
          <cell r="U329">
            <v>-8000</v>
          </cell>
          <cell r="V329">
            <v>14491.68</v>
          </cell>
        </row>
        <row r="330">
          <cell r="A330" t="str">
            <v>Sharegate</v>
          </cell>
          <cell r="B330" t="str">
            <v>CW9322</v>
          </cell>
          <cell r="C330">
            <v>68427709</v>
          </cell>
          <cell r="D330" t="str">
            <v>485074005</v>
          </cell>
          <cell r="E330" t="str">
            <v>Software li oth appl</v>
          </cell>
          <cell r="F330" t="str">
            <v>Application Support</v>
          </cell>
          <cell r="G330"/>
          <cell r="H330" t="str">
            <v>APP001403</v>
          </cell>
          <cell r="I330">
            <v>168847</v>
          </cell>
          <cell r="J330" t="str">
            <v>Groupe Sharegate</v>
          </cell>
          <cell r="L330">
            <v>5400972348</v>
          </cell>
          <cell r="M330">
            <v>10</v>
          </cell>
          <cell r="N330" t="str">
            <v>Robin</v>
          </cell>
          <cell r="O330" t="str">
            <v>Ahmet</v>
          </cell>
          <cell r="P330" t="str">
            <v>Martijn</v>
          </cell>
          <cell r="Q330" t="str">
            <v>L-PC-USERS</v>
          </cell>
          <cell r="R330" t="str">
            <v>HR/Legal</v>
          </cell>
          <cell r="S330">
            <v>14300</v>
          </cell>
          <cell r="T330">
            <v>14300</v>
          </cell>
          <cell r="U330">
            <v>0</v>
          </cell>
          <cell r="V330">
            <v>13815.4</v>
          </cell>
        </row>
        <row r="331">
          <cell r="A331" t="str">
            <v>Meridian VAT Application</v>
          </cell>
          <cell r="B331" t="str">
            <v>CW7140</v>
          </cell>
          <cell r="C331">
            <v>68427709</v>
          </cell>
          <cell r="D331" t="str">
            <v>485074005</v>
          </cell>
          <cell r="E331" t="str">
            <v>Software li oth appl</v>
          </cell>
          <cell r="F331" t="str">
            <v>Application Support</v>
          </cell>
          <cell r="G331"/>
          <cell r="H331" t="str">
            <v>APP000005</v>
          </cell>
          <cell r="I331">
            <v>166023</v>
          </cell>
          <cell r="J331" t="str">
            <v>Meridian VAT processing</v>
          </cell>
          <cell r="K331"/>
          <cell r="L331">
            <v>5401024305</v>
          </cell>
          <cell r="M331">
            <v>10</v>
          </cell>
          <cell r="N331" t="str">
            <v>Robin</v>
          </cell>
          <cell r="O331" t="str">
            <v>Ahmet</v>
          </cell>
          <cell r="P331" t="str">
            <v>Ashish</v>
          </cell>
          <cell r="Q331" t="str">
            <v>L-SAP-USERS</v>
          </cell>
          <cell r="R331" t="str">
            <v>Finance</v>
          </cell>
          <cell r="S331">
            <v>14000</v>
          </cell>
          <cell r="T331">
            <v>14000</v>
          </cell>
          <cell r="U331">
            <v>0</v>
          </cell>
          <cell r="V331">
            <v>13525.57</v>
          </cell>
        </row>
        <row r="332">
          <cell r="A332" t="str">
            <v>Jenkins</v>
          </cell>
          <cell r="C332">
            <v>68427709</v>
          </cell>
          <cell r="D332" t="str">
            <v>485074005</v>
          </cell>
          <cell r="E332" t="str">
            <v>Software li oth appl</v>
          </cell>
          <cell r="F332" t="str">
            <v>Application Support</v>
          </cell>
          <cell r="G332" t="str">
            <v>IT4IT</v>
          </cell>
          <cell r="H332" t="str">
            <v>APP003064</v>
          </cell>
          <cell r="I332">
            <v>209507</v>
          </cell>
          <cell r="J332" t="str">
            <v>Servana Managed Services Ltd</v>
          </cell>
          <cell r="L332">
            <v>5400933615</v>
          </cell>
          <cell r="M332">
            <v>10</v>
          </cell>
          <cell r="N332" t="str">
            <v>Robin</v>
          </cell>
          <cell r="O332" t="str">
            <v>Carolyn</v>
          </cell>
          <cell r="P332" t="str">
            <v>Gagan</v>
          </cell>
          <cell r="Q332" t="str">
            <v>L-PC-USERS</v>
          </cell>
          <cell r="R332" t="str">
            <v>Shared Platforms</v>
          </cell>
          <cell r="S332">
            <v>14000</v>
          </cell>
          <cell r="T332">
            <v>14000</v>
          </cell>
          <cell r="U332">
            <v>0</v>
          </cell>
          <cell r="V332">
            <v>12923.14</v>
          </cell>
        </row>
        <row r="333">
          <cell r="A333" t="str">
            <v>Convercent (helpline)</v>
          </cell>
          <cell r="C333">
            <v>68427709</v>
          </cell>
          <cell r="D333" t="str">
            <v>485074005</v>
          </cell>
          <cell r="E333" t="str">
            <v>Software li oth appl</v>
          </cell>
          <cell r="F333" t="str">
            <v>Application Support</v>
          </cell>
          <cell r="G333"/>
          <cell r="H333" t="str">
            <v>APP002908</v>
          </cell>
          <cell r="I333">
            <v>208269</v>
          </cell>
          <cell r="J333" t="str">
            <v>Convercent, Inc.</v>
          </cell>
          <cell r="K333"/>
          <cell r="L333">
            <v>5400934222</v>
          </cell>
          <cell r="M333">
            <v>20</v>
          </cell>
          <cell r="N333" t="str">
            <v>Robin</v>
          </cell>
          <cell r="O333" t="str">
            <v>Ahmet</v>
          </cell>
          <cell r="P333" t="str">
            <v>James Gracey</v>
          </cell>
          <cell r="Q333" t="str">
            <v>L-PC-USERS</v>
          </cell>
          <cell r="R333" t="str">
            <v>HR/Legal</v>
          </cell>
          <cell r="S333">
            <v>12500</v>
          </cell>
          <cell r="T333">
            <v>12500</v>
          </cell>
          <cell r="U333">
            <v>0</v>
          </cell>
          <cell r="V333">
            <v>12076.4</v>
          </cell>
        </row>
        <row r="334">
          <cell r="A334" t="str">
            <v>OT SOC support</v>
          </cell>
          <cell r="B334"/>
          <cell r="C334">
            <v>68427709</v>
          </cell>
          <cell r="D334" t="str">
            <v>485073034</v>
          </cell>
          <cell r="E334" t="str">
            <v>Security</v>
          </cell>
          <cell r="F334" t="str">
            <v>Security</v>
          </cell>
          <cell r="G334" t="str">
            <v>Factory Security</v>
          </cell>
          <cell r="H334" t="str">
            <v>Music3</v>
          </cell>
          <cell r="I334">
            <v>166304</v>
          </cell>
          <cell r="J334" t="str">
            <v>Microsoft B.V.</v>
          </cell>
          <cell r="K334"/>
          <cell r="L334"/>
          <cell r="M334"/>
          <cell r="N334" t="str">
            <v>Diego</v>
          </cell>
          <cell r="O334" t="str">
            <v>Music3</v>
          </cell>
          <cell r="P334" t="str">
            <v>Diego</v>
          </cell>
          <cell r="Q334" t="str">
            <v>L-FACTORIES-SIZE</v>
          </cell>
          <cell r="R334" t="str">
            <v>Music3</v>
          </cell>
          <cell r="S334"/>
          <cell r="T334">
            <v>150000</v>
          </cell>
          <cell r="U334">
            <v>150000</v>
          </cell>
          <cell r="V334">
            <v>150000</v>
          </cell>
        </row>
        <row r="335">
          <cell r="A335" t="str">
            <v>Hana Cloud Platform</v>
          </cell>
          <cell r="B335" t="str">
            <v>CW7158</v>
          </cell>
          <cell r="C335">
            <v>68427709</v>
          </cell>
          <cell r="D335" t="str">
            <v>485074005</v>
          </cell>
          <cell r="E335" t="str">
            <v>Software li oth appl</v>
          </cell>
          <cell r="F335" t="str">
            <v>Application Support</v>
          </cell>
          <cell r="G335" t="str">
            <v>SAP suite</v>
          </cell>
          <cell r="H335" t="str">
            <v>APP001896</v>
          </cell>
          <cell r="I335">
            <v>117570</v>
          </cell>
          <cell r="J335" t="str">
            <v>SAP</v>
          </cell>
          <cell r="K335"/>
          <cell r="L335">
            <v>5401024359</v>
          </cell>
          <cell r="M335">
            <v>240</v>
          </cell>
          <cell r="N335" t="str">
            <v>Robin</v>
          </cell>
          <cell r="O335" t="str">
            <v>Carolyn</v>
          </cell>
          <cell r="P335" t="str">
            <v>Patrick</v>
          </cell>
          <cell r="Q335" t="str">
            <v>L-SAP-USERS</v>
          </cell>
          <cell r="R335" t="str">
            <v>D&amp;A</v>
          </cell>
          <cell r="S335">
            <v>11000</v>
          </cell>
          <cell r="T335">
            <v>11000</v>
          </cell>
          <cell r="U335">
            <v>0</v>
          </cell>
          <cell r="V335">
            <v>10153.9</v>
          </cell>
        </row>
        <row r="336">
          <cell r="A336" t="str">
            <v>Kendis</v>
          </cell>
          <cell r="C336">
            <v>68427709</v>
          </cell>
          <cell r="D336" t="str">
            <v>485074005</v>
          </cell>
          <cell r="E336" t="str">
            <v>Software li oth appl</v>
          </cell>
          <cell r="F336" t="str">
            <v>Application Support</v>
          </cell>
          <cell r="G336" t="str">
            <v>IT4IT</v>
          </cell>
          <cell r="H336" t="str">
            <v>APP002937</v>
          </cell>
          <cell r="I336">
            <v>208176</v>
          </cell>
          <cell r="J336" t="str">
            <v>Kendis</v>
          </cell>
          <cell r="K336"/>
          <cell r="L336">
            <v>5400990793</v>
          </cell>
          <cell r="M336">
            <v>10</v>
          </cell>
          <cell r="N336" t="str">
            <v>Robin</v>
          </cell>
          <cell r="O336" t="str">
            <v>Carolyn</v>
          </cell>
          <cell r="P336" t="str">
            <v>Maksym</v>
          </cell>
          <cell r="Q336" t="str">
            <v>L-PC-USERS</v>
          </cell>
          <cell r="R336" t="str">
            <v>Shared Platforms</v>
          </cell>
          <cell r="S336">
            <v>10000</v>
          </cell>
          <cell r="T336">
            <v>10000</v>
          </cell>
          <cell r="U336">
            <v>0</v>
          </cell>
          <cell r="V336">
            <v>9230.81</v>
          </cell>
        </row>
        <row r="337">
          <cell r="A337" t="str">
            <v>Sposea Brightprice</v>
          </cell>
          <cell r="B337" t="str">
            <v>CW9691</v>
          </cell>
          <cell r="C337">
            <v>68427709</v>
          </cell>
          <cell r="D337" t="str">
            <v>485074005</v>
          </cell>
          <cell r="E337" t="str">
            <v>Software li oth appl</v>
          </cell>
          <cell r="F337" t="str">
            <v>Application Support</v>
          </cell>
          <cell r="G337"/>
          <cell r="H337" t="str">
            <v>APP001100</v>
          </cell>
          <cell r="I337">
            <v>209546</v>
          </cell>
          <cell r="J337" t="str">
            <v>Sposea Software BV</v>
          </cell>
          <cell r="L337">
            <v>5400914770</v>
          </cell>
          <cell r="M337">
            <v>10</v>
          </cell>
          <cell r="N337" t="str">
            <v>Robin</v>
          </cell>
          <cell r="O337" t="str">
            <v>Ahmet</v>
          </cell>
          <cell r="P337" t="str">
            <v>Sharath</v>
          </cell>
          <cell r="Q337" t="str">
            <v>L-SAP-USERS</v>
          </cell>
          <cell r="R337" t="str">
            <v>Supply Chain</v>
          </cell>
          <cell r="S337">
            <v>10000</v>
          </cell>
          <cell r="T337">
            <v>10000</v>
          </cell>
          <cell r="U337">
            <v>0</v>
          </cell>
          <cell r="V337">
            <v>9661.1200000000008</v>
          </cell>
        </row>
        <row r="338">
          <cell r="A338" t="str">
            <v>BrowserStack</v>
          </cell>
          <cell r="B338" t="str">
            <v>CW5898</v>
          </cell>
          <cell r="C338">
            <v>68427709</v>
          </cell>
          <cell r="D338" t="str">
            <v>485074005</v>
          </cell>
          <cell r="E338" t="str">
            <v>Software li oth appl</v>
          </cell>
          <cell r="F338" t="str">
            <v>Application Support</v>
          </cell>
          <cell r="G338" t="str">
            <v>IT4IT</v>
          </cell>
          <cell r="H338" t="str">
            <v>APP002535</v>
          </cell>
          <cell r="I338">
            <v>198968</v>
          </cell>
          <cell r="J338" t="str">
            <v>Broweerstack Inc.</v>
          </cell>
          <cell r="L338">
            <v>5400941634</v>
          </cell>
          <cell r="M338">
            <v>10</v>
          </cell>
          <cell r="N338" t="str">
            <v>Robin</v>
          </cell>
          <cell r="O338" t="str">
            <v>Carolyn</v>
          </cell>
          <cell r="P338" t="str">
            <v>Gagan</v>
          </cell>
          <cell r="Q338" t="str">
            <v>L-PC-USERS</v>
          </cell>
          <cell r="R338" t="str">
            <v>Shared Platforms</v>
          </cell>
          <cell r="S338">
            <v>9000</v>
          </cell>
          <cell r="T338">
            <v>9000</v>
          </cell>
          <cell r="U338">
            <v>0</v>
          </cell>
          <cell r="V338">
            <v>8307.73</v>
          </cell>
        </row>
        <row r="339">
          <cell r="A339" t="str">
            <v>Flexera Adminstudio</v>
          </cell>
          <cell r="B339" t="str">
            <v>CW5502</v>
          </cell>
          <cell r="C339">
            <v>68427709</v>
          </cell>
          <cell r="D339" t="str">
            <v>485074005</v>
          </cell>
          <cell r="E339" t="str">
            <v>Software li oth appl</v>
          </cell>
          <cell r="F339" t="str">
            <v>Application Support</v>
          </cell>
          <cell r="G339" t="str">
            <v>IT4IT</v>
          </cell>
          <cell r="H339" t="str">
            <v>APP001975</v>
          </cell>
          <cell r="I339">
            <v>187516</v>
          </cell>
          <cell r="J339" t="str">
            <v>Accenture</v>
          </cell>
          <cell r="L339">
            <v>5400965893</v>
          </cell>
          <cell r="M339">
            <v>30</v>
          </cell>
          <cell r="N339" t="str">
            <v>Oscar</v>
          </cell>
          <cell r="O339" t="str">
            <v>Carolyn</v>
          </cell>
          <cell r="P339" t="str">
            <v>Jeroen</v>
          </cell>
          <cell r="Q339" t="str">
            <v>L-PC-USERS</v>
          </cell>
          <cell r="R339" t="str">
            <v>Infra/EUS</v>
          </cell>
          <cell r="S339">
            <v>7000</v>
          </cell>
          <cell r="T339">
            <v>7000</v>
          </cell>
          <cell r="U339">
            <v>0</v>
          </cell>
          <cell r="V339">
            <v>6461.57</v>
          </cell>
        </row>
        <row r="340">
          <cell r="A340" t="str">
            <v xml:space="preserve">Sendgrid </v>
          </cell>
          <cell r="C340">
            <v>68427709</v>
          </cell>
          <cell r="D340" t="str">
            <v>485074005</v>
          </cell>
          <cell r="E340" t="str">
            <v>Software li oth appl</v>
          </cell>
          <cell r="F340" t="str">
            <v>Application Support</v>
          </cell>
          <cell r="G340"/>
          <cell r="H340" t="str">
            <v>APP002571</v>
          </cell>
          <cell r="I340">
            <v>166304</v>
          </cell>
          <cell r="J340" t="str">
            <v>Microsoft B.V.</v>
          </cell>
          <cell r="K340"/>
          <cell r="L340">
            <v>5400878308</v>
          </cell>
          <cell r="M340">
            <v>20</v>
          </cell>
          <cell r="N340" t="str">
            <v>Oscar</v>
          </cell>
          <cell r="O340" t="str">
            <v>Carolyn</v>
          </cell>
          <cell r="P340" t="str">
            <v>Oscar</v>
          </cell>
          <cell r="Q340" t="str">
            <v>L-PC-USERS</v>
          </cell>
          <cell r="R340" t="str">
            <v>Infra/EUS</v>
          </cell>
          <cell r="S340">
            <v>7000</v>
          </cell>
          <cell r="T340">
            <v>7000</v>
          </cell>
          <cell r="U340">
            <v>0</v>
          </cell>
          <cell r="V340">
            <v>6461.57</v>
          </cell>
        </row>
        <row r="341">
          <cell r="A341" t="str">
            <v>Litmus / E-mail on Acid</v>
          </cell>
          <cell r="C341">
            <v>68427719</v>
          </cell>
          <cell r="D341" t="str">
            <v>485074005</v>
          </cell>
          <cell r="E341" t="str">
            <v>Software li oth appl</v>
          </cell>
          <cell r="F341" t="str">
            <v>Application Support</v>
          </cell>
          <cell r="G341"/>
          <cell r="H341" t="str">
            <v>APP002951</v>
          </cell>
          <cell r="I341">
            <v>210828</v>
          </cell>
          <cell r="J341" t="str">
            <v>Litmus Software Inc.</v>
          </cell>
          <cell r="K341"/>
          <cell r="L341">
            <v>5401010161</v>
          </cell>
          <cell r="M341">
            <v>10</v>
          </cell>
          <cell r="N341" t="str">
            <v>Robin</v>
          </cell>
          <cell r="O341" t="str">
            <v>Linda</v>
          </cell>
          <cell r="P341" t="str">
            <v>Kelvin</v>
          </cell>
          <cell r="Q341" t="str">
            <v>L-SF-USERS</v>
          </cell>
          <cell r="R341" t="str">
            <v>Professional DevOps</v>
          </cell>
          <cell r="S341">
            <v>2980</v>
          </cell>
          <cell r="T341">
            <v>2980</v>
          </cell>
          <cell r="U341">
            <v>0</v>
          </cell>
          <cell r="V341">
            <v>2980</v>
          </cell>
        </row>
        <row r="342">
          <cell r="A342" t="str">
            <v>Salesforce Adapters SDS / Salesforce</v>
          </cell>
          <cell r="B342" t="str">
            <v>CW5905</v>
          </cell>
          <cell r="C342">
            <v>68427709</v>
          </cell>
          <cell r="D342" t="str">
            <v>485074005</v>
          </cell>
          <cell r="E342" t="str">
            <v>Software li oth appl</v>
          </cell>
          <cell r="F342" t="str">
            <v>Application Support</v>
          </cell>
          <cell r="G342" t="str">
            <v>SAP suite</v>
          </cell>
          <cell r="H342" t="str">
            <v>APP001035</v>
          </cell>
          <cell r="I342">
            <v>193309</v>
          </cell>
          <cell r="J342" t="str">
            <v>Simba Technologies Inc.</v>
          </cell>
          <cell r="K342"/>
          <cell r="L342">
            <v>5400998489</v>
          </cell>
          <cell r="M342">
            <v>10</v>
          </cell>
          <cell r="N342" t="str">
            <v>Robin</v>
          </cell>
          <cell r="O342" t="str">
            <v>Carolyn</v>
          </cell>
          <cell r="P342" t="str">
            <v>Robin</v>
          </cell>
          <cell r="Q342" t="str">
            <v>L-SAP-USERS</v>
          </cell>
          <cell r="R342" t="str">
            <v>Shared Platforms</v>
          </cell>
          <cell r="S342">
            <v>2000</v>
          </cell>
          <cell r="T342">
            <v>2000</v>
          </cell>
          <cell r="U342">
            <v>0</v>
          </cell>
          <cell r="V342">
            <v>1846.16</v>
          </cell>
        </row>
        <row r="343">
          <cell r="A343" t="str">
            <v>Restricted Party Screening (RPS)</v>
          </cell>
          <cell r="B343" t="str">
            <v>CW7056</v>
          </cell>
          <cell r="C343">
            <v>68427709</v>
          </cell>
          <cell r="D343" t="str">
            <v>485074005</v>
          </cell>
          <cell r="E343" t="str">
            <v>Software li oth appl</v>
          </cell>
          <cell r="F343" t="str">
            <v>Application Support</v>
          </cell>
          <cell r="G343"/>
          <cell r="H343" t="str">
            <v>APP000047</v>
          </cell>
          <cell r="I343">
            <v>168949</v>
          </cell>
          <cell r="J343" t="str">
            <v>Amber road</v>
          </cell>
          <cell r="K343"/>
          <cell r="L343"/>
          <cell r="M343">
            <v>30</v>
          </cell>
          <cell r="N343" t="str">
            <v>Robin</v>
          </cell>
          <cell r="O343" t="str">
            <v>Ahmet</v>
          </cell>
          <cell r="P343" t="str">
            <v>James Gracey</v>
          </cell>
          <cell r="Q343" t="str">
            <v>L-PC-USERS</v>
          </cell>
          <cell r="R343" t="str">
            <v>HR/Legal</v>
          </cell>
          <cell r="S343">
            <v>23000</v>
          </cell>
          <cell r="T343">
            <v>0</v>
          </cell>
          <cell r="U343">
            <v>-23000</v>
          </cell>
          <cell r="V343">
            <v>0</v>
          </cell>
        </row>
        <row r="344">
          <cell r="A344" t="str">
            <v>Apptio</v>
          </cell>
          <cell r="B344" t="str">
            <v>CW5510</v>
          </cell>
          <cell r="C344">
            <v>68427709</v>
          </cell>
          <cell r="D344" t="str">
            <v>485074005</v>
          </cell>
          <cell r="E344" t="str">
            <v>Software li oth appl</v>
          </cell>
          <cell r="F344" t="str">
            <v>Application Support</v>
          </cell>
          <cell r="G344" t="str">
            <v>IT4IT</v>
          </cell>
          <cell r="H344" t="str">
            <v>APP002309</v>
          </cell>
          <cell r="I344">
            <v>198049</v>
          </cell>
          <cell r="J344" t="str">
            <v>Apptio Inc</v>
          </cell>
          <cell r="L344">
            <v>5400867960</v>
          </cell>
          <cell r="M344">
            <v>30</v>
          </cell>
          <cell r="N344" t="str">
            <v>Robin</v>
          </cell>
          <cell r="O344" t="str">
            <v>Ahmet</v>
          </cell>
          <cell r="P344" t="str">
            <v>Ashish</v>
          </cell>
          <cell r="Q344" t="str">
            <v>L-PC-USERS</v>
          </cell>
          <cell r="R344" t="str">
            <v>Shared Platforms</v>
          </cell>
          <cell r="S344">
            <v>30000</v>
          </cell>
          <cell r="T344">
            <v>0</v>
          </cell>
          <cell r="U344">
            <v>-30000</v>
          </cell>
          <cell r="V344">
            <v>0</v>
          </cell>
        </row>
        <row r="345">
          <cell r="A345" t="str">
            <v>Boost.AI</v>
          </cell>
          <cell r="C345">
            <v>68427709</v>
          </cell>
          <cell r="D345" t="str">
            <v>485074005</v>
          </cell>
          <cell r="E345" t="str">
            <v>Software li oth appl</v>
          </cell>
          <cell r="F345" t="str">
            <v>Application Support</v>
          </cell>
          <cell r="G345"/>
          <cell r="H345" t="str">
            <v>APP002946</v>
          </cell>
          <cell r="I345">
            <v>207943</v>
          </cell>
          <cell r="J345" t="str">
            <v>Boost AI AS</v>
          </cell>
          <cell r="K345"/>
          <cell r="L345">
            <v>5400994224</v>
          </cell>
          <cell r="M345">
            <v>10</v>
          </cell>
          <cell r="N345" t="str">
            <v>Robin</v>
          </cell>
          <cell r="O345" t="str">
            <v>Bas</v>
          </cell>
          <cell r="P345" t="str">
            <v>Bas</v>
          </cell>
          <cell r="Q345" t="str">
            <v>Central</v>
          </cell>
          <cell r="R345" t="str">
            <v>DTC</v>
          </cell>
          <cell r="S345">
            <v>162000</v>
          </cell>
          <cell r="T345">
            <v>0</v>
          </cell>
          <cell r="U345">
            <v>-162000</v>
          </cell>
          <cell r="V345">
            <v>0</v>
          </cell>
        </row>
        <row r="346">
          <cell r="A346" t="str">
            <v>Condeco</v>
          </cell>
          <cell r="C346">
            <v>68427709</v>
          </cell>
          <cell r="D346" t="str">
            <v>485074005</v>
          </cell>
          <cell r="E346" t="str">
            <v>Software li oth appl</v>
          </cell>
          <cell r="F346" t="str">
            <v>Application Support</v>
          </cell>
          <cell r="G346"/>
          <cell r="H346" t="str">
            <v>APP002884</v>
          </cell>
          <cell r="I346">
            <v>205719</v>
          </cell>
          <cell r="J346" t="str">
            <v>Condeco</v>
          </cell>
          <cell r="K346"/>
          <cell r="L346"/>
          <cell r="M346">
            <v>70</v>
          </cell>
          <cell r="N346" t="str">
            <v>Robin</v>
          </cell>
          <cell r="O346" t="str">
            <v>Ahmet</v>
          </cell>
          <cell r="P346" t="str">
            <v>Martijn</v>
          </cell>
          <cell r="Q346" t="str">
            <v>L-PC-USERS</v>
          </cell>
          <cell r="R346" t="str">
            <v>HR/Legal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</row>
        <row r="347">
          <cell r="A347" t="str">
            <v>Cornerstone Performance and Talent</v>
          </cell>
          <cell r="B347" t="str">
            <v>CW5523</v>
          </cell>
          <cell r="C347">
            <v>68427709</v>
          </cell>
          <cell r="D347" t="str">
            <v>485074005</v>
          </cell>
          <cell r="E347" t="str">
            <v>Software li oth appl</v>
          </cell>
          <cell r="F347" t="str">
            <v>Application Support</v>
          </cell>
          <cell r="G347"/>
          <cell r="H347" t="str">
            <v>APP000043</v>
          </cell>
          <cell r="I347">
            <v>193327</v>
          </cell>
          <cell r="J347" t="str">
            <v>Cornerstone OnDemand Ltd</v>
          </cell>
          <cell r="K347"/>
          <cell r="L347"/>
          <cell r="M347">
            <v>10</v>
          </cell>
          <cell r="N347" t="str">
            <v>Robin</v>
          </cell>
          <cell r="O347" t="str">
            <v>Ahmet</v>
          </cell>
          <cell r="P347" t="str">
            <v>Kostya</v>
          </cell>
          <cell r="Q347" t="str">
            <v>L-PC-USERS</v>
          </cell>
          <cell r="R347" t="str">
            <v>HR/Legal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</row>
        <row r="348">
          <cell r="A348" t="str">
            <v>CX Social</v>
          </cell>
          <cell r="B348" t="str">
            <v>CW7631</v>
          </cell>
          <cell r="C348">
            <v>68427709</v>
          </cell>
          <cell r="D348" t="str">
            <v>485074005</v>
          </cell>
          <cell r="E348" t="str">
            <v>Software li oth appl</v>
          </cell>
          <cell r="F348" t="str">
            <v>Application Support</v>
          </cell>
          <cell r="G348"/>
          <cell r="H348" t="str">
            <v>APP000255</v>
          </cell>
          <cell r="I348">
            <v>188862</v>
          </cell>
          <cell r="J348" t="str">
            <v>Engagor NV</v>
          </cell>
          <cell r="L348">
            <v>5401025057</v>
          </cell>
          <cell r="M348">
            <v>10</v>
          </cell>
          <cell r="N348" t="str">
            <v>Robin</v>
          </cell>
          <cell r="O348" t="str">
            <v>Bas</v>
          </cell>
          <cell r="P348" t="str">
            <v>Bas</v>
          </cell>
          <cell r="Q348" t="str">
            <v>L-PC-USERS</v>
          </cell>
          <cell r="R348" t="str">
            <v>Digital</v>
          </cell>
          <cell r="S348">
            <v>307000</v>
          </cell>
          <cell r="T348">
            <v>0</v>
          </cell>
          <cell r="U348">
            <v>-307000</v>
          </cell>
          <cell r="V348">
            <v>0</v>
          </cell>
        </row>
        <row r="349">
          <cell r="A349" t="str">
            <v>EPI Server licenses</v>
          </cell>
          <cell r="B349" t="str">
            <v>CW5940</v>
          </cell>
          <cell r="C349">
            <v>68427709</v>
          </cell>
          <cell r="D349" t="str">
            <v>485074005</v>
          </cell>
          <cell r="E349" t="str">
            <v>Software li oth appl</v>
          </cell>
          <cell r="F349" t="str">
            <v>Application Support</v>
          </cell>
          <cell r="G349"/>
          <cell r="H349" t="str">
            <v>APP001010</v>
          </cell>
          <cell r="I349">
            <v>166095</v>
          </cell>
          <cell r="J349" t="str">
            <v>EPiServer</v>
          </cell>
          <cell r="K349"/>
          <cell r="L349">
            <v>5401024378</v>
          </cell>
          <cell r="M349">
            <v>20</v>
          </cell>
          <cell r="N349" t="str">
            <v>Robin</v>
          </cell>
          <cell r="O349" t="str">
            <v>Bas</v>
          </cell>
          <cell r="P349" t="str">
            <v>Bas</v>
          </cell>
          <cell r="Q349" t="str">
            <v>L-PC-USERS</v>
          </cell>
          <cell r="R349" t="str">
            <v>Digital</v>
          </cell>
          <cell r="S349">
            <v>79000</v>
          </cell>
          <cell r="T349">
            <v>0</v>
          </cell>
          <cell r="U349">
            <v>-79000</v>
          </cell>
          <cell r="V349">
            <v>0</v>
          </cell>
        </row>
        <row r="350">
          <cell r="A350" t="str">
            <v>EpiFind licenses</v>
          </cell>
          <cell r="B350" t="str">
            <v>CW4333</v>
          </cell>
          <cell r="C350">
            <v>68427709</v>
          </cell>
          <cell r="D350" t="str">
            <v>485074005</v>
          </cell>
          <cell r="E350" t="str">
            <v>Software li oth appl</v>
          </cell>
          <cell r="F350" t="str">
            <v>Application Support</v>
          </cell>
          <cell r="G350"/>
          <cell r="H350" t="str">
            <v>APP002733</v>
          </cell>
          <cell r="I350">
            <v>166095</v>
          </cell>
          <cell r="J350" t="str">
            <v>EPiServer</v>
          </cell>
          <cell r="K350"/>
          <cell r="L350">
            <v>5401024378</v>
          </cell>
          <cell r="M350">
            <v>10</v>
          </cell>
          <cell r="N350" t="str">
            <v>Robin</v>
          </cell>
          <cell r="O350" t="str">
            <v>Linda</v>
          </cell>
          <cell r="P350" t="str">
            <v>Kelvin</v>
          </cell>
          <cell r="Q350" t="str">
            <v>L-PC-USERS</v>
          </cell>
          <cell r="R350" t="str">
            <v>Professional DevOps</v>
          </cell>
          <cell r="S350">
            <v>113000</v>
          </cell>
          <cell r="T350">
            <v>0</v>
          </cell>
          <cell r="U350">
            <v>-113000</v>
          </cell>
          <cell r="V350">
            <v>0</v>
          </cell>
        </row>
        <row r="351">
          <cell r="A351" t="str">
            <v>Crunchr Licenses + Support</v>
          </cell>
          <cell r="B351" t="str">
            <v>CW4379</v>
          </cell>
          <cell r="C351">
            <v>68427709</v>
          </cell>
          <cell r="D351" t="str">
            <v>485074005</v>
          </cell>
          <cell r="E351" t="str">
            <v>Software li oth appl</v>
          </cell>
          <cell r="F351" t="str">
            <v>Application Support</v>
          </cell>
          <cell r="G351"/>
          <cell r="H351" t="str">
            <v>APP002476</v>
          </cell>
          <cell r="I351">
            <v>198518</v>
          </cell>
          <cell r="J351" t="str">
            <v>Focus Orange Technology B.V.</v>
          </cell>
          <cell r="K351"/>
          <cell r="L351"/>
          <cell r="M351">
            <v>10</v>
          </cell>
          <cell r="N351" t="str">
            <v>Robin</v>
          </cell>
          <cell r="O351" t="str">
            <v>Ahmet</v>
          </cell>
          <cell r="P351" t="str">
            <v>Kostya</v>
          </cell>
          <cell r="Q351" t="str">
            <v>L-PC-USERS</v>
          </cell>
          <cell r="R351" t="str">
            <v>HR/Legal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</row>
        <row r="352">
          <cell r="A352" t="str">
            <v>Nintex Workflow Complete Pack</v>
          </cell>
          <cell r="B352" t="str">
            <v>CW8846</v>
          </cell>
          <cell r="C352">
            <v>68427709</v>
          </cell>
          <cell r="D352" t="str">
            <v>485074005</v>
          </cell>
          <cell r="E352" t="str">
            <v>Software li oth appl</v>
          </cell>
          <cell r="F352" t="str">
            <v>Application Support</v>
          </cell>
          <cell r="G352"/>
          <cell r="H352" t="str">
            <v>APP000997</v>
          </cell>
          <cell r="I352">
            <v>3000002</v>
          </cell>
          <cell r="J352" t="str">
            <v>Nintex UK</v>
          </cell>
          <cell r="L352">
            <v>5401018969</v>
          </cell>
          <cell r="M352">
            <v>10</v>
          </cell>
          <cell r="N352" t="str">
            <v>Robin</v>
          </cell>
          <cell r="O352" t="str">
            <v>Ahmet</v>
          </cell>
          <cell r="P352" t="str">
            <v>Martijn</v>
          </cell>
          <cell r="Q352" t="str">
            <v>L-PC-USERS</v>
          </cell>
          <cell r="R352" t="str">
            <v>HR/Legal</v>
          </cell>
          <cell r="S352">
            <v>157000</v>
          </cell>
          <cell r="T352">
            <v>0</v>
          </cell>
          <cell r="U352">
            <v>-157000</v>
          </cell>
          <cell r="V352">
            <v>0</v>
          </cell>
        </row>
        <row r="353">
          <cell r="A353" t="str">
            <v>Netwrix Subscription</v>
          </cell>
          <cell r="B353" t="str">
            <v>CW7162</v>
          </cell>
          <cell r="C353">
            <v>68427709</v>
          </cell>
          <cell r="D353" t="str">
            <v>485074005</v>
          </cell>
          <cell r="E353" t="str">
            <v>Software li oth appl</v>
          </cell>
          <cell r="F353" t="str">
            <v>Application Support</v>
          </cell>
          <cell r="G353" t="str">
            <v>IT4IT</v>
          </cell>
          <cell r="H353" t="str">
            <v>APP002631</v>
          </cell>
          <cell r="I353">
            <v>152539</v>
          </cell>
          <cell r="J353" t="str">
            <v>Insight Enterprise Netherlands B.V.</v>
          </cell>
          <cell r="K353"/>
          <cell r="M353"/>
          <cell r="N353" t="str">
            <v>Oscar</v>
          </cell>
          <cell r="O353" t="str">
            <v>Carolyn</v>
          </cell>
          <cell r="P353" t="str">
            <v>Jeroen</v>
          </cell>
          <cell r="Q353" t="str">
            <v>L-PC-USERS</v>
          </cell>
          <cell r="R353" t="str">
            <v>Infra/EUS</v>
          </cell>
          <cell r="S353">
            <v>54000</v>
          </cell>
          <cell r="T353">
            <v>0</v>
          </cell>
          <cell r="U353">
            <v>-54000</v>
          </cell>
          <cell r="V353">
            <v>0</v>
          </cell>
        </row>
        <row r="354">
          <cell r="A354" t="str">
            <v>Magento Commerce</v>
          </cell>
          <cell r="B354" t="str">
            <v>CW5969</v>
          </cell>
          <cell r="C354">
            <v>68427709</v>
          </cell>
          <cell r="D354" t="str">
            <v>485074005</v>
          </cell>
          <cell r="E354" t="str">
            <v>Software li oth appl</v>
          </cell>
          <cell r="F354" t="str">
            <v>Application Support</v>
          </cell>
          <cell r="G354"/>
          <cell r="H354" t="str">
            <v>APP002415</v>
          </cell>
          <cell r="I354">
            <v>197081</v>
          </cell>
          <cell r="J354" t="str">
            <v>Magento</v>
          </cell>
          <cell r="K354"/>
          <cell r="M354"/>
          <cell r="N354" t="str">
            <v>Robin</v>
          </cell>
          <cell r="O354" t="str">
            <v>Bas</v>
          </cell>
          <cell r="P354" t="str">
            <v>Bas</v>
          </cell>
          <cell r="Q354" t="str">
            <v>Central</v>
          </cell>
          <cell r="R354" t="str">
            <v>DTC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</row>
        <row r="355">
          <cell r="A355" t="str">
            <v>Magento Order Management</v>
          </cell>
          <cell r="B355" t="str">
            <v>CW5971</v>
          </cell>
          <cell r="C355">
            <v>68427709</v>
          </cell>
          <cell r="D355" t="str">
            <v>485074005</v>
          </cell>
          <cell r="E355" t="str">
            <v>Software li oth appl</v>
          </cell>
          <cell r="F355" t="str">
            <v>Application Support</v>
          </cell>
          <cell r="G355"/>
          <cell r="H355" t="str">
            <v>APP002450</v>
          </cell>
          <cell r="I355">
            <v>197081</v>
          </cell>
          <cell r="J355" t="str">
            <v>Magento</v>
          </cell>
          <cell r="K355"/>
          <cell r="M355"/>
          <cell r="N355" t="str">
            <v>Robin</v>
          </cell>
          <cell r="O355" t="str">
            <v>Bas</v>
          </cell>
          <cell r="P355" t="str">
            <v>Bas</v>
          </cell>
          <cell r="Q355" t="str">
            <v>Central</v>
          </cell>
          <cell r="R355" t="str">
            <v>DTC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</row>
        <row r="356">
          <cell r="A356" t="str">
            <v>Mural</v>
          </cell>
          <cell r="C356">
            <v>68427709</v>
          </cell>
          <cell r="D356" t="str">
            <v>485074005</v>
          </cell>
          <cell r="E356" t="str">
            <v>Software li oth appl</v>
          </cell>
          <cell r="F356" t="str">
            <v>Application Support</v>
          </cell>
          <cell r="G356"/>
          <cell r="H356" t="str">
            <v>APP003010</v>
          </cell>
          <cell r="I356">
            <v>209658</v>
          </cell>
          <cell r="J356" t="str">
            <v>Mural Tactivos</v>
          </cell>
          <cell r="K356"/>
          <cell r="L356">
            <v>5401019427</v>
          </cell>
          <cell r="M356" t="str">
            <v>10</v>
          </cell>
          <cell r="N356" t="str">
            <v>Robin</v>
          </cell>
          <cell r="O356" t="str">
            <v>Ahmet</v>
          </cell>
          <cell r="P356" t="str">
            <v>Martijn</v>
          </cell>
          <cell r="Q356" t="str">
            <v>L-PC-USERS</v>
          </cell>
          <cell r="R356" t="str">
            <v>HR/Legal</v>
          </cell>
          <cell r="S356">
            <v>15000</v>
          </cell>
          <cell r="T356">
            <v>0</v>
          </cell>
          <cell r="U356">
            <v>-15000</v>
          </cell>
          <cell r="V356">
            <v>0</v>
          </cell>
        </row>
        <row r="357">
          <cell r="A357" t="str">
            <v>NewRelic</v>
          </cell>
          <cell r="C357">
            <v>68427709</v>
          </cell>
          <cell r="D357" t="str">
            <v>485074005</v>
          </cell>
          <cell r="E357" t="str">
            <v>Software li oth appl</v>
          </cell>
          <cell r="F357" t="str">
            <v>Application Support</v>
          </cell>
          <cell r="G357"/>
          <cell r="H357" t="str">
            <v>APP002769</v>
          </cell>
          <cell r="I357">
            <v>203848</v>
          </cell>
          <cell r="J357" t="str">
            <v>New Relic inc.</v>
          </cell>
          <cell r="K357"/>
          <cell r="L357"/>
          <cell r="M357">
            <v>10</v>
          </cell>
          <cell r="N357" t="str">
            <v>Robin</v>
          </cell>
          <cell r="O357" t="str">
            <v>Bas</v>
          </cell>
          <cell r="P357" t="str">
            <v>Bas</v>
          </cell>
          <cell r="Q357" t="str">
            <v>Central</v>
          </cell>
          <cell r="R357" t="str">
            <v>DTC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</row>
        <row r="358">
          <cell r="A358" t="str">
            <v>Oracle: Java components coming under licenses</v>
          </cell>
          <cell r="C358">
            <v>68427709</v>
          </cell>
          <cell r="D358" t="str">
            <v>485074005</v>
          </cell>
          <cell r="E358" t="str">
            <v>Software li oth appl</v>
          </cell>
          <cell r="F358" t="str">
            <v>Application Support</v>
          </cell>
          <cell r="G358" t="str">
            <v>PC and Connectivity</v>
          </cell>
          <cell r="H358" t="str">
            <v>PCConnectivity</v>
          </cell>
          <cell r="I358">
            <v>118054</v>
          </cell>
          <cell r="J358" t="str">
            <v>Oracle</v>
          </cell>
          <cell r="M358"/>
          <cell r="N358" t="str">
            <v>Oscar</v>
          </cell>
          <cell r="O358" t="str">
            <v>Carolyn</v>
          </cell>
          <cell r="P358" t="str">
            <v>Oscar</v>
          </cell>
          <cell r="Q358" t="str">
            <v>L-PC-USERS</v>
          </cell>
          <cell r="R358" t="str">
            <v>Infra/EUS</v>
          </cell>
          <cell r="S358">
            <v>75000</v>
          </cell>
          <cell r="T358">
            <v>0</v>
          </cell>
          <cell r="U358">
            <v>-75000</v>
          </cell>
          <cell r="V358">
            <v>0</v>
          </cell>
        </row>
        <row r="359">
          <cell r="A359" t="str">
            <v>Coffee Care licenses</v>
          </cell>
          <cell r="B359" t="str">
            <v>CW7633</v>
          </cell>
          <cell r="C359">
            <v>68427709</v>
          </cell>
          <cell r="D359" t="str">
            <v>485074005</v>
          </cell>
          <cell r="E359" t="str">
            <v>Software li oth appl</v>
          </cell>
          <cell r="F359" t="str">
            <v>Application Support</v>
          </cell>
          <cell r="G359"/>
          <cell r="H359" t="str">
            <v>APP002609</v>
          </cell>
          <cell r="I359">
            <v>181895</v>
          </cell>
          <cell r="J359" t="str">
            <v>Pegasystems</v>
          </cell>
          <cell r="K359"/>
          <cell r="L359">
            <v>5401032935</v>
          </cell>
          <cell r="M359">
            <v>10</v>
          </cell>
          <cell r="N359" t="str">
            <v>Robin</v>
          </cell>
          <cell r="O359" t="str">
            <v>Ahmet</v>
          </cell>
          <cell r="P359" t="str">
            <v>Stefan Jochems</v>
          </cell>
          <cell r="Q359" t="str">
            <v>Central</v>
          </cell>
          <cell r="R359" t="str">
            <v>R&amp;D</v>
          </cell>
          <cell r="S359">
            <v>432000</v>
          </cell>
          <cell r="T359">
            <v>0</v>
          </cell>
          <cell r="U359">
            <v>-432000</v>
          </cell>
          <cell r="V359">
            <v>0</v>
          </cell>
        </row>
        <row r="360">
          <cell r="A360" t="str">
            <v>WeGrow licences + upgrade</v>
          </cell>
          <cell r="C360">
            <v>68427709</v>
          </cell>
          <cell r="D360" t="str">
            <v>485074005</v>
          </cell>
          <cell r="E360" t="str">
            <v>Software li oth appl</v>
          </cell>
          <cell r="F360" t="str">
            <v>Application Support</v>
          </cell>
          <cell r="G360"/>
          <cell r="H360" t="str">
            <v>APP003051</v>
          </cell>
          <cell r="I360">
            <v>209836</v>
          </cell>
          <cell r="J360" t="str">
            <v>SAS Fastmarketing Cloud Software</v>
          </cell>
          <cell r="K360"/>
          <cell r="L360"/>
          <cell r="M360"/>
          <cell r="N360" t="str">
            <v>Robin</v>
          </cell>
          <cell r="O360" t="str">
            <v>Bas</v>
          </cell>
          <cell r="P360" t="str">
            <v>Bas</v>
          </cell>
          <cell r="Q360" t="str">
            <v>L-PC-USERS</v>
          </cell>
          <cell r="R360" t="str">
            <v>DTC</v>
          </cell>
          <cell r="S360">
            <v>70000</v>
          </cell>
          <cell r="T360">
            <v>0</v>
          </cell>
          <cell r="U360">
            <v>-70000</v>
          </cell>
          <cell r="V360">
            <v>0</v>
          </cell>
        </row>
        <row r="361">
          <cell r="A361" t="str">
            <v>Shopspray</v>
          </cell>
          <cell r="C361">
            <v>68427719</v>
          </cell>
          <cell r="D361" t="str">
            <v>485074005</v>
          </cell>
          <cell r="E361" t="str">
            <v>Software li oth appl</v>
          </cell>
          <cell r="F361" t="str">
            <v>Application Support</v>
          </cell>
          <cell r="G361"/>
          <cell r="H361" t="str">
            <v>APP002786</v>
          </cell>
          <cell r="I361">
            <v>201096</v>
          </cell>
          <cell r="J361" t="str">
            <v>Shopspray</v>
          </cell>
          <cell r="L361">
            <v>5400985273</v>
          </cell>
          <cell r="M361">
            <v>10</v>
          </cell>
          <cell r="N361" t="str">
            <v>Robin</v>
          </cell>
          <cell r="O361" t="str">
            <v>Linda</v>
          </cell>
          <cell r="P361" t="str">
            <v>Kelvin</v>
          </cell>
          <cell r="Q361" t="str">
            <v>L-PC-USERS</v>
          </cell>
          <cell r="R361" t="str">
            <v>Professional DevOps</v>
          </cell>
          <cell r="S361">
            <v>24000</v>
          </cell>
          <cell r="T361">
            <v>0</v>
          </cell>
          <cell r="U361">
            <v>-24000</v>
          </cell>
          <cell r="V361"/>
        </row>
        <row r="362">
          <cell r="A362" t="str">
            <v>Packflow</v>
          </cell>
          <cell r="B362" t="str">
            <v>CW7757</v>
          </cell>
          <cell r="C362">
            <v>68427709</v>
          </cell>
          <cell r="D362" t="str">
            <v>485074005</v>
          </cell>
          <cell r="E362" t="str">
            <v>Software li oth appl</v>
          </cell>
          <cell r="F362" t="str">
            <v>Application Support</v>
          </cell>
          <cell r="G362"/>
          <cell r="H362" t="str">
            <v>APP000867</v>
          </cell>
          <cell r="I362">
            <v>169113</v>
          </cell>
          <cell r="J362" t="str">
            <v>Tallon Graphic Solutions NV</v>
          </cell>
          <cell r="K362"/>
          <cell r="L362">
            <v>5400984016</v>
          </cell>
          <cell r="M362">
            <v>10</v>
          </cell>
          <cell r="N362" t="str">
            <v>Robin</v>
          </cell>
          <cell r="O362" t="str">
            <v>Ahmet</v>
          </cell>
          <cell r="P362" t="str">
            <v>Vasco</v>
          </cell>
          <cell r="Q362" t="str">
            <v>L-PC-USERS</v>
          </cell>
          <cell r="R362" t="str">
            <v>Manufacturing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</row>
        <row r="363">
          <cell r="A363" t="str">
            <v>Getfeedback</v>
          </cell>
          <cell r="C363">
            <v>68427719</v>
          </cell>
          <cell r="D363" t="str">
            <v>485074005</v>
          </cell>
          <cell r="E363" t="str">
            <v>Software li oth appl</v>
          </cell>
          <cell r="F363" t="str">
            <v>Application Support</v>
          </cell>
          <cell r="G363"/>
          <cell r="H363" t="str">
            <v>APP003157</v>
          </cell>
          <cell r="I363">
            <v>204549</v>
          </cell>
          <cell r="J363" t="str">
            <v>SurveyMonkey Europe</v>
          </cell>
          <cell r="K363"/>
          <cell r="L363">
            <v>5400980472</v>
          </cell>
          <cell r="M363">
            <v>10</v>
          </cell>
          <cell r="N363" t="str">
            <v>Linda</v>
          </cell>
          <cell r="O363" t="str">
            <v>Linda</v>
          </cell>
          <cell r="P363" t="str">
            <v>Linda</v>
          </cell>
          <cell r="Q363" t="str">
            <v>L-SF-USERS</v>
          </cell>
          <cell r="R363" t="str">
            <v>Professional DevOps</v>
          </cell>
          <cell r="S363">
            <v>16000</v>
          </cell>
          <cell r="T363">
            <v>0</v>
          </cell>
          <cell r="U363">
            <v>-16000</v>
          </cell>
          <cell r="V363"/>
        </row>
        <row r="364">
          <cell r="A364" t="str">
            <v>Plat4mation Hospitality App</v>
          </cell>
          <cell r="C364">
            <v>68427709</v>
          </cell>
          <cell r="D364" t="str">
            <v>485074005</v>
          </cell>
          <cell r="E364" t="str">
            <v>Software li oth appl</v>
          </cell>
          <cell r="F364" t="str">
            <v>Application Support</v>
          </cell>
          <cell r="G364"/>
          <cell r="H364" t="str">
            <v>APP003167</v>
          </cell>
          <cell r="I364">
            <v>199582</v>
          </cell>
          <cell r="J364" t="str">
            <v>Plat4mation B.V.</v>
          </cell>
          <cell r="K364"/>
          <cell r="L364"/>
          <cell r="M364"/>
          <cell r="N364" t="str">
            <v>Robin</v>
          </cell>
          <cell r="O364" t="str">
            <v>Ahmet</v>
          </cell>
          <cell r="P364" t="str">
            <v>James Gracey</v>
          </cell>
          <cell r="Q364" t="str">
            <v>Central</v>
          </cell>
          <cell r="R364" t="str">
            <v>R&amp;D</v>
          </cell>
          <cell r="S364">
            <v>76000</v>
          </cell>
          <cell r="T364">
            <v>0</v>
          </cell>
          <cell r="U364">
            <v>-76000</v>
          </cell>
          <cell r="V364">
            <v>0</v>
          </cell>
        </row>
        <row r="365">
          <cell r="A365" t="str">
            <v>GetFeedback - DTC</v>
          </cell>
          <cell r="C365">
            <v>68427709</v>
          </cell>
          <cell r="D365" t="str">
            <v>485074005</v>
          </cell>
          <cell r="E365" t="str">
            <v>Software li oth appl</v>
          </cell>
          <cell r="F365" t="str">
            <v>Application Support</v>
          </cell>
          <cell r="G365"/>
          <cell r="H365" t="str">
            <v>APP003177</v>
          </cell>
          <cell r="J365"/>
          <cell r="K365"/>
          <cell r="L365"/>
          <cell r="M365"/>
          <cell r="N365" t="str">
            <v>Robin</v>
          </cell>
          <cell r="O365" t="str">
            <v>Bas</v>
          </cell>
          <cell r="P365" t="str">
            <v>Bas</v>
          </cell>
          <cell r="Q365" t="str">
            <v>Central</v>
          </cell>
          <cell r="R365" t="str">
            <v>DTC</v>
          </cell>
          <cell r="S365">
            <v>11250</v>
          </cell>
          <cell r="T365">
            <v>0</v>
          </cell>
          <cell r="U365">
            <v>-11250</v>
          </cell>
          <cell r="V365">
            <v>0</v>
          </cell>
        </row>
        <row r="366">
          <cell r="A366" t="str">
            <v>Microsoft Azure: OT DMZ</v>
          </cell>
          <cell r="C366">
            <v>68427709</v>
          </cell>
          <cell r="D366" t="str">
            <v>485073006</v>
          </cell>
          <cell r="E366" t="str">
            <v>Software li MS Infr</v>
          </cell>
          <cell r="F366" t="str">
            <v>Desktop Management</v>
          </cell>
          <cell r="G366" t="str">
            <v>Factory Security</v>
          </cell>
          <cell r="H366" t="str">
            <v>Music3</v>
          </cell>
          <cell r="I366">
            <v>166304</v>
          </cell>
          <cell r="J366" t="str">
            <v>Microsoft B.V.</v>
          </cell>
          <cell r="K366"/>
          <cell r="L366"/>
          <cell r="M366"/>
          <cell r="N366" t="str">
            <v>Oscar</v>
          </cell>
          <cell r="O366" t="str">
            <v>Music3</v>
          </cell>
          <cell r="P366" t="str">
            <v>Oscar</v>
          </cell>
          <cell r="Q366" t="str">
            <v>L-FACTORIES-SIZE</v>
          </cell>
          <cell r="R366" t="str">
            <v>Music3</v>
          </cell>
          <cell r="S366"/>
          <cell r="T366">
            <v>400000</v>
          </cell>
          <cell r="U366">
            <v>400000</v>
          </cell>
          <cell r="V366">
            <v>400000</v>
          </cell>
        </row>
        <row r="367">
          <cell r="A367" t="str">
            <v>Microsoft Azure: ACN_SOC-OT</v>
          </cell>
          <cell r="C367">
            <v>68427709</v>
          </cell>
          <cell r="D367" t="str">
            <v>485073006</v>
          </cell>
          <cell r="E367" t="str">
            <v>Software li MS Infr</v>
          </cell>
          <cell r="F367" t="str">
            <v>Desktop Management</v>
          </cell>
          <cell r="G367" t="str">
            <v>Factory Security</v>
          </cell>
          <cell r="H367" t="str">
            <v>Music3</v>
          </cell>
          <cell r="I367">
            <v>166304</v>
          </cell>
          <cell r="J367" t="str">
            <v>Microsoft B.V.</v>
          </cell>
          <cell r="K367"/>
          <cell r="L367"/>
          <cell r="M367"/>
          <cell r="N367" t="str">
            <v>Oscar</v>
          </cell>
          <cell r="O367" t="str">
            <v>Music3</v>
          </cell>
          <cell r="P367" t="str">
            <v>Oscar</v>
          </cell>
          <cell r="Q367" t="str">
            <v>L-FACTORIES-SIZE</v>
          </cell>
          <cell r="R367" t="str">
            <v>Music3</v>
          </cell>
          <cell r="S367"/>
          <cell r="T367">
            <v>200000</v>
          </cell>
          <cell r="U367">
            <v>200000</v>
          </cell>
          <cell r="V367">
            <v>200000</v>
          </cell>
        </row>
        <row r="368">
          <cell r="A368" t="str">
            <v>Penetration Testing SAP / Sales Force /Web</v>
          </cell>
          <cell r="B368" t="str">
            <v>CW6296</v>
          </cell>
          <cell r="C368">
            <v>68427709</v>
          </cell>
          <cell r="D368" t="str">
            <v>485073034</v>
          </cell>
          <cell r="E368" t="str">
            <v>Security</v>
          </cell>
          <cell r="F368" t="str">
            <v>Security</v>
          </cell>
          <cell r="G368" t="str">
            <v>PC and Connectivity</v>
          </cell>
          <cell r="H368" t="str">
            <v>PCConnectivity</v>
          </cell>
          <cell r="I368">
            <v>187516</v>
          </cell>
          <cell r="J368" t="str">
            <v>Accenture</v>
          </cell>
          <cell r="K368"/>
          <cell r="L368"/>
          <cell r="M368"/>
          <cell r="N368" t="str">
            <v>Diego</v>
          </cell>
          <cell r="O368" t="str">
            <v>Carolyn</v>
          </cell>
          <cell r="P368" t="str">
            <v>Diego</v>
          </cell>
          <cell r="Q368" t="str">
            <v>L-PC-USERS</v>
          </cell>
          <cell r="R368" t="str">
            <v>Security</v>
          </cell>
          <cell r="S368">
            <v>200000</v>
          </cell>
          <cell r="T368">
            <v>200000</v>
          </cell>
          <cell r="U368">
            <v>0</v>
          </cell>
          <cell r="V368">
            <v>184616.29</v>
          </cell>
        </row>
        <row r="369">
          <cell r="A369" t="str">
            <v>Protect4S</v>
          </cell>
          <cell r="B369"/>
          <cell r="C369">
            <v>68427709</v>
          </cell>
          <cell r="D369" t="str">
            <v>485073034</v>
          </cell>
          <cell r="E369" t="str">
            <v>Security</v>
          </cell>
          <cell r="F369" t="str">
            <v>Security</v>
          </cell>
          <cell r="G369" t="str">
            <v>SAP suite</v>
          </cell>
          <cell r="H369" t="str">
            <v>APP002949</v>
          </cell>
          <cell r="I369">
            <v>209514</v>
          </cell>
          <cell r="J369" t="str">
            <v>Erp Security B.V.</v>
          </cell>
          <cell r="K369"/>
          <cell r="L369">
            <v>5400978265</v>
          </cell>
          <cell r="M369">
            <v>10</v>
          </cell>
          <cell r="N369" t="str">
            <v>Diego</v>
          </cell>
          <cell r="O369" t="str">
            <v>Carolyn</v>
          </cell>
          <cell r="P369" t="str">
            <v>Diego</v>
          </cell>
          <cell r="Q369" t="str">
            <v>L-SAP-USERS</v>
          </cell>
          <cell r="R369" t="str">
            <v>Security</v>
          </cell>
          <cell r="S369">
            <v>85000</v>
          </cell>
          <cell r="T369">
            <v>85000</v>
          </cell>
          <cell r="U369">
            <v>0</v>
          </cell>
          <cell r="V369">
            <v>78461.919999999998</v>
          </cell>
        </row>
        <row r="370">
          <cell r="A370" t="str">
            <v>Recurring Security Assessments</v>
          </cell>
          <cell r="B370"/>
          <cell r="C370">
            <v>68427709</v>
          </cell>
          <cell r="D370" t="str">
            <v>485073034</v>
          </cell>
          <cell r="E370" t="str">
            <v>Security</v>
          </cell>
          <cell r="F370" t="str">
            <v>Security</v>
          </cell>
          <cell r="G370" t="str">
            <v>PC and Connectivity</v>
          </cell>
          <cell r="H370" t="str">
            <v>PCConnectivity</v>
          </cell>
          <cell r="I370">
            <v>181508</v>
          </cell>
          <cell r="J370" t="str">
            <v>PWC Advisory</v>
          </cell>
          <cell r="K370"/>
          <cell r="L370">
            <v>5400976383</v>
          </cell>
          <cell r="M370">
            <v>10</v>
          </cell>
          <cell r="N370" t="str">
            <v>Diego</v>
          </cell>
          <cell r="O370" t="str">
            <v>Carolyn</v>
          </cell>
          <cell r="P370" t="str">
            <v>Diego</v>
          </cell>
          <cell r="Q370" t="str">
            <v>L-PC-USERS</v>
          </cell>
          <cell r="R370" t="str">
            <v>Security</v>
          </cell>
          <cell r="S370">
            <v>50000</v>
          </cell>
          <cell r="T370">
            <v>50000</v>
          </cell>
          <cell r="U370">
            <v>0</v>
          </cell>
          <cell r="V370">
            <v>46154.07</v>
          </cell>
        </row>
        <row r="371">
          <cell r="A371" t="str">
            <v>Saviynt dedicated support team (EUC)</v>
          </cell>
          <cell r="B371"/>
          <cell r="C371">
            <v>68427709</v>
          </cell>
          <cell r="D371" t="str">
            <v>485074001</v>
          </cell>
          <cell r="E371" t="str">
            <v>Accenture Appl. supp</v>
          </cell>
          <cell r="F371" t="str">
            <v>Application Support</v>
          </cell>
          <cell r="G371"/>
          <cell r="H371" t="str">
            <v>APP002649</v>
          </cell>
          <cell r="I371">
            <v>187516</v>
          </cell>
          <cell r="J371" t="str">
            <v>Accenture</v>
          </cell>
          <cell r="K371"/>
          <cell r="L371">
            <v>5401001779</v>
          </cell>
          <cell r="M371">
            <v>10</v>
          </cell>
          <cell r="N371" t="str">
            <v>Diego</v>
          </cell>
          <cell r="O371" t="str">
            <v>Carolyn</v>
          </cell>
          <cell r="P371" t="str">
            <v>Diego</v>
          </cell>
          <cell r="Q371" t="str">
            <v>L-PC-USERS</v>
          </cell>
          <cell r="R371" t="str">
            <v>Security</v>
          </cell>
          <cell r="S371">
            <v>130000</v>
          </cell>
          <cell r="T371">
            <v>130000</v>
          </cell>
          <cell r="U371">
            <v>0</v>
          </cell>
          <cell r="V371">
            <v>120000.59</v>
          </cell>
        </row>
        <row r="372">
          <cell r="A372" t="str">
            <v>SoftwareOne</v>
          </cell>
          <cell r="C372">
            <v>68427709</v>
          </cell>
          <cell r="D372" t="str">
            <v>485073034</v>
          </cell>
          <cell r="E372" t="str">
            <v>Security</v>
          </cell>
          <cell r="F372" t="str">
            <v>Security</v>
          </cell>
          <cell r="G372" t="str">
            <v>Factory Security</v>
          </cell>
          <cell r="H372" t="str">
            <v>Music3</v>
          </cell>
          <cell r="J372"/>
          <cell r="K372"/>
          <cell r="L372"/>
          <cell r="M372"/>
          <cell r="N372" t="str">
            <v>Diego</v>
          </cell>
          <cell r="O372" t="str">
            <v>Music3</v>
          </cell>
          <cell r="P372" t="str">
            <v>Diego</v>
          </cell>
          <cell r="Q372" t="str">
            <v>L-FACTORIES-SIZE</v>
          </cell>
          <cell r="R372" t="str">
            <v>Music3</v>
          </cell>
          <cell r="S372"/>
          <cell r="T372">
            <v>62500</v>
          </cell>
          <cell r="U372">
            <v>62500</v>
          </cell>
          <cell r="V372">
            <v>62500</v>
          </cell>
        </row>
        <row r="373">
          <cell r="A373" t="str">
            <v>Symantec Advanced Threat Protection</v>
          </cell>
          <cell r="B373" t="str">
            <v>CW9402</v>
          </cell>
          <cell r="C373">
            <v>68427709</v>
          </cell>
          <cell r="D373" t="str">
            <v>485073034</v>
          </cell>
          <cell r="E373" t="str">
            <v>Security</v>
          </cell>
          <cell r="F373" t="str">
            <v>Security</v>
          </cell>
          <cell r="G373"/>
          <cell r="H373" t="str">
            <v>APP002630</v>
          </cell>
          <cell r="I373">
            <v>152539</v>
          </cell>
          <cell r="J373" t="str">
            <v>Insight Enterprise Netherlands B.V.</v>
          </cell>
          <cell r="K373"/>
          <cell r="L373">
            <v>5400922801</v>
          </cell>
          <cell r="M373">
            <v>20</v>
          </cell>
          <cell r="N373" t="str">
            <v>Diego</v>
          </cell>
          <cell r="O373" t="str">
            <v>Carolyn</v>
          </cell>
          <cell r="P373" t="str">
            <v>Diego</v>
          </cell>
          <cell r="Q373" t="str">
            <v>L-PC-USERS</v>
          </cell>
          <cell r="R373" t="str">
            <v>Security</v>
          </cell>
          <cell r="S373">
            <v>45000</v>
          </cell>
          <cell r="T373">
            <v>45000</v>
          </cell>
          <cell r="U373">
            <v>0</v>
          </cell>
          <cell r="V373">
            <v>41538.67</v>
          </cell>
        </row>
        <row r="374">
          <cell r="A374" t="str">
            <v>Vulnerability scanning: Qualys Run Support</v>
          </cell>
          <cell r="B374" t="str">
            <v>CW4342</v>
          </cell>
          <cell r="C374">
            <v>68427709</v>
          </cell>
          <cell r="D374" t="str">
            <v>485073034</v>
          </cell>
          <cell r="E374" t="str">
            <v>Security</v>
          </cell>
          <cell r="F374" t="str">
            <v>Security</v>
          </cell>
          <cell r="G374"/>
          <cell r="H374" t="str">
            <v>APP000007</v>
          </cell>
          <cell r="I374"/>
          <cell r="J374"/>
          <cell r="K374"/>
          <cell r="L374"/>
          <cell r="M374"/>
          <cell r="N374" t="str">
            <v>Diego</v>
          </cell>
          <cell r="O374" t="str">
            <v>Carolyn</v>
          </cell>
          <cell r="P374" t="str">
            <v>Diego</v>
          </cell>
          <cell r="Q374" t="str">
            <v>L-PC-USERS</v>
          </cell>
          <cell r="R374" t="str">
            <v>Security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</row>
        <row r="375">
          <cell r="A375" t="str">
            <v>OT Governance &amp; Service Delivery</v>
          </cell>
          <cell r="C375">
            <v>68427709</v>
          </cell>
          <cell r="D375" t="str">
            <v>485074005</v>
          </cell>
          <cell r="E375" t="str">
            <v>Software li oth appl</v>
          </cell>
          <cell r="F375" t="str">
            <v>Application Support</v>
          </cell>
          <cell r="G375" t="str">
            <v>Factory Security</v>
          </cell>
          <cell r="H375" t="str">
            <v>Music3</v>
          </cell>
          <cell r="J375"/>
          <cell r="K375"/>
          <cell r="L375"/>
          <cell r="M375"/>
          <cell r="N375" t="str">
            <v>Oscar</v>
          </cell>
          <cell r="O375" t="str">
            <v>Music3</v>
          </cell>
          <cell r="P375" t="str">
            <v>Oscar</v>
          </cell>
          <cell r="Q375" t="str">
            <v>L-FACTORIES-SIZE</v>
          </cell>
          <cell r="R375" t="str">
            <v>Music3</v>
          </cell>
          <cell r="S375"/>
          <cell r="T375">
            <v>194400</v>
          </cell>
          <cell r="U375">
            <v>194400</v>
          </cell>
          <cell r="V375">
            <v>194400</v>
          </cell>
        </row>
        <row r="376">
          <cell r="A376" t="str">
            <v>Opswat</v>
          </cell>
          <cell r="C376">
            <v>68427709</v>
          </cell>
          <cell r="D376" t="str">
            <v>485074005</v>
          </cell>
          <cell r="E376" t="str">
            <v>Software li oth appl</v>
          </cell>
          <cell r="F376" t="str">
            <v>Application Support</v>
          </cell>
          <cell r="G376" t="str">
            <v>Factory Security</v>
          </cell>
          <cell r="H376" t="str">
            <v>Music3</v>
          </cell>
          <cell r="J376"/>
          <cell r="K376"/>
          <cell r="L376"/>
          <cell r="M376"/>
          <cell r="N376" t="str">
            <v>Oscar</v>
          </cell>
          <cell r="O376" t="str">
            <v>Music3</v>
          </cell>
          <cell r="P376" t="str">
            <v>Oscar</v>
          </cell>
          <cell r="Q376" t="str">
            <v>L-FACTORIES-SIZE</v>
          </cell>
          <cell r="R376" t="str">
            <v>Music3</v>
          </cell>
          <cell r="S376"/>
          <cell r="T376">
            <v>0</v>
          </cell>
          <cell r="U376">
            <v>0</v>
          </cell>
          <cell r="V376">
            <v>0</v>
          </cell>
        </row>
        <row r="377">
          <cell r="A377" t="str">
            <v>RDS service (Beyond Trust)</v>
          </cell>
          <cell r="C377">
            <v>68427709</v>
          </cell>
          <cell r="D377" t="str">
            <v>485074005</v>
          </cell>
          <cell r="E377" t="str">
            <v>Software li oth appl</v>
          </cell>
          <cell r="F377" t="str">
            <v>Application Support</v>
          </cell>
          <cell r="G377" t="str">
            <v>Factory Security</v>
          </cell>
          <cell r="H377" t="str">
            <v>Music3</v>
          </cell>
          <cell r="J377"/>
          <cell r="K377"/>
          <cell r="L377"/>
          <cell r="M377"/>
          <cell r="N377" t="str">
            <v>Oscar</v>
          </cell>
          <cell r="O377" t="str">
            <v>Music3</v>
          </cell>
          <cell r="P377" t="str">
            <v>Oscar</v>
          </cell>
          <cell r="Q377" t="str">
            <v>L-FACTORIES-SIZE</v>
          </cell>
          <cell r="R377" t="str">
            <v>Music3</v>
          </cell>
          <cell r="S377"/>
          <cell r="T377">
            <v>0</v>
          </cell>
          <cell r="U377">
            <v>0</v>
          </cell>
          <cell r="V377">
            <v>0</v>
          </cell>
        </row>
        <row r="378">
          <cell r="A378" t="str">
            <v>Microsoft Hybrid Server, Cloud Enrollment, Basic user license - For OT</v>
          </cell>
          <cell r="C378">
            <v>68427709</v>
          </cell>
          <cell r="D378" t="str">
            <v>485074005</v>
          </cell>
          <cell r="E378" t="str">
            <v>Software li oth appl</v>
          </cell>
          <cell r="F378" t="str">
            <v>Application Support</v>
          </cell>
          <cell r="G378" t="str">
            <v>Factory Security</v>
          </cell>
          <cell r="H378" t="str">
            <v>Music3</v>
          </cell>
          <cell r="J378"/>
          <cell r="K378"/>
          <cell r="L378"/>
          <cell r="M378"/>
          <cell r="N378" t="str">
            <v>Oscar</v>
          </cell>
          <cell r="O378" t="str">
            <v>Music3</v>
          </cell>
          <cell r="P378" t="str">
            <v>Oscar</v>
          </cell>
          <cell r="Q378" t="str">
            <v>L-FACTORIES-SIZE</v>
          </cell>
          <cell r="R378" t="str">
            <v>Music3</v>
          </cell>
          <cell r="S378"/>
          <cell r="T378">
            <v>97200</v>
          </cell>
          <cell r="U378">
            <v>97200</v>
          </cell>
          <cell r="V378">
            <v>97200</v>
          </cell>
        </row>
        <row r="379">
          <cell r="A379" t="str">
            <v>OT Azure Tennant support</v>
          </cell>
          <cell r="C379">
            <v>68427709</v>
          </cell>
          <cell r="D379" t="str">
            <v>485074005</v>
          </cell>
          <cell r="E379" t="str">
            <v>Software li oth appl</v>
          </cell>
          <cell r="F379" t="str">
            <v>Application Support</v>
          </cell>
          <cell r="G379" t="str">
            <v>Factory Security</v>
          </cell>
          <cell r="H379" t="str">
            <v>Music3</v>
          </cell>
          <cell r="J379"/>
          <cell r="K379"/>
          <cell r="L379"/>
          <cell r="M379"/>
          <cell r="N379" t="str">
            <v>Oscar</v>
          </cell>
          <cell r="O379" t="str">
            <v>Music3</v>
          </cell>
          <cell r="P379" t="str">
            <v>Oscar</v>
          </cell>
          <cell r="Q379" t="str">
            <v>L-FACTORIES-SIZE</v>
          </cell>
          <cell r="R379" t="str">
            <v>Music3</v>
          </cell>
          <cell r="S379"/>
          <cell r="T379">
            <v>96000</v>
          </cell>
          <cell r="U379">
            <v>96000</v>
          </cell>
          <cell r="V379">
            <v>96000</v>
          </cell>
        </row>
        <row r="380">
          <cell r="A380" t="str">
            <v>Redhat Enterprise linux licenses (per MU)</v>
          </cell>
          <cell r="C380">
            <v>68427709</v>
          </cell>
          <cell r="D380" t="str">
            <v>485074005</v>
          </cell>
          <cell r="E380" t="str">
            <v>Software li oth appl</v>
          </cell>
          <cell r="F380" t="str">
            <v>Application Support</v>
          </cell>
          <cell r="G380" t="str">
            <v>Factory Security</v>
          </cell>
          <cell r="H380" t="str">
            <v>Music3</v>
          </cell>
          <cell r="J380"/>
          <cell r="K380"/>
          <cell r="L380"/>
          <cell r="M380"/>
          <cell r="N380" t="str">
            <v>Oscar</v>
          </cell>
          <cell r="O380" t="str">
            <v>Music3</v>
          </cell>
          <cell r="P380" t="str">
            <v>Oscar</v>
          </cell>
          <cell r="Q380" t="str">
            <v>L-FACTORIES-SIZE</v>
          </cell>
          <cell r="R380" t="str">
            <v>Music3</v>
          </cell>
          <cell r="S380"/>
          <cell r="T380">
            <v>40000</v>
          </cell>
          <cell r="U380">
            <v>40000</v>
          </cell>
          <cell r="V380">
            <v>40000</v>
          </cell>
        </row>
        <row r="381">
          <cell r="A381" t="str">
            <v>Managed OT RAS Service</v>
          </cell>
          <cell r="C381">
            <v>68427709</v>
          </cell>
          <cell r="D381" t="str">
            <v>485074005</v>
          </cell>
          <cell r="E381" t="str">
            <v>Software li oth appl</v>
          </cell>
          <cell r="F381" t="str">
            <v>Application Support</v>
          </cell>
          <cell r="G381" t="str">
            <v>Factory Security</v>
          </cell>
          <cell r="H381" t="str">
            <v>Music3</v>
          </cell>
          <cell r="J381"/>
          <cell r="K381"/>
          <cell r="L381"/>
          <cell r="M381"/>
          <cell r="N381" t="str">
            <v>Oscar</v>
          </cell>
          <cell r="O381" t="str">
            <v>Music3</v>
          </cell>
          <cell r="P381" t="str">
            <v>Oscar</v>
          </cell>
          <cell r="Q381" t="str">
            <v>L-FACTORIES-SIZE</v>
          </cell>
          <cell r="R381" t="str">
            <v>Music3</v>
          </cell>
          <cell r="S381"/>
          <cell r="T381">
            <v>43529</v>
          </cell>
          <cell r="U381">
            <v>43529</v>
          </cell>
          <cell r="V381">
            <v>43529</v>
          </cell>
        </row>
        <row r="382">
          <cell r="A382" t="str">
            <v>Network operations improvement</v>
          </cell>
          <cell r="C382">
            <v>68427709</v>
          </cell>
          <cell r="D382" t="str">
            <v>485074005</v>
          </cell>
          <cell r="E382" t="str">
            <v>Software li oth appl</v>
          </cell>
          <cell r="F382" t="str">
            <v>Application Support</v>
          </cell>
          <cell r="G382" t="str">
            <v>Factory Security</v>
          </cell>
          <cell r="H382" t="str">
            <v>Music3</v>
          </cell>
          <cell r="J382"/>
          <cell r="K382"/>
          <cell r="L382"/>
          <cell r="M382"/>
          <cell r="N382" t="str">
            <v>Oscar</v>
          </cell>
          <cell r="O382" t="str">
            <v>Music3</v>
          </cell>
          <cell r="P382" t="str">
            <v>Oscar</v>
          </cell>
          <cell r="Q382" t="str">
            <v>L-FACTORIES-SIZE</v>
          </cell>
          <cell r="R382" t="str">
            <v>Music3</v>
          </cell>
          <cell r="S382"/>
          <cell r="T382">
            <v>0</v>
          </cell>
          <cell r="U382">
            <v>0</v>
          </cell>
          <cell r="V382">
            <v>0</v>
          </cell>
        </row>
        <row r="383">
          <cell r="A383" t="str">
            <v>Veeam Licenses (Advanced)</v>
          </cell>
          <cell r="C383">
            <v>68427709</v>
          </cell>
          <cell r="D383" t="str">
            <v>485074005</v>
          </cell>
          <cell r="E383" t="str">
            <v>Software li oth appl</v>
          </cell>
          <cell r="F383" t="str">
            <v>Application Support</v>
          </cell>
          <cell r="G383" t="str">
            <v>Factory Security</v>
          </cell>
          <cell r="H383" t="str">
            <v>Music3</v>
          </cell>
          <cell r="J383"/>
          <cell r="K383"/>
          <cell r="L383"/>
          <cell r="M383"/>
          <cell r="N383" t="str">
            <v>Oscar</v>
          </cell>
          <cell r="O383" t="str">
            <v>Music3</v>
          </cell>
          <cell r="P383" t="str">
            <v>Oscar</v>
          </cell>
          <cell r="Q383" t="str">
            <v>L-FACTORIES-SIZE</v>
          </cell>
          <cell r="R383" t="str">
            <v>Music3</v>
          </cell>
          <cell r="S383"/>
          <cell r="T383"/>
          <cell r="U383">
            <v>0</v>
          </cell>
          <cell r="V383">
            <v>0</v>
          </cell>
        </row>
        <row r="384">
          <cell r="A384" t="str">
            <v>Cloud network elements support</v>
          </cell>
          <cell r="C384">
            <v>68427709</v>
          </cell>
          <cell r="D384" t="str">
            <v>485074005</v>
          </cell>
          <cell r="E384" t="str">
            <v>Software li oth appl</v>
          </cell>
          <cell r="F384" t="str">
            <v>Application Support</v>
          </cell>
          <cell r="G384" t="str">
            <v>Factory Security</v>
          </cell>
          <cell r="H384" t="str">
            <v>Music3</v>
          </cell>
          <cell r="J384"/>
          <cell r="K384"/>
          <cell r="L384"/>
          <cell r="M384"/>
          <cell r="N384" t="str">
            <v>Oscar</v>
          </cell>
          <cell r="O384" t="str">
            <v>Music3</v>
          </cell>
          <cell r="P384" t="str">
            <v>Oscar</v>
          </cell>
          <cell r="Q384" t="str">
            <v>L-FACTORIES-SIZE</v>
          </cell>
          <cell r="R384" t="str">
            <v>Music3</v>
          </cell>
          <cell r="S384"/>
          <cell r="T384">
            <v>0</v>
          </cell>
          <cell r="U384">
            <v>0</v>
          </cell>
          <cell r="V384">
            <v>0</v>
          </cell>
        </row>
        <row r="385">
          <cell r="A385" t="str">
            <v>ISE support for factories (central and local)</v>
          </cell>
          <cell r="C385">
            <v>68427709</v>
          </cell>
          <cell r="D385" t="str">
            <v>485074005</v>
          </cell>
          <cell r="E385" t="str">
            <v>Software li oth appl</v>
          </cell>
          <cell r="F385" t="str">
            <v>Application Support</v>
          </cell>
          <cell r="G385" t="str">
            <v>Factory Security</v>
          </cell>
          <cell r="H385" t="str">
            <v>Music3</v>
          </cell>
          <cell r="I385">
            <v>187516</v>
          </cell>
          <cell r="J385" t="str">
            <v>Accenture</v>
          </cell>
          <cell r="L385"/>
          <cell r="M385"/>
          <cell r="N385" t="str">
            <v>Oscar</v>
          </cell>
          <cell r="O385" t="str">
            <v>Music3</v>
          </cell>
          <cell r="P385" t="str">
            <v>Oscar</v>
          </cell>
          <cell r="Q385" t="str">
            <v>L-FACTORIES-SIZE</v>
          </cell>
          <cell r="R385" t="str">
            <v>Music3</v>
          </cell>
          <cell r="S385"/>
          <cell r="T385">
            <v>16000</v>
          </cell>
          <cell r="U385">
            <v>16000</v>
          </cell>
          <cell r="V385">
            <v>16000</v>
          </cell>
        </row>
        <row r="386">
          <cell r="A386" t="str">
            <v>PKI service</v>
          </cell>
          <cell r="C386">
            <v>68427709</v>
          </cell>
          <cell r="D386" t="str">
            <v>485074005</v>
          </cell>
          <cell r="E386" t="str">
            <v>Software li oth appl</v>
          </cell>
          <cell r="F386" t="str">
            <v>Application Support</v>
          </cell>
          <cell r="G386" t="str">
            <v>Factory Security</v>
          </cell>
          <cell r="H386" t="str">
            <v>Music3</v>
          </cell>
          <cell r="J386"/>
          <cell r="K386"/>
          <cell r="L386"/>
          <cell r="M386"/>
          <cell r="N386" t="str">
            <v>Oscar</v>
          </cell>
          <cell r="O386" t="str">
            <v>Music3</v>
          </cell>
          <cell r="P386" t="str">
            <v>Oscar</v>
          </cell>
          <cell r="Q386" t="str">
            <v>L-FACTORIES-SIZE</v>
          </cell>
          <cell r="R386" t="str">
            <v>Music3</v>
          </cell>
          <cell r="S386"/>
          <cell r="T386">
            <v>31560</v>
          </cell>
          <cell r="U386">
            <v>31560</v>
          </cell>
          <cell r="V386">
            <v>31560</v>
          </cell>
        </row>
        <row r="387">
          <cell r="A387" t="str">
            <v>VMWare licenses</v>
          </cell>
          <cell r="C387">
            <v>68427709</v>
          </cell>
          <cell r="D387" t="str">
            <v>485074005</v>
          </cell>
          <cell r="E387" t="str">
            <v>Software li oth appl</v>
          </cell>
          <cell r="F387" t="str">
            <v>Application Support</v>
          </cell>
          <cell r="G387" t="str">
            <v>Factory Security</v>
          </cell>
          <cell r="H387" t="str">
            <v>Music3</v>
          </cell>
          <cell r="J387"/>
          <cell r="K387"/>
          <cell r="L387"/>
          <cell r="M387"/>
          <cell r="N387" t="str">
            <v>Oscar</v>
          </cell>
          <cell r="O387" t="str">
            <v>Music3</v>
          </cell>
          <cell r="P387" t="str">
            <v>Oscar</v>
          </cell>
          <cell r="Q387" t="str">
            <v>L-FACTORIES-SIZE</v>
          </cell>
          <cell r="R387" t="str">
            <v>Music3</v>
          </cell>
          <cell r="S387"/>
          <cell r="T387">
            <v>20000</v>
          </cell>
          <cell r="U387">
            <v>20000</v>
          </cell>
          <cell r="V387">
            <v>20000</v>
          </cell>
        </row>
        <row r="388">
          <cell r="A388" t="str">
            <v>Checkpoint firewall (Cloudguard) on OT DMZ support</v>
          </cell>
          <cell r="C388">
            <v>68427709</v>
          </cell>
          <cell r="D388" t="str">
            <v>485074005</v>
          </cell>
          <cell r="E388" t="str">
            <v>Software li oth appl</v>
          </cell>
          <cell r="F388" t="str">
            <v>Application Support</v>
          </cell>
          <cell r="G388" t="str">
            <v>Factory Security</v>
          </cell>
          <cell r="H388" t="str">
            <v>Music3</v>
          </cell>
          <cell r="J388"/>
          <cell r="K388"/>
          <cell r="L388"/>
          <cell r="M388"/>
          <cell r="N388" t="str">
            <v>Oscar</v>
          </cell>
          <cell r="O388" t="str">
            <v>Music3</v>
          </cell>
          <cell r="P388" t="str">
            <v>Oscar</v>
          </cell>
          <cell r="Q388" t="str">
            <v>L-FACTORIES-SIZE</v>
          </cell>
          <cell r="R388" t="str">
            <v>Music3</v>
          </cell>
          <cell r="S388"/>
          <cell r="T388">
            <v>13000</v>
          </cell>
          <cell r="U388">
            <v>13000</v>
          </cell>
          <cell r="V388">
            <v>13000</v>
          </cell>
        </row>
        <row r="389">
          <cell r="A389" t="str">
            <v>Checkpoint APPSEC support for factories</v>
          </cell>
          <cell r="C389">
            <v>68427709</v>
          </cell>
          <cell r="D389" t="str">
            <v>485074005</v>
          </cell>
          <cell r="E389" t="str">
            <v>Software li oth appl</v>
          </cell>
          <cell r="F389" t="str">
            <v>Application Support</v>
          </cell>
          <cell r="G389" t="str">
            <v>Factory Security</v>
          </cell>
          <cell r="H389" t="str">
            <v>Music3</v>
          </cell>
          <cell r="J389"/>
          <cell r="K389"/>
          <cell r="L389"/>
          <cell r="M389"/>
          <cell r="N389" t="str">
            <v>Oscar</v>
          </cell>
          <cell r="O389" t="str">
            <v>Music3</v>
          </cell>
          <cell r="P389" t="str">
            <v>Oscar</v>
          </cell>
          <cell r="Q389" t="str">
            <v>L-FACTORIES-SIZE</v>
          </cell>
          <cell r="R389" t="str">
            <v>Music3</v>
          </cell>
          <cell r="S389"/>
          <cell r="T389">
            <v>7000</v>
          </cell>
          <cell r="U389">
            <v>7000</v>
          </cell>
          <cell r="V389">
            <v>7000</v>
          </cell>
        </row>
        <row r="390">
          <cell r="A390" t="str">
            <v>OT file share service</v>
          </cell>
          <cell r="C390">
            <v>68427709</v>
          </cell>
          <cell r="D390" t="str">
            <v>485074005</v>
          </cell>
          <cell r="E390" t="str">
            <v>Software li oth appl</v>
          </cell>
          <cell r="F390" t="str">
            <v>Application Support</v>
          </cell>
          <cell r="G390" t="str">
            <v>Factory Security</v>
          </cell>
          <cell r="H390" t="str">
            <v>Music3</v>
          </cell>
          <cell r="J390"/>
          <cell r="K390"/>
          <cell r="L390"/>
          <cell r="M390"/>
          <cell r="N390" t="str">
            <v>Oscar</v>
          </cell>
          <cell r="O390" t="str">
            <v>Music3</v>
          </cell>
          <cell r="P390" t="str">
            <v>Oscar</v>
          </cell>
          <cell r="Q390" t="str">
            <v>L-FACTORIES-SIZE</v>
          </cell>
          <cell r="R390" t="str">
            <v>Music3</v>
          </cell>
          <cell r="S390"/>
          <cell r="T390">
            <v>7000</v>
          </cell>
          <cell r="U390">
            <v>7000</v>
          </cell>
          <cell r="V390">
            <v>7000</v>
          </cell>
        </row>
        <row r="391">
          <cell r="A391" t="str">
            <v>Redhat Enterprise linux licenses (DMZ)</v>
          </cell>
          <cell r="C391">
            <v>68427709</v>
          </cell>
          <cell r="D391" t="str">
            <v>485074005</v>
          </cell>
          <cell r="E391" t="str">
            <v>Software li oth appl</v>
          </cell>
          <cell r="F391" t="str">
            <v>Application Support</v>
          </cell>
          <cell r="G391" t="str">
            <v>Factory Security</v>
          </cell>
          <cell r="H391" t="str">
            <v>Music3</v>
          </cell>
          <cell r="J391"/>
          <cell r="K391"/>
          <cell r="L391"/>
          <cell r="M391"/>
          <cell r="N391" t="str">
            <v>Oscar</v>
          </cell>
          <cell r="O391" t="str">
            <v>Music3</v>
          </cell>
          <cell r="P391" t="str">
            <v>Oscar</v>
          </cell>
          <cell r="Q391" t="str">
            <v>L-FACTORIES-SIZE</v>
          </cell>
          <cell r="R391" t="str">
            <v>Music3</v>
          </cell>
          <cell r="S391"/>
          <cell r="T391">
            <v>828</v>
          </cell>
          <cell r="U391">
            <v>828</v>
          </cell>
          <cell r="V391">
            <v>828</v>
          </cell>
        </row>
        <row r="392">
          <cell r="A392" t="str">
            <v xml:space="preserve">WLC support for factories </v>
          </cell>
          <cell r="C392">
            <v>68427709</v>
          </cell>
          <cell r="D392" t="str">
            <v>485074005</v>
          </cell>
          <cell r="E392" t="str">
            <v>Software li oth appl</v>
          </cell>
          <cell r="F392" t="str">
            <v>Application Support</v>
          </cell>
          <cell r="G392" t="str">
            <v>Factory Security</v>
          </cell>
          <cell r="H392" t="str">
            <v>Music3</v>
          </cell>
          <cell r="J392"/>
          <cell r="K392"/>
          <cell r="L392"/>
          <cell r="M392"/>
          <cell r="N392" t="str">
            <v>Oscar</v>
          </cell>
          <cell r="O392" t="str">
            <v>Music3</v>
          </cell>
          <cell r="P392" t="str">
            <v>Oscar</v>
          </cell>
          <cell r="Q392" t="str">
            <v>L-FACTORIES-SIZE</v>
          </cell>
          <cell r="R392" t="str">
            <v>Music3</v>
          </cell>
          <cell r="S392"/>
          <cell r="T392">
            <v>2500</v>
          </cell>
          <cell r="U392">
            <v>2500</v>
          </cell>
          <cell r="V392">
            <v>2500</v>
          </cell>
        </row>
        <row r="393">
          <cell r="A393" t="str">
            <v>Avensus</v>
          </cell>
          <cell r="C393">
            <v>68427709</v>
          </cell>
          <cell r="D393" t="str">
            <v>485074005</v>
          </cell>
          <cell r="E393" t="str">
            <v>Software li oth appl</v>
          </cell>
          <cell r="F393" t="str">
            <v>Application Support</v>
          </cell>
          <cell r="G393" t="str">
            <v>Factory Security</v>
          </cell>
          <cell r="H393" t="str">
            <v>Music3</v>
          </cell>
          <cell r="J393"/>
          <cell r="K393"/>
          <cell r="L393"/>
          <cell r="M393"/>
          <cell r="N393" t="str">
            <v>Oscar</v>
          </cell>
          <cell r="O393" t="str">
            <v>Music3</v>
          </cell>
          <cell r="P393" t="str">
            <v>Oscar</v>
          </cell>
          <cell r="Q393" t="str">
            <v>L-FACTORIES-SIZE</v>
          </cell>
          <cell r="R393" t="str">
            <v>Music3</v>
          </cell>
          <cell r="S393"/>
          <cell r="T393">
            <v>0</v>
          </cell>
          <cell r="U393">
            <v>0</v>
          </cell>
          <cell r="V393">
            <v>0</v>
          </cell>
        </row>
        <row r="394">
          <cell r="A394" t="str">
            <v>Redhat Enterprise linux satellite licenses (DMZ)</v>
          </cell>
          <cell r="C394">
            <v>68427709</v>
          </cell>
          <cell r="D394" t="str">
            <v>485074005</v>
          </cell>
          <cell r="E394" t="str">
            <v>Software li oth appl</v>
          </cell>
          <cell r="F394" t="str">
            <v>Application Support</v>
          </cell>
          <cell r="G394" t="str">
            <v>Factory Security</v>
          </cell>
          <cell r="H394" t="str">
            <v>Music3</v>
          </cell>
          <cell r="J394"/>
          <cell r="K394"/>
          <cell r="L394"/>
          <cell r="M394"/>
          <cell r="N394" t="str">
            <v>Oscar</v>
          </cell>
          <cell r="O394" t="str">
            <v>Music3</v>
          </cell>
          <cell r="P394" t="str">
            <v>Oscar</v>
          </cell>
          <cell r="Q394" t="str">
            <v>L-FACTORIES-SIZE</v>
          </cell>
          <cell r="R394" t="str">
            <v>Music3</v>
          </cell>
          <cell r="S394"/>
          <cell r="T394">
            <v>600</v>
          </cell>
          <cell r="U394">
            <v>600</v>
          </cell>
          <cell r="V394">
            <v>600</v>
          </cell>
        </row>
        <row r="395">
          <cell r="A395" t="str">
            <v>Seeburger service cost</v>
          </cell>
          <cell r="C395">
            <v>68427709</v>
          </cell>
          <cell r="D395" t="str">
            <v>485074005</v>
          </cell>
          <cell r="E395" t="str">
            <v>Software li oth appl</v>
          </cell>
          <cell r="F395" t="str">
            <v>Application Support</v>
          </cell>
          <cell r="G395" t="str">
            <v>Factory Security</v>
          </cell>
          <cell r="H395" t="str">
            <v>Music3</v>
          </cell>
          <cell r="J395"/>
          <cell r="K395"/>
          <cell r="L395"/>
          <cell r="M395"/>
          <cell r="N395" t="str">
            <v>Roberto</v>
          </cell>
          <cell r="O395" t="str">
            <v>Music3</v>
          </cell>
          <cell r="P395" t="str">
            <v>Roberto</v>
          </cell>
          <cell r="Q395" t="str">
            <v>L-FACTORIES-SIZE</v>
          </cell>
          <cell r="R395" t="str">
            <v>Music3</v>
          </cell>
          <cell r="S395"/>
          <cell r="T395">
            <v>40000</v>
          </cell>
          <cell r="U395">
            <v>40000</v>
          </cell>
          <cell r="V395">
            <v>40000</v>
          </cell>
        </row>
        <row r="396">
          <cell r="S396">
            <v>1772700</v>
          </cell>
          <cell r="T396">
            <v>2307003</v>
          </cell>
          <cell r="U396">
            <v>534303</v>
          </cell>
          <cell r="V396">
            <v>2153589</v>
          </cell>
        </row>
      </sheetData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BF5D4-82B1-4696-8A78-18421BEF531F}">
  <sheetPr codeName="Sheet18" filterMode="1">
    <tabColor rgb="FF92D050"/>
  </sheetPr>
  <dimension ref="A1:AI41"/>
  <sheetViews>
    <sheetView showGridLines="0" tabSelected="1" zoomScale="130" zoomScaleNormal="130" workbookViewId="0">
      <selection activeCell="B14" sqref="B14"/>
    </sheetView>
  </sheetViews>
  <sheetFormatPr defaultColWidth="24.42578125" defaultRowHeight="15" customHeight="1" x14ac:dyDescent="0.25"/>
  <cols>
    <col min="1" max="1" width="9" bestFit="1" customWidth="1"/>
    <col min="2" max="2" width="15" bestFit="1" customWidth="1"/>
    <col min="3" max="3" width="55.140625" customWidth="1"/>
    <col min="4" max="4" width="19.42578125" hidden="1" customWidth="1"/>
    <col min="5" max="6" width="13.42578125" hidden="1" customWidth="1"/>
    <col min="7" max="7" width="29.42578125" hidden="1" customWidth="1"/>
    <col min="8" max="8" width="24.42578125" hidden="1" customWidth="1"/>
    <col min="9" max="9" width="10.42578125" hidden="1" customWidth="1"/>
    <col min="10" max="10" width="11.42578125" hidden="1" customWidth="1"/>
    <col min="11" max="11" width="12.42578125" hidden="1" customWidth="1"/>
    <col min="12" max="12" width="21.42578125" hidden="1" customWidth="1"/>
    <col min="13" max="13" width="13.42578125" style="3" hidden="1" customWidth="1"/>
    <col min="14" max="14" width="7" style="3" hidden="1" customWidth="1"/>
    <col min="15" max="15" width="9.28515625" style="3" hidden="1" customWidth="1"/>
    <col min="16" max="17" width="11.42578125" hidden="1" customWidth="1"/>
    <col min="18" max="18" width="14.85546875" hidden="1" customWidth="1"/>
    <col min="19" max="19" width="11.7109375" hidden="1" customWidth="1"/>
    <col min="20" max="20" width="14.42578125" style="2" hidden="1" customWidth="1"/>
    <col min="21" max="21" width="24.42578125" style="2" hidden="1" customWidth="1"/>
    <col min="22" max="23" width="15.42578125" style="2" hidden="1" customWidth="1"/>
    <col min="24" max="24" width="19.85546875" style="2" bestFit="1" customWidth="1"/>
    <col min="25" max="25" width="18.7109375" style="2" customWidth="1"/>
    <col min="26" max="26" width="20.28515625" style="2" customWidth="1"/>
    <col min="27" max="28" width="10.42578125" customWidth="1"/>
    <col min="29" max="29" width="51.85546875" style="1" customWidth="1"/>
    <col min="30" max="30" width="24.42578125" customWidth="1"/>
    <col min="31" max="31" width="10.42578125" customWidth="1"/>
    <col min="32" max="32" width="17.42578125" bestFit="1" customWidth="1"/>
    <col min="33" max="33" width="13.42578125" bestFit="1" customWidth="1"/>
    <col min="34" max="34" width="9.42578125" bestFit="1" customWidth="1"/>
    <col min="35" max="35" width="48.42578125" bestFit="1" customWidth="1"/>
  </cols>
  <sheetData>
    <row r="1" spans="1:35" x14ac:dyDescent="0.25">
      <c r="A1" s="63" t="s">
        <v>152</v>
      </c>
      <c r="B1" s="63" t="s">
        <v>151</v>
      </c>
      <c r="C1" s="63" t="s">
        <v>150</v>
      </c>
      <c r="D1" s="63" t="s">
        <v>149</v>
      </c>
      <c r="E1" s="60" t="s">
        <v>148</v>
      </c>
      <c r="F1" s="63" t="s">
        <v>147</v>
      </c>
      <c r="G1" s="63" t="s">
        <v>146</v>
      </c>
      <c r="H1" s="63" t="s">
        <v>145</v>
      </c>
      <c r="I1" s="63" t="s">
        <v>144</v>
      </c>
      <c r="J1" s="63" t="s">
        <v>143</v>
      </c>
      <c r="K1" s="63" t="s">
        <v>142</v>
      </c>
      <c r="L1" s="63" t="s">
        <v>141</v>
      </c>
      <c r="M1" s="63" t="s">
        <v>140</v>
      </c>
      <c r="N1" s="63" t="s">
        <v>139</v>
      </c>
      <c r="O1" s="63" t="s">
        <v>138</v>
      </c>
      <c r="P1" s="63" t="s">
        <v>137</v>
      </c>
      <c r="Q1" s="63" t="s">
        <v>136</v>
      </c>
      <c r="R1" s="62" t="s">
        <v>135</v>
      </c>
      <c r="S1" s="61" t="s">
        <v>134</v>
      </c>
      <c r="T1" s="60" t="s">
        <v>133</v>
      </c>
      <c r="U1" s="60" t="s">
        <v>132</v>
      </c>
      <c r="V1" s="60" t="s">
        <v>131</v>
      </c>
      <c r="W1" s="60" t="s">
        <v>130</v>
      </c>
      <c r="X1" s="60" t="s">
        <v>129</v>
      </c>
      <c r="Y1" s="60" t="s">
        <v>128</v>
      </c>
      <c r="Z1" s="59" t="s">
        <v>127</v>
      </c>
      <c r="AA1" s="58" t="s">
        <v>126</v>
      </c>
      <c r="AB1" s="58" t="s">
        <v>125</v>
      </c>
      <c r="AC1" s="57" t="s">
        <v>124</v>
      </c>
      <c r="AD1" s="56" t="s">
        <v>123</v>
      </c>
      <c r="AE1" s="56" t="s">
        <v>122</v>
      </c>
      <c r="AF1" s="55" t="s">
        <v>121</v>
      </c>
      <c r="AG1" s="55" t="s">
        <v>120</v>
      </c>
      <c r="AH1" s="55" t="s">
        <v>119</v>
      </c>
      <c r="AI1" s="55" t="s">
        <v>118</v>
      </c>
    </row>
    <row r="2" spans="1:35" ht="30" hidden="1" x14ac:dyDescent="0.25">
      <c r="A2" s="30" t="s">
        <v>16</v>
      </c>
      <c r="B2" s="30" t="s">
        <v>15</v>
      </c>
      <c r="C2" s="30" t="s">
        <v>117</v>
      </c>
      <c r="D2" s="30"/>
      <c r="E2" s="30">
        <v>68427709</v>
      </c>
      <c r="F2" s="33" t="s">
        <v>90</v>
      </c>
      <c r="G2" s="29" t="s">
        <v>89</v>
      </c>
      <c r="H2" s="29" t="s">
        <v>22</v>
      </c>
      <c r="I2" s="30" t="s">
        <v>36</v>
      </c>
      <c r="J2" s="30" t="s">
        <v>109</v>
      </c>
      <c r="K2" s="30">
        <v>187516</v>
      </c>
      <c r="L2" s="29" t="s">
        <v>111</v>
      </c>
      <c r="M2" s="31"/>
      <c r="N2" s="31"/>
      <c r="O2" s="31" t="s">
        <v>7</v>
      </c>
      <c r="P2" s="32" t="s">
        <v>7</v>
      </c>
      <c r="Q2" s="88" t="s">
        <v>7</v>
      </c>
      <c r="R2" s="32" t="s">
        <v>33</v>
      </c>
      <c r="S2" s="30" t="s">
        <v>5</v>
      </c>
      <c r="T2" s="91"/>
      <c r="U2" s="25"/>
      <c r="V2" s="25">
        <v>120000</v>
      </c>
      <c r="W2" s="64">
        <f>VLOOKUP(C2,[1]AOP25Reduced!A:V,22,0)</f>
        <v>110769.78</v>
      </c>
      <c r="X2" s="80">
        <v>170000</v>
      </c>
      <c r="Y2" s="80">
        <f t="shared" ref="Y2:Y33" si="0">X2-V2</f>
        <v>50000</v>
      </c>
      <c r="Z2" s="81">
        <f t="shared" ref="Z2:Z33" si="1">X2-W2</f>
        <v>59230.22</v>
      </c>
      <c r="AA2" s="22">
        <f t="shared" ref="AA2:AA10" si="2">IF(B2="New",1,IFERROR(Y2/V2,0))</f>
        <v>0.41666666666666669</v>
      </c>
      <c r="AB2" s="21">
        <f t="shared" ref="AB2:AB10" si="3">IF(C2="New",1,IFERROR(Z2/W2,0))</f>
        <v>0.53471461259560149</v>
      </c>
      <c r="AC2" s="20" t="s">
        <v>153</v>
      </c>
      <c r="AD2" s="19">
        <f>SUMPRODUCT(([1]BIdetails!$J$5:$J$3000=M2)*([1]BIdetails!$K$5:$K$3000=N2)*([1]BIdetails!$M$5:$M$3000))</f>
        <v>0</v>
      </c>
      <c r="AE2" s="18">
        <f t="shared" ref="AE2:AE10" si="4">IF(V2=0,"",(AD2/V2))</f>
        <v>0</v>
      </c>
      <c r="AF2" s="17"/>
      <c r="AG2" s="17"/>
      <c r="AH2" s="17"/>
      <c r="AI2" s="16"/>
    </row>
    <row r="3" spans="1:35" hidden="1" x14ac:dyDescent="0.25">
      <c r="A3" s="30" t="s">
        <v>16</v>
      </c>
      <c r="B3" s="30" t="str">
        <f>IF(U3=V3,"No Change",IF(AND(V3&lt;&gt;0,V3&lt;U3),"Decrease",IF(AND(V3&lt;&gt;0,U3=0),"New",IF(AND(U3&lt;&gt;0,V3=0),"Decommissioned","Increase"))))</f>
        <v>No Change</v>
      </c>
      <c r="C3" s="30" t="s">
        <v>116</v>
      </c>
      <c r="D3" s="30" t="s">
        <v>115</v>
      </c>
      <c r="E3" s="30">
        <v>68427709</v>
      </c>
      <c r="F3" s="33" t="s">
        <v>12</v>
      </c>
      <c r="G3" s="30" t="s">
        <v>5</v>
      </c>
      <c r="H3" s="30" t="s">
        <v>5</v>
      </c>
      <c r="I3" s="30" t="s">
        <v>11</v>
      </c>
      <c r="J3" s="30" t="s">
        <v>10</v>
      </c>
      <c r="K3" s="30">
        <v>187516</v>
      </c>
      <c r="L3" s="29" t="s">
        <v>43</v>
      </c>
      <c r="M3" s="31" t="s">
        <v>114</v>
      </c>
      <c r="N3" s="31">
        <v>20</v>
      </c>
      <c r="O3" s="31" t="s">
        <v>7</v>
      </c>
      <c r="P3" s="30" t="s">
        <v>7</v>
      </c>
      <c r="Q3" s="89" t="s">
        <v>7</v>
      </c>
      <c r="R3" s="30" t="s">
        <v>6</v>
      </c>
      <c r="S3" s="30" t="s">
        <v>5</v>
      </c>
      <c r="T3" s="91">
        <v>200000</v>
      </c>
      <c r="U3" s="25">
        <v>200000</v>
      </c>
      <c r="V3" s="25">
        <v>200000</v>
      </c>
      <c r="W3" s="64">
        <v>184616</v>
      </c>
      <c r="X3" s="25">
        <f t="shared" ref="X3:X8" si="5">W3</f>
        <v>184616</v>
      </c>
      <c r="Y3" s="25">
        <f t="shared" si="0"/>
        <v>-15384</v>
      </c>
      <c r="Z3" s="27">
        <f t="shared" si="1"/>
        <v>0</v>
      </c>
      <c r="AA3" s="22">
        <f t="shared" si="2"/>
        <v>-7.6920000000000002E-2</v>
      </c>
      <c r="AB3" s="21">
        <f t="shared" si="3"/>
        <v>0</v>
      </c>
      <c r="AC3" s="20"/>
      <c r="AD3" s="19">
        <f>SUMPRODUCT(([1]BIdetails!$J$5:$J$3000=M3)*([1]BIdetails!$K$5:$K$3000=N3)*([1]BIdetails!$M$5:$M$3000))</f>
        <v>0</v>
      </c>
      <c r="AE3" s="18">
        <f t="shared" si="4"/>
        <v>0</v>
      </c>
      <c r="AF3" s="17" t="s">
        <v>19</v>
      </c>
      <c r="AG3" s="17" t="s">
        <v>18</v>
      </c>
      <c r="AH3" s="17" t="s">
        <v>17</v>
      </c>
      <c r="AI3" s="16"/>
    </row>
    <row r="4" spans="1:35" hidden="1" x14ac:dyDescent="0.25">
      <c r="A4" s="30" t="s">
        <v>16</v>
      </c>
      <c r="B4" s="30" t="str">
        <f>IF(U4=V4,"No Change",IF(AND(V4&lt;&gt;0,V4&lt;U4),"Decrease",IF(AND(V4&lt;&gt;0,U4=0),"New",IF(AND(U4&lt;&gt;0,V4=0),"Decommissioned","Increase"))))</f>
        <v>No Change</v>
      </c>
      <c r="C4" s="30" t="s">
        <v>113</v>
      </c>
      <c r="D4" s="30" t="s">
        <v>112</v>
      </c>
      <c r="E4" s="30">
        <v>68427709</v>
      </c>
      <c r="F4" s="33" t="s">
        <v>12</v>
      </c>
      <c r="G4" s="30" t="s">
        <v>5</v>
      </c>
      <c r="H4" s="30" t="s">
        <v>5</v>
      </c>
      <c r="I4" s="30" t="s">
        <v>11</v>
      </c>
      <c r="J4" s="30" t="s">
        <v>10</v>
      </c>
      <c r="K4" s="30">
        <v>181508</v>
      </c>
      <c r="L4" s="30" t="s">
        <v>111</v>
      </c>
      <c r="M4" s="31">
        <v>5401100859</v>
      </c>
      <c r="N4" s="31">
        <v>10</v>
      </c>
      <c r="O4" s="31" t="s">
        <v>7</v>
      </c>
      <c r="P4" s="30" t="s">
        <v>7</v>
      </c>
      <c r="Q4" s="89" t="s">
        <v>7</v>
      </c>
      <c r="R4" s="30" t="s">
        <v>6</v>
      </c>
      <c r="S4" s="30" t="s">
        <v>5</v>
      </c>
      <c r="T4" s="91">
        <v>50000</v>
      </c>
      <c r="U4" s="25">
        <v>50000</v>
      </c>
      <c r="V4" s="25">
        <v>50000</v>
      </c>
      <c r="W4" s="65">
        <f>VLOOKUP(C4,[1]AOP25Reduced!A:V,22,0)</f>
        <v>46154.07</v>
      </c>
      <c r="X4" s="25">
        <f t="shared" si="5"/>
        <v>46154.07</v>
      </c>
      <c r="Y4" s="25">
        <f t="shared" si="0"/>
        <v>-3845.9300000000003</v>
      </c>
      <c r="Z4" s="27">
        <f t="shared" si="1"/>
        <v>0</v>
      </c>
      <c r="AA4" s="22">
        <f t="shared" si="2"/>
        <v>-7.6918600000000004E-2</v>
      </c>
      <c r="AB4" s="21">
        <f t="shared" si="3"/>
        <v>0</v>
      </c>
      <c r="AC4" s="20" t="s">
        <v>157</v>
      </c>
      <c r="AD4" s="19">
        <f>SUMPRODUCT(([1]BIdetails!$J$5:$J$3000=M4)*([1]BIdetails!$K$5:$K$3000=N4)*([1]BIdetails!$M$5:$M$3000))</f>
        <v>0</v>
      </c>
      <c r="AE4" s="18">
        <f t="shared" si="4"/>
        <v>0</v>
      </c>
      <c r="AF4" s="17" t="s">
        <v>19</v>
      </c>
      <c r="AG4" s="17" t="s">
        <v>18</v>
      </c>
      <c r="AH4" s="17" t="s">
        <v>17</v>
      </c>
      <c r="AI4" s="16"/>
    </row>
    <row r="5" spans="1:35" hidden="1" x14ac:dyDescent="0.25">
      <c r="A5" s="51" t="s">
        <v>16</v>
      </c>
      <c r="B5" s="51" t="str">
        <f>IF(U5=V5,"No Change",IF(AND(V5&lt;&gt;0,V5&lt;U5),"Decrease",IF(AND(V5&lt;&gt;0,U5=0),"New",IF(AND(U5&lt;&gt;0,V5=0),"Decommissioned","Increase"))))</f>
        <v>No Change</v>
      </c>
      <c r="C5" s="46" t="s">
        <v>110</v>
      </c>
      <c r="D5" s="49"/>
      <c r="E5" s="49">
        <v>68427709</v>
      </c>
      <c r="F5" s="50" t="s">
        <v>90</v>
      </c>
      <c r="G5" s="46" t="s">
        <v>89</v>
      </c>
      <c r="H5" s="46" t="s">
        <v>22</v>
      </c>
      <c r="I5" s="49" t="s">
        <v>36</v>
      </c>
      <c r="J5" s="49" t="s">
        <v>109</v>
      </c>
      <c r="K5" s="49">
        <v>187516</v>
      </c>
      <c r="L5" s="46" t="s">
        <v>43</v>
      </c>
      <c r="M5" s="52">
        <v>5401088459</v>
      </c>
      <c r="N5" s="52">
        <v>170</v>
      </c>
      <c r="O5" s="52" t="s">
        <v>86</v>
      </c>
      <c r="P5" s="49" t="s">
        <v>7</v>
      </c>
      <c r="Q5" s="90" t="s">
        <v>7</v>
      </c>
      <c r="R5" s="32" t="s">
        <v>33</v>
      </c>
      <c r="S5" s="30" t="s">
        <v>5</v>
      </c>
      <c r="T5" s="91">
        <v>50000</v>
      </c>
      <c r="U5" s="25">
        <v>150000</v>
      </c>
      <c r="V5" s="25">
        <v>150000</v>
      </c>
      <c r="W5" s="25">
        <v>138462.22</v>
      </c>
      <c r="X5" s="25">
        <f t="shared" si="5"/>
        <v>138462.22</v>
      </c>
      <c r="Y5" s="25">
        <f t="shared" si="0"/>
        <v>-11537.779999999999</v>
      </c>
      <c r="Z5" s="27">
        <f t="shared" si="1"/>
        <v>0</v>
      </c>
      <c r="AA5" s="22">
        <f t="shared" si="2"/>
        <v>-7.691853333333333E-2</v>
      </c>
      <c r="AB5" s="21">
        <f t="shared" si="3"/>
        <v>0</v>
      </c>
      <c r="AC5" s="20"/>
      <c r="AD5" s="19">
        <f>SUMPRODUCT(([1]BIdetails!$J$5:$J$3000=M5)*([1]BIdetails!$K$5:$K$3000=N5)*([1]BIdetails!$M$5:$M$3000))</f>
        <v>0</v>
      </c>
      <c r="AE5" s="18">
        <f t="shared" si="4"/>
        <v>0</v>
      </c>
      <c r="AF5" s="17"/>
      <c r="AG5" s="17"/>
      <c r="AH5" s="17"/>
      <c r="AI5" s="16"/>
    </row>
    <row r="6" spans="1:35" hidden="1" x14ac:dyDescent="0.25">
      <c r="A6" s="51" t="s">
        <v>16</v>
      </c>
      <c r="B6" s="51" t="s">
        <v>49</v>
      </c>
      <c r="C6" s="48" t="s">
        <v>108</v>
      </c>
      <c r="D6" s="49" t="s">
        <v>107</v>
      </c>
      <c r="E6" s="49">
        <v>68427709</v>
      </c>
      <c r="F6" s="50" t="s">
        <v>12</v>
      </c>
      <c r="G6" s="49" t="s">
        <v>5</v>
      </c>
      <c r="H6" s="49" t="s">
        <v>5</v>
      </c>
      <c r="I6" s="49"/>
      <c r="J6" s="49" t="s">
        <v>106</v>
      </c>
      <c r="K6" s="49">
        <v>166304</v>
      </c>
      <c r="L6" s="48" t="s">
        <v>105</v>
      </c>
      <c r="M6" s="47"/>
      <c r="N6" s="47"/>
      <c r="O6" s="47" t="s">
        <v>86</v>
      </c>
      <c r="P6" s="46" t="s">
        <v>7</v>
      </c>
      <c r="Q6" s="88" t="s">
        <v>7</v>
      </c>
      <c r="R6" s="30" t="s">
        <v>6</v>
      </c>
      <c r="S6" s="30" t="s">
        <v>5</v>
      </c>
      <c r="T6" s="91"/>
      <c r="U6" s="25"/>
      <c r="V6" s="25">
        <v>100000</v>
      </c>
      <c r="W6" s="25">
        <v>92308</v>
      </c>
      <c r="X6" s="25">
        <f t="shared" si="5"/>
        <v>92308</v>
      </c>
      <c r="Y6" s="25">
        <f t="shared" si="0"/>
        <v>-7692</v>
      </c>
      <c r="Z6" s="27">
        <f t="shared" si="1"/>
        <v>0</v>
      </c>
      <c r="AA6" s="22">
        <f t="shared" si="2"/>
        <v>-7.6920000000000002E-2</v>
      </c>
      <c r="AB6" s="21">
        <f t="shared" si="3"/>
        <v>0</v>
      </c>
      <c r="AC6" s="20"/>
      <c r="AD6" s="19">
        <f>SUMPRODUCT(([1]BIdetails!$J$5:$J$3000=M6)*([1]BIdetails!$K$5:$K$3000=N6)*([1]BIdetails!$M$5:$M$3000))</f>
        <v>0</v>
      </c>
      <c r="AE6" s="18">
        <f t="shared" si="4"/>
        <v>0</v>
      </c>
      <c r="AF6" s="17"/>
      <c r="AG6" s="17"/>
      <c r="AH6" s="17"/>
      <c r="AI6" s="16"/>
    </row>
    <row r="7" spans="1:35" hidden="1" x14ac:dyDescent="0.25">
      <c r="A7" s="30" t="s">
        <v>16</v>
      </c>
      <c r="B7" s="30" t="str">
        <f>IF(U7=V7,"No Change",IF(AND(V7&lt;&gt;0,V7&lt;U7),"Decrease",IF(AND(V7&lt;&gt;0,U7=0),"New",IF(AND(U7&lt;&gt;0,V7=0),"Decommissioned","Increase"))))</f>
        <v>No Change</v>
      </c>
      <c r="C7" s="30" t="s">
        <v>104</v>
      </c>
      <c r="D7" s="30" t="s">
        <v>102</v>
      </c>
      <c r="E7" s="30">
        <v>68427709</v>
      </c>
      <c r="F7" s="33" t="s">
        <v>96</v>
      </c>
      <c r="G7" s="30" t="s">
        <v>95</v>
      </c>
      <c r="H7" s="30" t="s">
        <v>22</v>
      </c>
      <c r="I7" s="30" t="s">
        <v>36</v>
      </c>
      <c r="J7" s="30" t="s">
        <v>101</v>
      </c>
      <c r="K7" s="30">
        <v>121208</v>
      </c>
      <c r="L7" s="30" t="s">
        <v>100</v>
      </c>
      <c r="M7" s="54">
        <v>5401081739</v>
      </c>
      <c r="N7" s="54">
        <v>10</v>
      </c>
      <c r="O7" s="54" t="s">
        <v>86</v>
      </c>
      <c r="P7" s="49" t="s">
        <v>7</v>
      </c>
      <c r="Q7" s="88" t="s">
        <v>7</v>
      </c>
      <c r="R7" s="30" t="s">
        <v>33</v>
      </c>
      <c r="S7" s="30" t="s">
        <v>5</v>
      </c>
      <c r="T7" s="91">
        <v>35000</v>
      </c>
      <c r="U7" s="25">
        <v>35000</v>
      </c>
      <c r="V7" s="25">
        <v>35000</v>
      </c>
      <c r="W7" s="25">
        <f>VLOOKUP(C7,[1]AOP25Reduced!A:V,22,0)</f>
        <v>32307.85</v>
      </c>
      <c r="X7" s="25">
        <f t="shared" si="5"/>
        <v>32307.85</v>
      </c>
      <c r="Y7" s="25">
        <f t="shared" si="0"/>
        <v>-2692.1500000000015</v>
      </c>
      <c r="Z7" s="27">
        <f t="shared" si="1"/>
        <v>0</v>
      </c>
      <c r="AA7" s="22">
        <f t="shared" si="2"/>
        <v>-7.6918571428571475E-2</v>
      </c>
      <c r="AB7" s="21">
        <f t="shared" si="3"/>
        <v>0</v>
      </c>
      <c r="AC7" s="20" t="s">
        <v>155</v>
      </c>
      <c r="AD7" s="19">
        <f>SUMPRODUCT(([1]BIdetails!$J$5:$J$3000=M7)*([1]BIdetails!$K$5:$K$3000=N7)*([1]BIdetails!$M$5:$M$3000))</f>
        <v>0</v>
      </c>
      <c r="AE7" s="18">
        <f t="shared" si="4"/>
        <v>0</v>
      </c>
      <c r="AF7" s="17" t="s">
        <v>51</v>
      </c>
      <c r="AG7" s="17" t="s">
        <v>50</v>
      </c>
      <c r="AH7" s="17" t="s">
        <v>93</v>
      </c>
      <c r="AI7" s="16"/>
    </row>
    <row r="8" spans="1:35" hidden="1" x14ac:dyDescent="0.25">
      <c r="A8" s="30" t="s">
        <v>16</v>
      </c>
      <c r="B8" s="30" t="str">
        <f>IF(U8=V8,"No Change",IF(AND(V8&lt;&gt;0,V8&lt;U8),"Decrease",IF(AND(V8&lt;&gt;0,U8=0),"New",IF(AND(U8&lt;&gt;0,V8=0),"Decommissioned","Increase"))))</f>
        <v>No Change</v>
      </c>
      <c r="C8" s="30" t="s">
        <v>103</v>
      </c>
      <c r="D8" s="30" t="s">
        <v>102</v>
      </c>
      <c r="E8" s="30">
        <v>68427709</v>
      </c>
      <c r="F8" s="33" t="s">
        <v>96</v>
      </c>
      <c r="G8" s="30" t="s">
        <v>95</v>
      </c>
      <c r="H8" s="30" t="s">
        <v>22</v>
      </c>
      <c r="I8" s="30" t="s">
        <v>36</v>
      </c>
      <c r="J8" s="30" t="s">
        <v>101</v>
      </c>
      <c r="K8" s="30">
        <v>121208</v>
      </c>
      <c r="L8" s="30" t="s">
        <v>100</v>
      </c>
      <c r="M8" s="54">
        <v>5401081739</v>
      </c>
      <c r="N8" s="54">
        <v>10</v>
      </c>
      <c r="O8" s="54" t="s">
        <v>86</v>
      </c>
      <c r="P8" s="49" t="s">
        <v>7</v>
      </c>
      <c r="Q8" s="88" t="s">
        <v>7</v>
      </c>
      <c r="R8" s="30" t="s">
        <v>33</v>
      </c>
      <c r="S8" s="30" t="s">
        <v>5</v>
      </c>
      <c r="T8" s="91">
        <v>60000</v>
      </c>
      <c r="U8" s="25">
        <v>60000</v>
      </c>
      <c r="V8" s="25">
        <v>60000</v>
      </c>
      <c r="W8" s="25">
        <f>VLOOKUP(C8,[1]AOP25Reduced!A:V,22,0)</f>
        <v>55384.89</v>
      </c>
      <c r="X8" s="25">
        <f t="shared" si="5"/>
        <v>55384.89</v>
      </c>
      <c r="Y8" s="25">
        <f t="shared" si="0"/>
        <v>-4615.1100000000006</v>
      </c>
      <c r="Z8" s="27">
        <f t="shared" si="1"/>
        <v>0</v>
      </c>
      <c r="AA8" s="22">
        <f t="shared" si="2"/>
        <v>-7.6918500000000015E-2</v>
      </c>
      <c r="AB8" s="21">
        <f t="shared" si="3"/>
        <v>0</v>
      </c>
      <c r="AC8" s="20" t="s">
        <v>155</v>
      </c>
      <c r="AD8" s="19">
        <f>SUMPRODUCT(([1]BIdetails!$J$5:$J$3000=M8)*([1]BIdetails!$K$5:$K$3000=N8)*([1]BIdetails!$M$5:$M$3000))</f>
        <v>0</v>
      </c>
      <c r="AE8" s="18">
        <f t="shared" si="4"/>
        <v>0</v>
      </c>
      <c r="AF8" s="17" t="s">
        <v>51</v>
      </c>
      <c r="AG8" s="17" t="s">
        <v>18</v>
      </c>
      <c r="AH8" s="17" t="s">
        <v>99</v>
      </c>
      <c r="AI8" s="16"/>
    </row>
    <row r="9" spans="1:35" ht="30" hidden="1" x14ac:dyDescent="0.25">
      <c r="A9" s="75" t="s">
        <v>16</v>
      </c>
      <c r="B9" s="75" t="str">
        <f>IF(U9=V9,"No Change",IF(AND(V9&lt;&gt;0,V9&lt;U9),"Decrease",IF(AND(V9&lt;&gt;0,U9=0),"New",IF(AND(U9&lt;&gt;0,V9=0),"Decommissioned","Increase"))))</f>
        <v>No Change</v>
      </c>
      <c r="C9" s="76" t="s">
        <v>98</v>
      </c>
      <c r="D9" s="76" t="s">
        <v>97</v>
      </c>
      <c r="E9" s="76">
        <v>68427709</v>
      </c>
      <c r="F9" s="77" t="s">
        <v>96</v>
      </c>
      <c r="G9" s="76" t="s">
        <v>95</v>
      </c>
      <c r="H9" s="78" t="s">
        <v>22</v>
      </c>
      <c r="I9" s="76"/>
      <c r="J9" s="78" t="s">
        <v>88</v>
      </c>
      <c r="K9" s="76">
        <v>198668</v>
      </c>
      <c r="L9" s="76" t="s">
        <v>94</v>
      </c>
      <c r="M9" s="49">
        <v>5400958294</v>
      </c>
      <c r="N9" s="47">
        <v>30</v>
      </c>
      <c r="O9" s="47" t="s">
        <v>86</v>
      </c>
      <c r="P9" s="48" t="s">
        <v>7</v>
      </c>
      <c r="Q9" s="88" t="s">
        <v>7</v>
      </c>
      <c r="R9" s="30" t="s">
        <v>6</v>
      </c>
      <c r="S9" s="30" t="s">
        <v>5</v>
      </c>
      <c r="T9" s="91">
        <v>330000</v>
      </c>
      <c r="U9" s="25">
        <v>362000</v>
      </c>
      <c r="V9" s="25">
        <v>362000</v>
      </c>
      <c r="W9" s="25">
        <v>334155</v>
      </c>
      <c r="X9" s="80">
        <f>V9*1.04</f>
        <v>376480</v>
      </c>
      <c r="Y9" s="80">
        <f t="shared" si="0"/>
        <v>14480</v>
      </c>
      <c r="Z9" s="81">
        <f t="shared" si="1"/>
        <v>42325</v>
      </c>
      <c r="AA9" s="22">
        <f t="shared" si="2"/>
        <v>0.04</v>
      </c>
      <c r="AB9" s="21">
        <f t="shared" si="3"/>
        <v>0.12666277625652766</v>
      </c>
      <c r="AC9" s="20" t="s">
        <v>156</v>
      </c>
      <c r="AD9" s="19">
        <f>SUMPRODUCT(([1]BIdetails!$J$5:$J$3000=M9)*([1]BIdetails!$K$5:$K$3000=N9)*([1]BIdetails!$M$5:$M$3000))</f>
        <v>0</v>
      </c>
      <c r="AE9" s="18">
        <f t="shared" si="4"/>
        <v>0</v>
      </c>
      <c r="AF9" s="17" t="s">
        <v>51</v>
      </c>
      <c r="AG9" s="17" t="s">
        <v>50</v>
      </c>
      <c r="AH9" s="17" t="s">
        <v>93</v>
      </c>
      <c r="AI9" s="16"/>
    </row>
    <row r="10" spans="1:35" hidden="1" x14ac:dyDescent="0.25">
      <c r="A10" s="51" t="s">
        <v>16</v>
      </c>
      <c r="B10" s="51" t="str">
        <f>IF(U10=V10,"No Change",IF(AND(V10&lt;&gt;0,V10&lt;U10),"Decrease",IF(AND(V10&lt;&gt;0,U10=0),"New",IF(AND(U10&lt;&gt;0,V10=0),"Decommissioned","Increase"))))</f>
        <v>No Change</v>
      </c>
      <c r="C10" s="46" t="s">
        <v>92</v>
      </c>
      <c r="D10" s="49" t="s">
        <v>91</v>
      </c>
      <c r="E10" s="49">
        <v>68427709</v>
      </c>
      <c r="F10" s="50" t="s">
        <v>90</v>
      </c>
      <c r="G10" s="46" t="s">
        <v>89</v>
      </c>
      <c r="H10" s="46" t="s">
        <v>22</v>
      </c>
      <c r="I10" s="49"/>
      <c r="J10" s="49" t="s">
        <v>88</v>
      </c>
      <c r="K10" s="49">
        <v>187516</v>
      </c>
      <c r="L10" s="46" t="s">
        <v>43</v>
      </c>
      <c r="M10" s="53">
        <v>5401001779</v>
      </c>
      <c r="N10" s="52">
        <v>10</v>
      </c>
      <c r="O10" s="52" t="s">
        <v>86</v>
      </c>
      <c r="P10" s="49" t="s">
        <v>7</v>
      </c>
      <c r="Q10" s="90" t="s">
        <v>7</v>
      </c>
      <c r="R10" s="30" t="s">
        <v>6</v>
      </c>
      <c r="S10" s="30" t="s">
        <v>5</v>
      </c>
      <c r="T10" s="91">
        <v>130000</v>
      </c>
      <c r="U10" s="25">
        <v>130000</v>
      </c>
      <c r="V10" s="25">
        <v>130000</v>
      </c>
      <c r="W10" s="64">
        <v>120001</v>
      </c>
      <c r="X10" s="80">
        <v>190000</v>
      </c>
      <c r="Y10" s="80">
        <f t="shared" si="0"/>
        <v>60000</v>
      </c>
      <c r="Z10" s="81">
        <f t="shared" si="1"/>
        <v>69999</v>
      </c>
      <c r="AA10" s="22">
        <f t="shared" si="2"/>
        <v>0.46153846153846156</v>
      </c>
      <c r="AB10" s="21">
        <f t="shared" si="3"/>
        <v>0.58332013899884172</v>
      </c>
      <c r="AC10" s="20"/>
      <c r="AD10" s="19">
        <f>SUMPRODUCT(([1]BIdetails!$J$5:$J$3000=M10)*([1]BIdetails!$K$5:$K$3000=N10)*([1]BIdetails!$M$5:$M$3000))</f>
        <v>0</v>
      </c>
      <c r="AE10" s="18">
        <f t="shared" si="4"/>
        <v>0</v>
      </c>
      <c r="AF10" s="17"/>
      <c r="AG10" s="17"/>
      <c r="AH10" s="17"/>
      <c r="AI10" s="16"/>
    </row>
    <row r="11" spans="1:35" ht="16.5" hidden="1" customHeight="1" x14ac:dyDescent="0.25">
      <c r="A11" s="75" t="s">
        <v>30</v>
      </c>
      <c r="B11" s="75" t="s">
        <v>30</v>
      </c>
      <c r="C11" s="79" t="s">
        <v>87</v>
      </c>
      <c r="D11" s="76"/>
      <c r="E11" s="76">
        <v>68427709</v>
      </c>
      <c r="F11" s="77"/>
      <c r="G11" s="76"/>
      <c r="H11" s="76"/>
      <c r="I11" s="76"/>
      <c r="J11" s="76"/>
      <c r="K11" s="76"/>
      <c r="L11" s="79"/>
      <c r="M11" s="47"/>
      <c r="N11" s="47"/>
      <c r="O11" s="47" t="s">
        <v>86</v>
      </c>
      <c r="P11" s="46" t="s">
        <v>7</v>
      </c>
      <c r="Q11" s="90" t="s">
        <v>7</v>
      </c>
      <c r="R11" s="30"/>
      <c r="S11" s="30" t="s">
        <v>5</v>
      </c>
      <c r="T11" s="91"/>
      <c r="U11" s="25"/>
      <c r="V11" s="25">
        <v>0</v>
      </c>
      <c r="W11" s="25">
        <v>0</v>
      </c>
      <c r="X11" s="28">
        <v>60000</v>
      </c>
      <c r="Y11" s="25">
        <f t="shared" si="0"/>
        <v>60000</v>
      </c>
      <c r="Z11" s="27">
        <f t="shared" si="1"/>
        <v>60000</v>
      </c>
      <c r="AA11" s="22"/>
      <c r="AB11" s="21"/>
      <c r="AC11" s="20"/>
      <c r="AD11" s="19"/>
      <c r="AE11" s="18"/>
      <c r="AF11" s="17"/>
      <c r="AG11" s="17"/>
      <c r="AH11" s="17"/>
      <c r="AI11" s="16"/>
    </row>
    <row r="12" spans="1:35" x14ac:dyDescent="0.25">
      <c r="A12" s="43" t="s">
        <v>30</v>
      </c>
      <c r="B12" s="43" t="str">
        <f t="shared" ref="B12:B25" si="6">IF(U12=V12,"No Change",IF(AND(V12&lt;&gt;0,V12&lt;U12),"Decrease",IF(AND(V12&lt;&gt;0,U12=0),"New",IF(AND(U12&lt;&gt;0,V12=0),"Decommissioned","Increase"))))</f>
        <v>New</v>
      </c>
      <c r="C12" s="42" t="s">
        <v>85</v>
      </c>
      <c r="D12" s="43"/>
      <c r="E12" s="43">
        <v>68427709</v>
      </c>
      <c r="F12" s="45" t="s">
        <v>12</v>
      </c>
      <c r="G12" s="43" t="s">
        <v>5</v>
      </c>
      <c r="H12" s="43" t="s">
        <v>5</v>
      </c>
      <c r="I12" s="43" t="s">
        <v>77</v>
      </c>
      <c r="J12" s="43" t="s">
        <v>76</v>
      </c>
      <c r="K12" s="43"/>
      <c r="L12" s="42" t="s">
        <v>84</v>
      </c>
      <c r="M12" s="41"/>
      <c r="N12" s="41"/>
      <c r="O12" s="41" t="s">
        <v>63</v>
      </c>
      <c r="P12" s="40" t="s">
        <v>7</v>
      </c>
      <c r="Q12" s="90" t="s">
        <v>7</v>
      </c>
      <c r="R12" s="30" t="s">
        <v>74</v>
      </c>
      <c r="S12" s="30" t="s">
        <v>5</v>
      </c>
      <c r="T12" s="91"/>
      <c r="U12" s="25"/>
      <c r="V12" s="39">
        <v>25000</v>
      </c>
      <c r="W12" s="39">
        <f>VLOOKUP(C12,[1]AOP25Reduced!A:V,22,0)</f>
        <v>25000</v>
      </c>
      <c r="X12" s="64">
        <v>14000</v>
      </c>
      <c r="Y12" s="64">
        <f t="shared" si="0"/>
        <v>-11000</v>
      </c>
      <c r="Z12" s="82">
        <f t="shared" si="1"/>
        <v>-11000</v>
      </c>
      <c r="AA12" s="22"/>
      <c r="AB12" s="21">
        <f t="shared" ref="AB12:AB25" si="7">IF(C12="New",1,IFERROR(Z12/W12,0))</f>
        <v>-0.44</v>
      </c>
      <c r="AC12" s="20"/>
      <c r="AD12" s="19">
        <f>SUMPRODUCT(([1]BIdetails!$J$5:$J$3000=M12)*([1]BIdetails!$K$5:$K$3000=N12)*([1]BIdetails!$M$5:$M$3000))</f>
        <v>0</v>
      </c>
      <c r="AE12" s="18">
        <f t="shared" ref="AE12:AE25" si="8">IF(V12=0,"",(AD12/V12))</f>
        <v>0</v>
      </c>
      <c r="AF12" s="17"/>
      <c r="AG12" s="17"/>
      <c r="AH12" s="17"/>
      <c r="AI12" s="16"/>
    </row>
    <row r="13" spans="1:35" x14ac:dyDescent="0.25">
      <c r="A13" s="43" t="s">
        <v>30</v>
      </c>
      <c r="B13" s="43" t="s">
        <v>30</v>
      </c>
      <c r="C13" s="42" t="s">
        <v>159</v>
      </c>
      <c r="D13" s="43"/>
      <c r="E13" s="43">
        <v>68427709</v>
      </c>
      <c r="F13" s="45"/>
      <c r="G13" s="43"/>
      <c r="H13" s="43" t="s">
        <v>5</v>
      </c>
      <c r="I13" s="43"/>
      <c r="J13" s="43"/>
      <c r="K13" s="43"/>
      <c r="L13" s="42"/>
      <c r="M13" s="41"/>
      <c r="N13" s="41"/>
      <c r="O13" s="41"/>
      <c r="P13" s="40"/>
      <c r="Q13" s="90"/>
      <c r="R13" s="30" t="s">
        <v>74</v>
      </c>
      <c r="S13" s="30" t="s">
        <v>5</v>
      </c>
      <c r="T13" s="91"/>
      <c r="U13" s="25"/>
      <c r="V13" s="39"/>
      <c r="W13" s="39"/>
      <c r="X13" s="64">
        <v>114722</v>
      </c>
      <c r="Y13" s="64"/>
      <c r="Z13" s="82">
        <f t="shared" ref="Z13:Z19" si="9">X13-W13</f>
        <v>114722</v>
      </c>
      <c r="AA13" s="22"/>
      <c r="AB13" s="21">
        <f>IF(C13="New",1,IFERROR(Z13/W13,0))</f>
        <v>0</v>
      </c>
      <c r="AC13" s="20"/>
      <c r="AD13" s="19"/>
      <c r="AE13" s="18"/>
      <c r="AF13" s="17"/>
      <c r="AG13" s="17"/>
      <c r="AH13" s="17"/>
      <c r="AI13" s="16"/>
    </row>
    <row r="14" spans="1:35" ht="14.1" customHeight="1" x14ac:dyDescent="0.25">
      <c r="A14" s="83" t="s">
        <v>30</v>
      </c>
      <c r="B14" s="83" t="s">
        <v>30</v>
      </c>
      <c r="C14" s="83" t="s">
        <v>66</v>
      </c>
      <c r="D14" s="83"/>
      <c r="E14" s="83">
        <v>68427709</v>
      </c>
      <c r="F14" s="83"/>
      <c r="G14" s="83"/>
      <c r="H14" s="87"/>
      <c r="I14" s="83"/>
      <c r="J14" s="83"/>
      <c r="K14" s="83"/>
      <c r="L14" s="84" t="s">
        <v>84</v>
      </c>
      <c r="M14" s="86"/>
      <c r="N14" s="86"/>
      <c r="O14" s="86" t="s">
        <v>63</v>
      </c>
      <c r="P14" s="87" t="s">
        <v>7</v>
      </c>
      <c r="Q14" s="92" t="s">
        <v>7</v>
      </c>
      <c r="R14" s="83" t="s">
        <v>74</v>
      </c>
      <c r="S14" s="83" t="s">
        <v>5</v>
      </c>
      <c r="T14" s="93"/>
      <c r="U14" s="94"/>
      <c r="V14" s="94">
        <v>0</v>
      </c>
      <c r="W14" s="94">
        <v>0</v>
      </c>
      <c r="X14" s="94">
        <v>10318</v>
      </c>
      <c r="Y14" s="94">
        <f>X14-V14</f>
        <v>10318</v>
      </c>
      <c r="Z14" s="95">
        <f t="shared" si="9"/>
        <v>10318</v>
      </c>
      <c r="AA14" s="96"/>
      <c r="AB14" s="97"/>
      <c r="AC14" s="20"/>
      <c r="AD14" s="19"/>
      <c r="AE14" s="18"/>
      <c r="AF14" s="17"/>
      <c r="AG14" s="17"/>
      <c r="AH14" s="17"/>
      <c r="AI14" s="16"/>
    </row>
    <row r="15" spans="1:35" ht="14.1" customHeight="1" x14ac:dyDescent="0.25">
      <c r="A15" s="83" t="s">
        <v>30</v>
      </c>
      <c r="B15" s="83" t="s">
        <v>30</v>
      </c>
      <c r="C15" s="83" t="s">
        <v>65</v>
      </c>
      <c r="D15" s="83"/>
      <c r="E15" s="83">
        <v>68427709</v>
      </c>
      <c r="F15" s="83"/>
      <c r="G15" s="83"/>
      <c r="H15" s="87"/>
      <c r="I15" s="83"/>
      <c r="J15" s="83"/>
      <c r="K15" s="83"/>
      <c r="L15" s="84" t="s">
        <v>84</v>
      </c>
      <c r="M15" s="86"/>
      <c r="N15" s="86"/>
      <c r="O15" s="86" t="s">
        <v>63</v>
      </c>
      <c r="P15" s="87" t="s">
        <v>7</v>
      </c>
      <c r="Q15" s="92" t="s">
        <v>7</v>
      </c>
      <c r="R15" s="83" t="s">
        <v>74</v>
      </c>
      <c r="S15" s="83" t="s">
        <v>5</v>
      </c>
      <c r="T15" s="93"/>
      <c r="U15" s="94"/>
      <c r="V15" s="94">
        <v>0</v>
      </c>
      <c r="W15" s="94">
        <v>0</v>
      </c>
      <c r="X15" s="94">
        <v>11844</v>
      </c>
      <c r="Y15" s="94">
        <f>X15-V15</f>
        <v>11844</v>
      </c>
      <c r="Z15" s="95">
        <f t="shared" si="9"/>
        <v>11844</v>
      </c>
      <c r="AA15" s="96"/>
      <c r="AB15" s="97"/>
      <c r="AC15" s="20"/>
      <c r="AD15" s="19"/>
      <c r="AE15" s="18"/>
      <c r="AF15" s="17"/>
      <c r="AG15" s="17"/>
      <c r="AH15" s="17"/>
      <c r="AI15" s="16"/>
    </row>
    <row r="16" spans="1:35" ht="14.1" customHeight="1" x14ac:dyDescent="0.25">
      <c r="A16" s="83" t="s">
        <v>30</v>
      </c>
      <c r="B16" s="83" t="s">
        <v>30</v>
      </c>
      <c r="C16" s="83" t="s">
        <v>64</v>
      </c>
      <c r="D16" s="83"/>
      <c r="E16" s="83">
        <v>68427709</v>
      </c>
      <c r="F16" s="83"/>
      <c r="G16" s="83"/>
      <c r="H16" s="87"/>
      <c r="I16" s="83"/>
      <c r="J16" s="83"/>
      <c r="K16" s="83"/>
      <c r="L16" s="84" t="s">
        <v>84</v>
      </c>
      <c r="M16" s="86"/>
      <c r="N16" s="86"/>
      <c r="O16" s="86" t="s">
        <v>63</v>
      </c>
      <c r="P16" s="87" t="s">
        <v>7</v>
      </c>
      <c r="Q16" s="92" t="s">
        <v>7</v>
      </c>
      <c r="R16" s="83" t="s">
        <v>74</v>
      </c>
      <c r="S16" s="83" t="s">
        <v>5</v>
      </c>
      <c r="T16" s="93"/>
      <c r="U16" s="94"/>
      <c r="V16" s="94"/>
      <c r="W16" s="94">
        <v>0</v>
      </c>
      <c r="X16" s="94">
        <v>4560</v>
      </c>
      <c r="Y16" s="94">
        <f>X16-V16</f>
        <v>4560</v>
      </c>
      <c r="Z16" s="95">
        <f t="shared" si="9"/>
        <v>4560</v>
      </c>
      <c r="AA16" s="96"/>
      <c r="AB16" s="97"/>
      <c r="AC16" s="20"/>
      <c r="AD16" s="19"/>
      <c r="AE16" s="18"/>
      <c r="AF16" s="17"/>
      <c r="AG16" s="17"/>
      <c r="AH16" s="17"/>
      <c r="AI16" s="16"/>
    </row>
    <row r="17" spans="1:35" ht="14.1" customHeight="1" x14ac:dyDescent="0.25">
      <c r="A17" s="83" t="s">
        <v>30</v>
      </c>
      <c r="B17" s="83" t="s">
        <v>30</v>
      </c>
      <c r="C17" s="83" t="s">
        <v>67</v>
      </c>
      <c r="D17" s="83"/>
      <c r="E17" s="83">
        <v>68427709</v>
      </c>
      <c r="F17" s="83"/>
      <c r="G17" s="83"/>
      <c r="H17" s="87"/>
      <c r="I17" s="83"/>
      <c r="J17" s="83"/>
      <c r="K17" s="83"/>
      <c r="L17" s="84" t="s">
        <v>84</v>
      </c>
      <c r="M17" s="86"/>
      <c r="N17" s="86"/>
      <c r="O17" s="86" t="s">
        <v>63</v>
      </c>
      <c r="P17" s="87" t="s">
        <v>7</v>
      </c>
      <c r="Q17" s="92" t="s">
        <v>7</v>
      </c>
      <c r="R17" s="83" t="s">
        <v>74</v>
      </c>
      <c r="S17" s="83" t="s">
        <v>5</v>
      </c>
      <c r="T17" s="93"/>
      <c r="U17" s="94"/>
      <c r="V17" s="94">
        <v>0</v>
      </c>
      <c r="W17" s="94">
        <v>0</v>
      </c>
      <c r="X17" s="94">
        <v>64000</v>
      </c>
      <c r="Y17" s="94">
        <f>X17-V17</f>
        <v>64000</v>
      </c>
      <c r="Z17" s="95">
        <f t="shared" si="9"/>
        <v>64000</v>
      </c>
      <c r="AA17" s="96"/>
      <c r="AB17" s="97"/>
      <c r="AC17" s="20"/>
      <c r="AD17" s="19"/>
      <c r="AE17" s="18"/>
      <c r="AF17" s="17"/>
      <c r="AG17" s="17"/>
      <c r="AH17" s="17"/>
      <c r="AI17" s="16"/>
    </row>
    <row r="18" spans="1:35" x14ac:dyDescent="0.25">
      <c r="A18" s="43" t="s">
        <v>30</v>
      </c>
      <c r="B18" s="43" t="str">
        <f t="shared" si="6"/>
        <v>New</v>
      </c>
      <c r="C18" s="42" t="s">
        <v>160</v>
      </c>
      <c r="D18" s="43" t="s">
        <v>81</v>
      </c>
      <c r="E18" s="43">
        <v>68427709</v>
      </c>
      <c r="F18" s="45" t="s">
        <v>12</v>
      </c>
      <c r="G18" s="43" t="s">
        <v>5</v>
      </c>
      <c r="H18" s="43" t="s">
        <v>5</v>
      </c>
      <c r="I18" s="43" t="s">
        <v>77</v>
      </c>
      <c r="J18" s="43" t="s">
        <v>76</v>
      </c>
      <c r="K18" s="43">
        <v>212346</v>
      </c>
      <c r="L18" s="42" t="s">
        <v>79</v>
      </c>
      <c r="M18" s="41">
        <v>5401084798</v>
      </c>
      <c r="N18" s="41">
        <v>10</v>
      </c>
      <c r="O18" s="41" t="s">
        <v>63</v>
      </c>
      <c r="P18" s="40" t="s">
        <v>7</v>
      </c>
      <c r="Q18" s="90" t="s">
        <v>7</v>
      </c>
      <c r="R18" s="30" t="s">
        <v>74</v>
      </c>
      <c r="S18" s="30" t="s">
        <v>5</v>
      </c>
      <c r="T18" s="91"/>
      <c r="U18" s="25"/>
      <c r="V18" s="39">
        <v>12000</v>
      </c>
      <c r="W18" s="39" t="e">
        <f>VLOOKUP(C18,[1]AOP25Reduced!A:V,22,0)</f>
        <v>#N/A</v>
      </c>
      <c r="X18" s="72">
        <v>24000</v>
      </c>
      <c r="Y18" s="39">
        <f t="shared" si="0"/>
        <v>12000</v>
      </c>
      <c r="Z18" s="95" t="e">
        <f t="shared" si="9"/>
        <v>#N/A</v>
      </c>
      <c r="AA18" s="22"/>
      <c r="AB18" s="21"/>
      <c r="AC18" s="20"/>
      <c r="AD18" s="19">
        <f>SUMPRODUCT(([1]BIdetails!$J$5:$J$3000=M18)*([1]BIdetails!$K$5:$K$3000=N18)*([1]BIdetails!$M$5:$M$3000))</f>
        <v>0</v>
      </c>
      <c r="AE18" s="18">
        <f t="shared" si="8"/>
        <v>0</v>
      </c>
      <c r="AF18" s="17"/>
      <c r="AG18" s="17"/>
      <c r="AH18" s="17"/>
      <c r="AI18" s="16"/>
    </row>
    <row r="19" spans="1:35" x14ac:dyDescent="0.25">
      <c r="A19" s="43" t="s">
        <v>30</v>
      </c>
      <c r="B19" s="43" t="s">
        <v>30</v>
      </c>
      <c r="C19" s="42" t="s">
        <v>158</v>
      </c>
      <c r="D19" s="43" t="s">
        <v>81</v>
      </c>
      <c r="E19" s="43">
        <v>68427709</v>
      </c>
      <c r="F19" s="45"/>
      <c r="G19" s="43"/>
      <c r="H19" s="43" t="s">
        <v>5</v>
      </c>
      <c r="I19" s="43"/>
      <c r="J19" s="43"/>
      <c r="K19" s="43"/>
      <c r="L19" s="42" t="s">
        <v>79</v>
      </c>
      <c r="M19" s="41">
        <v>5401084798</v>
      </c>
      <c r="N19" s="41"/>
      <c r="O19" s="41"/>
      <c r="P19" s="40"/>
      <c r="Q19" s="90"/>
      <c r="R19" s="30" t="s">
        <v>74</v>
      </c>
      <c r="S19" s="30" t="s">
        <v>5</v>
      </c>
      <c r="T19" s="91"/>
      <c r="U19" s="25"/>
      <c r="V19" s="39"/>
      <c r="W19" s="39"/>
      <c r="X19" s="72">
        <v>129301</v>
      </c>
      <c r="Y19" s="39">
        <f>X19-V19</f>
        <v>129301</v>
      </c>
      <c r="Z19" s="38">
        <f t="shared" si="9"/>
        <v>129301</v>
      </c>
      <c r="AA19" s="22"/>
      <c r="AB19" s="21"/>
      <c r="AC19" s="20"/>
      <c r="AD19" s="19"/>
      <c r="AE19" s="18"/>
      <c r="AF19" s="17"/>
      <c r="AG19" s="17"/>
      <c r="AH19" s="17"/>
      <c r="AI19" s="16"/>
    </row>
    <row r="20" spans="1:35" x14ac:dyDescent="0.25">
      <c r="A20" s="83" t="s">
        <v>16</v>
      </c>
      <c r="B20" s="83" t="str">
        <f t="shared" si="6"/>
        <v>New</v>
      </c>
      <c r="C20" s="84" t="s">
        <v>83</v>
      </c>
      <c r="D20" s="83" t="s">
        <v>81</v>
      </c>
      <c r="E20" s="83">
        <v>68427709</v>
      </c>
      <c r="F20" s="85" t="s">
        <v>12</v>
      </c>
      <c r="G20" s="83" t="s">
        <v>5</v>
      </c>
      <c r="H20" s="83" t="s">
        <v>5</v>
      </c>
      <c r="I20" s="83" t="s">
        <v>77</v>
      </c>
      <c r="J20" s="83" t="s">
        <v>76</v>
      </c>
      <c r="K20" s="83">
        <v>212346</v>
      </c>
      <c r="L20" s="84" t="s">
        <v>79</v>
      </c>
      <c r="M20" s="86">
        <v>5401084798</v>
      </c>
      <c r="N20" s="86">
        <v>10</v>
      </c>
      <c r="O20" s="86" t="s">
        <v>63</v>
      </c>
      <c r="P20" s="87" t="s">
        <v>7</v>
      </c>
      <c r="Q20" s="92" t="s">
        <v>7</v>
      </c>
      <c r="R20" s="83" t="s">
        <v>74</v>
      </c>
      <c r="S20" s="83" t="s">
        <v>5</v>
      </c>
      <c r="T20" s="93"/>
      <c r="U20" s="94"/>
      <c r="V20" s="94">
        <v>3700</v>
      </c>
      <c r="W20" s="94">
        <f>VLOOKUP(C20,[1]AOP25Reduced!A:V,22,0)</f>
        <v>1221</v>
      </c>
      <c r="X20" s="94">
        <v>7400</v>
      </c>
      <c r="Y20" s="94">
        <f t="shared" si="0"/>
        <v>3700</v>
      </c>
      <c r="Z20" s="95">
        <f t="shared" si="1"/>
        <v>6179</v>
      </c>
      <c r="AA20" s="96"/>
      <c r="AB20" s="97">
        <f t="shared" si="7"/>
        <v>5.0606060606060606</v>
      </c>
      <c r="AC20" s="20"/>
      <c r="AD20" s="19">
        <f>SUMPRODUCT(([1]BIdetails!$J$5:$J$3000=M20)*([1]BIdetails!$K$5:$K$3000=N20)*([1]BIdetails!$M$5:$M$3000))</f>
        <v>0</v>
      </c>
      <c r="AE20" s="18">
        <f t="shared" si="8"/>
        <v>0</v>
      </c>
      <c r="AF20" s="17"/>
      <c r="AG20" s="17"/>
      <c r="AH20" s="17"/>
      <c r="AI20" s="16"/>
    </row>
    <row r="21" spans="1:35" x14ac:dyDescent="0.25">
      <c r="A21" s="83" t="s">
        <v>16</v>
      </c>
      <c r="B21" s="83" t="str">
        <f t="shared" si="6"/>
        <v>New</v>
      </c>
      <c r="C21" s="84" t="s">
        <v>82</v>
      </c>
      <c r="D21" s="83" t="s">
        <v>81</v>
      </c>
      <c r="E21" s="83">
        <v>68427709</v>
      </c>
      <c r="F21" s="85" t="s">
        <v>12</v>
      </c>
      <c r="G21" s="83" t="s">
        <v>5</v>
      </c>
      <c r="H21" s="83" t="s">
        <v>5</v>
      </c>
      <c r="I21" s="83" t="s">
        <v>77</v>
      </c>
      <c r="J21" s="83" t="s">
        <v>76</v>
      </c>
      <c r="K21" s="83">
        <v>212346</v>
      </c>
      <c r="L21" s="84" t="s">
        <v>79</v>
      </c>
      <c r="M21" s="86">
        <v>5401070309</v>
      </c>
      <c r="N21" s="86">
        <v>10</v>
      </c>
      <c r="O21" s="86" t="s">
        <v>63</v>
      </c>
      <c r="P21" s="87" t="s">
        <v>7</v>
      </c>
      <c r="Q21" s="92" t="s">
        <v>7</v>
      </c>
      <c r="R21" s="83" t="s">
        <v>74</v>
      </c>
      <c r="S21" s="83" t="s">
        <v>5</v>
      </c>
      <c r="T21" s="93"/>
      <c r="U21" s="94"/>
      <c r="V21" s="94">
        <v>172000</v>
      </c>
      <c r="W21" s="94">
        <f>VLOOKUP(C21,[1]AOP25Reduced!A:V,22,0)</f>
        <v>57025</v>
      </c>
      <c r="X21" s="94">
        <v>113400</v>
      </c>
      <c r="Y21" s="94">
        <f t="shared" si="0"/>
        <v>-58600</v>
      </c>
      <c r="Z21" s="95">
        <f t="shared" si="1"/>
        <v>56375</v>
      </c>
      <c r="AA21" s="96"/>
      <c r="AB21" s="97">
        <f t="shared" si="7"/>
        <v>0.98860149057430946</v>
      </c>
      <c r="AC21" s="20"/>
      <c r="AD21" s="19">
        <f>SUMPRODUCT(([1]BIdetails!$J$5:$J$3000=M21)*([1]BIdetails!$K$5:$K$3000=N21)*([1]BIdetails!$M$5:$M$3000))</f>
        <v>0</v>
      </c>
      <c r="AE21" s="18">
        <f t="shared" si="8"/>
        <v>0</v>
      </c>
      <c r="AF21" s="17"/>
      <c r="AG21" s="17"/>
      <c r="AH21" s="17"/>
      <c r="AI21" s="16"/>
    </row>
    <row r="22" spans="1:35" x14ac:dyDescent="0.25">
      <c r="A22" s="83" t="s">
        <v>16</v>
      </c>
      <c r="B22" s="83" t="str">
        <f t="shared" si="6"/>
        <v>New</v>
      </c>
      <c r="C22" s="84" t="s">
        <v>80</v>
      </c>
      <c r="D22" s="83"/>
      <c r="E22" s="83">
        <v>68427709</v>
      </c>
      <c r="F22" s="85" t="s">
        <v>12</v>
      </c>
      <c r="G22" s="83" t="s">
        <v>5</v>
      </c>
      <c r="H22" s="83" t="s">
        <v>5</v>
      </c>
      <c r="I22" s="83" t="s">
        <v>77</v>
      </c>
      <c r="J22" s="83" t="s">
        <v>76</v>
      </c>
      <c r="K22" s="83">
        <v>187516</v>
      </c>
      <c r="L22" s="84" t="s">
        <v>79</v>
      </c>
      <c r="M22" s="86">
        <v>5401040892</v>
      </c>
      <c r="N22" s="86">
        <v>10</v>
      </c>
      <c r="O22" s="86" t="s">
        <v>63</v>
      </c>
      <c r="P22" s="87" t="s">
        <v>7</v>
      </c>
      <c r="Q22" s="92" t="s">
        <v>7</v>
      </c>
      <c r="R22" s="83" t="s">
        <v>74</v>
      </c>
      <c r="S22" s="83" t="s">
        <v>5</v>
      </c>
      <c r="T22" s="93"/>
      <c r="U22" s="94"/>
      <c r="V22" s="94">
        <v>14300</v>
      </c>
      <c r="W22" s="94">
        <f>VLOOKUP(C22,[1]AOP25Reduced!A:V,22,0)</f>
        <v>4757</v>
      </c>
      <c r="X22" s="94">
        <v>8501</v>
      </c>
      <c r="Y22" s="94">
        <f t="shared" si="0"/>
        <v>-5799</v>
      </c>
      <c r="Z22" s="95">
        <f t="shared" si="1"/>
        <v>3744</v>
      </c>
      <c r="AA22" s="96"/>
      <c r="AB22" s="97">
        <f t="shared" si="7"/>
        <v>0.78705066218204756</v>
      </c>
      <c r="AC22" s="20"/>
      <c r="AD22" s="19">
        <f>SUMPRODUCT(([1]BIdetails!$J$5:$J$3000=M22)*([1]BIdetails!$K$5:$K$3000=N22)*([1]BIdetails!$M$5:$M$3000))</f>
        <v>0</v>
      </c>
      <c r="AE22" s="18">
        <f t="shared" si="8"/>
        <v>0</v>
      </c>
      <c r="AF22" s="17"/>
      <c r="AG22" s="17"/>
      <c r="AH22" s="17"/>
      <c r="AI22" s="16"/>
    </row>
    <row r="23" spans="1:35" x14ac:dyDescent="0.25">
      <c r="A23" s="43" t="s">
        <v>16</v>
      </c>
      <c r="B23" s="43" t="str">
        <f t="shared" si="6"/>
        <v>New</v>
      </c>
      <c r="C23" s="42" t="s">
        <v>78</v>
      </c>
      <c r="D23" s="43"/>
      <c r="E23" s="43">
        <v>68427709</v>
      </c>
      <c r="F23" s="45" t="s">
        <v>12</v>
      </c>
      <c r="G23" s="43" t="s">
        <v>5</v>
      </c>
      <c r="H23" s="43" t="s">
        <v>5</v>
      </c>
      <c r="I23" s="43" t="s">
        <v>77</v>
      </c>
      <c r="J23" s="43" t="s">
        <v>76</v>
      </c>
      <c r="K23" s="43">
        <v>166304</v>
      </c>
      <c r="L23" s="40" t="s">
        <v>68</v>
      </c>
      <c r="M23" s="41"/>
      <c r="N23" s="41"/>
      <c r="O23" s="41" t="s">
        <v>63</v>
      </c>
      <c r="P23" s="40" t="s">
        <v>7</v>
      </c>
      <c r="Q23" s="90" t="s">
        <v>7</v>
      </c>
      <c r="R23" s="30" t="s">
        <v>74</v>
      </c>
      <c r="S23" s="30" t="s">
        <v>5</v>
      </c>
      <c r="T23" s="91"/>
      <c r="U23" s="25"/>
      <c r="V23" s="72">
        <v>150000</v>
      </c>
      <c r="W23" s="72">
        <f>VLOOKUP(C23,[1]AOP25Reduced!A:V,22,0)</f>
        <v>150000</v>
      </c>
      <c r="X23" s="39">
        <v>10000</v>
      </c>
      <c r="Y23" s="39">
        <f t="shared" si="0"/>
        <v>-140000</v>
      </c>
      <c r="Z23" s="38">
        <f t="shared" si="1"/>
        <v>-140000</v>
      </c>
      <c r="AA23" s="22"/>
      <c r="AB23" s="21">
        <f t="shared" si="7"/>
        <v>-0.93333333333333335</v>
      </c>
      <c r="AC23" s="35"/>
      <c r="AD23" s="19">
        <f>SUMPRODUCT(([1]BIdetails!$J$5:$J$3000=M23)*([1]BIdetails!$K$5:$K$3000=N23)*([1]BIdetails!$M$5:$M$3000))</f>
        <v>0</v>
      </c>
      <c r="AE23" s="18">
        <f t="shared" si="8"/>
        <v>0</v>
      </c>
      <c r="AF23" s="17"/>
      <c r="AG23" s="17"/>
      <c r="AH23" s="17"/>
      <c r="AI23" s="16"/>
    </row>
    <row r="24" spans="1:35" x14ac:dyDescent="0.25">
      <c r="A24" s="43" t="s">
        <v>16</v>
      </c>
      <c r="B24" s="43" t="str">
        <f t="shared" si="6"/>
        <v>New</v>
      </c>
      <c r="C24" s="42" t="s">
        <v>161</v>
      </c>
      <c r="D24" s="43"/>
      <c r="E24" s="43">
        <v>68427709</v>
      </c>
      <c r="F24" s="45" t="s">
        <v>12</v>
      </c>
      <c r="G24" s="43" t="s">
        <v>5</v>
      </c>
      <c r="H24" s="43" t="s">
        <v>5</v>
      </c>
      <c r="I24" s="43" t="s">
        <v>77</v>
      </c>
      <c r="J24" s="43" t="s">
        <v>76</v>
      </c>
      <c r="K24" s="43"/>
      <c r="L24" s="42" t="s">
        <v>75</v>
      </c>
      <c r="M24" s="41"/>
      <c r="N24" s="41"/>
      <c r="O24" s="41" t="s">
        <v>63</v>
      </c>
      <c r="P24" s="40" t="s">
        <v>7</v>
      </c>
      <c r="Q24" s="90" t="s">
        <v>7</v>
      </c>
      <c r="R24" s="30" t="s">
        <v>74</v>
      </c>
      <c r="S24" s="30" t="s">
        <v>5</v>
      </c>
      <c r="T24" s="91"/>
      <c r="U24" s="25"/>
      <c r="V24" s="72">
        <v>87000</v>
      </c>
      <c r="W24" s="72">
        <v>62500</v>
      </c>
      <c r="X24" s="39">
        <v>72000</v>
      </c>
      <c r="Y24" s="39">
        <f t="shared" si="0"/>
        <v>-15000</v>
      </c>
      <c r="Z24" s="38">
        <f t="shared" si="1"/>
        <v>9500</v>
      </c>
      <c r="AA24" s="22"/>
      <c r="AB24" s="21">
        <f t="shared" si="7"/>
        <v>0.152</v>
      </c>
      <c r="AC24" s="20"/>
      <c r="AD24" s="19">
        <f>SUMPRODUCT(([1]BIdetails!$J$5:$J$3000=M24)*([1]BIdetails!$K$5:$K$3000=N24)*([1]BIdetails!$M$5:$M$3000))</f>
        <v>0</v>
      </c>
      <c r="AE24" s="18">
        <f t="shared" si="8"/>
        <v>0</v>
      </c>
      <c r="AF24" s="17"/>
      <c r="AG24" s="17"/>
      <c r="AH24" s="17"/>
      <c r="AI24" s="16"/>
    </row>
    <row r="25" spans="1:35" x14ac:dyDescent="0.25">
      <c r="A25" s="43" t="s">
        <v>16</v>
      </c>
      <c r="B25" s="43" t="str">
        <f t="shared" si="6"/>
        <v>No Change</v>
      </c>
      <c r="C25" s="43" t="s">
        <v>73</v>
      </c>
      <c r="D25" s="43" t="s">
        <v>72</v>
      </c>
      <c r="E25" s="43">
        <v>68427709</v>
      </c>
      <c r="F25" s="45" t="s">
        <v>12</v>
      </c>
      <c r="G25" s="43" t="s">
        <v>5</v>
      </c>
      <c r="H25" s="43" t="s">
        <v>5</v>
      </c>
      <c r="I25" s="43"/>
      <c r="J25" s="43" t="s">
        <v>71</v>
      </c>
      <c r="K25" s="42">
        <v>152539</v>
      </c>
      <c r="L25" s="42" t="s">
        <v>70</v>
      </c>
      <c r="M25" s="41">
        <v>5401103113</v>
      </c>
      <c r="N25" s="41">
        <v>30</v>
      </c>
      <c r="O25" s="41" t="s">
        <v>63</v>
      </c>
      <c r="P25" s="43" t="s">
        <v>7</v>
      </c>
      <c r="Q25" s="90" t="s">
        <v>7</v>
      </c>
      <c r="R25" s="30" t="s">
        <v>74</v>
      </c>
      <c r="S25" s="30" t="s">
        <v>5</v>
      </c>
      <c r="T25" s="91">
        <v>45000</v>
      </c>
      <c r="U25" s="25">
        <v>45000</v>
      </c>
      <c r="V25" s="39">
        <v>45000</v>
      </c>
      <c r="W25" s="39">
        <f>VLOOKUP(C25,[1]AOP25Reduced!A:V,22,0)</f>
        <v>41538.67</v>
      </c>
      <c r="X25" s="44">
        <v>0</v>
      </c>
      <c r="Y25" s="39">
        <f t="shared" si="0"/>
        <v>-45000</v>
      </c>
      <c r="Z25" s="38">
        <f t="shared" si="1"/>
        <v>-41538.67</v>
      </c>
      <c r="AA25" s="22">
        <f>IF(B25="New",1,IFERROR(Y25/V25,0))</f>
        <v>-1</v>
      </c>
      <c r="AB25" s="21">
        <f t="shared" si="7"/>
        <v>-1</v>
      </c>
      <c r="AC25" s="20"/>
      <c r="AD25" s="19">
        <f>SUMPRODUCT(([1]BIdetails!$J$5:$J$3000=M25)*([1]BIdetails!$K$5:$K$3000=N25)*([1]BIdetails!$M$5:$M$3000))</f>
        <v>0</v>
      </c>
      <c r="AE25" s="18">
        <f t="shared" si="8"/>
        <v>0</v>
      </c>
      <c r="AF25" s="17" t="s">
        <v>19</v>
      </c>
      <c r="AG25" s="17" t="s">
        <v>18</v>
      </c>
      <c r="AH25" s="17" t="s">
        <v>17</v>
      </c>
      <c r="AI25" s="16"/>
    </row>
    <row r="26" spans="1:35" ht="14.1" customHeight="1" x14ac:dyDescent="0.25">
      <c r="A26" s="43" t="s">
        <v>30</v>
      </c>
      <c r="B26" s="43" t="s">
        <v>30</v>
      </c>
      <c r="C26" s="43" t="s">
        <v>69</v>
      </c>
      <c r="D26" s="43"/>
      <c r="E26" s="43">
        <v>68427709</v>
      </c>
      <c r="F26" s="43"/>
      <c r="G26" s="43"/>
      <c r="H26" s="43" t="s">
        <v>5</v>
      </c>
      <c r="I26" s="43"/>
      <c r="J26" s="43"/>
      <c r="K26" s="43"/>
      <c r="L26" s="42" t="s">
        <v>68</v>
      </c>
      <c r="M26" s="41"/>
      <c r="N26" s="41"/>
      <c r="O26" s="41" t="s">
        <v>63</v>
      </c>
      <c r="P26" s="40" t="s">
        <v>7</v>
      </c>
      <c r="Q26" s="90" t="s">
        <v>7</v>
      </c>
      <c r="R26" s="30" t="s">
        <v>74</v>
      </c>
      <c r="S26" s="30" t="s">
        <v>5</v>
      </c>
      <c r="T26" s="91"/>
      <c r="U26" s="25"/>
      <c r="V26" s="39">
        <v>0</v>
      </c>
      <c r="W26" s="39">
        <v>0</v>
      </c>
      <c r="X26" s="39">
        <v>57600</v>
      </c>
      <c r="Y26" s="39">
        <f t="shared" si="0"/>
        <v>57600</v>
      </c>
      <c r="Z26" s="38">
        <f t="shared" si="1"/>
        <v>57600</v>
      </c>
      <c r="AA26" s="22"/>
      <c r="AB26" s="21"/>
      <c r="AC26" s="20"/>
      <c r="AD26" s="19"/>
      <c r="AE26" s="18"/>
      <c r="AF26" s="17"/>
      <c r="AG26" s="17"/>
      <c r="AH26" s="17"/>
      <c r="AI26" s="16"/>
    </row>
    <row r="27" spans="1:35" hidden="1" x14ac:dyDescent="0.25">
      <c r="A27" s="66" t="s">
        <v>16</v>
      </c>
      <c r="B27" s="66" t="str">
        <f>IF(U27=V27,"No Change",IF(AND(V27&lt;&gt;0,V27&lt;U27),"Decrease",IF(AND(V27&lt;&gt;0,U27=0),"New",IF(AND(U27&lt;&gt;0,V27=0),"Decommissioned","Increase"))))</f>
        <v>Decrease</v>
      </c>
      <c r="C27" s="66" t="s">
        <v>62</v>
      </c>
      <c r="D27" s="66" t="s">
        <v>61</v>
      </c>
      <c r="E27" s="66">
        <v>68427709</v>
      </c>
      <c r="F27" s="67" t="s">
        <v>12</v>
      </c>
      <c r="G27" s="66" t="s">
        <v>5</v>
      </c>
      <c r="H27" s="68" t="s">
        <v>5</v>
      </c>
      <c r="I27" s="66" t="s">
        <v>11</v>
      </c>
      <c r="J27" s="66" t="s">
        <v>10</v>
      </c>
      <c r="K27" s="66">
        <v>187516</v>
      </c>
      <c r="L27" s="68" t="s">
        <v>43</v>
      </c>
      <c r="M27" s="69">
        <v>5400840950</v>
      </c>
      <c r="N27" s="69">
        <v>70</v>
      </c>
      <c r="O27" s="69" t="s">
        <v>28</v>
      </c>
      <c r="P27" s="68" t="s">
        <v>7</v>
      </c>
      <c r="Q27" s="88" t="s">
        <v>7</v>
      </c>
      <c r="R27" s="30" t="s">
        <v>6</v>
      </c>
      <c r="S27" s="30" t="s">
        <v>5</v>
      </c>
      <c r="T27" s="91">
        <v>229000</v>
      </c>
      <c r="U27" s="25">
        <v>479000</v>
      </c>
      <c r="V27" s="25">
        <f>479000-229000</f>
        <v>250000</v>
      </c>
      <c r="W27" s="25">
        <v>230770</v>
      </c>
      <c r="X27" s="37">
        <v>60000</v>
      </c>
      <c r="Y27" s="25">
        <f t="shared" si="0"/>
        <v>-190000</v>
      </c>
      <c r="Z27" s="27">
        <f t="shared" si="1"/>
        <v>-170770</v>
      </c>
      <c r="AA27" s="22">
        <f t="shared" ref="AA27:AB33" si="10">IF(B27="New",1,IFERROR(Y27/V27,0))</f>
        <v>-0.76</v>
      </c>
      <c r="AB27" s="21">
        <f t="shared" si="10"/>
        <v>-0.74000086666377773</v>
      </c>
      <c r="AC27" s="36" t="s">
        <v>60</v>
      </c>
      <c r="AD27" s="19">
        <f>SUMPRODUCT(([1]BIdetails!$J$5:$J$3000=M27)*([1]BIdetails!$K$5:$K$3000=N27)*([1]BIdetails!$M$5:$M$3000))</f>
        <v>0</v>
      </c>
      <c r="AE27" s="18">
        <f t="shared" ref="AE27:AE33" si="11">IF(V27=0,"",(AD27/V27))</f>
        <v>0</v>
      </c>
      <c r="AF27" s="17" t="s">
        <v>19</v>
      </c>
      <c r="AG27" s="17" t="s">
        <v>18</v>
      </c>
      <c r="AH27" s="17" t="s">
        <v>17</v>
      </c>
      <c r="AI27" s="16"/>
    </row>
    <row r="28" spans="1:35" ht="45" hidden="1" x14ac:dyDescent="0.25">
      <c r="A28" s="66" t="s">
        <v>16</v>
      </c>
      <c r="B28" s="66" t="str">
        <f>IF(U28=V28,"No Change",IF(AND(V28&lt;&gt;0,V28&lt;U28),"Decrease",IF(AND(V28&lt;&gt;0,U28=0),"New",IF(AND(U28&lt;&gt;0,V28=0),"Decommissioned","Increase"))))</f>
        <v>Increase</v>
      </c>
      <c r="C28" s="66" t="s">
        <v>59</v>
      </c>
      <c r="D28" s="66" t="s">
        <v>58</v>
      </c>
      <c r="E28" s="66">
        <v>68427709</v>
      </c>
      <c r="F28" s="67" t="s">
        <v>57</v>
      </c>
      <c r="G28" s="66" t="s">
        <v>56</v>
      </c>
      <c r="H28" s="66" t="s">
        <v>22</v>
      </c>
      <c r="I28" s="66" t="s">
        <v>55</v>
      </c>
      <c r="J28" s="66" t="s">
        <v>54</v>
      </c>
      <c r="K28" s="66">
        <v>192268</v>
      </c>
      <c r="L28" s="66" t="s">
        <v>53</v>
      </c>
      <c r="M28" s="70">
        <v>5401047702</v>
      </c>
      <c r="N28" s="70">
        <v>10</v>
      </c>
      <c r="O28" s="70" t="s">
        <v>28</v>
      </c>
      <c r="P28" s="66" t="s">
        <v>7</v>
      </c>
      <c r="Q28" s="88" t="s">
        <v>7</v>
      </c>
      <c r="R28" s="30" t="s">
        <v>6</v>
      </c>
      <c r="S28" s="30" t="s">
        <v>5</v>
      </c>
      <c r="T28" s="91">
        <v>10700</v>
      </c>
      <c r="U28" s="25">
        <v>10700</v>
      </c>
      <c r="V28" s="25">
        <v>11000</v>
      </c>
      <c r="W28" s="25">
        <f>VLOOKUP(C28,[1]AOP25Reduced!A:V,22,0)</f>
        <v>10153.9</v>
      </c>
      <c r="X28" s="28">
        <v>20000</v>
      </c>
      <c r="Y28" s="25">
        <f t="shared" si="0"/>
        <v>9000</v>
      </c>
      <c r="Z28" s="27">
        <f t="shared" si="1"/>
        <v>9846.1</v>
      </c>
      <c r="AA28" s="22">
        <f t="shared" si="10"/>
        <v>0.81818181818181823</v>
      </c>
      <c r="AB28" s="21">
        <f t="shared" si="10"/>
        <v>0.96968652438964342</v>
      </c>
      <c r="AC28" s="20" t="s">
        <v>52</v>
      </c>
      <c r="AD28" s="19">
        <f>SUMPRODUCT(([1]BIdetails!$J$5:$J$3000=M28)*([1]BIdetails!$K$5:$K$3000=N28)*([1]BIdetails!$M$5:$M$3000))</f>
        <v>0</v>
      </c>
      <c r="AE28" s="18">
        <f t="shared" si="11"/>
        <v>0</v>
      </c>
      <c r="AF28" s="17" t="s">
        <v>51</v>
      </c>
      <c r="AG28" s="17" t="s">
        <v>50</v>
      </c>
      <c r="AH28" s="17"/>
      <c r="AI28" s="16"/>
    </row>
    <row r="29" spans="1:35" ht="30" hidden="1" x14ac:dyDescent="0.25">
      <c r="A29" s="66" t="s">
        <v>16</v>
      </c>
      <c r="B29" s="66" t="s">
        <v>49</v>
      </c>
      <c r="C29" s="66" t="s">
        <v>48</v>
      </c>
      <c r="D29" s="66" t="s">
        <v>47</v>
      </c>
      <c r="E29" s="66">
        <v>68427709</v>
      </c>
      <c r="F29" s="67" t="s">
        <v>12</v>
      </c>
      <c r="G29" s="66" t="s">
        <v>5</v>
      </c>
      <c r="H29" s="66" t="s">
        <v>5</v>
      </c>
      <c r="I29" s="66" t="s">
        <v>11</v>
      </c>
      <c r="J29" s="66" t="s">
        <v>10</v>
      </c>
      <c r="K29" s="66">
        <v>187516</v>
      </c>
      <c r="L29" s="68" t="s">
        <v>43</v>
      </c>
      <c r="M29" s="70">
        <v>5401077908</v>
      </c>
      <c r="N29" s="70">
        <v>10</v>
      </c>
      <c r="O29" s="70" t="s">
        <v>28</v>
      </c>
      <c r="P29" s="66" t="s">
        <v>7</v>
      </c>
      <c r="Q29" s="89" t="s">
        <v>7</v>
      </c>
      <c r="R29" s="30" t="s">
        <v>6</v>
      </c>
      <c r="S29" s="30" t="s">
        <v>5</v>
      </c>
      <c r="T29" s="91">
        <v>30000</v>
      </c>
      <c r="U29" s="25">
        <v>30000</v>
      </c>
      <c r="V29" s="64">
        <v>31500</v>
      </c>
      <c r="W29" s="25">
        <f>VLOOKUP(C29,[1]AOP25Reduced!A:V,22,0)</f>
        <v>29077.07</v>
      </c>
      <c r="X29" s="25">
        <f>W29</f>
        <v>29077.07</v>
      </c>
      <c r="Y29" s="25">
        <f t="shared" si="0"/>
        <v>-2422.9300000000003</v>
      </c>
      <c r="Z29" s="27">
        <f t="shared" si="1"/>
        <v>0</v>
      </c>
      <c r="AA29" s="22">
        <f t="shared" si="10"/>
        <v>-7.6918412698412708E-2</v>
      </c>
      <c r="AB29" s="21">
        <f t="shared" si="10"/>
        <v>0</v>
      </c>
      <c r="AC29" s="20" t="s">
        <v>46</v>
      </c>
      <c r="AD29" s="19">
        <f>SUMPRODUCT(([1]BIdetails!$J$5:$J$3000=M29)*([1]BIdetails!$K$5:$K$3000=N29)*([1]BIdetails!$M$5:$M$3000))</f>
        <v>0</v>
      </c>
      <c r="AE29" s="18">
        <f t="shared" si="11"/>
        <v>0</v>
      </c>
      <c r="AF29" s="17" t="s">
        <v>19</v>
      </c>
      <c r="AG29" s="17" t="s">
        <v>18</v>
      </c>
      <c r="AH29" s="17" t="s">
        <v>17</v>
      </c>
      <c r="AI29" s="16"/>
    </row>
    <row r="30" spans="1:35" ht="14.1" hidden="1" customHeight="1" x14ac:dyDescent="0.25">
      <c r="A30" s="76" t="s">
        <v>16</v>
      </c>
      <c r="B30" s="76" t="str">
        <f>IF(U30=V30,"No Change",IF(AND(V30&lt;&gt;0,V30&lt;U30),"Decrease",IF(AND(V30&lt;&gt;0,U30=0),"New",IF(AND(U30&lt;&gt;0,V30=0),"Decommissioned","Increase"))))</f>
        <v>No Change</v>
      </c>
      <c r="C30" s="79" t="s">
        <v>45</v>
      </c>
      <c r="D30" s="76" t="s">
        <v>44</v>
      </c>
      <c r="E30" s="76">
        <v>68427709</v>
      </c>
      <c r="F30" s="77" t="s">
        <v>12</v>
      </c>
      <c r="G30" s="76" t="s">
        <v>5</v>
      </c>
      <c r="H30" s="76" t="s">
        <v>5</v>
      </c>
      <c r="I30" s="76" t="s">
        <v>11</v>
      </c>
      <c r="J30" s="76" t="s">
        <v>10</v>
      </c>
      <c r="K30" s="76">
        <v>187516</v>
      </c>
      <c r="L30" s="78" t="s">
        <v>43</v>
      </c>
      <c r="M30" s="70">
        <v>5400912390</v>
      </c>
      <c r="N30" s="70">
        <v>10</v>
      </c>
      <c r="O30" s="70" t="s">
        <v>28</v>
      </c>
      <c r="P30" s="66" t="s">
        <v>7</v>
      </c>
      <c r="Q30" s="90" t="s">
        <v>7</v>
      </c>
      <c r="R30" s="30" t="s">
        <v>6</v>
      </c>
      <c r="S30" s="30" t="s">
        <v>5</v>
      </c>
      <c r="T30" s="91">
        <v>141000</v>
      </c>
      <c r="U30" s="25">
        <v>141000</v>
      </c>
      <c r="V30" s="25">
        <v>141000</v>
      </c>
      <c r="W30" s="25">
        <f>VLOOKUP(C30,[1]AOP25Reduced!A:V,22,0)</f>
        <v>130154.49</v>
      </c>
      <c r="X30" s="25">
        <f>W30</f>
        <v>130154.49</v>
      </c>
      <c r="Y30" s="25">
        <f t="shared" si="0"/>
        <v>-10845.509999999995</v>
      </c>
      <c r="Z30" s="27">
        <f t="shared" si="1"/>
        <v>0</v>
      </c>
      <c r="AA30" s="22">
        <f t="shared" si="10"/>
        <v>-7.6918510638297841E-2</v>
      </c>
      <c r="AB30" s="21">
        <f t="shared" si="10"/>
        <v>0</v>
      </c>
      <c r="AC30" s="35" t="s">
        <v>42</v>
      </c>
      <c r="AD30" s="19">
        <f>SUMPRODUCT(([1]BIdetails!$J$5:$J$3000=M30)*([1]BIdetails!$K$5:$K$3000=N30)*([1]BIdetails!$M$5:$M$3000))</f>
        <v>0</v>
      </c>
      <c r="AE30" s="18">
        <f t="shared" si="11"/>
        <v>0</v>
      </c>
      <c r="AF30" s="17"/>
      <c r="AG30" s="17"/>
      <c r="AH30" s="17"/>
      <c r="AI30" s="16"/>
    </row>
    <row r="31" spans="1:35" hidden="1" x14ac:dyDescent="0.25">
      <c r="A31" s="66" t="s">
        <v>16</v>
      </c>
      <c r="B31" s="66" t="str">
        <f>IF(U31=V31,"No Change",IF(AND(V31&lt;&gt;0,V31&lt;U31),"Decrease",IF(AND(V31&lt;&gt;0,U31=0),"New",IF(AND(U31&lt;&gt;0,V31=0),"Decommissioned","Increase"))))</f>
        <v>No Change</v>
      </c>
      <c r="C31" s="71" t="s">
        <v>41</v>
      </c>
      <c r="D31" s="66" t="s">
        <v>40</v>
      </c>
      <c r="E31" s="66">
        <v>68427709</v>
      </c>
      <c r="F31" s="67" t="s">
        <v>12</v>
      </c>
      <c r="G31" s="66" t="s">
        <v>5</v>
      </c>
      <c r="H31" s="66" t="s">
        <v>5</v>
      </c>
      <c r="I31" s="66" t="s">
        <v>11</v>
      </c>
      <c r="J31" s="66" t="s">
        <v>10</v>
      </c>
      <c r="K31" s="71">
        <v>209193</v>
      </c>
      <c r="L31" s="71" t="s">
        <v>39</v>
      </c>
      <c r="M31" s="70">
        <v>5401100852</v>
      </c>
      <c r="N31" s="70"/>
      <c r="O31" s="70" t="s">
        <v>28</v>
      </c>
      <c r="P31" s="66" t="s">
        <v>7</v>
      </c>
      <c r="Q31" s="90" t="s">
        <v>7</v>
      </c>
      <c r="R31" s="30" t="s">
        <v>6</v>
      </c>
      <c r="S31" s="30" t="s">
        <v>5</v>
      </c>
      <c r="T31" s="91">
        <v>74000</v>
      </c>
      <c r="U31" s="25">
        <v>74000</v>
      </c>
      <c r="V31" s="64">
        <v>74000</v>
      </c>
      <c r="W31" s="25">
        <f>VLOOKUP(C31,[1]AOP25Reduced!A:V,22,0)</f>
        <v>68308.03</v>
      </c>
      <c r="X31" s="25">
        <f>W31</f>
        <v>68308.03</v>
      </c>
      <c r="Y31" s="25">
        <f t="shared" si="0"/>
        <v>-5691.9700000000012</v>
      </c>
      <c r="Z31" s="27">
        <f t="shared" si="1"/>
        <v>0</v>
      </c>
      <c r="AA31" s="22">
        <f t="shared" si="10"/>
        <v>-7.6918513513513531E-2</v>
      </c>
      <c r="AB31" s="21">
        <f t="shared" si="10"/>
        <v>0</v>
      </c>
      <c r="AC31" s="20"/>
      <c r="AD31" s="19">
        <f>SUMPRODUCT(([1]BIdetails!$J$5:$J$3000=M31)*([1]BIdetails!$K$5:$K$3000=N31)*([1]BIdetails!$M$5:$M$3000))</f>
        <v>0</v>
      </c>
      <c r="AE31" s="18">
        <f t="shared" si="11"/>
        <v>0</v>
      </c>
      <c r="AF31" s="17"/>
      <c r="AG31" s="17"/>
      <c r="AH31" s="17"/>
      <c r="AI31" s="16"/>
    </row>
    <row r="32" spans="1:35" hidden="1" x14ac:dyDescent="0.25">
      <c r="A32" s="66" t="s">
        <v>16</v>
      </c>
      <c r="B32" s="66" t="str">
        <f>IF(U32=V32,"No Change",IF(AND(V32&lt;&gt;0,V32&lt;U32),"Decrease",IF(AND(V32&lt;&gt;0,U32=0),"New",IF(AND(U32&lt;&gt;0,V32=0),"Decommissioned","Increase"))))</f>
        <v>No Change</v>
      </c>
      <c r="C32" s="71" t="s">
        <v>38</v>
      </c>
      <c r="D32" s="66" t="s">
        <v>37</v>
      </c>
      <c r="E32" s="66">
        <v>68427709</v>
      </c>
      <c r="F32" s="67" t="s">
        <v>12</v>
      </c>
      <c r="G32" s="66" t="s">
        <v>5</v>
      </c>
      <c r="H32" s="66" t="s">
        <v>5</v>
      </c>
      <c r="I32" s="66" t="s">
        <v>36</v>
      </c>
      <c r="J32" s="66" t="s">
        <v>35</v>
      </c>
      <c r="K32" s="71">
        <v>209514</v>
      </c>
      <c r="L32" s="71" t="s">
        <v>34</v>
      </c>
      <c r="M32" s="70">
        <v>5400978265</v>
      </c>
      <c r="N32" s="70">
        <v>10</v>
      </c>
      <c r="O32" s="70" t="s">
        <v>28</v>
      </c>
      <c r="P32" s="66" t="s">
        <v>7</v>
      </c>
      <c r="Q32" s="90" t="s">
        <v>7</v>
      </c>
      <c r="R32" s="30" t="s">
        <v>6</v>
      </c>
      <c r="S32" s="30" t="s">
        <v>5</v>
      </c>
      <c r="T32" s="91">
        <v>85000</v>
      </c>
      <c r="U32" s="25">
        <v>85000</v>
      </c>
      <c r="V32" s="25">
        <v>85000</v>
      </c>
      <c r="W32" s="25">
        <v>78462</v>
      </c>
      <c r="X32" s="25">
        <f>W32</f>
        <v>78462</v>
      </c>
      <c r="Y32" s="25">
        <f t="shared" si="0"/>
        <v>-6538</v>
      </c>
      <c r="Z32" s="27">
        <f t="shared" si="1"/>
        <v>0</v>
      </c>
      <c r="AA32" s="22">
        <f t="shared" si="10"/>
        <v>-7.6917647058823535E-2</v>
      </c>
      <c r="AB32" s="21">
        <f t="shared" si="10"/>
        <v>0</v>
      </c>
      <c r="AC32" s="20"/>
      <c r="AD32" s="19">
        <f>SUMPRODUCT(([1]BIdetails!$J$5:$J$3000=M32)*([1]BIdetails!$K$5:$K$3000=N32)*([1]BIdetails!$M$5:$M$3000))</f>
        <v>0</v>
      </c>
      <c r="AE32" s="18">
        <f t="shared" si="11"/>
        <v>0</v>
      </c>
      <c r="AF32" s="17"/>
      <c r="AG32" s="17"/>
      <c r="AH32" s="17"/>
      <c r="AI32" s="16"/>
    </row>
    <row r="33" spans="1:35" ht="30" hidden="1" x14ac:dyDescent="0.25">
      <c r="A33" s="66" t="s">
        <v>15</v>
      </c>
      <c r="B33" s="66" t="str">
        <f>IF(U33=V33,"No Change",IF(AND(V33&lt;&gt;0,V33&lt;U33),"Decrease",IF(AND(V33&lt;&gt;0,U33=0),"New",IF(AND(U33&lt;&gt;0,V33=0),"Decommissioned","Increase"))))</f>
        <v>No Change</v>
      </c>
      <c r="C33" s="66" t="s">
        <v>154</v>
      </c>
      <c r="D33" s="66"/>
      <c r="E33" s="66">
        <v>68427709</v>
      </c>
      <c r="F33" s="67" t="s">
        <v>12</v>
      </c>
      <c r="G33" s="66" t="s">
        <v>5</v>
      </c>
      <c r="H33" s="66" t="s">
        <v>5</v>
      </c>
      <c r="I33" s="66"/>
      <c r="J33" s="66" t="s">
        <v>32</v>
      </c>
      <c r="K33" s="71"/>
      <c r="L33" s="71"/>
      <c r="M33" s="70"/>
      <c r="N33" s="70"/>
      <c r="O33" s="70" t="s">
        <v>28</v>
      </c>
      <c r="P33" s="66" t="s">
        <v>7</v>
      </c>
      <c r="Q33" s="89" t="s">
        <v>7</v>
      </c>
      <c r="R33" s="30" t="s">
        <v>6</v>
      </c>
      <c r="S33" s="30" t="s">
        <v>5</v>
      </c>
      <c r="T33" s="91">
        <v>140000</v>
      </c>
      <c r="U33" s="25">
        <v>0</v>
      </c>
      <c r="V33" s="73">
        <v>0</v>
      </c>
      <c r="W33" s="73">
        <v>0</v>
      </c>
      <c r="X33" s="73">
        <v>150000</v>
      </c>
      <c r="Y33" s="73">
        <f t="shared" si="0"/>
        <v>150000</v>
      </c>
      <c r="Z33" s="74">
        <f t="shared" si="1"/>
        <v>150000</v>
      </c>
      <c r="AA33" s="22">
        <f t="shared" si="10"/>
        <v>0</v>
      </c>
      <c r="AB33" s="21">
        <f t="shared" si="10"/>
        <v>0</v>
      </c>
      <c r="AC33" s="20" t="s">
        <v>31</v>
      </c>
      <c r="AD33" s="19">
        <f>SUMPRODUCT(([1]BIdetails!$J$5:$J$3000=M33)*([1]BIdetails!$K$5:$K$3000=N33)*([1]BIdetails!$M$5:$M$3000))</f>
        <v>0</v>
      </c>
      <c r="AE33" s="18" t="str">
        <f t="shared" si="11"/>
        <v/>
      </c>
      <c r="AF33" s="17" t="s">
        <v>19</v>
      </c>
      <c r="AG33" s="17" t="s">
        <v>18</v>
      </c>
      <c r="AH33" s="17" t="s">
        <v>17</v>
      </c>
      <c r="AI33" s="16"/>
    </row>
    <row r="34" spans="1:35" ht="30" hidden="1" x14ac:dyDescent="0.25">
      <c r="A34" s="66" t="s">
        <v>30</v>
      </c>
      <c r="B34" s="66" t="s">
        <v>30</v>
      </c>
      <c r="C34" s="71" t="s">
        <v>29</v>
      </c>
      <c r="D34" s="66"/>
      <c r="E34" s="66">
        <v>68427709</v>
      </c>
      <c r="F34" s="67" t="s">
        <v>12</v>
      </c>
      <c r="G34" s="66" t="s">
        <v>5</v>
      </c>
      <c r="H34" s="66" t="s">
        <v>5</v>
      </c>
      <c r="I34" s="66"/>
      <c r="J34" s="66"/>
      <c r="K34" s="66"/>
      <c r="L34" s="68"/>
      <c r="M34" s="70"/>
      <c r="N34" s="70"/>
      <c r="O34" s="70" t="s">
        <v>28</v>
      </c>
      <c r="P34" s="66" t="s">
        <v>7</v>
      </c>
      <c r="Q34" s="89" t="s">
        <v>7</v>
      </c>
      <c r="R34" s="30" t="s">
        <v>6</v>
      </c>
      <c r="S34" s="30" t="s">
        <v>5</v>
      </c>
      <c r="T34" s="91">
        <v>0</v>
      </c>
      <c r="U34" s="25">
        <v>0</v>
      </c>
      <c r="V34" s="73">
        <v>0</v>
      </c>
      <c r="W34" s="73">
        <v>0</v>
      </c>
      <c r="X34" s="73">
        <v>0</v>
      </c>
      <c r="Y34" s="73">
        <f>X34-V34</f>
        <v>0</v>
      </c>
      <c r="Z34" s="74">
        <f>X34-W34</f>
        <v>0</v>
      </c>
      <c r="AA34" s="22"/>
      <c r="AB34" s="21">
        <f>IF(C34="New",1,IFERROR(Z34/W34,0))</f>
        <v>0</v>
      </c>
      <c r="AC34" s="35" t="s">
        <v>27</v>
      </c>
      <c r="AD34" s="19"/>
      <c r="AE34" s="18"/>
      <c r="AF34" s="17"/>
      <c r="AG34" s="17"/>
      <c r="AH34" s="17"/>
      <c r="AI34" s="16"/>
    </row>
    <row r="35" spans="1:35" ht="30" hidden="1" x14ac:dyDescent="0.25">
      <c r="A35" s="30" t="s">
        <v>16</v>
      </c>
      <c r="B35" s="30" t="s">
        <v>15</v>
      </c>
      <c r="C35" s="30" t="s">
        <v>26</v>
      </c>
      <c r="D35" s="30"/>
      <c r="E35" s="30">
        <v>68427709</v>
      </c>
      <c r="F35" s="33" t="s">
        <v>12</v>
      </c>
      <c r="G35" s="30" t="s">
        <v>5</v>
      </c>
      <c r="H35" s="30" t="s">
        <v>5</v>
      </c>
      <c r="I35" s="30" t="s">
        <v>11</v>
      </c>
      <c r="J35" s="30" t="s">
        <v>10</v>
      </c>
      <c r="K35" s="32"/>
      <c r="L35" s="32"/>
      <c r="M35" s="31"/>
      <c r="N35" s="31"/>
      <c r="O35" s="31" t="s">
        <v>8</v>
      </c>
      <c r="P35" s="30" t="s">
        <v>7</v>
      </c>
      <c r="Q35" s="89" t="s">
        <v>7</v>
      </c>
      <c r="R35" s="30" t="s">
        <v>6</v>
      </c>
      <c r="S35" s="30" t="s">
        <v>5</v>
      </c>
      <c r="T35" s="91">
        <v>70000</v>
      </c>
      <c r="U35" s="25">
        <v>70000</v>
      </c>
      <c r="V35" s="25">
        <v>70000</v>
      </c>
      <c r="W35" s="64">
        <v>64616</v>
      </c>
      <c r="X35" s="80">
        <v>250000</v>
      </c>
      <c r="Y35" s="25">
        <f>X35-V35</f>
        <v>180000</v>
      </c>
      <c r="Z35" s="27">
        <f>X35-W35</f>
        <v>185384</v>
      </c>
      <c r="AA35" s="22">
        <f>IF(B35="New",1,IFERROR(Y35/V35,0))</f>
        <v>2.5714285714285716</v>
      </c>
      <c r="AB35" s="21">
        <f>IF(C35="New",1,IFERROR(Z35/W35,0))</f>
        <v>2.8690107713259874</v>
      </c>
      <c r="AC35" s="20" t="s">
        <v>25</v>
      </c>
      <c r="AD35" s="19">
        <f>SUMPRODUCT(([1]BIdetails!$J$5:$J$3000=M35)*([1]BIdetails!$K$5:$K$3000=N35)*([1]BIdetails!$M$5:$M$3000))</f>
        <v>0</v>
      </c>
      <c r="AE35" s="18">
        <f>IF(V35=0,"",(AD35/V35))</f>
        <v>0</v>
      </c>
      <c r="AF35" s="17" t="s">
        <v>19</v>
      </c>
      <c r="AG35" s="17" t="s">
        <v>18</v>
      </c>
      <c r="AH35" s="17" t="s">
        <v>17</v>
      </c>
      <c r="AI35" s="16"/>
    </row>
    <row r="36" spans="1:35" hidden="1" x14ac:dyDescent="0.25">
      <c r="A36" s="30" t="s">
        <v>16</v>
      </c>
      <c r="B36" s="30" t="str">
        <f>IF(U36=V36,"No Change",IF(AND(V36&lt;&gt;0,V36&lt;U36),"Decrease",IF(AND(V36&lt;&gt;0,U36=0),"New",IF(AND(U36&lt;&gt;0,V36=0),"Decommissioned","Increase"))))</f>
        <v>No Change</v>
      </c>
      <c r="C36" s="30" t="s">
        <v>24</v>
      </c>
      <c r="D36" s="30" t="s">
        <v>23</v>
      </c>
      <c r="E36" s="30">
        <v>68427709</v>
      </c>
      <c r="F36" s="33" t="s">
        <v>12</v>
      </c>
      <c r="G36" s="30" t="s">
        <v>5</v>
      </c>
      <c r="H36" s="30" t="s">
        <v>22</v>
      </c>
      <c r="I36" s="30" t="s">
        <v>11</v>
      </c>
      <c r="J36" s="30" t="s">
        <v>10</v>
      </c>
      <c r="K36" s="34">
        <v>195870</v>
      </c>
      <c r="L36" s="30" t="s">
        <v>21</v>
      </c>
      <c r="M36" s="34">
        <v>5401030717</v>
      </c>
      <c r="N36" s="31">
        <v>10</v>
      </c>
      <c r="O36" s="31" t="s">
        <v>8</v>
      </c>
      <c r="P36" s="30" t="s">
        <v>7</v>
      </c>
      <c r="Q36" s="88" t="s">
        <v>7</v>
      </c>
      <c r="R36" s="30" t="s">
        <v>6</v>
      </c>
      <c r="S36" s="30" t="s">
        <v>5</v>
      </c>
      <c r="T36" s="91">
        <v>80000</v>
      </c>
      <c r="U36" s="25">
        <v>80000</v>
      </c>
      <c r="V36" s="25">
        <v>80000</v>
      </c>
      <c r="W36" s="64">
        <f>VLOOKUP(C36,[1]AOP25Reduced!A:V,22,0)</f>
        <v>73846.52</v>
      </c>
      <c r="X36" s="25">
        <f>W36</f>
        <v>73846.52</v>
      </c>
      <c r="Y36" s="25">
        <f>X36-V36</f>
        <v>-6153.4799999999959</v>
      </c>
      <c r="Z36" s="27">
        <f>X36-W36</f>
        <v>0</v>
      </c>
      <c r="AA36" s="22">
        <f>IF(B36="New",1,IFERROR(Y36/V36,0))</f>
        <v>-7.6918499999999945E-2</v>
      </c>
      <c r="AB36" s="21">
        <f>IF(C36="New",1,IFERROR(Z36/W36,0))</f>
        <v>0</v>
      </c>
      <c r="AC36" s="20" t="s">
        <v>20</v>
      </c>
      <c r="AD36" s="19">
        <f>SUMPRODUCT(([1]BIdetails!$J$5:$J$3000=M36)*([1]BIdetails!$K$5:$K$3000=N36)*([1]BIdetails!$M$5:$M$3000))</f>
        <v>0</v>
      </c>
      <c r="AE36" s="18">
        <f>IF(V36=0,"",(AD36/V36))</f>
        <v>0</v>
      </c>
      <c r="AF36" s="17" t="s">
        <v>19</v>
      </c>
      <c r="AG36" s="17" t="s">
        <v>18</v>
      </c>
      <c r="AH36" s="17" t="s">
        <v>17</v>
      </c>
      <c r="AI36" s="16"/>
    </row>
    <row r="37" spans="1:35" ht="30" hidden="1" x14ac:dyDescent="0.25">
      <c r="A37" s="30" t="s">
        <v>16</v>
      </c>
      <c r="B37" s="30" t="s">
        <v>15</v>
      </c>
      <c r="C37" s="32" t="s">
        <v>14</v>
      </c>
      <c r="D37" s="30" t="s">
        <v>13</v>
      </c>
      <c r="E37" s="30">
        <v>68427709</v>
      </c>
      <c r="F37" s="33" t="s">
        <v>12</v>
      </c>
      <c r="G37" s="30" t="s">
        <v>5</v>
      </c>
      <c r="H37" s="30" t="s">
        <v>5</v>
      </c>
      <c r="I37" s="30" t="s">
        <v>11</v>
      </c>
      <c r="J37" s="30" t="s">
        <v>10</v>
      </c>
      <c r="K37" s="32">
        <v>209509</v>
      </c>
      <c r="L37" s="30" t="s">
        <v>9</v>
      </c>
      <c r="M37" s="31">
        <v>5401087958</v>
      </c>
      <c r="N37" s="31">
        <v>10</v>
      </c>
      <c r="O37" s="31" t="s">
        <v>8</v>
      </c>
      <c r="P37" s="30" t="s">
        <v>7</v>
      </c>
      <c r="Q37" s="90" t="s">
        <v>7</v>
      </c>
      <c r="R37" s="30" t="s">
        <v>6</v>
      </c>
      <c r="S37" s="30" t="s">
        <v>5</v>
      </c>
      <c r="T37" s="91">
        <v>250000</v>
      </c>
      <c r="U37" s="25">
        <v>250000</v>
      </c>
      <c r="V37" s="25">
        <v>250000</v>
      </c>
      <c r="W37" s="25">
        <f>VLOOKUP(C37,[1]AOP25Reduced!A:V,22,0)</f>
        <v>230770.37</v>
      </c>
      <c r="X37" s="28">
        <v>230770</v>
      </c>
      <c r="Y37" s="25">
        <f>X37-V37</f>
        <v>-19230</v>
      </c>
      <c r="Z37" s="27">
        <f>X37-W37</f>
        <v>-0.36999999999534339</v>
      </c>
      <c r="AA37" s="22">
        <f>IF(B37="New",1,IFERROR(Y37/V37,0))</f>
        <v>-7.6920000000000002E-2</v>
      </c>
      <c r="AB37" s="21">
        <f>IF(C37="New",1,IFERROR(Z37/W37,0))</f>
        <v>-1.6033254182300068E-6</v>
      </c>
      <c r="AC37" s="20" t="s">
        <v>4</v>
      </c>
      <c r="AD37" s="19">
        <f>SUMPRODUCT(([1]BIdetails!$J$5:$J$3000=M37)*([1]BIdetails!$K$5:$K$3000=N37)*([1]BIdetails!$M$5:$M$3000))</f>
        <v>0</v>
      </c>
      <c r="AE37" s="18">
        <f>IF(V37=0,"",(AD37/V37))</f>
        <v>0</v>
      </c>
      <c r="AF37" s="17"/>
      <c r="AG37" s="17"/>
      <c r="AH37" s="17"/>
      <c r="AI37" s="16"/>
    </row>
    <row r="38" spans="1:35" hidden="1" x14ac:dyDescent="0.25">
      <c r="C38" s="15"/>
      <c r="H38" s="26"/>
      <c r="L38" s="15"/>
      <c r="P38" s="26"/>
      <c r="Q38" s="15"/>
      <c r="S38" s="16"/>
      <c r="T38" s="25"/>
      <c r="U38" s="25"/>
      <c r="V38" s="24"/>
      <c r="W38" s="24"/>
      <c r="X38" s="24"/>
      <c r="Y38" s="24">
        <f>V38-U38</f>
        <v>0</v>
      </c>
      <c r="Z38" s="23">
        <f>X38-W38</f>
        <v>0</v>
      </c>
      <c r="AA38" s="22">
        <f>IF(B38="New",1,IFERROR(Y38/V38,0))</f>
        <v>0</v>
      </c>
      <c r="AB38" s="21">
        <f>IF(C38="New",1,IFERROR(Z38/W38,0))</f>
        <v>0</v>
      </c>
      <c r="AC38" s="20"/>
      <c r="AD38" s="19"/>
      <c r="AE38" s="18" t="str">
        <f>IF(V38=0,"",(AD38/V38))</f>
        <v/>
      </c>
      <c r="AF38" s="17"/>
      <c r="AG38" s="17"/>
      <c r="AH38" s="17"/>
      <c r="AI38" s="16"/>
    </row>
    <row r="39" spans="1:35" ht="15.75" hidden="1" thickBot="1" x14ac:dyDescent="0.3">
      <c r="C39" s="15"/>
      <c r="I39" s="15"/>
      <c r="J39" s="15"/>
      <c r="K39" s="9"/>
      <c r="L39" s="15"/>
      <c r="M39" s="14"/>
      <c r="N39" s="14"/>
      <c r="O39" s="14"/>
      <c r="V39" s="13">
        <f>SUBTOTAL(109, V2:V38)</f>
        <v>509000</v>
      </c>
      <c r="W39" s="13" t="e">
        <f>SUBTOTAL(109, W2:W38)</f>
        <v>#N/A</v>
      </c>
      <c r="X39" s="13">
        <f>SUBTOTAL(109, X2:X38)</f>
        <v>641646</v>
      </c>
      <c r="Y39" s="13">
        <f>SUBTOTAL(109, Y2:Y38)</f>
        <v>17924</v>
      </c>
      <c r="Z39" s="12" t="e">
        <f>SUBTOTAL(109, Z2:Z38)</f>
        <v>#N/A</v>
      </c>
      <c r="AA39" s="11">
        <f>SUBTOTAL(101,AA2:AA38)</f>
        <v>-1</v>
      </c>
      <c r="AB39" s="11">
        <f>SUBTOTAL(101,AB2:AB38)</f>
        <v>0.57686561000363545</v>
      </c>
      <c r="AD39" s="10"/>
    </row>
    <row r="40" spans="1:35" ht="15.75" hidden="1" thickBot="1" x14ac:dyDescent="0.3">
      <c r="C40" s="9"/>
      <c r="I40" s="9"/>
      <c r="J40" s="9"/>
      <c r="K40" s="9"/>
      <c r="L40" s="9"/>
      <c r="M40" s="8"/>
      <c r="N40" s="8"/>
      <c r="O40" s="8"/>
      <c r="T40"/>
      <c r="U40"/>
      <c r="V40"/>
      <c r="W40"/>
      <c r="X40" s="7" t="s">
        <v>3</v>
      </c>
      <c r="Y40" s="6">
        <f>Y39/X39</f>
        <v>2.7934406199056801E-2</v>
      </c>
      <c r="Z40" s="6" t="e">
        <f>Z39/X39</f>
        <v>#N/A</v>
      </c>
    </row>
    <row r="41" spans="1:35" ht="45.75" hidden="1" thickBot="1" x14ac:dyDescent="0.3">
      <c r="C41" s="5" t="s">
        <v>2</v>
      </c>
      <c r="I41" s="5"/>
      <c r="J41" s="5"/>
      <c r="T41"/>
      <c r="U41"/>
      <c r="V41"/>
      <c r="W41"/>
      <c r="X41"/>
      <c r="Y41" s="4" t="s">
        <v>1</v>
      </c>
      <c r="Z41" s="4" t="s">
        <v>0</v>
      </c>
      <c r="AA41" s="2"/>
      <c r="AB41" s="2"/>
    </row>
  </sheetData>
  <autoFilter ref="A1:AI41" xr:uid="{00000000-0001-0000-0500-000000000000}">
    <filterColumn colId="17">
      <filters>
        <filter val="L-FACTORIES-SIZE"/>
      </filters>
    </filterColumn>
  </autoFilter>
  <dataValidations count="3">
    <dataValidation type="list" allowBlank="1" showInputMessage="1" showErrorMessage="1" sqref="AF2:AF38" xr:uid="{72253556-1E20-4042-877D-8895AFACB56E}">
      <formula1>"Monthly,Quarterly,Half-Year,Yearly,2-Year,3-Year"</formula1>
    </dataValidation>
    <dataValidation type="list" allowBlank="1" showInputMessage="1" showErrorMessage="1" sqref="AH2:AH38" xr:uid="{BFE9B971-1903-415A-B6D9-2A7CE8DBF682}">
      <formula1>"Post,Pre,Spot"</formula1>
    </dataValidation>
    <dataValidation type="list" allowBlank="1" showInputMessage="1" showErrorMessage="1" sqref="AG2:AG38" xr:uid="{87C2A743-9CFD-47BE-BF4A-E0FEF0EF6229}">
      <formula1>"GR,GR Without Invoice,Pre paid"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AOP26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Cavalari Consolini, Diego</dc:creator>
  <cp:lastModifiedBy>Cavalari Consolini, Diego</cp:lastModifiedBy>
  <dcterms:created xsi:type="dcterms:W3CDTF">2025-07-11T08:04:31Z</dcterms:created>
  <dcterms:modified xsi:type="dcterms:W3CDTF">2025-08-04T07:52:08Z</dcterms:modified>
</cp:coreProperties>
</file>