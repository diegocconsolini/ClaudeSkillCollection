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ustomProperty6.bin" ContentType="application/vnd.openxmlformats-officedocument.spreadsheetml.customProperty"/>
  <Override PartName="/xl/drawings/drawing2.xml" ContentType="application/vnd.openxmlformats-officedocument.drawing+xml"/>
  <Override PartName="/xl/ctrlProps/ctrlProp2.xml" ContentType="application/vnd.ms-excel.controlproperties+xml"/>
  <Override PartName="/xl/customProperty7.bin" ContentType="application/vnd.openxmlformats-officedocument.spreadsheetml.customProperty"/>
  <Override PartName="/xl/drawings/drawing3.xml" ContentType="application/vnd.openxmlformats-officedocument.drawing+xml"/>
  <Override PartName="/xl/ctrlProps/ctrlProp3.xml" ContentType="application/vnd.ms-excel.controlproperties+xml"/>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drawings/drawing4.xml" ContentType="application/vnd.openxmlformats-officedocument.drawing+xml"/>
  <Override PartName="/xl/ctrlProps/ctrlProp4.xml" ContentType="application/vnd.ms-excel.controlproperties+xml"/>
  <Override PartName="/xl/customProperty15.bin" ContentType="application/vnd.openxmlformats-officedocument.spreadsheetml.customProperty"/>
  <Override PartName="/xl/drawings/drawing5.xml" ContentType="application/vnd.openxmlformats-officedocument.drawing+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drawings/drawing6.xml" ContentType="application/vnd.openxmlformats-officedocument.drawing+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coffeeandtea-my.sharepoint.com/personal/diego_cavalariconsolini_jdecoffee_com/Documents/Finance/"/>
    </mc:Choice>
  </mc:AlternateContent>
  <xr:revisionPtr revIDLastSave="2" documentId="8_{9396A222-FA95-C547-8002-3D5F8F41A0A1}" xr6:coauthVersionLast="47" xr6:coauthVersionMax="47" xr10:uidLastSave="{984A5CF8-6F91-4F6E-838A-2917B00A0214}"/>
  <bookViews>
    <workbookView xWindow="3120" yWindow="1350" windowWidth="31425" windowHeight="20250" tabRatio="894" firstSheet="6" activeTab="6" xr2:uid="{00000000-000D-0000-FFFF-FFFF00000000}"/>
  </bookViews>
  <sheets>
    <sheet name="_com.sap.ip.bi.xl.hiddensheet" sheetId="4" state="veryHidden" r:id="rId1"/>
    <sheet name="Summary" sheetId="10" r:id="rId2"/>
    <sheet name="Summary incl price reduction" sheetId="28" r:id="rId3"/>
    <sheet name="LE" sheetId="16" r:id="rId4"/>
    <sheet name="BW Summary" sheetId="18" r:id="rId5"/>
    <sheet name="Change log" sheetId="11" r:id="rId6"/>
    <sheet name="AOP25" sheetId="1" r:id="rId7"/>
    <sheet name="ListBoxValues" sheetId="2" state="hidden" r:id="rId8"/>
    <sheet name="BIdetails" sheetId="5" r:id="rId9"/>
    <sheet name="POs not in AOP" sheetId="7" r:id="rId10"/>
    <sheet name="AOP 2025 Summary" sheetId="14" r:id="rId11"/>
    <sheet name="Cross charge Agreements 2023" sheetId="23" state="hidden" r:id="rId12"/>
    <sheet name="Documentation" sheetId="8" r:id="rId13"/>
    <sheet name="New File Creation" sheetId="19" r:id="rId14"/>
    <sheet name="Improvements 2023" sheetId="20" state="hidden" r:id="rId15"/>
    <sheet name="Infra Cost Non Sap 2024" sheetId="24" r:id="rId16"/>
    <sheet name="Cross charge agreements" sheetId="25" r:id="rId17"/>
    <sheet name="AOP25Reduced" sheetId="27" r:id="rId18"/>
    <sheet name="Sheet1" sheetId="26" r:id="rId19"/>
  </sheets>
  <definedNames>
    <definedName name="_xlnm._FilterDatabase" localSheetId="10" hidden="1">'AOP 2025 Summary'!$B$35:$R$54</definedName>
    <definedName name="_xlnm._FilterDatabase" localSheetId="6" hidden="1">'AOP25'!$A$1:$AF$404</definedName>
    <definedName name="_xlnm._FilterDatabase" localSheetId="17" hidden="1">AOP25Reduced!$A$1:$X$395</definedName>
    <definedName name="_xlnm._FilterDatabase" localSheetId="8" hidden="1">BIdetails!$A$3:$O$1422</definedName>
    <definedName name="_xlnm._FilterDatabase" localSheetId="4" hidden="1">'BW Summary'!$B$6:$G$87</definedName>
    <definedName name="_xlnm._FilterDatabase" localSheetId="5" hidden="1">'Change log'!$A$1217:$M$1437</definedName>
    <definedName name="_xlnm._FilterDatabase" localSheetId="15" hidden="1">'Infra Cost Non Sap 2024'!$A$6:$R$87</definedName>
    <definedName name="_xlnm._FilterDatabase" localSheetId="7" hidden="1">ListBoxValues!$L$1:$L$30</definedName>
    <definedName name="_xlnm._FilterDatabase" localSheetId="9" hidden="1">'POs not in AOP'!$A$1:$P$1000</definedName>
    <definedName name="_FiltroDatabase" localSheetId="6" hidden="1">'AOP25'!$1:$344</definedName>
    <definedName name="EPMWorkbookOptions_1" hidden="1">"P0cAAB+LCAAAAAAABADtnF1vokwUgO832f9gvFdmBFEa64Z3xC2JAhHc7aZpDMjYklXwHbC2/35H1AqKXW3dRpAbY2bOmTk8no+ZEWh8e56MC0+Y+I7nXhdhGRQL2B16tuM+XBdnwagE+eK35tcvjZ8e+W153m91GlBRv0D1XP/q2Xeui49BML1imPl8Xp6zZY88MBUAIHPb7ejDRzwxS47rB6Y7xMVXLfvvWkU6a6HQQJ7r4uFiTsNDM0Kw"</definedName>
    <definedName name="EPMWorkbookOptions_2" hidden="1">"G/xw8DzsjHW3zMBctdJ2xZzg5WyvMwV4Mp0RJ5yq72OiETzCdLwhLlODis1BW+sO/tOQ8hOCwd1KyTenz/PprOzOH8ruuOybxBxjXLJxeehNruqQhwsRxpoOmfvBHdWmn21ZERUk0W8jc+zj+wazsGZjmzidjp2hGeF4sI3rMeKjRJpXl95c2bA19RLZhmKB2dt149g2dlvOBLt+aOh+0Y2RfkyGSumP3vx1DOSNPdIMyAw3mISOt1TDq0jQ"</definedName>
    <definedName name="EPMWorkbookOptions_3" hidden="1">"3Lm6lSJ1iwA/B23zySNOQO0Kf4ml8k7fAfpth/hBxIDk/q2BXq3cD+hQqahc33X+n+HwykWE1L5iNJikzrfGWBKnwV0FkK3DyABJv0WoqxIbkyZoMMsviaP707H5ohFviknw0oRVvjrC1qhU5W2uxFVGQqlepcEDTFzhbKvG1Sx2MXNcK2HgjukHOh7TOMd2F08smq4SxOJOmShARZb6EUx3K4j35TtN7EmKcQPpVxHAQR0IgkCjd0dlz9A3"</definedName>
    <definedName name="EPMWorkbookOptions_4" hidden="1">"DiYmGT6+bEQLNEFeuc74urjwneJWEL396x6m22D+dtEnpMINFFXRkJ5DiUBBoibd5kSiwSMAIMAcyVY+4YQM5JMGc0g2jhSUf1b8WqIh6mq/t1jlvLf+AcDVATi8/MHslb8NxrjHGqohdpCqXGyy3wdGVrS+kUOJQ2nJqCsa6EZWvudo4mg6KhI7mXCaM8r9kiHKnXfnfZatVjmOOzzvVzKY90OEW1GMOmranfSkPNpijiOa5BUt7TzOJ4dR"</definedName>
    <definedName name="EPMWorkbookOptions_5" hidden="1">"qrLx6905jK9BUK/XDs9hbPZy2BJh3EmlcOGadjc9KRG+xl7sbjwRCACgkgOJAoG1ag4kGjJ1LvUecj6l7ntP7Wv6R45peJ5ljzin4bJX65YM4276fZHIOijtjnpKJKqGLnYLs8dFINRzF4kjqQB0sedUiUhYHmQAyflUPBlpn/ivfDV75Y4C3Dp2v+h93S4ORVWktNM4n3jVemqrjz7zTho+ezG7ghh3VO2i4zYZSR67p4zdnmagfo/SRe8/"</definedName>
    <definedName name="EPMWorkbookOptions_6" hidden="1">"TT0+fmvZi98IyK3jkH4v7e56cibp33afTwTrSFLEnqx+YvjWjwhfEwuWIHBCybYstsRVYb1kjWpmyeRt1hLYaqUyss8gfNcUt+48Q0b7FvKp99aTU+lf7qrkLSapP/b+F1C0G1GXWjmZGBk1vxkg2cz3VEBNQnJbRqIhq8oH/ik5ug4K2VvGxlnGnVa/6N3om2TyTekpA9qQux+4L/3oMIbHPJiVkvXsAmHcRysA8mUAQdrd9ORELnbRtpfI"</definedName>
    <definedName name="EPMWorkbookOptions_7" hidden="1">"xd7wtI8IqOdEtojkD2Mlm/mOcteVRL3fkz5z5QqPeRgrJSVvjZH66MJjJbrpaslo0O0oaXfV0xLJaSxo/DIu9khiB0QWYuSE6fwAoZg1yUINJuktI7HWtTgdbfdVLNHG3de3NHp4RLD/qLrqFLvrV3TEG0M5NMYmWQyqurr5hNeS282h7Po9NTSHByHGtfRuRygv+z9M4pjWGHcxediI77R//bIZY/USnOYf5RTQWj9HAAA="</definedName>
    <definedName name="EPMWorkbookOptions_9" hidden="1">"oZNTWTgMfQCYTNx2pceg4TB0UBAOMR6PSAOIROgIAiIbIqhRAveeqHuHw79hQTj8u6rP2CnPYKFuhyff1PDEwe69Yinz1wMGdJkvJkyx4Sz7VKye8fSyRz9c6ov+sJ2HoW0/EKX0fIgvm/K3K3x5yf1uOKYxnOIudu424lvlnz9t+lDmq4n/B3b711l9hQAA"</definedName>
    <definedName name="EV__EVCOM_OPTIONS__" hidden="1">8</definedName>
    <definedName name="EV__EXPOPTIONS__" hidden="1">1</definedName>
    <definedName name="EV__MAXEXPCOLS__" hidden="1">100</definedName>
    <definedName name="EV__MAXEXPROWS__" hidden="1">1000</definedName>
    <definedName name="EV__USERCHANGEOPTIONS__" hidden="1">1</definedName>
    <definedName name="EV__WBEVMODE__" hidden="1">0</definedName>
    <definedName name="EV__WBREFOPTIONS__" hidden="1">134217735</definedName>
    <definedName name="Ext_Serv">#REF!</definedName>
    <definedName name="_xlnm.Extract" localSheetId="10">'AOP 2025 Summary'!$C$55</definedName>
    <definedName name="_xlnm.Extract" localSheetId="7">ListBoxValues!$N$1</definedName>
    <definedName name="Function">#REF!</definedName>
    <definedName name="MEWarning" hidden="1">1</definedName>
    <definedName name="SAPCrosstab1" localSheetId="17">#REF!</definedName>
    <definedName name="SAPCrosstab1">#REF!</definedName>
    <definedName name="SAPCrosstab2">BIdetails!$A$1:$T$1450</definedName>
    <definedName name="SAPCrosstab3">'BW Summary'!$B$1:$M$140</definedName>
    <definedName name="SUBF_LIST">#REF!</definedName>
    <definedName name="TRADINGP">#REF!</definedName>
    <definedName name="VENDR">#REF!</definedName>
    <definedName name="Year">#REF!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90" i="1" l="1"/>
  <c r="X125" i="1"/>
  <c r="X365" i="1"/>
  <c r="X350" i="1"/>
  <c r="X328" i="1"/>
  <c r="X255" i="1"/>
  <c r="X254" i="1"/>
  <c r="X253" i="1"/>
  <c r="X252" i="1"/>
  <c r="X251" i="1"/>
  <c r="W277" i="1"/>
  <c r="X277" i="1" s="1"/>
  <c r="W199" i="1"/>
  <c r="X199" i="1" s="1"/>
  <c r="W45" i="1"/>
  <c r="X45" i="1" s="1"/>
  <c r="W118" i="1"/>
  <c r="X118" i="1" s="1"/>
  <c r="W117" i="1"/>
  <c r="X117" i="1" s="1"/>
  <c r="X127" i="1"/>
  <c r="X39" i="1"/>
  <c r="X34" i="1"/>
  <c r="X14" i="1"/>
  <c r="W282" i="1"/>
  <c r="X282" i="1" s="1"/>
  <c r="W260" i="1"/>
  <c r="X260" i="1" s="1"/>
  <c r="W128" i="1"/>
  <c r="X128" i="1" s="1"/>
  <c r="W86" i="1"/>
  <c r="X86" i="1" s="1"/>
  <c r="W77" i="1"/>
  <c r="X77" i="1" s="1"/>
  <c r="W40" i="1"/>
  <c r="X40" i="1" s="1"/>
  <c r="U28" i="16" a="1"/>
  <c r="U28" i="16"/>
  <c r="T28" i="16" a="1"/>
  <c r="T28" i="16"/>
  <c r="S28" i="16" a="1"/>
  <c r="S28" i="16"/>
  <c r="R28" i="16" a="1"/>
  <c r="R28" i="16"/>
  <c r="Q28" i="16" a="1"/>
  <c r="Q28" i="16"/>
  <c r="P28" i="16" a="1"/>
  <c r="P28" i="16"/>
  <c r="O28" i="16" a="1"/>
  <c r="O28" i="16"/>
  <c r="N28" i="16" a="1"/>
  <c r="N28" i="16"/>
  <c r="M28" i="16" a="1"/>
  <c r="M28" i="16"/>
  <c r="L28" i="16" a="1"/>
  <c r="L28" i="16"/>
  <c r="K28" i="16" a="1"/>
  <c r="K28" i="16"/>
  <c r="U27" i="16" a="1"/>
  <c r="U27" i="16"/>
  <c r="T27" i="16" a="1"/>
  <c r="T27" i="16"/>
  <c r="S27" i="16" a="1"/>
  <c r="S27" i="16"/>
  <c r="R27" i="16" a="1"/>
  <c r="R27" i="16"/>
  <c r="Q27" i="16" a="1"/>
  <c r="Q27" i="16"/>
  <c r="P27" i="16" a="1"/>
  <c r="P27" i="16"/>
  <c r="O27" i="16" a="1"/>
  <c r="O27" i="16"/>
  <c r="N27" i="16" a="1"/>
  <c r="N27" i="16"/>
  <c r="M27" i="16" a="1"/>
  <c r="M27" i="16"/>
  <c r="L27" i="16" a="1"/>
  <c r="L27" i="16"/>
  <c r="K27" i="16" a="1"/>
  <c r="K27" i="16"/>
  <c r="U26" i="16" a="1"/>
  <c r="U26" i="16"/>
  <c r="T26" i="16" a="1"/>
  <c r="T26" i="16"/>
  <c r="S26" i="16" a="1"/>
  <c r="S26" i="16"/>
  <c r="R26" i="16" a="1"/>
  <c r="R26" i="16"/>
  <c r="Q26" i="16" a="1"/>
  <c r="Q26" i="16"/>
  <c r="P26" i="16" a="1"/>
  <c r="P26" i="16"/>
  <c r="O26" i="16" a="1"/>
  <c r="O26" i="16"/>
  <c r="N26" i="16" a="1"/>
  <c r="N26" i="16"/>
  <c r="M26" i="16" a="1"/>
  <c r="M26" i="16"/>
  <c r="L26" i="16" a="1"/>
  <c r="L26" i="16"/>
  <c r="K26" i="16" a="1"/>
  <c r="K26" i="16"/>
  <c r="U25" i="16" a="1"/>
  <c r="U25" i="16"/>
  <c r="T25" i="16" a="1"/>
  <c r="T25" i="16"/>
  <c r="S25" i="16" a="1"/>
  <c r="S25" i="16"/>
  <c r="R25" i="16" a="1"/>
  <c r="R25" i="16"/>
  <c r="Q25" i="16" a="1"/>
  <c r="Q25" i="16"/>
  <c r="P25" i="16" a="1"/>
  <c r="P25" i="16"/>
  <c r="O25" i="16" a="1"/>
  <c r="O25" i="16"/>
  <c r="N25" i="16" a="1"/>
  <c r="N25" i="16"/>
  <c r="M25" i="16" a="1"/>
  <c r="M25" i="16"/>
  <c r="L25" i="16" a="1"/>
  <c r="L25" i="16"/>
  <c r="K25" i="16" a="1"/>
  <c r="K25" i="16"/>
  <c r="U24" i="16" a="1"/>
  <c r="U24" i="16"/>
  <c r="T24" i="16" a="1"/>
  <c r="T24" i="16"/>
  <c r="S24" i="16" a="1"/>
  <c r="S24" i="16"/>
  <c r="R24" i="16" a="1"/>
  <c r="R24" i="16"/>
  <c r="Q24" i="16" a="1"/>
  <c r="Q24" i="16"/>
  <c r="P24" i="16" a="1"/>
  <c r="P24" i="16"/>
  <c r="O24" i="16" a="1"/>
  <c r="O24" i="16"/>
  <c r="N24" i="16" a="1"/>
  <c r="N24" i="16"/>
  <c r="M24" i="16" a="1"/>
  <c r="M24" i="16"/>
  <c r="L24" i="16" a="1"/>
  <c r="L24" i="16"/>
  <c r="K24" i="16" a="1"/>
  <c r="K24" i="16"/>
  <c r="U23" i="16" a="1"/>
  <c r="U23" i="16"/>
  <c r="T23" i="16" a="1"/>
  <c r="T23" i="16"/>
  <c r="S23" i="16" a="1"/>
  <c r="S23" i="16"/>
  <c r="R23" i="16" a="1"/>
  <c r="R23" i="16"/>
  <c r="Q23" i="16" a="1"/>
  <c r="Q23" i="16"/>
  <c r="P23" i="16" a="1"/>
  <c r="P23" i="16"/>
  <c r="O23" i="16" a="1"/>
  <c r="O23" i="16"/>
  <c r="N23" i="16" a="1"/>
  <c r="N23" i="16"/>
  <c r="M23" i="16" a="1"/>
  <c r="M23" i="16"/>
  <c r="L23" i="16" a="1"/>
  <c r="L23" i="16"/>
  <c r="K23" i="16" a="1"/>
  <c r="K23" i="16"/>
  <c r="U22" i="16" a="1"/>
  <c r="U22" i="16"/>
  <c r="T22" i="16" a="1"/>
  <c r="T22" i="16"/>
  <c r="S22" i="16" a="1"/>
  <c r="S22" i="16"/>
  <c r="R22" i="16" a="1"/>
  <c r="R22" i="16"/>
  <c r="Q22" i="16" a="1"/>
  <c r="Q22" i="16"/>
  <c r="P22" i="16" a="1"/>
  <c r="P22" i="16"/>
  <c r="O22" i="16" a="1"/>
  <c r="O22" i="16"/>
  <c r="N22" i="16" a="1"/>
  <c r="N22" i="16"/>
  <c r="M22" i="16" a="1"/>
  <c r="M22" i="16"/>
  <c r="L22" i="16" a="1"/>
  <c r="L22" i="16"/>
  <c r="K22" i="16" a="1"/>
  <c r="K22" i="16"/>
  <c r="U21" i="16" a="1"/>
  <c r="U21" i="16"/>
  <c r="T21" i="16" a="1"/>
  <c r="T21" i="16"/>
  <c r="S21" i="16" a="1"/>
  <c r="S21" i="16"/>
  <c r="R21" i="16" a="1"/>
  <c r="R21" i="16"/>
  <c r="Q21" i="16" a="1"/>
  <c r="Q21" i="16"/>
  <c r="P21" i="16" a="1"/>
  <c r="P21" i="16"/>
  <c r="O21" i="16" a="1"/>
  <c r="O21" i="16"/>
  <c r="N21" i="16" a="1"/>
  <c r="N21" i="16"/>
  <c r="M21" i="16" a="1"/>
  <c r="M21" i="16"/>
  <c r="L21" i="16" a="1"/>
  <c r="L21" i="16"/>
  <c r="K21" i="16" a="1"/>
  <c r="K21" i="16"/>
  <c r="U20" i="16" a="1"/>
  <c r="U20" i="16"/>
  <c r="T20" i="16" a="1"/>
  <c r="T20" i="16"/>
  <c r="S20" i="16" a="1"/>
  <c r="S20" i="16"/>
  <c r="R20" i="16" a="1"/>
  <c r="R20" i="16"/>
  <c r="Q20" i="16" a="1"/>
  <c r="Q20" i="16"/>
  <c r="P20" i="16" a="1"/>
  <c r="P20" i="16"/>
  <c r="O20" i="16" a="1"/>
  <c r="O20" i="16"/>
  <c r="N20" i="16" a="1"/>
  <c r="N20" i="16"/>
  <c r="M20" i="16" a="1"/>
  <c r="M20" i="16"/>
  <c r="L20" i="16" a="1"/>
  <c r="L20" i="16"/>
  <c r="K20" i="16" a="1"/>
  <c r="K20" i="16"/>
  <c r="U19" i="16" a="1"/>
  <c r="U19" i="16"/>
  <c r="T19" i="16" a="1"/>
  <c r="T19" i="16"/>
  <c r="S19" i="16" a="1"/>
  <c r="S19" i="16"/>
  <c r="R19" i="16" a="1"/>
  <c r="R19" i="16"/>
  <c r="Q19" i="16" a="1"/>
  <c r="Q19" i="16"/>
  <c r="P19" i="16" a="1"/>
  <c r="P19" i="16"/>
  <c r="O19" i="16" a="1"/>
  <c r="O19" i="16"/>
  <c r="N19" i="16" a="1"/>
  <c r="N19" i="16"/>
  <c r="M19" i="16" a="1"/>
  <c r="M19" i="16"/>
  <c r="L19" i="16" a="1"/>
  <c r="L19" i="16"/>
  <c r="K19" i="16" a="1"/>
  <c r="K19" i="16"/>
  <c r="U18" i="16" a="1"/>
  <c r="U18" i="16"/>
  <c r="T18" i="16" a="1"/>
  <c r="T18" i="16"/>
  <c r="S18" i="16" a="1"/>
  <c r="S18" i="16"/>
  <c r="R18" i="16" a="1"/>
  <c r="R18" i="16"/>
  <c r="Q18" i="16" a="1"/>
  <c r="Q18" i="16"/>
  <c r="P18" i="16" a="1"/>
  <c r="P18" i="16"/>
  <c r="O18" i="16" a="1"/>
  <c r="O18" i="16"/>
  <c r="N18" i="16" a="1"/>
  <c r="N18" i="16"/>
  <c r="M18" i="16" a="1"/>
  <c r="M18" i="16"/>
  <c r="L18" i="16" a="1"/>
  <c r="L18" i="16"/>
  <c r="K18" i="16" a="1"/>
  <c r="K18" i="16"/>
  <c r="U17" i="16" a="1"/>
  <c r="U17" i="16"/>
  <c r="T17" i="16" a="1"/>
  <c r="T17" i="16"/>
  <c r="S17" i="16" a="1"/>
  <c r="S17" i="16"/>
  <c r="R17" i="16" a="1"/>
  <c r="R17" i="16"/>
  <c r="Q17" i="16" a="1"/>
  <c r="Q17" i="16"/>
  <c r="P17" i="16" a="1"/>
  <c r="P17" i="16"/>
  <c r="O17" i="16" a="1"/>
  <c r="O17" i="16"/>
  <c r="N17" i="16" a="1"/>
  <c r="N17" i="16"/>
  <c r="M17" i="16" a="1"/>
  <c r="M17" i="16"/>
  <c r="L17" i="16" a="1"/>
  <c r="L17" i="16"/>
  <c r="K17" i="16" a="1"/>
  <c r="K17" i="16"/>
  <c r="U16" i="16" a="1"/>
  <c r="U16" i="16"/>
  <c r="T16" i="16" a="1"/>
  <c r="T16" i="16"/>
  <c r="S16" i="16" a="1"/>
  <c r="S16" i="16"/>
  <c r="R16" i="16" a="1"/>
  <c r="R16" i="16"/>
  <c r="Q16" i="16" a="1"/>
  <c r="Q16" i="16"/>
  <c r="P16" i="16" a="1"/>
  <c r="P16" i="16"/>
  <c r="O16" i="16" a="1"/>
  <c r="O16" i="16"/>
  <c r="N16" i="16" a="1"/>
  <c r="N16" i="16"/>
  <c r="M16" i="16" a="1"/>
  <c r="M16" i="16"/>
  <c r="L16" i="16" a="1"/>
  <c r="L16" i="16"/>
  <c r="K16" i="16" a="1"/>
  <c r="K16" i="16"/>
  <c r="U15" i="16" a="1"/>
  <c r="U15" i="16"/>
  <c r="T15" i="16" a="1"/>
  <c r="T15" i="16"/>
  <c r="S15" i="16" a="1"/>
  <c r="S15" i="16"/>
  <c r="R15" i="16" a="1"/>
  <c r="R15" i="16"/>
  <c r="Q15" i="16" a="1"/>
  <c r="Q15" i="16"/>
  <c r="P15" i="16" a="1"/>
  <c r="P15" i="16"/>
  <c r="O15" i="16" a="1"/>
  <c r="O15" i="16"/>
  <c r="N15" i="16" a="1"/>
  <c r="N15" i="16"/>
  <c r="M15" i="16" a="1"/>
  <c r="M15" i="16"/>
  <c r="L15" i="16" a="1"/>
  <c r="L15" i="16"/>
  <c r="K15" i="16" a="1"/>
  <c r="K15" i="16"/>
  <c r="U14" i="16" a="1"/>
  <c r="U14" i="16"/>
  <c r="T14" i="16" a="1"/>
  <c r="T14" i="16"/>
  <c r="S14" i="16" a="1"/>
  <c r="S14" i="16"/>
  <c r="R14" i="16" a="1"/>
  <c r="R14" i="16"/>
  <c r="Q14" i="16" a="1"/>
  <c r="Q14" i="16"/>
  <c r="P14" i="16" a="1"/>
  <c r="P14" i="16"/>
  <c r="O14" i="16" a="1"/>
  <c r="O14" i="16"/>
  <c r="N14" i="16" a="1"/>
  <c r="N14" i="16"/>
  <c r="M14" i="16" a="1"/>
  <c r="M14" i="16"/>
  <c r="L14" i="16" a="1"/>
  <c r="L14" i="16"/>
  <c r="K14" i="16" a="1"/>
  <c r="K14" i="16"/>
  <c r="U13" i="16" a="1"/>
  <c r="U13" i="16"/>
  <c r="T13" i="16" a="1"/>
  <c r="T13" i="16"/>
  <c r="S13" i="16" a="1"/>
  <c r="S13" i="16"/>
  <c r="R13" i="16" a="1"/>
  <c r="R13" i="16"/>
  <c r="Q13" i="16" a="1"/>
  <c r="Q13" i="16"/>
  <c r="P13" i="16" a="1"/>
  <c r="P13" i="16"/>
  <c r="O13" i="16" a="1"/>
  <c r="O13" i="16"/>
  <c r="N13" i="16" a="1"/>
  <c r="N13" i="16"/>
  <c r="M13" i="16" a="1"/>
  <c r="M13" i="16"/>
  <c r="L13" i="16" a="1"/>
  <c r="L13" i="16"/>
  <c r="K13" i="16" a="1"/>
  <c r="K13" i="16"/>
  <c r="U12" i="16" a="1"/>
  <c r="U12" i="16"/>
  <c r="T12" i="16" a="1"/>
  <c r="T12" i="16"/>
  <c r="S12" i="16" a="1"/>
  <c r="S12" i="16"/>
  <c r="R12" i="16" a="1"/>
  <c r="R12" i="16"/>
  <c r="Q12" i="16" a="1"/>
  <c r="Q12" i="16"/>
  <c r="P12" i="16" a="1"/>
  <c r="P12" i="16"/>
  <c r="O12" i="16" a="1"/>
  <c r="O12" i="16"/>
  <c r="N12" i="16" a="1"/>
  <c r="N12" i="16"/>
  <c r="M12" i="16" a="1"/>
  <c r="M12" i="16"/>
  <c r="L12" i="16" a="1"/>
  <c r="L12" i="16"/>
  <c r="K12" i="16" a="1"/>
  <c r="K12" i="16"/>
  <c r="U11" i="16" a="1"/>
  <c r="U11" i="16"/>
  <c r="T11" i="16" a="1"/>
  <c r="T11" i="16"/>
  <c r="S11" i="16" a="1"/>
  <c r="S11" i="16"/>
  <c r="R11" i="16" a="1"/>
  <c r="R11" i="16"/>
  <c r="Q11" i="16" a="1"/>
  <c r="Q11" i="16"/>
  <c r="P11" i="16" a="1"/>
  <c r="P11" i="16"/>
  <c r="O11" i="16" a="1"/>
  <c r="O11" i="16"/>
  <c r="N11" i="16" a="1"/>
  <c r="N11" i="16"/>
  <c r="M11" i="16" a="1"/>
  <c r="M11" i="16"/>
  <c r="L11" i="16" a="1"/>
  <c r="L11" i="16"/>
  <c r="K11" i="16" a="1"/>
  <c r="K11" i="16"/>
  <c r="F26" i="16"/>
  <c r="F24" i="16"/>
  <c r="F23" i="16"/>
  <c r="F22" i="16"/>
  <c r="F19" i="16"/>
  <c r="F17" i="16"/>
  <c r="F13" i="16"/>
  <c r="F12" i="16"/>
  <c r="I11" i="10"/>
  <c r="I12" i="10"/>
  <c r="I13" i="10"/>
  <c r="I14" i="10"/>
  <c r="I15" i="10"/>
  <c r="I16" i="10"/>
  <c r="I17" i="10"/>
  <c r="I18" i="10"/>
  <c r="I19" i="10"/>
  <c r="I20" i="10"/>
  <c r="I21" i="10"/>
  <c r="I22" i="10"/>
  <c r="I23" i="10"/>
  <c r="I24" i="10"/>
  <c r="I25" i="10"/>
  <c r="I26" i="10"/>
  <c r="I27" i="10"/>
  <c r="I28" i="10"/>
  <c r="K13" i="28"/>
  <c r="K21" i="28"/>
  <c r="K26" i="28"/>
  <c r="K27" i="28"/>
  <c r="K28" i="28"/>
  <c r="K25" i="28"/>
  <c r="K24" i="28"/>
  <c r="K23" i="28"/>
  <c r="K22" i="28"/>
  <c r="K20" i="28"/>
  <c r="K19" i="28"/>
  <c r="K18" i="28"/>
  <c r="K17" i="28"/>
  <c r="K16" i="28"/>
  <c r="K15" i="28"/>
  <c r="K14" i="28"/>
  <c r="K12" i="28"/>
  <c r="K11" i="28"/>
  <c r="E7" i="28"/>
  <c r="G7" i="28"/>
  <c r="D2" i="28"/>
  <c r="T396" i="27"/>
  <c r="S396" i="27"/>
  <c r="X395" i="27"/>
  <c r="U395" i="27"/>
  <c r="X394" i="27"/>
  <c r="U394" i="27"/>
  <c r="X393" i="27"/>
  <c r="U393" i="27"/>
  <c r="X392" i="27"/>
  <c r="U392" i="27"/>
  <c r="X391" i="27"/>
  <c r="U391" i="27"/>
  <c r="X390" i="27"/>
  <c r="U390" i="27"/>
  <c r="X389" i="27"/>
  <c r="U389" i="27"/>
  <c r="X388" i="27"/>
  <c r="U388" i="27"/>
  <c r="X387" i="27"/>
  <c r="U387" i="27"/>
  <c r="X386" i="27"/>
  <c r="U386" i="27"/>
  <c r="X385" i="27"/>
  <c r="U385" i="27"/>
  <c r="X384" i="27"/>
  <c r="U384" i="27"/>
  <c r="X383" i="27"/>
  <c r="U383" i="27"/>
  <c r="X382" i="27"/>
  <c r="U382" i="27"/>
  <c r="X381" i="27"/>
  <c r="U381" i="27"/>
  <c r="X380" i="27"/>
  <c r="U380" i="27"/>
  <c r="X379" i="27"/>
  <c r="U379" i="27"/>
  <c r="X378" i="27"/>
  <c r="U378" i="27"/>
  <c r="X377" i="27"/>
  <c r="U377" i="27"/>
  <c r="X376" i="27"/>
  <c r="U376" i="27"/>
  <c r="X375" i="27"/>
  <c r="U375" i="27"/>
  <c r="X168" i="27"/>
  <c r="U168" i="27"/>
  <c r="X145" i="27"/>
  <c r="U145" i="27"/>
  <c r="X190" i="27"/>
  <c r="U190" i="27"/>
  <c r="X122" i="27"/>
  <c r="U122" i="27"/>
  <c r="X372" i="27"/>
  <c r="U372" i="27"/>
  <c r="X334" i="27"/>
  <c r="U334" i="27"/>
  <c r="X186" i="27"/>
  <c r="U186" i="27"/>
  <c r="X367" i="27"/>
  <c r="U367" i="27"/>
  <c r="X366" i="27"/>
  <c r="U366" i="27"/>
  <c r="X365" i="27"/>
  <c r="U365" i="27"/>
  <c r="X364" i="27"/>
  <c r="U364" i="27"/>
  <c r="X363" i="27"/>
  <c r="U363" i="27"/>
  <c r="X362" i="27"/>
  <c r="U362" i="27"/>
  <c r="X361" i="27"/>
  <c r="U361" i="27"/>
  <c r="X360" i="27"/>
  <c r="U360" i="27"/>
  <c r="X359" i="27"/>
  <c r="U359" i="27"/>
  <c r="X358" i="27"/>
  <c r="U358" i="27"/>
  <c r="X357" i="27"/>
  <c r="U357" i="27"/>
  <c r="X356" i="27"/>
  <c r="U356" i="27"/>
  <c r="X355" i="27"/>
  <c r="U355" i="27"/>
  <c r="X354" i="27"/>
  <c r="U354" i="27"/>
  <c r="X353" i="27"/>
  <c r="U353" i="27"/>
  <c r="X352" i="27"/>
  <c r="U352" i="27"/>
  <c r="X351" i="27"/>
  <c r="U351" i="27"/>
  <c r="X350" i="27"/>
  <c r="U350" i="27"/>
  <c r="X349" i="27"/>
  <c r="U349" i="27"/>
  <c r="X348" i="27"/>
  <c r="U348" i="27"/>
  <c r="X347" i="27"/>
  <c r="U347" i="27"/>
  <c r="X346" i="27"/>
  <c r="U346" i="27"/>
  <c r="X345" i="27"/>
  <c r="U345" i="27"/>
  <c r="X344" i="27"/>
  <c r="U344" i="27"/>
  <c r="X343" i="27"/>
  <c r="U343" i="27"/>
  <c r="X342" i="27"/>
  <c r="U342" i="27"/>
  <c r="X341" i="27"/>
  <c r="V341" i="27"/>
  <c r="U341" i="27"/>
  <c r="X340" i="27"/>
  <c r="U340" i="27"/>
  <c r="X339" i="27"/>
  <c r="U339" i="27"/>
  <c r="X338" i="27"/>
  <c r="U338" i="27"/>
  <c r="X337" i="27"/>
  <c r="U337" i="27"/>
  <c r="X336" i="27"/>
  <c r="U336" i="27"/>
  <c r="X335" i="27"/>
  <c r="U335" i="27"/>
  <c r="X112" i="27"/>
  <c r="U112" i="27"/>
  <c r="X333" i="27"/>
  <c r="U333" i="27"/>
  <c r="X332" i="27"/>
  <c r="U332" i="27"/>
  <c r="X331" i="27"/>
  <c r="U331" i="27"/>
  <c r="X330" i="27"/>
  <c r="U330" i="27"/>
  <c r="X329" i="27"/>
  <c r="U329" i="27"/>
  <c r="X328" i="27"/>
  <c r="U328" i="27"/>
  <c r="X327" i="27"/>
  <c r="U327" i="27"/>
  <c r="X326" i="27"/>
  <c r="U326" i="27"/>
  <c r="X325" i="27"/>
  <c r="U325" i="27"/>
  <c r="X324" i="27"/>
  <c r="V324" i="27"/>
  <c r="U324" i="27"/>
  <c r="X323" i="27"/>
  <c r="U323" i="27"/>
  <c r="X322" i="27"/>
  <c r="U322" i="27"/>
  <c r="X321" i="27"/>
  <c r="U321" i="27"/>
  <c r="X320" i="27"/>
  <c r="V320" i="27"/>
  <c r="U320" i="27"/>
  <c r="X319" i="27"/>
  <c r="U319" i="27"/>
  <c r="X318" i="27"/>
  <c r="U318" i="27"/>
  <c r="X317" i="27"/>
  <c r="U317" i="27"/>
  <c r="X316" i="27"/>
  <c r="U316" i="27"/>
  <c r="X315" i="27"/>
  <c r="U315" i="27"/>
  <c r="X314" i="27"/>
  <c r="U314" i="27"/>
  <c r="X313" i="27"/>
  <c r="U313" i="27"/>
  <c r="X312" i="27"/>
  <c r="U312" i="27"/>
  <c r="X311" i="27"/>
  <c r="U311" i="27"/>
  <c r="X310" i="27"/>
  <c r="U310" i="27"/>
  <c r="X309" i="27"/>
  <c r="U309" i="27"/>
  <c r="X308" i="27"/>
  <c r="U308" i="27"/>
  <c r="X307" i="27"/>
  <c r="U307" i="27"/>
  <c r="X306" i="27"/>
  <c r="U306" i="27"/>
  <c r="X305" i="27"/>
  <c r="U305" i="27"/>
  <c r="X304" i="27"/>
  <c r="U304" i="27"/>
  <c r="X303" i="27"/>
  <c r="U303" i="27"/>
  <c r="X302" i="27"/>
  <c r="U302" i="27"/>
  <c r="X301" i="27"/>
  <c r="U301" i="27"/>
  <c r="X300" i="27"/>
  <c r="U300" i="27"/>
  <c r="X299" i="27"/>
  <c r="U299" i="27"/>
  <c r="X298" i="27"/>
  <c r="U298" i="27"/>
  <c r="X297" i="27"/>
  <c r="U297" i="27"/>
  <c r="X296" i="27"/>
  <c r="U296" i="27"/>
  <c r="X295" i="27"/>
  <c r="U295" i="27"/>
  <c r="X294" i="27"/>
  <c r="U294" i="27"/>
  <c r="X293" i="27"/>
  <c r="U293" i="27"/>
  <c r="X292" i="27"/>
  <c r="U292" i="27"/>
  <c r="X291" i="27"/>
  <c r="U291" i="27"/>
  <c r="X290" i="27"/>
  <c r="U290" i="27"/>
  <c r="X289" i="27"/>
  <c r="U289" i="27"/>
  <c r="X288" i="27"/>
  <c r="U288" i="27"/>
  <c r="X287" i="27"/>
  <c r="U287" i="27"/>
  <c r="X286" i="27"/>
  <c r="U286" i="27"/>
  <c r="X285" i="27"/>
  <c r="U285" i="27"/>
  <c r="X284" i="27"/>
  <c r="V284" i="27"/>
  <c r="U284" i="27"/>
  <c r="X283" i="27"/>
  <c r="U283" i="27"/>
  <c r="X282" i="27"/>
  <c r="U282" i="27"/>
  <c r="X281" i="27"/>
  <c r="V281" i="27"/>
  <c r="U281" i="27"/>
  <c r="X280" i="27"/>
  <c r="U280" i="27"/>
  <c r="X279" i="27"/>
  <c r="V279" i="27"/>
  <c r="U279" i="27"/>
  <c r="X278" i="27"/>
  <c r="U278" i="27"/>
  <c r="X277" i="27"/>
  <c r="U277" i="27"/>
  <c r="X276" i="27"/>
  <c r="U276" i="27"/>
  <c r="X275" i="27"/>
  <c r="U275" i="27"/>
  <c r="X274" i="27"/>
  <c r="U274" i="27"/>
  <c r="X273" i="27"/>
  <c r="U273" i="27"/>
  <c r="X272" i="27"/>
  <c r="U272" i="27"/>
  <c r="X271" i="27"/>
  <c r="U271" i="27"/>
  <c r="X270" i="27"/>
  <c r="U270" i="27"/>
  <c r="X269" i="27"/>
  <c r="U269" i="27"/>
  <c r="X268" i="27"/>
  <c r="U268" i="27"/>
  <c r="X267" i="27"/>
  <c r="U267" i="27"/>
  <c r="X266" i="27"/>
  <c r="U266" i="27"/>
  <c r="X265" i="27"/>
  <c r="U265" i="27"/>
  <c r="X264" i="27"/>
  <c r="U264" i="27"/>
  <c r="X263" i="27"/>
  <c r="U263" i="27"/>
  <c r="X262" i="27"/>
  <c r="U262" i="27"/>
  <c r="X261" i="27"/>
  <c r="U261" i="27"/>
  <c r="X260" i="27"/>
  <c r="U260" i="27"/>
  <c r="X259" i="27"/>
  <c r="U259" i="27"/>
  <c r="X258" i="27"/>
  <c r="U258" i="27"/>
  <c r="X257" i="27"/>
  <c r="U257" i="27"/>
  <c r="X256" i="27"/>
  <c r="U256" i="27"/>
  <c r="X255" i="27"/>
  <c r="U255" i="27"/>
  <c r="X254" i="27"/>
  <c r="U254" i="27"/>
  <c r="X253" i="27"/>
  <c r="U253" i="27"/>
  <c r="X252" i="27"/>
  <c r="U252" i="27"/>
  <c r="X251" i="27"/>
  <c r="V251" i="27"/>
  <c r="U251" i="27"/>
  <c r="X250" i="27"/>
  <c r="U250" i="27"/>
  <c r="X249" i="27"/>
  <c r="U249" i="27"/>
  <c r="X248" i="27"/>
  <c r="U248" i="27"/>
  <c r="X247" i="27"/>
  <c r="U247" i="27"/>
  <c r="X246" i="27"/>
  <c r="U246" i="27"/>
  <c r="X245" i="27"/>
  <c r="U245" i="27"/>
  <c r="X244" i="27"/>
  <c r="U244" i="27"/>
  <c r="X243" i="27"/>
  <c r="U243" i="27"/>
  <c r="X242" i="27"/>
  <c r="U242" i="27"/>
  <c r="X241" i="27"/>
  <c r="U241" i="27"/>
  <c r="X240" i="27"/>
  <c r="U240" i="27"/>
  <c r="X239" i="27"/>
  <c r="U239" i="27"/>
  <c r="X238" i="27"/>
  <c r="U238" i="27"/>
  <c r="X237" i="27"/>
  <c r="U237" i="27"/>
  <c r="X236" i="27"/>
  <c r="U236" i="27"/>
  <c r="X235" i="27"/>
  <c r="U235" i="27"/>
  <c r="X234" i="27"/>
  <c r="U234" i="27"/>
  <c r="X233" i="27"/>
  <c r="U233" i="27"/>
  <c r="X232" i="27"/>
  <c r="U232" i="27"/>
  <c r="X231" i="27"/>
  <c r="U231" i="27"/>
  <c r="X230" i="27"/>
  <c r="U230" i="27"/>
  <c r="X229" i="27"/>
  <c r="U229" i="27"/>
  <c r="X228" i="27"/>
  <c r="U228" i="27"/>
  <c r="X227" i="27"/>
  <c r="U227" i="27"/>
  <c r="X226" i="27"/>
  <c r="U226" i="27"/>
  <c r="X225" i="27"/>
  <c r="U225" i="27"/>
  <c r="X224" i="27"/>
  <c r="U224" i="27"/>
  <c r="X223" i="27"/>
  <c r="U223" i="27"/>
  <c r="X222" i="27"/>
  <c r="U222" i="27"/>
  <c r="X221" i="27"/>
  <c r="U221" i="27"/>
  <c r="X220" i="27"/>
  <c r="U220" i="27"/>
  <c r="X219" i="27"/>
  <c r="U219" i="27"/>
  <c r="X218" i="27"/>
  <c r="U218" i="27"/>
  <c r="X217" i="27"/>
  <c r="U217" i="27"/>
  <c r="X216" i="27"/>
  <c r="U216" i="27"/>
  <c r="X215" i="27"/>
  <c r="U215" i="27"/>
  <c r="X214" i="27"/>
  <c r="U214" i="27"/>
  <c r="X213" i="27"/>
  <c r="U213" i="27"/>
  <c r="X212" i="27"/>
  <c r="U212" i="27"/>
  <c r="X211" i="27"/>
  <c r="U211" i="27"/>
  <c r="X210" i="27"/>
  <c r="U210" i="27"/>
  <c r="X209" i="27"/>
  <c r="U209" i="27"/>
  <c r="X208" i="27"/>
  <c r="U208" i="27"/>
  <c r="X207" i="27"/>
  <c r="U207" i="27"/>
  <c r="X206" i="27"/>
  <c r="U206" i="27"/>
  <c r="X205" i="27"/>
  <c r="U205" i="27"/>
  <c r="X204" i="27"/>
  <c r="U204" i="27"/>
  <c r="X203" i="27"/>
  <c r="U203" i="27"/>
  <c r="X202" i="27"/>
  <c r="U202" i="27"/>
  <c r="X201" i="27"/>
  <c r="U201" i="27"/>
  <c r="X200" i="27"/>
  <c r="U200" i="27"/>
  <c r="X199" i="27"/>
  <c r="U199" i="27"/>
  <c r="X198" i="27"/>
  <c r="U198" i="27"/>
  <c r="X197" i="27"/>
  <c r="U197" i="27"/>
  <c r="X196" i="27"/>
  <c r="U196" i="27"/>
  <c r="X195" i="27"/>
  <c r="U195" i="27"/>
  <c r="X194" i="27"/>
  <c r="U194" i="27"/>
  <c r="X193" i="27"/>
  <c r="U193" i="27"/>
  <c r="X192" i="27"/>
  <c r="U192" i="27"/>
  <c r="X191" i="27"/>
  <c r="U191" i="27"/>
  <c r="X120" i="27"/>
  <c r="U120" i="27"/>
  <c r="X189" i="27"/>
  <c r="U189" i="27"/>
  <c r="X188" i="27"/>
  <c r="U188" i="27"/>
  <c r="X187" i="27"/>
  <c r="U187" i="27"/>
  <c r="X121" i="27"/>
  <c r="U121" i="27"/>
  <c r="X185" i="27"/>
  <c r="U185" i="27"/>
  <c r="X184" i="27"/>
  <c r="U184" i="27"/>
  <c r="X183" i="27"/>
  <c r="U183" i="27"/>
  <c r="X182" i="27"/>
  <c r="U182" i="27"/>
  <c r="X181" i="27"/>
  <c r="U181" i="27"/>
  <c r="X180" i="27"/>
  <c r="U180" i="27"/>
  <c r="X179" i="27"/>
  <c r="U179" i="27"/>
  <c r="X178" i="27"/>
  <c r="U178" i="27"/>
  <c r="X177" i="27"/>
  <c r="U177" i="27"/>
  <c r="X176" i="27"/>
  <c r="U176" i="27"/>
  <c r="X175" i="27"/>
  <c r="U175" i="27"/>
  <c r="X174" i="27"/>
  <c r="U174" i="27"/>
  <c r="X173" i="27"/>
  <c r="U173" i="27"/>
  <c r="X172" i="27"/>
  <c r="V172" i="27"/>
  <c r="U172" i="27"/>
  <c r="X171" i="27"/>
  <c r="V171" i="27"/>
  <c r="U171" i="27"/>
  <c r="X170" i="27"/>
  <c r="U170" i="27"/>
  <c r="X169" i="27"/>
  <c r="U169" i="27"/>
  <c r="X139" i="27"/>
  <c r="U139" i="27"/>
  <c r="X167" i="27"/>
  <c r="U167" i="27"/>
  <c r="X166" i="27"/>
  <c r="U166" i="27"/>
  <c r="X165" i="27"/>
  <c r="U165" i="27"/>
  <c r="X164" i="27"/>
  <c r="V164" i="27"/>
  <c r="U164" i="27"/>
  <c r="X163" i="27"/>
  <c r="U163" i="27"/>
  <c r="X162" i="27"/>
  <c r="V162" i="27"/>
  <c r="U162" i="27"/>
  <c r="X161" i="27"/>
  <c r="U161" i="27"/>
  <c r="X160" i="27"/>
  <c r="U160" i="27"/>
  <c r="X159" i="27"/>
  <c r="U159" i="27"/>
  <c r="X158" i="27"/>
  <c r="U158" i="27"/>
  <c r="X157" i="27"/>
  <c r="U157" i="27"/>
  <c r="X156" i="27"/>
  <c r="U156" i="27"/>
  <c r="X155" i="27"/>
  <c r="U155" i="27"/>
  <c r="X154" i="27"/>
  <c r="U154" i="27"/>
  <c r="X153" i="27"/>
  <c r="U153" i="27"/>
  <c r="X152" i="27"/>
  <c r="U152" i="27"/>
  <c r="X151" i="27"/>
  <c r="U151" i="27"/>
  <c r="X150" i="27"/>
  <c r="U150" i="27"/>
  <c r="X149" i="27"/>
  <c r="U149" i="27"/>
  <c r="X148" i="27"/>
  <c r="U148" i="27"/>
  <c r="X147" i="27"/>
  <c r="U147" i="27"/>
  <c r="X146" i="27"/>
  <c r="U146" i="27"/>
  <c r="X123" i="27"/>
  <c r="U123" i="27"/>
  <c r="X144" i="27"/>
  <c r="U144" i="27"/>
  <c r="X143" i="27"/>
  <c r="U143" i="27"/>
  <c r="X371" i="27"/>
  <c r="U371" i="27"/>
  <c r="X141" i="27"/>
  <c r="U141" i="27"/>
  <c r="X140" i="27"/>
  <c r="U140" i="27"/>
  <c r="X111" i="27"/>
  <c r="U111" i="27"/>
  <c r="X138" i="27"/>
  <c r="V138" i="27"/>
  <c r="U138" i="27"/>
  <c r="X137" i="27"/>
  <c r="U137" i="27"/>
  <c r="X136" i="27"/>
  <c r="V136" i="27"/>
  <c r="U136" i="27"/>
  <c r="X135" i="27"/>
  <c r="U135" i="27"/>
  <c r="X134" i="27"/>
  <c r="U134" i="27"/>
  <c r="X133" i="27"/>
  <c r="U133" i="27"/>
  <c r="X132" i="27"/>
  <c r="U132" i="27"/>
  <c r="X131" i="27"/>
  <c r="U131" i="27"/>
  <c r="X130" i="27"/>
  <c r="U130" i="27"/>
  <c r="X129" i="27"/>
  <c r="U129" i="27"/>
  <c r="X128" i="27"/>
  <c r="V128" i="27"/>
  <c r="U128" i="27"/>
  <c r="X127" i="27"/>
  <c r="U127" i="27"/>
  <c r="X126" i="27"/>
  <c r="V126" i="27"/>
  <c r="U126" i="27"/>
  <c r="X125" i="27"/>
  <c r="U125" i="27"/>
  <c r="X124" i="27"/>
  <c r="U124" i="27"/>
  <c r="X374" i="27"/>
  <c r="U374" i="27"/>
  <c r="X115" i="27"/>
  <c r="U115" i="27"/>
  <c r="X373" i="27"/>
  <c r="U373" i="27"/>
  <c r="X370" i="27"/>
  <c r="U370" i="27"/>
  <c r="X113" i="27"/>
  <c r="U113" i="27"/>
  <c r="X142" i="27"/>
  <c r="U142" i="27"/>
  <c r="X114" i="27"/>
  <c r="U114" i="27"/>
  <c r="X369" i="27"/>
  <c r="U369" i="27"/>
  <c r="X116" i="27"/>
  <c r="U116" i="27"/>
  <c r="X118" i="27"/>
  <c r="U118" i="27"/>
  <c r="X368" i="27"/>
  <c r="U368" i="27"/>
  <c r="X119" i="27"/>
  <c r="U119" i="27"/>
  <c r="X1" i="27"/>
  <c r="U1" i="27"/>
  <c r="X110" i="27"/>
  <c r="U110" i="27"/>
  <c r="X109" i="27"/>
  <c r="U109" i="27"/>
  <c r="X108" i="27"/>
  <c r="U108" i="27"/>
  <c r="X107" i="27"/>
  <c r="U107" i="27"/>
  <c r="X106" i="27"/>
  <c r="U106" i="27"/>
  <c r="X105" i="27"/>
  <c r="U105" i="27"/>
  <c r="X104" i="27"/>
  <c r="U104" i="27"/>
  <c r="X103" i="27"/>
  <c r="U103" i="27"/>
  <c r="X102" i="27"/>
  <c r="U102" i="27"/>
  <c r="X101" i="27"/>
  <c r="U101" i="27"/>
  <c r="X100" i="27"/>
  <c r="U100" i="27"/>
  <c r="X99" i="27"/>
  <c r="U99" i="27"/>
  <c r="X98" i="27"/>
  <c r="U98" i="27"/>
  <c r="X97" i="27"/>
  <c r="U97" i="27"/>
  <c r="X96" i="27"/>
  <c r="U96" i="27"/>
  <c r="X95" i="27"/>
  <c r="U95" i="27"/>
  <c r="X94" i="27"/>
  <c r="U94" i="27"/>
  <c r="X93" i="27"/>
  <c r="U93" i="27"/>
  <c r="X92" i="27"/>
  <c r="U92" i="27"/>
  <c r="X91" i="27"/>
  <c r="U91" i="27"/>
  <c r="X90" i="27"/>
  <c r="U90" i="27"/>
  <c r="X89" i="27"/>
  <c r="U89" i="27"/>
  <c r="X88" i="27"/>
  <c r="U88" i="27"/>
  <c r="X87" i="27"/>
  <c r="U87" i="27"/>
  <c r="X86" i="27"/>
  <c r="U86" i="27"/>
  <c r="X85" i="27"/>
  <c r="U85" i="27"/>
  <c r="X84" i="27"/>
  <c r="U84" i="27"/>
  <c r="X83" i="27"/>
  <c r="U83" i="27"/>
  <c r="X82" i="27"/>
  <c r="U82" i="27"/>
  <c r="X81" i="27"/>
  <c r="U81" i="27"/>
  <c r="X80" i="27"/>
  <c r="U80" i="27"/>
  <c r="X79" i="27"/>
  <c r="U79" i="27"/>
  <c r="X78" i="27"/>
  <c r="U78" i="27"/>
  <c r="X77" i="27"/>
  <c r="U77" i="27"/>
  <c r="X76" i="27"/>
  <c r="U76" i="27"/>
  <c r="X75" i="27"/>
  <c r="U75" i="27"/>
  <c r="X74" i="27"/>
  <c r="U74" i="27"/>
  <c r="X73" i="27"/>
  <c r="U73" i="27"/>
  <c r="X72" i="27"/>
  <c r="U72" i="27"/>
  <c r="X71" i="27"/>
  <c r="U71" i="27"/>
  <c r="X70" i="27"/>
  <c r="U70" i="27"/>
  <c r="X69" i="27"/>
  <c r="U69" i="27"/>
  <c r="X68" i="27"/>
  <c r="U68" i="27"/>
  <c r="X67" i="27"/>
  <c r="U67" i="27"/>
  <c r="X66" i="27"/>
  <c r="U66" i="27"/>
  <c r="X65" i="27"/>
  <c r="U65" i="27"/>
  <c r="X64" i="27"/>
  <c r="U64" i="27"/>
  <c r="X63" i="27"/>
  <c r="U63" i="27"/>
  <c r="X62" i="27"/>
  <c r="U62" i="27"/>
  <c r="X61" i="27"/>
  <c r="U61" i="27"/>
  <c r="X60" i="27"/>
  <c r="U60" i="27"/>
  <c r="X59" i="27"/>
  <c r="U59" i="27"/>
  <c r="X58" i="27"/>
  <c r="U58" i="27"/>
  <c r="X57" i="27"/>
  <c r="U57" i="27"/>
  <c r="X56" i="27"/>
  <c r="U56" i="27"/>
  <c r="X55" i="27"/>
  <c r="U55" i="27"/>
  <c r="X54" i="27"/>
  <c r="U54" i="27"/>
  <c r="X53" i="27"/>
  <c r="U53" i="27"/>
  <c r="X52" i="27"/>
  <c r="U52" i="27"/>
  <c r="X51" i="27"/>
  <c r="U51" i="27"/>
  <c r="X50" i="27"/>
  <c r="U50" i="27"/>
  <c r="X49" i="27"/>
  <c r="U49" i="27"/>
  <c r="X48" i="27"/>
  <c r="U48" i="27"/>
  <c r="X47" i="27"/>
  <c r="U47" i="27"/>
  <c r="X46" i="27"/>
  <c r="U46" i="27"/>
  <c r="X45" i="27"/>
  <c r="U45" i="27"/>
  <c r="X44" i="27"/>
  <c r="U44" i="27"/>
  <c r="X43" i="27"/>
  <c r="U43" i="27"/>
  <c r="X42" i="27"/>
  <c r="U42" i="27"/>
  <c r="X41" i="27"/>
  <c r="U41" i="27"/>
  <c r="X40" i="27"/>
  <c r="U40" i="27"/>
  <c r="X39" i="27"/>
  <c r="U39" i="27"/>
  <c r="X38" i="27"/>
  <c r="U38" i="27"/>
  <c r="X37" i="27"/>
  <c r="U37" i="27"/>
  <c r="X36" i="27"/>
  <c r="U36" i="27"/>
  <c r="X35" i="27"/>
  <c r="U35" i="27"/>
  <c r="X34" i="27"/>
  <c r="U34" i="27"/>
  <c r="X33" i="27"/>
  <c r="U33" i="27"/>
  <c r="X32" i="27"/>
  <c r="U32" i="27"/>
  <c r="X31" i="27"/>
  <c r="U31" i="27"/>
  <c r="X30" i="27"/>
  <c r="U30" i="27"/>
  <c r="X29" i="27"/>
  <c r="U29" i="27"/>
  <c r="X28" i="27"/>
  <c r="U28" i="27"/>
  <c r="X27" i="27"/>
  <c r="U27" i="27"/>
  <c r="X26" i="27"/>
  <c r="U26" i="27"/>
  <c r="X25" i="27"/>
  <c r="U25" i="27"/>
  <c r="X24" i="27"/>
  <c r="U24" i="27"/>
  <c r="X23" i="27"/>
  <c r="U23" i="27"/>
  <c r="X22" i="27"/>
  <c r="U22" i="27"/>
  <c r="X21" i="27"/>
  <c r="U21" i="27"/>
  <c r="X20" i="27"/>
  <c r="U20" i="27"/>
  <c r="X19" i="27"/>
  <c r="U19" i="27"/>
  <c r="X18" i="27"/>
  <c r="U18" i="27"/>
  <c r="X17" i="27"/>
  <c r="U17" i="27"/>
  <c r="X16" i="27"/>
  <c r="U16" i="27"/>
  <c r="X15" i="27"/>
  <c r="U15" i="27"/>
  <c r="X14" i="27"/>
  <c r="U14" i="27"/>
  <c r="X13" i="27"/>
  <c r="U13" i="27"/>
  <c r="X12" i="27"/>
  <c r="U12" i="27"/>
  <c r="X11" i="27"/>
  <c r="U11" i="27"/>
  <c r="X10" i="27"/>
  <c r="U10" i="27"/>
  <c r="X9" i="27"/>
  <c r="U9" i="27"/>
  <c r="X8" i="27"/>
  <c r="U8" i="27"/>
  <c r="X7" i="27"/>
  <c r="U7" i="27"/>
  <c r="X6" i="27"/>
  <c r="U6" i="27"/>
  <c r="X5" i="27"/>
  <c r="U5" i="27"/>
  <c r="X4" i="27"/>
  <c r="U4" i="27"/>
  <c r="X3" i="27"/>
  <c r="U3" i="27"/>
  <c r="X2" i="27"/>
  <c r="U2" i="27"/>
  <c r="X117" i="27"/>
  <c r="AB296" i="1"/>
  <c r="AB281" i="1"/>
  <c r="AB381" i="1"/>
  <c r="AB22" i="1"/>
  <c r="AB67" i="1"/>
  <c r="AB41" i="1"/>
  <c r="AB58" i="1"/>
  <c r="AB113" i="1"/>
  <c r="AB287" i="1"/>
  <c r="AB24" i="1"/>
  <c r="AB154" i="1"/>
  <c r="AB141" i="1"/>
  <c r="AB169" i="1"/>
  <c r="AB160" i="1"/>
  <c r="AB153" i="1"/>
  <c r="AB152" i="1"/>
  <c r="AB239" i="1"/>
  <c r="AB30" i="1"/>
  <c r="AB46" i="1"/>
  <c r="AB62" i="1"/>
  <c r="AB73" i="1"/>
  <c r="AB364" i="1"/>
  <c r="AB200" i="1"/>
  <c r="AB76" i="1"/>
  <c r="AB94" i="1"/>
  <c r="AB95" i="1"/>
  <c r="AB74" i="1"/>
  <c r="AB106" i="1"/>
  <c r="AB107" i="1"/>
  <c r="AB108" i="1"/>
  <c r="AB237" i="1"/>
  <c r="AB235" i="1"/>
  <c r="AB25" i="1"/>
  <c r="AB195" i="1"/>
  <c r="AB197" i="1"/>
  <c r="AB216" i="1"/>
  <c r="AB232" i="1"/>
  <c r="AB236" i="1"/>
  <c r="AB5" i="1"/>
  <c r="AB247" i="1"/>
  <c r="AB57" i="1"/>
  <c r="AB267" i="1"/>
  <c r="AB373" i="1"/>
  <c r="AB298" i="1"/>
  <c r="AB387" i="1"/>
  <c r="AB341" i="1"/>
  <c r="AB259" i="1"/>
  <c r="AB385" i="1"/>
  <c r="AB87" i="1"/>
  <c r="AB109" i="1"/>
  <c r="AB265" i="1"/>
  <c r="AB110" i="1"/>
  <c r="X296" i="1"/>
  <c r="B296" i="1"/>
  <c r="Y296" i="1" s="1"/>
  <c r="AA110" i="1"/>
  <c r="AA265" i="1"/>
  <c r="AA109" i="1"/>
  <c r="AA87" i="1"/>
  <c r="AA385" i="1"/>
  <c r="AA259" i="1"/>
  <c r="AA341" i="1"/>
  <c r="AA387" i="1"/>
  <c r="AA298" i="1"/>
  <c r="AA373" i="1"/>
  <c r="AA267" i="1"/>
  <c r="AA57" i="1"/>
  <c r="AA247" i="1"/>
  <c r="AA5" i="1"/>
  <c r="AA236" i="1"/>
  <c r="AA232" i="1"/>
  <c r="AA216" i="1"/>
  <c r="AA197" i="1"/>
  <c r="AA195" i="1"/>
  <c r="AA25" i="1"/>
  <c r="AA235" i="1"/>
  <c r="AA237" i="1"/>
  <c r="AA108" i="1"/>
  <c r="AA107" i="1"/>
  <c r="AA106" i="1"/>
  <c r="AA74" i="1"/>
  <c r="AA95" i="1"/>
  <c r="AA94" i="1"/>
  <c r="AA76" i="1"/>
  <c r="AA200" i="1"/>
  <c r="AA364" i="1"/>
  <c r="AA73" i="1"/>
  <c r="AA62" i="1"/>
  <c r="AA46" i="1"/>
  <c r="AA30" i="1"/>
  <c r="AA239" i="1"/>
  <c r="AA152" i="1"/>
  <c r="AA153" i="1"/>
  <c r="AA160" i="1"/>
  <c r="AA169" i="1"/>
  <c r="AA141" i="1"/>
  <c r="AA154" i="1"/>
  <c r="AA24" i="1"/>
  <c r="AA287" i="1"/>
  <c r="AA113" i="1"/>
  <c r="AA58" i="1"/>
  <c r="AA41" i="1"/>
  <c r="AA67" i="1"/>
  <c r="AA22" i="1"/>
  <c r="AA381" i="1"/>
  <c r="AA281" i="1"/>
  <c r="AA285" i="1"/>
  <c r="AB285" i="1" s="1"/>
  <c r="AA283" i="1"/>
  <c r="AB283" i="1" s="1"/>
  <c r="AA35" i="1"/>
  <c r="AB35" i="1" s="1"/>
  <c r="AA314" i="1"/>
  <c r="AB314" i="1" s="1"/>
  <c r="AA322" i="1"/>
  <c r="AB322" i="1" s="1"/>
  <c r="AA4" i="1"/>
  <c r="AB4" i="1"/>
  <c r="AA292" i="1"/>
  <c r="AB292" i="1" s="1"/>
  <c r="AA88" i="1"/>
  <c r="AB88" i="1" s="1"/>
  <c r="AA389" i="1"/>
  <c r="AB389" i="1" s="1"/>
  <c r="AA288" i="1"/>
  <c r="AB288" i="1" s="1"/>
  <c r="AA193" i="1"/>
  <c r="AB193" i="1" s="1"/>
  <c r="AA252" i="1"/>
  <c r="AB252" i="1" s="1"/>
  <c r="AA116" i="1"/>
  <c r="AB116" i="1" s="1"/>
  <c r="AA306" i="1"/>
  <c r="AB306" i="1" s="1"/>
  <c r="AA112" i="1"/>
  <c r="AB112" i="1" s="1"/>
  <c r="AA6" i="1"/>
  <c r="AB6" i="1" s="1"/>
  <c r="AA249" i="1"/>
  <c r="AB249" i="1" s="1"/>
  <c r="AA334" i="1"/>
  <c r="AB334" i="1" s="1"/>
  <c r="AA102" i="1"/>
  <c r="AB102" i="1" s="1"/>
  <c r="AA51" i="1"/>
  <c r="AB51" i="1" s="1"/>
  <c r="AA3" i="1"/>
  <c r="AB3" i="1" s="1"/>
  <c r="AA213" i="1"/>
  <c r="AB213" i="1" s="1"/>
  <c r="AA48" i="1"/>
  <c r="AB48" i="1" s="1"/>
  <c r="AA241" i="1"/>
  <c r="AB241" i="1" s="1"/>
  <c r="AA354" i="1"/>
  <c r="AB354" i="1" s="1"/>
  <c r="AA304" i="1"/>
  <c r="AB304" i="1" s="1"/>
  <c r="AA188" i="1"/>
  <c r="AB188" i="1" s="1"/>
  <c r="AA231" i="1"/>
  <c r="AB231" i="1" s="1"/>
  <c r="AA145" i="1"/>
  <c r="AB145" i="1" s="1"/>
  <c r="AA140" i="1"/>
  <c r="AB140" i="1" s="1"/>
  <c r="AA158" i="1"/>
  <c r="AB158" i="1" s="1"/>
  <c r="AA163" i="1"/>
  <c r="AB163" i="1" s="1"/>
  <c r="AA135" i="1"/>
  <c r="AB135" i="1" s="1"/>
  <c r="AA166" i="1"/>
  <c r="AB166" i="1" s="1"/>
  <c r="AA171" i="1"/>
  <c r="AB171" i="1" s="1"/>
  <c r="AA170" i="1"/>
  <c r="AB170" i="1" s="1"/>
  <c r="AA142" i="1"/>
  <c r="AB142" i="1" s="1"/>
  <c r="AA156" i="1"/>
  <c r="AB156" i="1" s="1"/>
  <c r="AA147" i="1"/>
  <c r="AB147" i="1" s="1"/>
  <c r="AA138" i="1"/>
  <c r="AB138" i="1" s="1"/>
  <c r="AA133" i="1"/>
  <c r="AB133" i="1" s="1"/>
  <c r="AA172" i="1"/>
  <c r="AB172" i="1" s="1"/>
  <c r="AA139" i="1"/>
  <c r="AB139" i="1" s="1"/>
  <c r="AA157" i="1"/>
  <c r="AB157" i="1" s="1"/>
  <c r="AA159" i="1"/>
  <c r="AB159" i="1" s="1"/>
  <c r="AA174" i="1"/>
  <c r="AB174" i="1" s="1"/>
  <c r="AA119" i="1"/>
  <c r="AB119" i="1" s="1"/>
  <c r="AA34" i="1"/>
  <c r="AB34" i="1" s="1"/>
  <c r="AA251" i="1"/>
  <c r="AB251" i="1" s="1"/>
  <c r="AA348" i="1"/>
  <c r="AB348" i="1" s="1"/>
  <c r="AA280" i="1"/>
  <c r="AB280" i="1" s="1"/>
  <c r="AA66" i="1"/>
  <c r="AB66" i="1" s="1"/>
  <c r="AA52" i="1"/>
  <c r="AB52" i="1" s="1"/>
  <c r="AA7" i="1"/>
  <c r="AB7" i="1" s="1"/>
  <c r="AA184" i="1"/>
  <c r="AB184" i="1" s="1"/>
  <c r="AA202" i="1"/>
  <c r="AB202" i="1" s="1"/>
  <c r="AA254" i="1"/>
  <c r="AB254" i="1" s="1"/>
  <c r="AA339" i="1"/>
  <c r="AB339" i="1" s="1"/>
  <c r="AA208" i="1"/>
  <c r="AB208" i="1" s="1"/>
  <c r="AA104" i="1"/>
  <c r="AB104" i="1" s="1"/>
  <c r="AA315" i="1"/>
  <c r="AB315" i="1" s="1"/>
  <c r="AA180" i="1"/>
  <c r="AB180" i="1" s="1"/>
  <c r="AA114" i="1"/>
  <c r="AB114" i="1" s="1"/>
  <c r="AA323" i="1"/>
  <c r="AB323" i="1" s="1"/>
  <c r="AA317" i="1"/>
  <c r="AB317" i="1" s="1"/>
  <c r="AA383" i="1"/>
  <c r="AB383" i="1" s="1"/>
  <c r="AA352" i="1"/>
  <c r="AB352" i="1" s="1"/>
  <c r="AA380" i="1"/>
  <c r="AB380" i="1" s="1"/>
  <c r="AA134" i="1"/>
  <c r="AB134" i="1" s="1"/>
  <c r="AA150" i="1"/>
  <c r="AB150" i="1" s="1"/>
  <c r="AA146" i="1"/>
  <c r="AB146" i="1" s="1"/>
  <c r="AA137" i="1"/>
  <c r="AB137" i="1" s="1"/>
  <c r="AA149" i="1"/>
  <c r="AB149" i="1" s="1"/>
  <c r="AA151" i="1"/>
  <c r="AB151" i="1" s="1"/>
  <c r="AA130" i="1"/>
  <c r="AB130" i="1" s="1"/>
  <c r="AA168" i="1"/>
  <c r="AB168" i="1" s="1"/>
  <c r="AA165" i="1"/>
  <c r="AB165" i="1" s="1"/>
  <c r="AA161" i="1"/>
  <c r="AB161" i="1" s="1"/>
  <c r="AA144" i="1"/>
  <c r="AB144" i="1" s="1"/>
  <c r="AA91" i="1"/>
  <c r="AB91" i="1" s="1"/>
  <c r="AA299" i="1"/>
  <c r="AB299" i="1" s="1"/>
  <c r="AA271" i="1"/>
  <c r="AB271" i="1" s="1"/>
  <c r="AA201" i="1"/>
  <c r="AB201" i="1" s="1"/>
  <c r="AA105" i="1"/>
  <c r="AB105" i="1" s="1"/>
  <c r="AA290" i="1"/>
  <c r="AB290" i="1" s="1"/>
  <c r="AA96" i="1"/>
  <c r="AB96" i="1" s="1"/>
  <c r="AA372" i="1"/>
  <c r="AB372" i="1" s="1"/>
  <c r="AA394" i="1"/>
  <c r="AB394" i="1" s="1"/>
  <c r="AA331" i="1"/>
  <c r="AB331" i="1" s="1"/>
  <c r="AA349" i="1"/>
  <c r="AB349" i="1" s="1"/>
  <c r="AA367" i="1"/>
  <c r="AB367" i="1" s="1"/>
  <c r="AA240" i="1"/>
  <c r="AB240" i="1" s="1"/>
  <c r="AA369" i="1"/>
  <c r="AB369" i="1" s="1"/>
  <c r="AA368" i="1"/>
  <c r="AB368" i="1" s="1"/>
  <c r="AA353" i="1"/>
  <c r="AB353" i="1" s="1"/>
  <c r="AA125" i="1"/>
  <c r="AB125" i="1" s="1"/>
  <c r="AA324" i="1"/>
  <c r="AB324" i="1" s="1"/>
  <c r="AA85" i="1"/>
  <c r="AB85" i="1" s="1"/>
  <c r="AA177" i="1"/>
  <c r="AB177" i="1" s="1"/>
  <c r="AA244" i="1"/>
  <c r="AB244" i="1" s="1"/>
  <c r="AA303" i="1"/>
  <c r="AB303" i="1" s="1"/>
  <c r="AA100" i="1"/>
  <c r="AB100" i="1" s="1"/>
  <c r="AA190" i="1"/>
  <c r="AB190" i="1" s="1"/>
  <c r="AA101" i="1"/>
  <c r="AB101" i="1" s="1"/>
  <c r="AA8" i="1"/>
  <c r="AB8" i="1" s="1"/>
  <c r="AA111" i="1"/>
  <c r="AB111" i="1" s="1"/>
  <c r="AA84" i="1"/>
  <c r="AB84" i="1" s="1"/>
  <c r="AA286" i="1"/>
  <c r="AB286" i="1" s="1"/>
  <c r="AA132" i="1"/>
  <c r="AB132" i="1" s="1"/>
  <c r="AA155" i="1"/>
  <c r="AB155" i="1" s="1"/>
  <c r="AA164" i="1"/>
  <c r="AB164" i="1" s="1"/>
  <c r="AA45" i="1"/>
  <c r="AB45" i="1" s="1"/>
  <c r="AA261" i="1"/>
  <c r="AB261" i="1" s="1"/>
  <c r="AA194" i="1"/>
  <c r="AB194" i="1" s="1"/>
  <c r="AA99" i="1"/>
  <c r="AB99" i="1" s="1"/>
  <c r="AA49" i="1"/>
  <c r="AB49" i="1" s="1"/>
  <c r="AA121" i="1"/>
  <c r="AB121" i="1" s="1"/>
  <c r="AA279" i="1"/>
  <c r="AB279" i="1" s="1"/>
  <c r="AA270" i="1"/>
  <c r="AB270" i="1" s="1"/>
  <c r="AA117" i="1"/>
  <c r="AB117" i="1" s="1"/>
  <c r="AA55" i="1"/>
  <c r="AB55" i="1" s="1"/>
  <c r="AA340" i="1"/>
  <c r="AB340" i="1" s="1"/>
  <c r="AA363" i="1"/>
  <c r="AB363" i="1" s="1"/>
  <c r="AA378" i="1"/>
  <c r="AB378" i="1" s="1"/>
  <c r="AA186" i="1"/>
  <c r="AB186" i="1" s="1"/>
  <c r="AA269" i="1"/>
  <c r="AB269" i="1" s="1"/>
  <c r="AA233" i="1"/>
  <c r="AB233" i="1" s="1"/>
  <c r="AA122" i="1"/>
  <c r="AB122" i="1" s="1"/>
  <c r="AA98" i="1"/>
  <c r="AB98" i="1" s="1"/>
  <c r="AA264" i="1"/>
  <c r="AB264" i="1" s="1"/>
  <c r="AA390" i="1"/>
  <c r="AB390" i="1" s="1"/>
  <c r="AA75" i="1"/>
  <c r="AB75" i="1" s="1"/>
  <c r="AA238" i="1"/>
  <c r="AB238" i="1" s="1"/>
  <c r="AA284" i="1"/>
  <c r="AB284" i="1" s="1"/>
  <c r="AA215" i="1"/>
  <c r="AB215" i="1" s="1"/>
  <c r="AA173" i="1"/>
  <c r="AB173" i="1" s="1"/>
  <c r="AA167" i="1"/>
  <c r="AB167" i="1" s="1"/>
  <c r="AA148" i="1"/>
  <c r="AB148" i="1" s="1"/>
  <c r="AA131" i="1"/>
  <c r="AB131" i="1" s="1"/>
  <c r="AA136" i="1"/>
  <c r="AB136" i="1" s="1"/>
  <c r="AA198" i="1"/>
  <c r="AB198" i="1" s="1"/>
  <c r="AA365" i="1"/>
  <c r="AB365" i="1" s="1"/>
  <c r="AA56" i="1"/>
  <c r="AB56" i="1" s="1"/>
  <c r="AA89" i="1"/>
  <c r="AB89" i="1" s="1"/>
  <c r="AA205" i="1"/>
  <c r="AB205" i="1" s="1"/>
  <c r="AA37" i="1"/>
  <c r="AB37" i="1" s="1"/>
  <c r="AA282" i="1"/>
  <c r="AB282" i="1" s="1"/>
  <c r="AA234" i="1"/>
  <c r="AB234" i="1" s="1"/>
  <c r="AA230" i="1"/>
  <c r="AB230" i="1" s="1"/>
  <c r="AA12" i="1"/>
  <c r="AB12" i="1" s="1"/>
  <c r="AA19" i="1"/>
  <c r="AB19" i="1" s="1"/>
  <c r="AA93" i="1"/>
  <c r="AB93" i="1" s="1"/>
  <c r="AA21" i="1"/>
  <c r="AB21" i="1" s="1"/>
  <c r="AA370" i="1"/>
  <c r="AB370" i="1" s="1"/>
  <c r="AA175" i="1"/>
  <c r="AB175" i="1" s="1"/>
  <c r="AA176" i="1"/>
  <c r="AB176" i="1" s="1"/>
  <c r="AA115" i="1"/>
  <c r="AB115" i="1" s="1"/>
  <c r="AA242" i="1"/>
  <c r="AB242" i="1" s="1"/>
  <c r="AA291" i="1"/>
  <c r="AB291" i="1" s="1"/>
  <c r="AA192" i="1"/>
  <c r="AB192" i="1" s="1"/>
  <c r="AA374" i="1"/>
  <c r="AB374" i="1" s="1"/>
  <c r="AA33" i="1"/>
  <c r="AB33" i="1" s="1"/>
  <c r="AA212" i="1"/>
  <c r="AB212" i="1" s="1"/>
  <c r="AA118" i="1"/>
  <c r="AB118" i="1" s="1"/>
  <c r="AA392" i="1"/>
  <c r="AB392" i="1" s="1"/>
  <c r="AA388" i="1"/>
  <c r="AB388" i="1" s="1"/>
  <c r="AA327" i="1"/>
  <c r="AB327" i="1" s="1"/>
  <c r="AA204" i="1"/>
  <c r="AB204" i="1" s="1"/>
  <c r="AA320" i="1"/>
  <c r="AB320" i="1" s="1"/>
  <c r="AA162" i="1"/>
  <c r="AB162" i="1" s="1"/>
  <c r="AA302" i="1"/>
  <c r="AB302" i="1" s="1"/>
  <c r="AA17" i="1"/>
  <c r="AB17" i="1" s="1"/>
  <c r="AA71" i="1"/>
  <c r="AB71" i="1" s="1"/>
  <c r="AA318" i="1"/>
  <c r="AB318" i="1" s="1"/>
  <c r="AA65" i="1"/>
  <c r="AB65" i="1" s="1"/>
  <c r="AA359" i="1"/>
  <c r="AB359" i="1" s="1"/>
  <c r="AA335" i="1"/>
  <c r="AB335" i="1" s="1"/>
  <c r="AA191" i="1"/>
  <c r="AB191" i="1" s="1"/>
  <c r="AA39" i="1"/>
  <c r="AB39" i="1" s="1"/>
  <c r="AA47" i="1"/>
  <c r="AB47" i="1" s="1"/>
  <c r="AA124" i="1"/>
  <c r="AB124" i="1" s="1"/>
  <c r="AA72" i="1"/>
  <c r="AB72" i="1" s="1"/>
  <c r="AA187" i="1"/>
  <c r="AB187" i="1" s="1"/>
  <c r="AA199" i="1"/>
  <c r="AB199" i="1" s="1"/>
  <c r="AA227" i="1"/>
  <c r="AB227" i="1" s="1"/>
  <c r="AA276" i="1"/>
  <c r="AB276" i="1" s="1"/>
  <c r="AA207" i="1"/>
  <c r="AB207" i="1" s="1"/>
  <c r="AA40" i="1"/>
  <c r="AB40" i="1" s="1"/>
  <c r="AA266" i="1"/>
  <c r="AB266" i="1" s="1"/>
  <c r="AA92" i="1"/>
  <c r="AB92" i="1" s="1"/>
  <c r="AA120" i="1"/>
  <c r="AB120" i="1" s="1"/>
  <c r="AA103" i="1"/>
  <c r="AB103" i="1" s="1"/>
  <c r="AA129" i="1"/>
  <c r="AB129" i="1" s="1"/>
  <c r="AA183" i="1"/>
  <c r="AB183" i="1" s="1"/>
  <c r="AA277" i="1"/>
  <c r="AB277" i="1" s="1"/>
  <c r="AA350" i="1"/>
  <c r="AB350" i="1" s="1"/>
  <c r="AA248" i="1"/>
  <c r="AB248" i="1" s="1"/>
  <c r="AA226" i="1"/>
  <c r="AB226" i="1" s="1"/>
  <c r="AA346" i="1"/>
  <c r="AB346" i="1" s="1"/>
  <c r="AA77" i="1"/>
  <c r="AB77" i="1" s="1"/>
  <c r="AA258" i="1"/>
  <c r="AB258" i="1" s="1"/>
  <c r="AA209" i="1"/>
  <c r="AB209" i="1" s="1"/>
  <c r="AA357" i="1"/>
  <c r="AB357" i="1" s="1"/>
  <c r="AA256" i="1"/>
  <c r="AB256" i="1" s="1"/>
  <c r="AA326" i="1"/>
  <c r="AB326" i="1" s="1"/>
  <c r="AA257" i="1"/>
  <c r="AB257" i="1" s="1"/>
  <c r="AA182" i="1"/>
  <c r="AB182" i="1" s="1"/>
  <c r="AA203" i="1"/>
  <c r="AB203" i="1" s="1"/>
  <c r="AA278" i="1"/>
  <c r="AB278" i="1" s="1"/>
  <c r="AA143" i="1"/>
  <c r="AB143" i="1" s="1"/>
  <c r="AA36" i="1"/>
  <c r="AB36" i="1" s="1"/>
  <c r="AA29" i="1"/>
  <c r="AB29" i="1" s="1"/>
  <c r="AA28" i="1"/>
  <c r="AB28" i="1" s="1"/>
  <c r="AA44" i="1"/>
  <c r="AB44" i="1" s="1"/>
  <c r="AA222" i="1"/>
  <c r="AB222" i="1" s="1"/>
  <c r="AA214" i="1"/>
  <c r="AB214" i="1" s="1"/>
  <c r="AA356" i="1"/>
  <c r="AB356" i="1" s="1"/>
  <c r="AA310" i="1"/>
  <c r="AB310" i="1" s="1"/>
  <c r="AA376" i="1"/>
  <c r="AB376" i="1" s="1"/>
  <c r="AA308" i="1"/>
  <c r="AB308" i="1" s="1"/>
  <c r="AA127" i="1"/>
  <c r="AB127" i="1" s="1"/>
  <c r="AA60" i="1"/>
  <c r="AB60" i="1" s="1"/>
  <c r="AA68" i="1"/>
  <c r="AB68" i="1" s="1"/>
  <c r="AA42" i="1"/>
  <c r="AB42" i="1" s="1"/>
  <c r="AA50" i="1"/>
  <c r="AB50" i="1" s="1"/>
  <c r="AA229" i="1"/>
  <c r="AB229" i="1" s="1"/>
  <c r="AA343" i="1"/>
  <c r="AB343" i="1" s="1"/>
  <c r="AA319" i="1"/>
  <c r="AB319" i="1" s="1"/>
  <c r="AA362" i="1"/>
  <c r="AB362" i="1" s="1"/>
  <c r="AA245" i="1"/>
  <c r="AB245" i="1" s="1"/>
  <c r="AA344" i="1"/>
  <c r="AB344" i="1" s="1"/>
  <c r="AA38" i="1"/>
  <c r="AB38" i="1" s="1"/>
  <c r="AA246" i="1"/>
  <c r="AB246" i="1" s="1"/>
  <c r="AA27" i="1"/>
  <c r="AB27" i="1" s="1"/>
  <c r="AA328" i="1"/>
  <c r="AB328" i="1" s="1"/>
  <c r="AA181" i="1"/>
  <c r="AB181" i="1" s="1"/>
  <c r="AA345" i="1"/>
  <c r="AB345" i="1" s="1"/>
  <c r="AA228" i="1"/>
  <c r="AB228" i="1" s="1"/>
  <c r="AA361" i="1"/>
  <c r="AB361" i="1" s="1"/>
  <c r="AA86" i="1"/>
  <c r="AB86" i="1" s="1"/>
  <c r="AA321" i="1"/>
  <c r="AB321" i="1" s="1"/>
  <c r="AA255" i="1"/>
  <c r="AB255" i="1" s="1"/>
  <c r="AA15" i="1"/>
  <c r="AB15" i="1" s="1"/>
  <c r="AA97" i="1"/>
  <c r="AB97" i="1" s="1"/>
  <c r="AA185" i="1"/>
  <c r="AB185" i="1" s="1"/>
  <c r="AA14" i="1"/>
  <c r="AB14" i="1" s="1"/>
  <c r="AA393" i="1"/>
  <c r="AB393" i="1" s="1"/>
  <c r="AA332" i="1"/>
  <c r="AB332" i="1" s="1"/>
  <c r="AA351" i="1"/>
  <c r="AB351" i="1" s="1"/>
  <c r="AA313" i="1"/>
  <c r="AB313" i="1" s="1"/>
  <c r="AA26" i="1"/>
  <c r="AB26" i="1" s="1"/>
  <c r="AA366" i="1"/>
  <c r="AB366" i="1" s="1"/>
  <c r="AA64" i="1"/>
  <c r="AB64" i="1" s="1"/>
  <c r="AA32" i="1"/>
  <c r="AB32" i="1" s="1"/>
  <c r="AA382" i="1"/>
  <c r="AB382" i="1" s="1"/>
  <c r="AA219" i="1"/>
  <c r="AB219" i="1" s="1"/>
  <c r="AA253" i="1"/>
  <c r="AB253" i="1" s="1"/>
  <c r="AA11" i="1"/>
  <c r="AB11" i="1" s="1"/>
  <c r="AA358" i="1"/>
  <c r="AB358" i="1" s="1"/>
  <c r="AA263" i="1"/>
  <c r="AB263" i="1" s="1"/>
  <c r="AA377" i="1"/>
  <c r="AB377" i="1" s="1"/>
  <c r="AA220" i="1"/>
  <c r="AB220" i="1" s="1"/>
  <c r="AA80" i="1"/>
  <c r="AB80" i="1" s="1"/>
  <c r="AA250" i="1"/>
  <c r="AB250" i="1" s="1"/>
  <c r="AA211" i="1"/>
  <c r="AB211" i="1" s="1"/>
  <c r="AA123" i="1"/>
  <c r="AB123" i="1" s="1"/>
  <c r="AA16" i="1"/>
  <c r="AB16" i="1" s="1"/>
  <c r="AA371" i="1"/>
  <c r="AB371" i="1" s="1"/>
  <c r="AA260" i="1"/>
  <c r="AB260" i="1" s="1"/>
  <c r="AA82" i="1"/>
  <c r="AB82" i="1" s="1"/>
  <c r="AA210" i="1"/>
  <c r="AB210" i="1" s="1"/>
  <c r="AA316" i="1"/>
  <c r="AB316" i="1" s="1"/>
  <c r="AA333" i="1"/>
  <c r="AB333" i="1" s="1"/>
  <c r="AA274" i="1"/>
  <c r="AB274" i="1" s="1"/>
  <c r="AA300" i="1"/>
  <c r="AB300" i="1" s="1"/>
  <c r="AA275" i="1"/>
  <c r="AB275" i="1" s="1"/>
  <c r="AA13" i="1"/>
  <c r="AB13" i="1" s="1"/>
  <c r="AA78" i="1"/>
  <c r="AB78" i="1" s="1"/>
  <c r="AA311" i="1"/>
  <c r="AB311" i="1" s="1"/>
  <c r="AA225" i="1"/>
  <c r="AB225" i="1" s="1"/>
  <c r="AA90" i="1"/>
  <c r="AB90" i="1" s="1"/>
  <c r="AA9" i="1"/>
  <c r="AA375" i="1"/>
  <c r="AB375" i="1" s="1"/>
  <c r="AA295" i="1"/>
  <c r="AB295" i="1" s="1"/>
  <c r="AA54" i="1"/>
  <c r="AB54" i="1" s="1"/>
  <c r="AA10" i="1"/>
  <c r="AB10" i="1" s="1"/>
  <c r="AA297" i="1"/>
  <c r="AB297" i="1" s="1"/>
  <c r="AA355" i="1"/>
  <c r="AB355" i="1" s="1"/>
  <c r="AA329" i="1"/>
  <c r="AB329" i="1" s="1"/>
  <c r="AA18" i="1"/>
  <c r="AB18" i="1" s="1"/>
  <c r="AA81" i="1"/>
  <c r="AB81" i="1" s="1"/>
  <c r="AA61" i="1"/>
  <c r="AB61" i="1" s="1"/>
  <c r="AA336" i="1"/>
  <c r="AB336" i="1" s="1"/>
  <c r="AA289" i="1"/>
  <c r="AB289" i="1" s="1"/>
  <c r="AA342" i="1"/>
  <c r="AB342" i="1" s="1"/>
  <c r="AA126" i="1"/>
  <c r="AB126" i="1" s="1"/>
  <c r="AA294" i="1"/>
  <c r="AB294" i="1" s="1"/>
  <c r="AA53" i="1"/>
  <c r="AB53" i="1" s="1"/>
  <c r="AA196" i="1"/>
  <c r="AB196" i="1" s="1"/>
  <c r="AA325" i="1"/>
  <c r="AB325" i="1" s="1"/>
  <c r="AA179" i="1"/>
  <c r="AB179" i="1" s="1"/>
  <c r="AA347" i="1"/>
  <c r="AB347" i="1" s="1"/>
  <c r="AA70" i="1"/>
  <c r="AB70" i="1" s="1"/>
  <c r="AA262" i="1"/>
  <c r="AB262" i="1" s="1"/>
  <c r="AA384" i="1"/>
  <c r="AB384" i="1" s="1"/>
  <c r="AA128" i="1"/>
  <c r="AB128" i="1" s="1"/>
  <c r="AA312" i="1"/>
  <c r="AB312" i="1" s="1"/>
  <c r="AA243" i="1"/>
  <c r="AA59" i="1"/>
  <c r="AB59" i="1" s="1"/>
  <c r="AA218" i="1"/>
  <c r="AB218" i="1" s="1"/>
  <c r="AA2" i="1"/>
  <c r="AB2" i="1" s="1"/>
  <c r="AA221" i="1"/>
  <c r="AB221" i="1" s="1"/>
  <c r="AA301" i="1"/>
  <c r="AB301" i="1" s="1"/>
  <c r="AA391" i="1"/>
  <c r="AB391" i="1" s="1"/>
  <c r="AA379" i="1"/>
  <c r="AB379" i="1" s="1"/>
  <c r="AA268" i="1"/>
  <c r="AB268" i="1" s="1"/>
  <c r="AA224" i="1"/>
  <c r="AB224" i="1" s="1"/>
  <c r="AA178" i="1"/>
  <c r="AA206" i="1"/>
  <c r="AB206" i="1" s="1"/>
  <c r="AA83" i="1"/>
  <c r="AB83" i="1" s="1"/>
  <c r="AA20" i="1"/>
  <c r="AB20" i="1" s="1"/>
  <c r="AA360" i="1"/>
  <c r="AB360" i="1" s="1"/>
  <c r="AA23" i="1"/>
  <c r="AB23" i="1" s="1"/>
  <c r="AA189" i="1"/>
  <c r="AB189" i="1" s="1"/>
  <c r="AA273" i="1"/>
  <c r="AB273" i="1" s="1"/>
  <c r="AA330" i="1"/>
  <c r="AB330" i="1" s="1"/>
  <c r="AA338" i="1"/>
  <c r="AB338" i="1" s="1"/>
  <c r="AA272" i="1"/>
  <c r="AB272" i="1" s="1"/>
  <c r="AA69" i="1"/>
  <c r="AB69" i="1" s="1"/>
  <c r="AA337" i="1"/>
  <c r="AB337" i="1" s="1"/>
  <c r="AA43" i="1"/>
  <c r="AB43" i="1" s="1"/>
  <c r="AA309" i="1"/>
  <c r="AB309" i="1" s="1"/>
  <c r="AA305" i="1"/>
  <c r="AB305" i="1" s="1"/>
  <c r="AA307" i="1"/>
  <c r="AB307" i="1" s="1"/>
  <c r="AA217" i="1"/>
  <c r="AB217" i="1" s="1"/>
  <c r="AA63" i="1"/>
  <c r="AB63" i="1" s="1"/>
  <c r="AA79" i="1"/>
  <c r="AA31" i="1"/>
  <c r="AB31" i="1" s="1"/>
  <c r="AA293" i="1"/>
  <c r="AB293" i="1" s="1"/>
  <c r="AA386" i="1"/>
  <c r="AB386" i="1" s="1"/>
  <c r="E45" i="14" a="1"/>
  <c r="E45" i="14" s="1"/>
  <c r="X222" i="1"/>
  <c r="B222" i="1"/>
  <c r="Y222" i="1" s="1"/>
  <c r="U79" i="1"/>
  <c r="X223" i="1"/>
  <c r="B77" i="1"/>
  <c r="Y77" i="1" s="1"/>
  <c r="B127" i="1"/>
  <c r="Y127" i="1" s="1"/>
  <c r="U9" i="1"/>
  <c r="D25" i="16" s="1" a="1"/>
  <c r="D25" i="16" s="1"/>
  <c r="X187" i="1"/>
  <c r="X374" i="1"/>
  <c r="X340" i="1"/>
  <c r="X325" i="1"/>
  <c r="X192" i="1"/>
  <c r="U178" i="1"/>
  <c r="U243" i="1"/>
  <c r="B243" i="1" s="1"/>
  <c r="X400" i="1"/>
  <c r="Y400" i="1" s="1"/>
  <c r="X396" i="1"/>
  <c r="Y396" i="1" s="1"/>
  <c r="X397" i="1"/>
  <c r="Y397" i="1" s="1"/>
  <c r="X398" i="1"/>
  <c r="Y398" i="1" s="1"/>
  <c r="X399" i="1"/>
  <c r="Y399" i="1" s="1"/>
  <c r="B245" i="1"/>
  <c r="Y245" i="1" s="1"/>
  <c r="B35" i="1"/>
  <c r="Y35" i="1" s="1"/>
  <c r="B350" i="1"/>
  <c r="Y350" i="1" s="1"/>
  <c r="B251" i="1"/>
  <c r="Y251" i="1" s="1"/>
  <c r="B254" i="1"/>
  <c r="Y254" i="1" s="1"/>
  <c r="B252" i="1"/>
  <c r="Y252" i="1" s="1"/>
  <c r="B253" i="1"/>
  <c r="Y253" i="1" s="1"/>
  <c r="B383" i="1"/>
  <c r="Y383" i="1" s="1"/>
  <c r="B281" i="1"/>
  <c r="B249" i="1"/>
  <c r="Y249" i="1" s="1"/>
  <c r="B381" i="1"/>
  <c r="B248" i="1"/>
  <c r="Y248" i="1" s="1"/>
  <c r="B285" i="1"/>
  <c r="Y285" i="1" s="1"/>
  <c r="B283" i="1"/>
  <c r="Y283" i="1" s="1"/>
  <c r="B284" i="1"/>
  <c r="Y284" i="1" s="1"/>
  <c r="B125" i="1"/>
  <c r="Y125" i="1" s="1"/>
  <c r="B198" i="1"/>
  <c r="Y198" i="1" s="1"/>
  <c r="B261" i="1"/>
  <c r="Y261" i="1" s="1"/>
  <c r="B226" i="1"/>
  <c r="Y226" i="1" s="1"/>
  <c r="B255" i="1"/>
  <c r="Y255" i="1" s="1"/>
  <c r="B211" i="1"/>
  <c r="Y211" i="1" s="1"/>
  <c r="B250" i="1"/>
  <c r="Y250" i="1" s="1"/>
  <c r="B233" i="1"/>
  <c r="Y233" i="1" s="1"/>
  <c r="B55" i="1"/>
  <c r="Y55" i="1" s="1"/>
  <c r="B389" i="1"/>
  <c r="Y389" i="1" s="1"/>
  <c r="B52" i="1"/>
  <c r="Y52" i="1" s="1"/>
  <c r="B51" i="1"/>
  <c r="Y51" i="1" s="1"/>
  <c r="B180" i="1"/>
  <c r="Y180" i="1" s="1"/>
  <c r="B218" i="1"/>
  <c r="Y218" i="1" s="1"/>
  <c r="B208" i="1"/>
  <c r="Y208" i="1" s="1"/>
  <c r="B100" i="1"/>
  <c r="Y100" i="1" s="1"/>
  <c r="B192" i="1"/>
  <c r="Y192" i="1" s="1"/>
  <c r="B325" i="1"/>
  <c r="Y325" i="1" s="1"/>
  <c r="B340" i="1"/>
  <c r="Y340" i="1" s="1"/>
  <c r="B374" i="1"/>
  <c r="Y374" i="1" s="1"/>
  <c r="B187" i="1"/>
  <c r="Y187" i="1" s="1"/>
  <c r="B297" i="1"/>
  <c r="Y297" i="1" s="1"/>
  <c r="B355" i="1"/>
  <c r="Y355" i="1" s="1"/>
  <c r="B190" i="1"/>
  <c r="Y190" i="1" s="1"/>
  <c r="B191" i="1"/>
  <c r="Y191" i="1" s="1"/>
  <c r="B121" i="1"/>
  <c r="Y121" i="1" s="1"/>
  <c r="B246" i="1"/>
  <c r="Y246" i="1" s="1"/>
  <c r="B59" i="1"/>
  <c r="Y59" i="1" s="1"/>
  <c r="B177" i="1"/>
  <c r="Y177" i="1" s="1"/>
  <c r="B44" i="1"/>
  <c r="Y44" i="1" s="1"/>
  <c r="B122" i="1"/>
  <c r="Y122" i="1" s="1"/>
  <c r="B207" i="1"/>
  <c r="Y207" i="1" s="1"/>
  <c r="X404" i="1"/>
  <c r="Y404" i="1" s="1"/>
  <c r="X403" i="1"/>
  <c r="Y403" i="1" s="1"/>
  <c r="X402" i="1"/>
  <c r="Y402" i="1" s="1"/>
  <c r="X401" i="1"/>
  <c r="Y401" i="1" s="1"/>
  <c r="X395" i="1"/>
  <c r="Y395" i="1" s="1"/>
  <c r="X245" i="1"/>
  <c r="X35" i="1"/>
  <c r="X383" i="1"/>
  <c r="X281" i="1"/>
  <c r="X249" i="1"/>
  <c r="X381" i="1"/>
  <c r="X248" i="1"/>
  <c r="X285" i="1"/>
  <c r="X283" i="1"/>
  <c r="X284" i="1"/>
  <c r="X198" i="1"/>
  <c r="X261" i="1"/>
  <c r="X226" i="1"/>
  <c r="X211" i="1"/>
  <c r="X250" i="1"/>
  <c r="X233" i="1"/>
  <c r="X55" i="1"/>
  <c r="X389" i="1"/>
  <c r="X52" i="1"/>
  <c r="X51" i="1"/>
  <c r="X122" i="1"/>
  <c r="X180" i="1"/>
  <c r="X218" i="1"/>
  <c r="X208" i="1"/>
  <c r="X100" i="1"/>
  <c r="X297" i="1"/>
  <c r="X355" i="1"/>
  <c r="X190" i="1"/>
  <c r="X191" i="1"/>
  <c r="X121" i="1"/>
  <c r="X246" i="1"/>
  <c r="X59" i="1"/>
  <c r="X177" i="1"/>
  <c r="X44" i="1"/>
  <c r="X207" i="1"/>
  <c r="B83" i="1"/>
  <c r="B61" i="1"/>
  <c r="X293" i="1"/>
  <c r="F807" i="11"/>
  <c r="AA223" i="1"/>
  <c r="AB223" i="1" s="1"/>
  <c r="AB402" i="1"/>
  <c r="AB403" i="1"/>
  <c r="AB404" i="1"/>
  <c r="F1284" i="11"/>
  <c r="X393" i="1"/>
  <c r="X338" i="1"/>
  <c r="X262" i="1"/>
  <c r="X104" i="1"/>
  <c r="X271" i="1"/>
  <c r="B262" i="1"/>
  <c r="B104" i="1"/>
  <c r="B271" i="1"/>
  <c r="X50" i="1"/>
  <c r="X42" i="1"/>
  <c r="Y42" i="1" s="1"/>
  <c r="X33" i="1"/>
  <c r="X205" i="1"/>
  <c r="X241" i="1"/>
  <c r="X348" i="1"/>
  <c r="B50" i="1"/>
  <c r="B42" i="1"/>
  <c r="B33" i="1"/>
  <c r="B205" i="1"/>
  <c r="B241" i="1"/>
  <c r="B348" i="1"/>
  <c r="X110" i="1"/>
  <c r="B110" i="1"/>
  <c r="X36" i="1"/>
  <c r="B36" i="1"/>
  <c r="X28" i="1"/>
  <c r="X29" i="1"/>
  <c r="X115" i="1"/>
  <c r="X215" i="1"/>
  <c r="X196" i="1"/>
  <c r="X186" i="1"/>
  <c r="X15" i="1"/>
  <c r="X302" i="1"/>
  <c r="B302" i="1"/>
  <c r="B15" i="1"/>
  <c r="B196" i="1"/>
  <c r="B186" i="1"/>
  <c r="B215" i="1"/>
  <c r="B28" i="1"/>
  <c r="B29" i="1"/>
  <c r="B115" i="1"/>
  <c r="X242" i="1"/>
  <c r="B242" i="1"/>
  <c r="X295" i="1"/>
  <c r="B295" i="1"/>
  <c r="X276" i="1"/>
  <c r="B276" i="1"/>
  <c r="X227" i="1"/>
  <c r="Y227" i="1" s="1"/>
  <c r="B227" i="1"/>
  <c r="B265" i="1"/>
  <c r="X265" i="1"/>
  <c r="X286" i="1"/>
  <c r="B286" i="1"/>
  <c r="B109" i="1"/>
  <c r="X382" i="1"/>
  <c r="X279" i="1"/>
  <c r="X280" i="1"/>
  <c r="X109" i="1"/>
  <c r="B382" i="1"/>
  <c r="B279" i="1"/>
  <c r="B280" i="1"/>
  <c r="K113" i="24"/>
  <c r="K110" i="24" a="1"/>
  <c r="K110" i="24"/>
  <c r="K109" i="24" a="1"/>
  <c r="K109" i="24"/>
  <c r="K108" i="24" a="1"/>
  <c r="K108" i="24"/>
  <c r="K107" i="24" a="1"/>
  <c r="K107" i="24"/>
  <c r="K112" i="24"/>
  <c r="M86" i="24"/>
  <c r="L86" i="24"/>
  <c r="M83" i="24"/>
  <c r="M81" i="24"/>
  <c r="L81" i="24"/>
  <c r="M78" i="24"/>
  <c r="M75" i="24"/>
  <c r="L75" i="24"/>
  <c r="M73" i="24"/>
  <c r="M69" i="24"/>
  <c r="M67" i="24"/>
  <c r="L67" i="24"/>
  <c r="M65" i="24"/>
  <c r="M64" i="24"/>
  <c r="M62" i="24"/>
  <c r="M60" i="24"/>
  <c r="L60" i="24"/>
  <c r="M59" i="24"/>
  <c r="L59" i="24"/>
  <c r="M58" i="24"/>
  <c r="L58" i="24"/>
  <c r="M53" i="24"/>
  <c r="L53" i="24"/>
  <c r="M51" i="24"/>
  <c r="M48" i="24"/>
  <c r="M44" i="24"/>
  <c r="M43" i="24"/>
  <c r="M41" i="24"/>
  <c r="M37" i="24"/>
  <c r="M31" i="24"/>
  <c r="M28" i="24"/>
  <c r="M26" i="24"/>
  <c r="L26" i="24"/>
  <c r="M16" i="24"/>
  <c r="L16" i="24"/>
  <c r="M15" i="24"/>
  <c r="L15" i="24"/>
  <c r="M14" i="24"/>
  <c r="L14" i="24"/>
  <c r="M13" i="24"/>
  <c r="L13" i="24"/>
  <c r="M12" i="24"/>
  <c r="L12" i="24"/>
  <c r="M11" i="24"/>
  <c r="L11" i="24"/>
  <c r="M10" i="24"/>
  <c r="L10" i="24"/>
  <c r="M9" i="24"/>
  <c r="L9" i="24"/>
  <c r="M8" i="24"/>
  <c r="L8" i="24"/>
  <c r="M7" i="24"/>
  <c r="L7" i="24"/>
  <c r="C3" i="24" a="1"/>
  <c r="C3" i="24"/>
  <c r="C4" i="24"/>
  <c r="L36" i="24"/>
  <c r="M36" i="24"/>
  <c r="D2" i="23"/>
  <c r="M28" i="14"/>
  <c r="M29" i="14"/>
  <c r="K27" i="14"/>
  <c r="K28" i="14"/>
  <c r="K29" i="14"/>
  <c r="B14" i="1"/>
  <c r="Y14" i="1" s="1"/>
  <c r="X229" i="1"/>
  <c r="X247" i="1"/>
  <c r="B247" i="1"/>
  <c r="B229" i="1"/>
  <c r="Y229" i="1" s="1"/>
  <c r="X288" i="1"/>
  <c r="B288" i="1"/>
  <c r="B53" i="1"/>
  <c r="X53" i="1"/>
  <c r="X290" i="1"/>
  <c r="X124" i="1"/>
  <c r="B290" i="1"/>
  <c r="Y290" i="1" s="1"/>
  <c r="B124" i="1"/>
  <c r="X84" i="1"/>
  <c r="B84" i="1"/>
  <c r="X387" i="1"/>
  <c r="B387" i="1"/>
  <c r="Y387" i="1" s="1"/>
  <c r="X87" i="1"/>
  <c r="X384" i="1"/>
  <c r="B384" i="1"/>
  <c r="B87" i="1"/>
  <c r="X103" i="1"/>
  <c r="B103" i="1"/>
  <c r="B277" i="1"/>
  <c r="B90" i="1"/>
  <c r="B199" i="1"/>
  <c r="B86" i="1"/>
  <c r="B328" i="1"/>
  <c r="Y328" i="1" s="1"/>
  <c r="B184" i="1"/>
  <c r="B232" i="1"/>
  <c r="B26" i="1"/>
  <c r="Y26" i="1" s="1"/>
  <c r="B343" i="1"/>
  <c r="B342" i="1"/>
  <c r="Y342" i="1" s="1"/>
  <c r="B126" i="1"/>
  <c r="B152" i="1"/>
  <c r="B145" i="1"/>
  <c r="B134" i="1"/>
  <c r="Y134" i="1" s="1"/>
  <c r="B140" i="1"/>
  <c r="B158" i="1"/>
  <c r="B132" i="1"/>
  <c r="B155" i="1"/>
  <c r="B163" i="1"/>
  <c r="B135" i="1"/>
  <c r="B173" i="1"/>
  <c r="B143" i="1"/>
  <c r="B167" i="1"/>
  <c r="B166" i="1"/>
  <c r="B171" i="1"/>
  <c r="B148" i="1"/>
  <c r="B150" i="1"/>
  <c r="B164" i="1"/>
  <c r="B170" i="1"/>
  <c r="B146" i="1"/>
  <c r="Y146" i="1" s="1"/>
  <c r="B137" i="1"/>
  <c r="B142" i="1"/>
  <c r="B156" i="1"/>
  <c r="B153" i="1"/>
  <c r="B147" i="1"/>
  <c r="B138" i="1"/>
  <c r="B133" i="1"/>
  <c r="B149" i="1"/>
  <c r="B151" i="1"/>
  <c r="B130" i="1"/>
  <c r="B172" i="1"/>
  <c r="B168" i="1"/>
  <c r="Y168" i="1" s="1"/>
  <c r="B165" i="1"/>
  <c r="B139" i="1"/>
  <c r="B157" i="1"/>
  <c r="B160" i="1"/>
  <c r="B161" i="1"/>
  <c r="B159" i="1"/>
  <c r="B162" i="1"/>
  <c r="B169" i="1"/>
  <c r="B144" i="1"/>
  <c r="B174" i="1"/>
  <c r="B141" i="1"/>
  <c r="B154" i="1"/>
  <c r="B131" i="1"/>
  <c r="B136" i="1"/>
  <c r="X148" i="1"/>
  <c r="X164" i="1"/>
  <c r="X130" i="1"/>
  <c r="X159" i="1"/>
  <c r="X144" i="1"/>
  <c r="X136" i="1"/>
  <c r="X170" i="1"/>
  <c r="X153" i="1"/>
  <c r="X138" i="1"/>
  <c r="X168" i="1"/>
  <c r="X139" i="1"/>
  <c r="X160" i="1"/>
  <c r="X161" i="1"/>
  <c r="X141" i="1"/>
  <c r="X154" i="1"/>
  <c r="X143" i="1"/>
  <c r="X167" i="1"/>
  <c r="X146" i="1"/>
  <c r="X142" i="1"/>
  <c r="X147" i="1"/>
  <c r="X133" i="1"/>
  <c r="X157" i="1"/>
  <c r="B193" i="1"/>
  <c r="B66" i="1"/>
  <c r="Y66" i="1" s="1"/>
  <c r="B46" i="1"/>
  <c r="B188" i="1"/>
  <c r="B60" i="1"/>
  <c r="B334" i="1"/>
  <c r="B203" i="1"/>
  <c r="B49" i="1"/>
  <c r="B351" i="1"/>
  <c r="B98" i="1"/>
  <c r="B37" i="1"/>
  <c r="B275" i="1"/>
  <c r="B268" i="1"/>
  <c r="B291" i="1"/>
  <c r="B62" i="1"/>
  <c r="B379" i="1"/>
  <c r="B394" i="1"/>
  <c r="B56" i="1"/>
  <c r="B18" i="1"/>
  <c r="B19" i="1"/>
  <c r="Y19" i="1" s="1"/>
  <c r="B264" i="1"/>
  <c r="B236" i="1"/>
  <c r="B270" i="1"/>
  <c r="B341" i="1"/>
  <c r="B17" i="1"/>
  <c r="Y17" i="1" s="1"/>
  <c r="B194" i="1"/>
  <c r="B263" i="1"/>
  <c r="Y263" i="1" s="1"/>
  <c r="B269" i="1"/>
  <c r="B359" i="1"/>
  <c r="B85" i="1"/>
  <c r="B24" i="1"/>
  <c r="B74" i="1"/>
  <c r="B278" i="1"/>
  <c r="B339" i="1"/>
  <c r="B292" i="1"/>
  <c r="B76" i="1"/>
  <c r="Y76" i="1" s="1"/>
  <c r="B237" i="1"/>
  <c r="B185" i="1"/>
  <c r="B32" i="1"/>
  <c r="B99" i="1"/>
  <c r="B112" i="1"/>
  <c r="B181" i="1"/>
  <c r="B202" i="1"/>
  <c r="Y202" i="1" s="1"/>
  <c r="B114" i="1"/>
  <c r="Y114" i="1" s="1"/>
  <c r="B363" i="1"/>
  <c r="B362" i="1"/>
  <c r="B94" i="1"/>
  <c r="B95" i="1"/>
  <c r="B57" i="1"/>
  <c r="B73" i="1"/>
  <c r="B259" i="1"/>
  <c r="B10" i="1"/>
  <c r="B345" i="1"/>
  <c r="B390" i="1"/>
  <c r="B119" i="1"/>
  <c r="B376" i="1"/>
  <c r="B287" i="1"/>
  <c r="B8" i="1"/>
  <c r="B197" i="1"/>
  <c r="B195" i="1"/>
  <c r="B80" i="1"/>
  <c r="B360" i="1"/>
  <c r="B354" i="1"/>
  <c r="B65" i="1"/>
  <c r="B230" i="1"/>
  <c r="B120" i="1"/>
  <c r="B346" i="1"/>
  <c r="B34" i="1"/>
  <c r="Y34" i="1" s="1"/>
  <c r="B228" i="1"/>
  <c r="B105" i="1"/>
  <c r="B337" i="1"/>
  <c r="B20" i="1"/>
  <c r="Y20" i="1" s="1"/>
  <c r="B16" i="1"/>
  <c r="B201" i="1"/>
  <c r="B102" i="1"/>
  <c r="B48" i="1"/>
  <c r="Y48" i="1" s="1"/>
  <c r="B204" i="1"/>
  <c r="B352" i="1"/>
  <c r="B235" i="1"/>
  <c r="B258" i="1"/>
  <c r="B179" i="1"/>
  <c r="B303" i="1"/>
  <c r="B299" i="1"/>
  <c r="Y299" i="1" s="1"/>
  <c r="B4" i="1"/>
  <c r="B304" i="1"/>
  <c r="B27" i="1"/>
  <c r="B358" i="1"/>
  <c r="Y358" i="1" s="1"/>
  <c r="B7" i="1"/>
  <c r="B6" i="1"/>
  <c r="B5" i="1"/>
  <c r="B298" i="1"/>
  <c r="B301" i="1"/>
  <c r="Y301" i="1" s="1"/>
  <c r="B129" i="1"/>
  <c r="B96" i="1"/>
  <c r="B333" i="1"/>
  <c r="B332" i="1"/>
  <c r="B2" i="1"/>
  <c r="B13" i="1"/>
  <c r="B300" i="1"/>
  <c r="B317" i="1"/>
  <c r="B316" i="1"/>
  <c r="B314" i="1"/>
  <c r="B313" i="1"/>
  <c r="B312" i="1"/>
  <c r="B311" i="1"/>
  <c r="B310" i="1"/>
  <c r="B309" i="1"/>
  <c r="B308" i="1"/>
  <c r="B307" i="1"/>
  <c r="B306" i="1"/>
  <c r="B324" i="1"/>
  <c r="B323" i="1"/>
  <c r="B322" i="1"/>
  <c r="B321" i="1"/>
  <c r="B320" i="1"/>
  <c r="B319" i="1"/>
  <c r="Y319" i="1" s="1"/>
  <c r="B318" i="1"/>
  <c r="B315" i="1"/>
  <c r="B305" i="1"/>
  <c r="B244" i="1"/>
  <c r="B206" i="1"/>
  <c r="B380" i="1"/>
  <c r="B267" i="1"/>
  <c r="Y267" i="1" s="1"/>
  <c r="B78" i="1"/>
  <c r="B366" i="1"/>
  <c r="B393" i="1"/>
  <c r="B364" i="1"/>
  <c r="B128" i="1"/>
  <c r="B25" i="1"/>
  <c r="B54" i="1"/>
  <c r="B12" i="1"/>
  <c r="B11" i="1"/>
  <c r="B388" i="1"/>
  <c r="B378" i="1"/>
  <c r="B113" i="1"/>
  <c r="B89" i="1"/>
  <c r="B183" i="1"/>
  <c r="B108" i="1"/>
  <c r="B200" i="1"/>
  <c r="B47" i="1"/>
  <c r="Y47" i="1" s="1"/>
  <c r="B392" i="1"/>
  <c r="B391" i="1"/>
  <c r="B123" i="1"/>
  <c r="B294" i="1"/>
  <c r="B63" i="1"/>
  <c r="B116" i="1"/>
  <c r="B88" i="1"/>
  <c r="B111" i="1"/>
  <c r="B3" i="1"/>
  <c r="B347" i="1"/>
  <c r="B118" i="1"/>
  <c r="B117" i="1"/>
  <c r="B266" i="1"/>
  <c r="B353" i="1"/>
  <c r="B356" i="1"/>
  <c r="B81" i="1"/>
  <c r="B182" i="1"/>
  <c r="B344" i="1"/>
  <c r="B336" i="1"/>
  <c r="B338" i="1"/>
  <c r="B361" i="1"/>
  <c r="B21" i="1"/>
  <c r="B326" i="1"/>
  <c r="B272" i="1"/>
  <c r="B274" i="1"/>
  <c r="B273" i="1"/>
  <c r="B82" i="1"/>
  <c r="B58" i="1"/>
  <c r="Y58" i="1" s="1"/>
  <c r="B257" i="1"/>
  <c r="B71" i="1"/>
  <c r="B41" i="1"/>
  <c r="B64" i="1"/>
  <c r="B289" i="1"/>
  <c r="B375" i="1"/>
  <c r="B335" i="1"/>
  <c r="B69" i="1"/>
  <c r="B72" i="1"/>
  <c r="B70" i="1"/>
  <c r="B67" i="1"/>
  <c r="B68" i="1"/>
  <c r="B22" i="1"/>
  <c r="B23" i="1"/>
  <c r="B43" i="1"/>
  <c r="B40" i="1"/>
  <c r="B385" i="1"/>
  <c r="B365" i="1"/>
  <c r="Y365" i="1" s="1"/>
  <c r="B282" i="1"/>
  <c r="B39" i="1"/>
  <c r="B260" i="1"/>
  <c r="B45" i="1"/>
  <c r="B349" i="1"/>
  <c r="Y349" i="1" s="1"/>
  <c r="B231" i="1"/>
  <c r="B369" i="1"/>
  <c r="B368" i="1"/>
  <c r="B30" i="1"/>
  <c r="B176" i="1"/>
  <c r="B367" i="1"/>
  <c r="B238" i="1"/>
  <c r="B239" i="1"/>
  <c r="B240" i="1"/>
  <c r="B175" i="1"/>
  <c r="B357" i="1"/>
  <c r="B327" i="1"/>
  <c r="B31" i="1"/>
  <c r="B92" i="1"/>
  <c r="B93" i="1"/>
  <c r="B373" i="1"/>
  <c r="B372" i="1"/>
  <c r="B371" i="1"/>
  <c r="B107" i="1"/>
  <c r="B106" i="1"/>
  <c r="B97" i="1"/>
  <c r="B75" i="1"/>
  <c r="B189" i="1"/>
  <c r="B101" i="1"/>
  <c r="B234" i="1"/>
  <c r="B386" i="1"/>
  <c r="B331" i="1"/>
  <c r="B330" i="1"/>
  <c r="B329" i="1"/>
  <c r="B210" i="1"/>
  <c r="B209" i="1"/>
  <c r="B212" i="1"/>
  <c r="B213" i="1"/>
  <c r="B224" i="1"/>
  <c r="B216" i="1"/>
  <c r="B220" i="1"/>
  <c r="B219" i="1"/>
  <c r="B214" i="1"/>
  <c r="B221" i="1"/>
  <c r="B217" i="1"/>
  <c r="Y217" i="1" s="1"/>
  <c r="B223" i="1"/>
  <c r="Y223" i="1" s="1"/>
  <c r="B225" i="1"/>
  <c r="B370" i="1"/>
  <c r="B91" i="1"/>
  <c r="Y91" i="1" s="1"/>
  <c r="B256" i="1"/>
  <c r="M30" i="14"/>
  <c r="M18" i="14"/>
  <c r="M19" i="14"/>
  <c r="K21" i="14"/>
  <c r="K22" i="14"/>
  <c r="K23" i="14"/>
  <c r="K24" i="14"/>
  <c r="K25" i="14"/>
  <c r="K26" i="14"/>
  <c r="K30" i="14"/>
  <c r="K18" i="14"/>
  <c r="K19" i="14"/>
  <c r="K20" i="14"/>
  <c r="D6" i="14"/>
  <c r="E34" i="14"/>
  <c r="F6" i="14"/>
  <c r="L34" i="14"/>
  <c r="D7" i="16"/>
  <c r="X193" i="1"/>
  <c r="X92" i="1"/>
  <c r="X93" i="1"/>
  <c r="X303" i="1"/>
  <c r="X299" i="1"/>
  <c r="X353" i="1"/>
  <c r="X66" i="1"/>
  <c r="X213" i="1"/>
  <c r="X212" i="1"/>
  <c r="X209" i="1"/>
  <c r="X210" i="1"/>
  <c r="X46" i="1"/>
  <c r="X188" i="1"/>
  <c r="X331" i="1"/>
  <c r="X329" i="1"/>
  <c r="X330" i="1"/>
  <c r="F722" i="11"/>
  <c r="X30" i="1"/>
  <c r="X385" i="1"/>
  <c r="X256" i="1"/>
  <c r="X91" i="1"/>
  <c r="X370" i="1"/>
  <c r="X225" i="1"/>
  <c r="X217" i="1"/>
  <c r="X221" i="1"/>
  <c r="X214" i="1"/>
  <c r="X219" i="1"/>
  <c r="X220" i="1"/>
  <c r="X216" i="1"/>
  <c r="X224" i="1"/>
  <c r="X234" i="1"/>
  <c r="X101" i="1"/>
  <c r="X189" i="1"/>
  <c r="X377" i="1"/>
  <c r="X106" i="1"/>
  <c r="X107" i="1"/>
  <c r="X372" i="1"/>
  <c r="X373" i="1"/>
  <c r="X31" i="1"/>
  <c r="X175" i="1"/>
  <c r="X240" i="1"/>
  <c r="X238" i="1"/>
  <c r="X367" i="1"/>
  <c r="X176" i="1"/>
  <c r="X368" i="1"/>
  <c r="X369" i="1"/>
  <c r="X327" i="1"/>
  <c r="X43" i="1"/>
  <c r="X23" i="1"/>
  <c r="X22" i="1"/>
  <c r="X68" i="1"/>
  <c r="X67" i="1"/>
  <c r="X70" i="1"/>
  <c r="X72" i="1"/>
  <c r="Y72" i="1" s="1"/>
  <c r="X69" i="1"/>
  <c r="X335" i="1"/>
  <c r="X375" i="1"/>
  <c r="X289" i="1"/>
  <c r="Y289" i="1" s="1"/>
  <c r="X64" i="1"/>
  <c r="X41" i="1"/>
  <c r="X158" i="1"/>
  <c r="X71" i="1"/>
  <c r="X257" i="1"/>
  <c r="X58" i="1"/>
  <c r="X82" i="1"/>
  <c r="X273" i="1"/>
  <c r="X134" i="1"/>
  <c r="X326" i="1"/>
  <c r="X179" i="1"/>
  <c r="X21" i="1"/>
  <c r="X361" i="1"/>
  <c r="X336" i="1"/>
  <c r="X266" i="1"/>
  <c r="X347" i="1"/>
  <c r="X152" i="1"/>
  <c r="X3" i="1"/>
  <c r="Y3" i="1" s="1"/>
  <c r="X111" i="1"/>
  <c r="X126" i="1"/>
  <c r="X88" i="1"/>
  <c r="X116" i="1"/>
  <c r="X63" i="1"/>
  <c r="X123" i="1"/>
  <c r="X391" i="1"/>
  <c r="X392" i="1"/>
  <c r="X47" i="1"/>
  <c r="X200" i="1"/>
  <c r="X342" i="1"/>
  <c r="X108" i="1"/>
  <c r="X183" i="1"/>
  <c r="X89" i="1"/>
  <c r="X113" i="1"/>
  <c r="X378" i="1"/>
  <c r="X388" i="1"/>
  <c r="X11" i="1"/>
  <c r="X12" i="1"/>
  <c r="X54" i="1"/>
  <c r="X343" i="1"/>
  <c r="X25" i="1"/>
  <c r="Y25" i="1" s="1"/>
  <c r="X364" i="1"/>
  <c r="X366" i="1"/>
  <c r="X78" i="1"/>
  <c r="X244" i="1"/>
  <c r="Y244" i="1" s="1"/>
  <c r="X305" i="1"/>
  <c r="X315" i="1"/>
  <c r="X318" i="1"/>
  <c r="Y318" i="1" s="1"/>
  <c r="X319" i="1"/>
  <c r="X320" i="1"/>
  <c r="X321" i="1"/>
  <c r="X322" i="1"/>
  <c r="X323" i="1"/>
  <c r="X324" i="1"/>
  <c r="X306" i="1"/>
  <c r="X307" i="1"/>
  <c r="X308" i="1"/>
  <c r="X309" i="1"/>
  <c r="X310" i="1"/>
  <c r="X311" i="1"/>
  <c r="Y311" i="1" s="1"/>
  <c r="X312" i="1"/>
  <c r="X313" i="1"/>
  <c r="X314" i="1"/>
  <c r="X316" i="1"/>
  <c r="X317" i="1"/>
  <c r="X300" i="1"/>
  <c r="X13" i="1"/>
  <c r="X332" i="1"/>
  <c r="X96" i="1"/>
  <c r="X26" i="1"/>
  <c r="X129" i="1"/>
  <c r="X301" i="1"/>
  <c r="X298" i="1"/>
  <c r="X5" i="1"/>
  <c r="X6" i="1"/>
  <c r="X7" i="1"/>
  <c r="X358" i="1"/>
  <c r="X27" i="1"/>
  <c r="X304" i="1"/>
  <c r="X258" i="1"/>
  <c r="X235" i="1"/>
  <c r="Y235" i="1" s="1"/>
  <c r="X352" i="1"/>
  <c r="X204" i="1"/>
  <c r="X48" i="1"/>
  <c r="X102" i="1"/>
  <c r="X201" i="1"/>
  <c r="X16" i="1"/>
  <c r="X20" i="1"/>
  <c r="X337" i="1"/>
  <c r="X105" i="1"/>
  <c r="X228" i="1"/>
  <c r="X346" i="1"/>
  <c r="X232" i="1"/>
  <c r="X120" i="1"/>
  <c r="X230" i="1"/>
  <c r="X65" i="1"/>
  <c r="X354" i="1"/>
  <c r="X184" i="1"/>
  <c r="X360" i="1"/>
  <c r="X80" i="1"/>
  <c r="X195" i="1"/>
  <c r="X197" i="1"/>
  <c r="X8" i="1"/>
  <c r="X287" i="1"/>
  <c r="X376" i="1"/>
  <c r="X119" i="1"/>
  <c r="X390" i="1"/>
  <c r="X345" i="1"/>
  <c r="X10" i="1"/>
  <c r="X259" i="1"/>
  <c r="X61" i="1"/>
  <c r="X73" i="1"/>
  <c r="X57" i="1"/>
  <c r="X95" i="1"/>
  <c r="X94" i="1"/>
  <c r="X362" i="1"/>
  <c r="X363" i="1"/>
  <c r="Y363" i="1" s="1"/>
  <c r="X114" i="1"/>
  <c r="X202" i="1"/>
  <c r="X181" i="1"/>
  <c r="X112" i="1"/>
  <c r="X99" i="1"/>
  <c r="X32" i="1"/>
  <c r="X185" i="1"/>
  <c r="Y185" i="1" s="1"/>
  <c r="X237" i="1"/>
  <c r="Y237" i="1" s="1"/>
  <c r="X76" i="1"/>
  <c r="X292" i="1"/>
  <c r="X339" i="1"/>
  <c r="X278" i="1"/>
  <c r="Y278" i="1" s="1"/>
  <c r="X74" i="1"/>
  <c r="X24" i="1"/>
  <c r="X85" i="1"/>
  <c r="X359" i="1"/>
  <c r="X269" i="1"/>
  <c r="X263" i="1"/>
  <c r="X194" i="1"/>
  <c r="X17" i="1"/>
  <c r="X341" i="1"/>
  <c r="X270" i="1"/>
  <c r="X236" i="1"/>
  <c r="X264" i="1"/>
  <c r="X19" i="1"/>
  <c r="X18" i="1"/>
  <c r="X56" i="1"/>
  <c r="X394" i="1"/>
  <c r="X379" i="1"/>
  <c r="X231" i="1"/>
  <c r="X97" i="1"/>
  <c r="X349" i="1"/>
  <c r="X267" i="1"/>
  <c r="X380" i="1"/>
  <c r="X344" i="1"/>
  <c r="X182" i="1"/>
  <c r="Y182" i="1" s="1"/>
  <c r="X206" i="1"/>
  <c r="X62" i="1"/>
  <c r="X291" i="1"/>
  <c r="X268" i="1"/>
  <c r="Y268" i="1" s="1"/>
  <c r="X275" i="1"/>
  <c r="X81" i="1"/>
  <c r="X4" i="1"/>
  <c r="X37" i="1"/>
  <c r="X98" i="1"/>
  <c r="X351" i="1"/>
  <c r="X49" i="1"/>
  <c r="X203" i="1"/>
  <c r="X356" i="1"/>
  <c r="X357" i="1"/>
  <c r="X75" i="1"/>
  <c r="X334" i="1"/>
  <c r="X60" i="1"/>
  <c r="C392" i="7"/>
  <c r="F392" i="7"/>
  <c r="C613" i="7"/>
  <c r="C303" i="7"/>
  <c r="F303" i="7"/>
  <c r="E7" i="10"/>
  <c r="G7" i="10"/>
  <c r="X239" i="1"/>
  <c r="X2" i="1"/>
  <c r="J28" i="16"/>
  <c r="J27" i="16"/>
  <c r="J26" i="16"/>
  <c r="J25" i="16"/>
  <c r="J24" i="16"/>
  <c r="J23" i="16"/>
  <c r="J22" i="16"/>
  <c r="J21" i="16"/>
  <c r="J20" i="16"/>
  <c r="J19" i="16"/>
  <c r="J18" i="16"/>
  <c r="J11" i="16"/>
  <c r="J12" i="16"/>
  <c r="J13" i="16"/>
  <c r="J14" i="16"/>
  <c r="J15" i="16"/>
  <c r="J16" i="16"/>
  <c r="J17" i="16"/>
  <c r="F28" i="16"/>
  <c r="F27" i="16"/>
  <c r="F25" i="16"/>
  <c r="F21" i="16"/>
  <c r="F20" i="16"/>
  <c r="F18" i="16"/>
  <c r="F11" i="16"/>
  <c r="F14" i="16"/>
  <c r="F15" i="16"/>
  <c r="F16" i="16"/>
  <c r="F422" i="11"/>
  <c r="E3" i="7"/>
  <c r="E4" i="7"/>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2" i="7"/>
  <c r="A3" i="7"/>
  <c r="B3" i="7"/>
  <c r="C3" i="7"/>
  <c r="F3" i="7"/>
  <c r="D3" i="7"/>
  <c r="A4" i="7"/>
  <c r="B4" i="7"/>
  <c r="C4" i="7"/>
  <c r="G4" i="7"/>
  <c r="D4" i="7"/>
  <c r="A5" i="7"/>
  <c r="B5" i="7"/>
  <c r="C5" i="7"/>
  <c r="G5" i="7"/>
  <c r="D5" i="7"/>
  <c r="A6" i="7"/>
  <c r="B6" i="7"/>
  <c r="C6" i="7"/>
  <c r="G6" i="7"/>
  <c r="D6" i="7"/>
  <c r="A7" i="7"/>
  <c r="B7" i="7"/>
  <c r="C7" i="7"/>
  <c r="D7" i="7"/>
  <c r="A8" i="7"/>
  <c r="B8" i="7"/>
  <c r="C8" i="7"/>
  <c r="D8" i="7"/>
  <c r="A9" i="7"/>
  <c r="B9" i="7"/>
  <c r="C9" i="7"/>
  <c r="F9" i="7"/>
  <c r="D9" i="7"/>
  <c r="A10" i="7"/>
  <c r="B10" i="7"/>
  <c r="C10" i="7"/>
  <c r="F10" i="7"/>
  <c r="D10" i="7"/>
  <c r="A11" i="7"/>
  <c r="B11" i="7"/>
  <c r="C11" i="7"/>
  <c r="G11" i="7"/>
  <c r="D11" i="7"/>
  <c r="A12" i="7"/>
  <c r="B12" i="7"/>
  <c r="C12" i="7"/>
  <c r="F12" i="7"/>
  <c r="D12" i="7"/>
  <c r="A13" i="7"/>
  <c r="B13" i="7"/>
  <c r="C13" i="7"/>
  <c r="G13" i="7"/>
  <c r="D13" i="7"/>
  <c r="A14" i="7"/>
  <c r="B14" i="7"/>
  <c r="C14" i="7"/>
  <c r="G14" i="7"/>
  <c r="D14" i="7"/>
  <c r="A15" i="7"/>
  <c r="B15" i="7"/>
  <c r="C15" i="7"/>
  <c r="G15" i="7"/>
  <c r="D15" i="7"/>
  <c r="A16" i="7"/>
  <c r="B16" i="7"/>
  <c r="C16" i="7"/>
  <c r="G16" i="7"/>
  <c r="D16" i="7"/>
  <c r="A17" i="7"/>
  <c r="B17" i="7"/>
  <c r="C17" i="7"/>
  <c r="F17" i="7"/>
  <c r="D17" i="7"/>
  <c r="A18" i="7"/>
  <c r="B18" i="7"/>
  <c r="C18" i="7"/>
  <c r="G18" i="7"/>
  <c r="D18" i="7"/>
  <c r="A19" i="7"/>
  <c r="B19" i="7"/>
  <c r="C19" i="7"/>
  <c r="G19" i="7"/>
  <c r="D19" i="7"/>
  <c r="A20" i="7"/>
  <c r="B20" i="7"/>
  <c r="C20" i="7"/>
  <c r="G20" i="7"/>
  <c r="D20" i="7"/>
  <c r="A21" i="7"/>
  <c r="B21" i="7"/>
  <c r="C21" i="7"/>
  <c r="G21" i="7"/>
  <c r="D21" i="7"/>
  <c r="A22" i="7"/>
  <c r="B22" i="7"/>
  <c r="C22" i="7"/>
  <c r="G22" i="7"/>
  <c r="D22" i="7"/>
  <c r="A23" i="7"/>
  <c r="B23" i="7"/>
  <c r="C23" i="7"/>
  <c r="D23" i="7"/>
  <c r="A24" i="7"/>
  <c r="B24" i="7"/>
  <c r="C24" i="7"/>
  <c r="G24" i="7"/>
  <c r="D24" i="7"/>
  <c r="A25" i="7"/>
  <c r="B25" i="7"/>
  <c r="C25" i="7"/>
  <c r="F25" i="7"/>
  <c r="D25" i="7"/>
  <c r="A26" i="7"/>
  <c r="B26" i="7"/>
  <c r="C26" i="7"/>
  <c r="F26" i="7"/>
  <c r="D26" i="7"/>
  <c r="A27" i="7"/>
  <c r="B27" i="7"/>
  <c r="C27" i="7"/>
  <c r="D27" i="7"/>
  <c r="A28" i="7"/>
  <c r="B28" i="7"/>
  <c r="C28" i="7"/>
  <c r="F28" i="7"/>
  <c r="D28" i="7"/>
  <c r="A29" i="7"/>
  <c r="B29" i="7"/>
  <c r="C29" i="7"/>
  <c r="G29" i="7"/>
  <c r="D29" i="7"/>
  <c r="A30" i="7"/>
  <c r="B30" i="7"/>
  <c r="C30" i="7"/>
  <c r="G30" i="7"/>
  <c r="D30" i="7"/>
  <c r="A31" i="7"/>
  <c r="B31" i="7"/>
  <c r="C31" i="7"/>
  <c r="F31" i="7"/>
  <c r="D31" i="7"/>
  <c r="A32" i="7"/>
  <c r="B32" i="7"/>
  <c r="C32" i="7"/>
  <c r="F32" i="7"/>
  <c r="D32" i="7"/>
  <c r="A33" i="7"/>
  <c r="B33" i="7"/>
  <c r="C33" i="7"/>
  <c r="F33" i="7"/>
  <c r="D33" i="7"/>
  <c r="A34" i="7"/>
  <c r="B34" i="7"/>
  <c r="C34" i="7"/>
  <c r="G34" i="7"/>
  <c r="D34" i="7"/>
  <c r="A35" i="7"/>
  <c r="B35" i="7"/>
  <c r="C35" i="7"/>
  <c r="G35" i="7"/>
  <c r="D35" i="7"/>
  <c r="A36" i="7"/>
  <c r="B36" i="7"/>
  <c r="C36" i="7"/>
  <c r="G36" i="7"/>
  <c r="D36" i="7"/>
  <c r="A37" i="7"/>
  <c r="B37" i="7"/>
  <c r="C37" i="7"/>
  <c r="F37" i="7"/>
  <c r="D37" i="7"/>
  <c r="A38" i="7"/>
  <c r="B38" i="7"/>
  <c r="C38" i="7"/>
  <c r="F38" i="7"/>
  <c r="D38" i="7"/>
  <c r="A39" i="7"/>
  <c r="B39" i="7"/>
  <c r="C39" i="7"/>
  <c r="G39" i="7"/>
  <c r="D39" i="7"/>
  <c r="A40" i="7"/>
  <c r="B40" i="7"/>
  <c r="C40" i="7"/>
  <c r="G40" i="7"/>
  <c r="D40" i="7"/>
  <c r="A41" i="7"/>
  <c r="B41" i="7"/>
  <c r="C41" i="7"/>
  <c r="F41" i="7"/>
  <c r="D41" i="7"/>
  <c r="A42" i="7"/>
  <c r="B42" i="7"/>
  <c r="C42" i="7"/>
  <c r="G42" i="7"/>
  <c r="D42" i="7"/>
  <c r="A43" i="7"/>
  <c r="B43" i="7"/>
  <c r="C43" i="7"/>
  <c r="F43" i="7"/>
  <c r="D43" i="7"/>
  <c r="A44" i="7"/>
  <c r="B44" i="7"/>
  <c r="C44" i="7"/>
  <c r="F44" i="7"/>
  <c r="D44" i="7"/>
  <c r="A45" i="7"/>
  <c r="B45" i="7"/>
  <c r="C45" i="7"/>
  <c r="G45" i="7"/>
  <c r="D45" i="7"/>
  <c r="A46" i="7"/>
  <c r="B46" i="7"/>
  <c r="C46" i="7"/>
  <c r="F46" i="7"/>
  <c r="D46" i="7"/>
  <c r="A47" i="7"/>
  <c r="B47" i="7"/>
  <c r="C47" i="7"/>
  <c r="D47" i="7"/>
  <c r="A48" i="7"/>
  <c r="B48" i="7"/>
  <c r="C48" i="7"/>
  <c r="D48" i="7"/>
  <c r="A49" i="7"/>
  <c r="B49" i="7"/>
  <c r="C49" i="7"/>
  <c r="F49" i="7"/>
  <c r="D49" i="7"/>
  <c r="A50" i="7"/>
  <c r="B50" i="7"/>
  <c r="C50" i="7"/>
  <c r="G50" i="7"/>
  <c r="D50" i="7"/>
  <c r="A51" i="7"/>
  <c r="B51" i="7"/>
  <c r="C51" i="7"/>
  <c r="G51" i="7"/>
  <c r="D51" i="7"/>
  <c r="A52" i="7"/>
  <c r="B52" i="7"/>
  <c r="C52" i="7"/>
  <c r="F52" i="7"/>
  <c r="D52" i="7"/>
  <c r="A53" i="7"/>
  <c r="B53" i="7"/>
  <c r="C53" i="7"/>
  <c r="G53" i="7"/>
  <c r="D53" i="7"/>
  <c r="A54" i="7"/>
  <c r="B54" i="7"/>
  <c r="C54" i="7"/>
  <c r="G54" i="7"/>
  <c r="D54" i="7"/>
  <c r="A55" i="7"/>
  <c r="B55" i="7"/>
  <c r="C55" i="7"/>
  <c r="D55" i="7"/>
  <c r="A56" i="7"/>
  <c r="B56" i="7"/>
  <c r="C56" i="7"/>
  <c r="D56" i="7"/>
  <c r="A57" i="7"/>
  <c r="B57" i="7"/>
  <c r="C57" i="7"/>
  <c r="G57" i="7"/>
  <c r="D57" i="7"/>
  <c r="A58" i="7"/>
  <c r="B58" i="7"/>
  <c r="C58" i="7"/>
  <c r="F58" i="7"/>
  <c r="D58" i="7"/>
  <c r="A59" i="7"/>
  <c r="B59" i="7"/>
  <c r="C59" i="7"/>
  <c r="F59" i="7"/>
  <c r="D59" i="7"/>
  <c r="A60" i="7"/>
  <c r="B60" i="7"/>
  <c r="C60" i="7"/>
  <c r="G60" i="7"/>
  <c r="D60" i="7"/>
  <c r="A61" i="7"/>
  <c r="B61" i="7"/>
  <c r="C61" i="7"/>
  <c r="G61" i="7"/>
  <c r="D61" i="7"/>
  <c r="A62" i="7"/>
  <c r="B62" i="7"/>
  <c r="C62" i="7"/>
  <c r="D62" i="7"/>
  <c r="A63" i="7"/>
  <c r="B63" i="7"/>
  <c r="C63" i="7"/>
  <c r="F63" i="7"/>
  <c r="D63" i="7"/>
  <c r="A64" i="7"/>
  <c r="B64" i="7"/>
  <c r="C64" i="7"/>
  <c r="F64" i="7"/>
  <c r="D64" i="7"/>
  <c r="A65" i="7"/>
  <c r="B65" i="7"/>
  <c r="C65" i="7"/>
  <c r="G65" i="7"/>
  <c r="D65" i="7"/>
  <c r="A66" i="7"/>
  <c r="B66" i="7"/>
  <c r="C66" i="7"/>
  <c r="F66" i="7"/>
  <c r="D66" i="7"/>
  <c r="A67" i="7"/>
  <c r="B67" i="7"/>
  <c r="C67" i="7"/>
  <c r="G67" i="7"/>
  <c r="D67" i="7"/>
  <c r="A68" i="7"/>
  <c r="B68" i="7"/>
  <c r="C68" i="7"/>
  <c r="G68" i="7"/>
  <c r="D68" i="7"/>
  <c r="A69" i="7"/>
  <c r="B69" i="7"/>
  <c r="C69" i="7"/>
  <c r="G69" i="7"/>
  <c r="D69" i="7"/>
  <c r="A70" i="7"/>
  <c r="B70" i="7"/>
  <c r="C70" i="7"/>
  <c r="F70" i="7"/>
  <c r="D70" i="7"/>
  <c r="A71" i="7"/>
  <c r="B71" i="7"/>
  <c r="C71" i="7"/>
  <c r="D71" i="7"/>
  <c r="A72" i="7"/>
  <c r="B72" i="7"/>
  <c r="C72" i="7"/>
  <c r="F72" i="7"/>
  <c r="D72" i="7"/>
  <c r="A73" i="7"/>
  <c r="B73" i="7"/>
  <c r="C73" i="7"/>
  <c r="D73" i="7"/>
  <c r="A74" i="7"/>
  <c r="B74" i="7"/>
  <c r="C74" i="7"/>
  <c r="D74" i="7"/>
  <c r="A75" i="7"/>
  <c r="B75" i="7"/>
  <c r="C75" i="7"/>
  <c r="F75" i="7"/>
  <c r="D75" i="7"/>
  <c r="A76" i="7"/>
  <c r="B76" i="7"/>
  <c r="C76" i="7"/>
  <c r="G76" i="7"/>
  <c r="D76" i="7"/>
  <c r="A77" i="7"/>
  <c r="B77" i="7"/>
  <c r="C77" i="7"/>
  <c r="G77" i="7"/>
  <c r="D77" i="7"/>
  <c r="A78" i="7"/>
  <c r="B78" i="7"/>
  <c r="C78" i="7"/>
  <c r="G78" i="7"/>
  <c r="D78" i="7"/>
  <c r="A79" i="7"/>
  <c r="B79" i="7"/>
  <c r="C79" i="7"/>
  <c r="G79" i="7"/>
  <c r="D79" i="7"/>
  <c r="A80" i="7"/>
  <c r="B80" i="7"/>
  <c r="C80" i="7"/>
  <c r="G80" i="7"/>
  <c r="D80" i="7"/>
  <c r="A81" i="7"/>
  <c r="B81" i="7"/>
  <c r="C81" i="7"/>
  <c r="F81" i="7"/>
  <c r="D81" i="7"/>
  <c r="A82" i="7"/>
  <c r="B82" i="7"/>
  <c r="C82" i="7"/>
  <c r="D82" i="7"/>
  <c r="A83" i="7"/>
  <c r="B83" i="7"/>
  <c r="C83" i="7"/>
  <c r="D83" i="7"/>
  <c r="A84" i="7"/>
  <c r="B84" i="7"/>
  <c r="C84" i="7"/>
  <c r="F84" i="7"/>
  <c r="D84" i="7"/>
  <c r="A85" i="7"/>
  <c r="B85" i="7"/>
  <c r="C85" i="7"/>
  <c r="G85" i="7"/>
  <c r="D85" i="7"/>
  <c r="A86" i="7"/>
  <c r="B86" i="7"/>
  <c r="C86" i="7"/>
  <c r="G86" i="7"/>
  <c r="D86" i="7"/>
  <c r="A87" i="7"/>
  <c r="B87" i="7"/>
  <c r="C87" i="7"/>
  <c r="G87" i="7"/>
  <c r="D87" i="7"/>
  <c r="A88" i="7"/>
  <c r="B88" i="7"/>
  <c r="C88" i="7"/>
  <c r="G88" i="7"/>
  <c r="D88" i="7"/>
  <c r="A89" i="7"/>
  <c r="B89" i="7"/>
  <c r="C89" i="7"/>
  <c r="D89" i="7"/>
  <c r="A90" i="7"/>
  <c r="B90" i="7"/>
  <c r="C90" i="7"/>
  <c r="F90" i="7"/>
  <c r="D90" i="7"/>
  <c r="A91" i="7"/>
  <c r="B91" i="7"/>
  <c r="C91" i="7"/>
  <c r="F91" i="7"/>
  <c r="D91" i="7"/>
  <c r="A92" i="7"/>
  <c r="B92" i="7"/>
  <c r="C92" i="7"/>
  <c r="G92" i="7"/>
  <c r="D92" i="7"/>
  <c r="A93" i="7"/>
  <c r="B93" i="7"/>
  <c r="C93" i="7"/>
  <c r="F93" i="7"/>
  <c r="D93" i="7"/>
  <c r="A94" i="7"/>
  <c r="B94" i="7"/>
  <c r="C94" i="7"/>
  <c r="F94" i="7"/>
  <c r="D94" i="7"/>
  <c r="A95" i="7"/>
  <c r="B95" i="7"/>
  <c r="C95" i="7"/>
  <c r="F95" i="7"/>
  <c r="D95" i="7"/>
  <c r="A96" i="7"/>
  <c r="B96" i="7"/>
  <c r="C96" i="7"/>
  <c r="G96" i="7"/>
  <c r="D96" i="7"/>
  <c r="A97" i="7"/>
  <c r="B97" i="7"/>
  <c r="C97" i="7"/>
  <c r="G97" i="7"/>
  <c r="D97" i="7"/>
  <c r="A98" i="7"/>
  <c r="B98" i="7"/>
  <c r="C98" i="7"/>
  <c r="G98" i="7"/>
  <c r="D98" i="7"/>
  <c r="A99" i="7"/>
  <c r="B99" i="7"/>
  <c r="C99" i="7"/>
  <c r="G99" i="7"/>
  <c r="D99" i="7"/>
  <c r="A100" i="7"/>
  <c r="B100" i="7"/>
  <c r="C100" i="7"/>
  <c r="F100" i="7"/>
  <c r="D100" i="7"/>
  <c r="A101" i="7"/>
  <c r="B101" i="7"/>
  <c r="C101" i="7"/>
  <c r="F101" i="7"/>
  <c r="D101" i="7"/>
  <c r="A102" i="7"/>
  <c r="B102" i="7"/>
  <c r="C102" i="7"/>
  <c r="G102" i="7"/>
  <c r="D102" i="7"/>
  <c r="A103" i="7"/>
  <c r="B103" i="7"/>
  <c r="C103" i="7"/>
  <c r="G103" i="7"/>
  <c r="D103" i="7"/>
  <c r="A104" i="7"/>
  <c r="B104" i="7"/>
  <c r="C104" i="7"/>
  <c r="G104" i="7"/>
  <c r="D104" i="7"/>
  <c r="A105" i="7"/>
  <c r="B105" i="7"/>
  <c r="C105" i="7"/>
  <c r="F105" i="7"/>
  <c r="D105" i="7"/>
  <c r="A106" i="7"/>
  <c r="B106" i="7"/>
  <c r="C106" i="7"/>
  <c r="G106" i="7"/>
  <c r="D106" i="7"/>
  <c r="A107" i="7"/>
  <c r="B107" i="7"/>
  <c r="C107" i="7"/>
  <c r="G107" i="7"/>
  <c r="D107" i="7"/>
  <c r="A108" i="7"/>
  <c r="B108" i="7"/>
  <c r="C108" i="7"/>
  <c r="G108" i="7"/>
  <c r="D108" i="7"/>
  <c r="A109" i="7"/>
  <c r="B109" i="7"/>
  <c r="C109" i="7"/>
  <c r="D109" i="7"/>
  <c r="A110" i="7"/>
  <c r="B110" i="7"/>
  <c r="C110" i="7"/>
  <c r="F110" i="7"/>
  <c r="D110" i="7"/>
  <c r="A111" i="7"/>
  <c r="B111" i="7"/>
  <c r="C111" i="7"/>
  <c r="F111" i="7"/>
  <c r="D111" i="7"/>
  <c r="A112" i="7"/>
  <c r="B112" i="7"/>
  <c r="C112" i="7"/>
  <c r="D112" i="7"/>
  <c r="A113" i="7"/>
  <c r="B113" i="7"/>
  <c r="C113" i="7"/>
  <c r="G113" i="7"/>
  <c r="D113" i="7"/>
  <c r="A114" i="7"/>
  <c r="B114" i="7"/>
  <c r="C114" i="7"/>
  <c r="G114" i="7"/>
  <c r="D114" i="7"/>
  <c r="A115" i="7"/>
  <c r="B115" i="7"/>
  <c r="C115" i="7"/>
  <c r="G115" i="7"/>
  <c r="D115" i="7"/>
  <c r="A116" i="7"/>
  <c r="B116" i="7"/>
  <c r="C116" i="7"/>
  <c r="F116" i="7"/>
  <c r="D116" i="7"/>
  <c r="A117" i="7"/>
  <c r="B117" i="7"/>
  <c r="C117" i="7"/>
  <c r="G117" i="7"/>
  <c r="D117" i="7"/>
  <c r="A118" i="7"/>
  <c r="B118" i="7"/>
  <c r="C118" i="7"/>
  <c r="G118" i="7"/>
  <c r="D118" i="7"/>
  <c r="A119" i="7"/>
  <c r="B119" i="7"/>
  <c r="C119" i="7"/>
  <c r="G119" i="7"/>
  <c r="D119" i="7"/>
  <c r="A120" i="7"/>
  <c r="B120" i="7"/>
  <c r="C120" i="7"/>
  <c r="G120" i="7"/>
  <c r="D120" i="7"/>
  <c r="A121" i="7"/>
  <c r="B121" i="7"/>
  <c r="C121" i="7"/>
  <c r="D121" i="7"/>
  <c r="A122" i="7"/>
  <c r="B122" i="7"/>
  <c r="C122" i="7"/>
  <c r="G122" i="7"/>
  <c r="D122" i="7"/>
  <c r="A123" i="7"/>
  <c r="B123" i="7"/>
  <c r="C123" i="7"/>
  <c r="F123" i="7"/>
  <c r="D123" i="7"/>
  <c r="A124" i="7"/>
  <c r="B124" i="7"/>
  <c r="C124" i="7"/>
  <c r="F124" i="7"/>
  <c r="D124" i="7"/>
  <c r="A125" i="7"/>
  <c r="B125" i="7"/>
  <c r="C125" i="7"/>
  <c r="D125" i="7"/>
  <c r="A126" i="7"/>
  <c r="B126" i="7"/>
  <c r="C126" i="7"/>
  <c r="D126" i="7"/>
  <c r="A127" i="7"/>
  <c r="B127" i="7"/>
  <c r="C127" i="7"/>
  <c r="G127" i="7"/>
  <c r="D127" i="7"/>
  <c r="A128" i="7"/>
  <c r="B128" i="7"/>
  <c r="C128" i="7"/>
  <c r="F128" i="7"/>
  <c r="D128" i="7"/>
  <c r="A129" i="7"/>
  <c r="B129" i="7"/>
  <c r="C129" i="7"/>
  <c r="G129" i="7"/>
  <c r="D129" i="7"/>
  <c r="A130" i="7"/>
  <c r="B130" i="7"/>
  <c r="C130" i="7"/>
  <c r="G130" i="7"/>
  <c r="D130" i="7"/>
  <c r="A131" i="7"/>
  <c r="B131" i="7"/>
  <c r="C131" i="7"/>
  <c r="G131" i="7"/>
  <c r="D131" i="7"/>
  <c r="A132" i="7"/>
  <c r="B132" i="7"/>
  <c r="C132" i="7"/>
  <c r="F132" i="7"/>
  <c r="D132" i="7"/>
  <c r="A133" i="7"/>
  <c r="B133" i="7"/>
  <c r="C133" i="7"/>
  <c r="F133" i="7"/>
  <c r="D133" i="7"/>
  <c r="A134" i="7"/>
  <c r="B134" i="7"/>
  <c r="C134" i="7"/>
  <c r="G134" i="7"/>
  <c r="D134" i="7"/>
  <c r="A135" i="7"/>
  <c r="B135" i="7"/>
  <c r="C135" i="7"/>
  <c r="F135" i="7"/>
  <c r="D135" i="7"/>
  <c r="A136" i="7"/>
  <c r="B136" i="7"/>
  <c r="C136" i="7"/>
  <c r="F136" i="7"/>
  <c r="D136" i="7"/>
  <c r="A137" i="7"/>
  <c r="B137" i="7"/>
  <c r="C137" i="7"/>
  <c r="G137" i="7"/>
  <c r="D137" i="7"/>
  <c r="A138" i="7"/>
  <c r="B138" i="7"/>
  <c r="C138" i="7"/>
  <c r="F138" i="7"/>
  <c r="D138" i="7"/>
  <c r="A139" i="7"/>
  <c r="B139" i="7"/>
  <c r="C139" i="7"/>
  <c r="D139" i="7"/>
  <c r="A140" i="7"/>
  <c r="B140" i="7"/>
  <c r="C140" i="7"/>
  <c r="F140" i="7"/>
  <c r="D140" i="7"/>
  <c r="A141" i="7"/>
  <c r="B141" i="7"/>
  <c r="C141" i="7"/>
  <c r="F141" i="7"/>
  <c r="D141" i="7"/>
  <c r="A142" i="7"/>
  <c r="B142" i="7"/>
  <c r="C142" i="7"/>
  <c r="G142" i="7"/>
  <c r="D142" i="7"/>
  <c r="A143" i="7"/>
  <c r="B143" i="7"/>
  <c r="C143" i="7"/>
  <c r="G143" i="7"/>
  <c r="D143" i="7"/>
  <c r="A144" i="7"/>
  <c r="B144" i="7"/>
  <c r="C144" i="7"/>
  <c r="G144" i="7"/>
  <c r="D144" i="7"/>
  <c r="A145" i="7"/>
  <c r="B145" i="7"/>
  <c r="C145" i="7"/>
  <c r="F145" i="7"/>
  <c r="D145" i="7"/>
  <c r="A146" i="7"/>
  <c r="B146" i="7"/>
  <c r="C146" i="7"/>
  <c r="D146" i="7"/>
  <c r="A147" i="7"/>
  <c r="B147" i="7"/>
  <c r="C147" i="7"/>
  <c r="F147" i="7"/>
  <c r="D147" i="7"/>
  <c r="A148" i="7"/>
  <c r="B148" i="7"/>
  <c r="C148" i="7"/>
  <c r="G148" i="7"/>
  <c r="D148" i="7"/>
  <c r="A149" i="7"/>
  <c r="B149" i="7"/>
  <c r="C149" i="7"/>
  <c r="G149" i="7"/>
  <c r="D149" i="7"/>
  <c r="A150" i="7"/>
  <c r="B150" i="7"/>
  <c r="C150" i="7"/>
  <c r="D150" i="7"/>
  <c r="A151" i="7"/>
  <c r="B151" i="7"/>
  <c r="C151" i="7"/>
  <c r="F151" i="7"/>
  <c r="D151" i="7"/>
  <c r="A152" i="7"/>
  <c r="B152" i="7"/>
  <c r="C152" i="7"/>
  <c r="G152" i="7"/>
  <c r="D152" i="7"/>
  <c r="A153" i="7"/>
  <c r="B153" i="7"/>
  <c r="C153" i="7"/>
  <c r="F153" i="7"/>
  <c r="D153" i="7"/>
  <c r="A154" i="7"/>
  <c r="B154" i="7"/>
  <c r="C154" i="7"/>
  <c r="D154" i="7"/>
  <c r="A155" i="7"/>
  <c r="B155" i="7"/>
  <c r="C155" i="7"/>
  <c r="F155" i="7"/>
  <c r="D155" i="7"/>
  <c r="A156" i="7"/>
  <c r="B156" i="7"/>
  <c r="C156" i="7"/>
  <c r="G156" i="7"/>
  <c r="D156" i="7"/>
  <c r="A157" i="7"/>
  <c r="B157" i="7"/>
  <c r="C157" i="7"/>
  <c r="D157" i="7"/>
  <c r="A158" i="7"/>
  <c r="B158" i="7"/>
  <c r="C158" i="7"/>
  <c r="G158" i="7"/>
  <c r="D158" i="7"/>
  <c r="A159" i="7"/>
  <c r="B159" i="7"/>
  <c r="C159" i="7"/>
  <c r="F159" i="7"/>
  <c r="D159" i="7"/>
  <c r="A160" i="7"/>
  <c r="B160" i="7"/>
  <c r="C160" i="7"/>
  <c r="G160" i="7"/>
  <c r="D160" i="7"/>
  <c r="A161" i="7"/>
  <c r="B161" i="7"/>
  <c r="C161" i="7"/>
  <c r="F161" i="7"/>
  <c r="D161" i="7"/>
  <c r="A162" i="7"/>
  <c r="B162" i="7"/>
  <c r="C162" i="7"/>
  <c r="G162" i="7"/>
  <c r="D162" i="7"/>
  <c r="A163" i="7"/>
  <c r="B163" i="7"/>
  <c r="C163" i="7"/>
  <c r="G163" i="7"/>
  <c r="D163" i="7"/>
  <c r="A164" i="7"/>
  <c r="B164" i="7"/>
  <c r="C164" i="7"/>
  <c r="G164" i="7"/>
  <c r="D164" i="7"/>
  <c r="A165" i="7"/>
  <c r="B165" i="7"/>
  <c r="C165" i="7"/>
  <c r="D165" i="7"/>
  <c r="A166" i="7"/>
  <c r="B166" i="7"/>
  <c r="C166" i="7"/>
  <c r="F166" i="7"/>
  <c r="D166" i="7"/>
  <c r="A167" i="7"/>
  <c r="B167" i="7"/>
  <c r="C167" i="7"/>
  <c r="G167" i="7"/>
  <c r="D167" i="7"/>
  <c r="A168" i="7"/>
  <c r="B168" i="7"/>
  <c r="C168" i="7"/>
  <c r="F168" i="7"/>
  <c r="D168" i="7"/>
  <c r="A169" i="7"/>
  <c r="B169" i="7"/>
  <c r="C169" i="7"/>
  <c r="G169" i="7"/>
  <c r="D169" i="7"/>
  <c r="A170" i="7"/>
  <c r="B170" i="7"/>
  <c r="C170" i="7"/>
  <c r="D170" i="7"/>
  <c r="A171" i="7"/>
  <c r="B171" i="7"/>
  <c r="C171" i="7"/>
  <c r="F171" i="7"/>
  <c r="D171" i="7"/>
  <c r="A172" i="7"/>
  <c r="B172" i="7"/>
  <c r="C172" i="7"/>
  <c r="G172" i="7"/>
  <c r="D172" i="7"/>
  <c r="A173" i="7"/>
  <c r="B173" i="7"/>
  <c r="C173" i="7"/>
  <c r="F173" i="7"/>
  <c r="D173" i="7"/>
  <c r="A174" i="7"/>
  <c r="B174" i="7"/>
  <c r="C174" i="7"/>
  <c r="F174" i="7"/>
  <c r="D174" i="7"/>
  <c r="A175" i="7"/>
  <c r="B175" i="7"/>
  <c r="C175" i="7"/>
  <c r="D175" i="7"/>
  <c r="A176" i="7"/>
  <c r="B176" i="7"/>
  <c r="C176" i="7"/>
  <c r="G176" i="7"/>
  <c r="D176" i="7"/>
  <c r="A177" i="7"/>
  <c r="B177" i="7"/>
  <c r="C177" i="7"/>
  <c r="G177" i="7"/>
  <c r="D177" i="7"/>
  <c r="A178" i="7"/>
  <c r="B178" i="7"/>
  <c r="C178" i="7"/>
  <c r="F178" i="7"/>
  <c r="D178" i="7"/>
  <c r="A179" i="7"/>
  <c r="B179" i="7"/>
  <c r="C179" i="7"/>
  <c r="F179" i="7"/>
  <c r="D179" i="7"/>
  <c r="A180" i="7"/>
  <c r="B180" i="7"/>
  <c r="C180" i="7"/>
  <c r="G180" i="7"/>
  <c r="D180" i="7"/>
  <c r="A181" i="7"/>
  <c r="B181" i="7"/>
  <c r="C181" i="7"/>
  <c r="G181" i="7"/>
  <c r="D181" i="7"/>
  <c r="A182" i="7"/>
  <c r="B182" i="7"/>
  <c r="C182" i="7"/>
  <c r="G182" i="7"/>
  <c r="D182" i="7"/>
  <c r="A183" i="7"/>
  <c r="B183" i="7"/>
  <c r="C183" i="7"/>
  <c r="G183" i="7"/>
  <c r="D183" i="7"/>
  <c r="A184" i="7"/>
  <c r="B184" i="7"/>
  <c r="C184" i="7"/>
  <c r="F184" i="7"/>
  <c r="D184" i="7"/>
  <c r="A185" i="7"/>
  <c r="B185" i="7"/>
  <c r="C185" i="7"/>
  <c r="G185" i="7"/>
  <c r="D185" i="7"/>
  <c r="A186" i="7"/>
  <c r="B186" i="7"/>
  <c r="C186" i="7"/>
  <c r="F186" i="7"/>
  <c r="D186" i="7"/>
  <c r="A187" i="7"/>
  <c r="B187" i="7"/>
  <c r="C187" i="7"/>
  <c r="F187" i="7"/>
  <c r="D187" i="7"/>
  <c r="A188" i="7"/>
  <c r="B188" i="7"/>
  <c r="C188" i="7"/>
  <c r="G188" i="7"/>
  <c r="D188" i="7"/>
  <c r="A189" i="7"/>
  <c r="B189" i="7"/>
  <c r="C189" i="7"/>
  <c r="G189" i="7"/>
  <c r="D189" i="7"/>
  <c r="A190" i="7"/>
  <c r="B190" i="7"/>
  <c r="C190" i="7"/>
  <c r="F190" i="7"/>
  <c r="D190" i="7"/>
  <c r="A191" i="7"/>
  <c r="B191" i="7"/>
  <c r="C191" i="7"/>
  <c r="F191" i="7"/>
  <c r="D191" i="7"/>
  <c r="A192" i="7"/>
  <c r="B192" i="7"/>
  <c r="C192" i="7"/>
  <c r="G192" i="7"/>
  <c r="D192" i="7"/>
  <c r="A193" i="7"/>
  <c r="B193" i="7"/>
  <c r="C193" i="7"/>
  <c r="G193" i="7"/>
  <c r="D193" i="7"/>
  <c r="A194" i="7"/>
  <c r="B194" i="7"/>
  <c r="C194" i="7"/>
  <c r="F194" i="7"/>
  <c r="D194" i="7"/>
  <c r="A195" i="7"/>
  <c r="B195" i="7"/>
  <c r="C195" i="7"/>
  <c r="G195" i="7"/>
  <c r="D195" i="7"/>
  <c r="A196" i="7"/>
  <c r="B196" i="7"/>
  <c r="C196" i="7"/>
  <c r="G196" i="7"/>
  <c r="D196" i="7"/>
  <c r="A197" i="7"/>
  <c r="B197" i="7"/>
  <c r="C197" i="7"/>
  <c r="G197" i="7"/>
  <c r="D197" i="7"/>
  <c r="A198" i="7"/>
  <c r="B198" i="7"/>
  <c r="C198" i="7"/>
  <c r="G198" i="7"/>
  <c r="D198" i="7"/>
  <c r="A199" i="7"/>
  <c r="B199" i="7"/>
  <c r="C199" i="7"/>
  <c r="F199" i="7"/>
  <c r="D199" i="7"/>
  <c r="A200" i="7"/>
  <c r="B200" i="7"/>
  <c r="C200" i="7"/>
  <c r="F200" i="7"/>
  <c r="D200" i="7"/>
  <c r="A201" i="7"/>
  <c r="B201" i="7"/>
  <c r="C201" i="7"/>
  <c r="F201" i="7"/>
  <c r="D201" i="7"/>
  <c r="A202" i="7"/>
  <c r="B202" i="7"/>
  <c r="C202" i="7"/>
  <c r="F202" i="7"/>
  <c r="D202" i="7"/>
  <c r="A203" i="7"/>
  <c r="B203" i="7"/>
  <c r="C203" i="7"/>
  <c r="G203" i="7"/>
  <c r="D203" i="7"/>
  <c r="A204" i="7"/>
  <c r="B204" i="7"/>
  <c r="C204" i="7"/>
  <c r="F204" i="7"/>
  <c r="D204" i="7"/>
  <c r="A205" i="7"/>
  <c r="B205" i="7"/>
  <c r="C205" i="7"/>
  <c r="G205" i="7"/>
  <c r="D205" i="7"/>
  <c r="A206" i="7"/>
  <c r="B206" i="7"/>
  <c r="C206" i="7"/>
  <c r="F206" i="7"/>
  <c r="D206" i="7"/>
  <c r="A207" i="7"/>
  <c r="B207" i="7"/>
  <c r="C207" i="7"/>
  <c r="F207" i="7"/>
  <c r="D207" i="7"/>
  <c r="A208" i="7"/>
  <c r="B208" i="7"/>
  <c r="C208" i="7"/>
  <c r="G208" i="7"/>
  <c r="D208" i="7"/>
  <c r="A209" i="7"/>
  <c r="B209" i="7"/>
  <c r="C209" i="7"/>
  <c r="F209" i="7"/>
  <c r="D209" i="7"/>
  <c r="A210" i="7"/>
  <c r="B210" i="7"/>
  <c r="C210" i="7"/>
  <c r="G210" i="7"/>
  <c r="D210" i="7"/>
  <c r="A211" i="7"/>
  <c r="B211" i="7"/>
  <c r="C211" i="7"/>
  <c r="G211" i="7"/>
  <c r="D211" i="7"/>
  <c r="A212" i="7"/>
  <c r="B212" i="7"/>
  <c r="C212" i="7"/>
  <c r="F212" i="7"/>
  <c r="D212" i="7"/>
  <c r="A213" i="7"/>
  <c r="B213" i="7"/>
  <c r="C213" i="7"/>
  <c r="F213" i="7"/>
  <c r="D213" i="7"/>
  <c r="A214" i="7"/>
  <c r="B214" i="7"/>
  <c r="C214" i="7"/>
  <c r="G214" i="7"/>
  <c r="D214" i="7"/>
  <c r="A215" i="7"/>
  <c r="B215" i="7"/>
  <c r="C215" i="7"/>
  <c r="G215" i="7"/>
  <c r="D215" i="7"/>
  <c r="A216" i="7"/>
  <c r="B216" i="7"/>
  <c r="C216" i="7"/>
  <c r="F216" i="7"/>
  <c r="D216" i="7"/>
  <c r="A217" i="7"/>
  <c r="B217" i="7"/>
  <c r="C217" i="7"/>
  <c r="F217" i="7"/>
  <c r="D217" i="7"/>
  <c r="A218" i="7"/>
  <c r="B218" i="7"/>
  <c r="C218" i="7"/>
  <c r="F218" i="7"/>
  <c r="D218" i="7"/>
  <c r="A219" i="7"/>
  <c r="B219" i="7"/>
  <c r="C219" i="7"/>
  <c r="G219" i="7"/>
  <c r="D219" i="7"/>
  <c r="A220" i="7"/>
  <c r="B220" i="7"/>
  <c r="C220" i="7"/>
  <c r="F220" i="7"/>
  <c r="D220" i="7"/>
  <c r="A221" i="7"/>
  <c r="B221" i="7"/>
  <c r="C221" i="7"/>
  <c r="G221" i="7"/>
  <c r="D221" i="7"/>
  <c r="A222" i="7"/>
  <c r="B222" i="7"/>
  <c r="C222" i="7"/>
  <c r="F222" i="7"/>
  <c r="D222" i="7"/>
  <c r="A223" i="7"/>
  <c r="B223" i="7"/>
  <c r="C223" i="7"/>
  <c r="D223" i="7"/>
  <c r="A224" i="7"/>
  <c r="B224" i="7"/>
  <c r="C224" i="7"/>
  <c r="G224" i="7"/>
  <c r="D224" i="7"/>
  <c r="A225" i="7"/>
  <c r="B225" i="7"/>
  <c r="C225" i="7"/>
  <c r="F225" i="7"/>
  <c r="D225" i="7"/>
  <c r="A226" i="7"/>
  <c r="B226" i="7"/>
  <c r="C226" i="7"/>
  <c r="G226" i="7"/>
  <c r="D226" i="7"/>
  <c r="A227" i="7"/>
  <c r="B227" i="7"/>
  <c r="C227" i="7"/>
  <c r="F227" i="7"/>
  <c r="D227" i="7"/>
  <c r="A228" i="7"/>
  <c r="B228" i="7"/>
  <c r="C228" i="7"/>
  <c r="F228" i="7"/>
  <c r="D228" i="7"/>
  <c r="A229" i="7"/>
  <c r="B229" i="7"/>
  <c r="C229" i="7"/>
  <c r="F229" i="7"/>
  <c r="D229" i="7"/>
  <c r="A230" i="7"/>
  <c r="B230" i="7"/>
  <c r="C230" i="7"/>
  <c r="F230" i="7"/>
  <c r="D230" i="7"/>
  <c r="A231" i="7"/>
  <c r="B231" i="7"/>
  <c r="C231" i="7"/>
  <c r="G231" i="7"/>
  <c r="D231" i="7"/>
  <c r="A232" i="7"/>
  <c r="B232" i="7"/>
  <c r="C232" i="7"/>
  <c r="G232" i="7"/>
  <c r="D232" i="7"/>
  <c r="A233" i="7"/>
  <c r="B233" i="7"/>
  <c r="C233" i="7"/>
  <c r="D233" i="7"/>
  <c r="A234" i="7"/>
  <c r="B234" i="7"/>
  <c r="C234" i="7"/>
  <c r="G234" i="7"/>
  <c r="D234" i="7"/>
  <c r="A235" i="7"/>
  <c r="B235" i="7"/>
  <c r="C235" i="7"/>
  <c r="G235" i="7"/>
  <c r="D235" i="7"/>
  <c r="A236" i="7"/>
  <c r="B236" i="7"/>
  <c r="C236" i="7"/>
  <c r="G236" i="7"/>
  <c r="D236" i="7"/>
  <c r="A237" i="7"/>
  <c r="B237" i="7"/>
  <c r="C237" i="7"/>
  <c r="F237" i="7"/>
  <c r="D237" i="7"/>
  <c r="A238" i="7"/>
  <c r="B238" i="7"/>
  <c r="C238" i="7"/>
  <c r="D238" i="7"/>
  <c r="A239" i="7"/>
  <c r="B239" i="7"/>
  <c r="C239" i="7"/>
  <c r="G239" i="7"/>
  <c r="D239" i="7"/>
  <c r="A240" i="7"/>
  <c r="B240" i="7"/>
  <c r="C240" i="7"/>
  <c r="D240" i="7"/>
  <c r="A241" i="7"/>
  <c r="B241" i="7"/>
  <c r="C241" i="7"/>
  <c r="F241" i="7"/>
  <c r="D241" i="7"/>
  <c r="A242" i="7"/>
  <c r="B242" i="7"/>
  <c r="C242" i="7"/>
  <c r="F242" i="7"/>
  <c r="D242" i="7"/>
  <c r="A243" i="7"/>
  <c r="B243" i="7"/>
  <c r="C243" i="7"/>
  <c r="F243" i="7"/>
  <c r="D243" i="7"/>
  <c r="A244" i="7"/>
  <c r="B244" i="7"/>
  <c r="C244" i="7"/>
  <c r="G244" i="7"/>
  <c r="D244" i="7"/>
  <c r="A245" i="7"/>
  <c r="B245" i="7"/>
  <c r="C245" i="7"/>
  <c r="F245" i="7"/>
  <c r="D245" i="7"/>
  <c r="A246" i="7"/>
  <c r="B246" i="7"/>
  <c r="C246" i="7"/>
  <c r="G246" i="7"/>
  <c r="D246" i="7"/>
  <c r="A247" i="7"/>
  <c r="B247" i="7"/>
  <c r="C247" i="7"/>
  <c r="F247" i="7"/>
  <c r="D247" i="7"/>
  <c r="A248" i="7"/>
  <c r="B248" i="7"/>
  <c r="C248" i="7"/>
  <c r="G248" i="7"/>
  <c r="D248" i="7"/>
  <c r="A249" i="7"/>
  <c r="B249" i="7"/>
  <c r="C249" i="7"/>
  <c r="G249" i="7"/>
  <c r="D249" i="7"/>
  <c r="A250" i="7"/>
  <c r="B250" i="7"/>
  <c r="C250" i="7"/>
  <c r="G250" i="7"/>
  <c r="D250" i="7"/>
  <c r="A251" i="7"/>
  <c r="B251" i="7"/>
  <c r="C251" i="7"/>
  <c r="D251" i="7"/>
  <c r="A252" i="7"/>
  <c r="B252" i="7"/>
  <c r="C252" i="7"/>
  <c r="G252" i="7"/>
  <c r="D252" i="7"/>
  <c r="A253" i="7"/>
  <c r="B253" i="7"/>
  <c r="C253" i="7"/>
  <c r="G253" i="7"/>
  <c r="D253" i="7"/>
  <c r="A254" i="7"/>
  <c r="B254" i="7"/>
  <c r="C254" i="7"/>
  <c r="F254" i="7"/>
  <c r="D254" i="7"/>
  <c r="A255" i="7"/>
  <c r="B255" i="7"/>
  <c r="C255" i="7"/>
  <c r="G255" i="7"/>
  <c r="D255" i="7"/>
  <c r="A256" i="7"/>
  <c r="B256" i="7"/>
  <c r="C256" i="7"/>
  <c r="F256" i="7"/>
  <c r="D256" i="7"/>
  <c r="A257" i="7"/>
  <c r="B257" i="7"/>
  <c r="C257" i="7"/>
  <c r="G257" i="7"/>
  <c r="D257" i="7"/>
  <c r="A258" i="7"/>
  <c r="B258" i="7"/>
  <c r="C258" i="7"/>
  <c r="G258" i="7"/>
  <c r="D258" i="7"/>
  <c r="A259" i="7"/>
  <c r="B259" i="7"/>
  <c r="C259" i="7"/>
  <c r="F259" i="7"/>
  <c r="D259" i="7"/>
  <c r="A260" i="7"/>
  <c r="B260" i="7"/>
  <c r="C260" i="7"/>
  <c r="D260" i="7"/>
  <c r="A261" i="7"/>
  <c r="B261" i="7"/>
  <c r="C261" i="7"/>
  <c r="G261" i="7"/>
  <c r="D261" i="7"/>
  <c r="A262" i="7"/>
  <c r="B262" i="7"/>
  <c r="C262" i="7"/>
  <c r="F262" i="7"/>
  <c r="D262" i="7"/>
  <c r="A263" i="7"/>
  <c r="B263" i="7"/>
  <c r="C263" i="7"/>
  <c r="D263" i="7"/>
  <c r="A264" i="7"/>
  <c r="B264" i="7"/>
  <c r="C264" i="7"/>
  <c r="G264" i="7"/>
  <c r="D264" i="7"/>
  <c r="A265" i="7"/>
  <c r="B265" i="7"/>
  <c r="C265" i="7"/>
  <c r="F265" i="7"/>
  <c r="D265" i="7"/>
  <c r="A266" i="7"/>
  <c r="B266" i="7"/>
  <c r="C266" i="7"/>
  <c r="F266" i="7"/>
  <c r="D266" i="7"/>
  <c r="A267" i="7"/>
  <c r="B267" i="7"/>
  <c r="C267" i="7"/>
  <c r="G267" i="7"/>
  <c r="D267" i="7"/>
  <c r="A268" i="7"/>
  <c r="B268" i="7"/>
  <c r="C268" i="7"/>
  <c r="F268" i="7"/>
  <c r="D268" i="7"/>
  <c r="A269" i="7"/>
  <c r="B269" i="7"/>
  <c r="C269" i="7"/>
  <c r="F269" i="7"/>
  <c r="D269" i="7"/>
  <c r="A270" i="7"/>
  <c r="B270" i="7"/>
  <c r="C270" i="7"/>
  <c r="F270" i="7"/>
  <c r="D270" i="7"/>
  <c r="A271" i="7"/>
  <c r="B271" i="7"/>
  <c r="C271" i="7"/>
  <c r="F271" i="7"/>
  <c r="D271" i="7"/>
  <c r="A272" i="7"/>
  <c r="B272" i="7"/>
  <c r="C272" i="7"/>
  <c r="D272" i="7"/>
  <c r="A273" i="7"/>
  <c r="B273" i="7"/>
  <c r="C273" i="7"/>
  <c r="D273" i="7"/>
  <c r="A274" i="7"/>
  <c r="B274" i="7"/>
  <c r="C274" i="7"/>
  <c r="G274" i="7"/>
  <c r="D274" i="7"/>
  <c r="A275" i="7"/>
  <c r="B275" i="7"/>
  <c r="C275" i="7"/>
  <c r="F275" i="7"/>
  <c r="D275" i="7"/>
  <c r="A276" i="7"/>
  <c r="B276" i="7"/>
  <c r="C276" i="7"/>
  <c r="D276" i="7"/>
  <c r="A277" i="7"/>
  <c r="B277" i="7"/>
  <c r="C277" i="7"/>
  <c r="D277" i="7"/>
  <c r="A278" i="7"/>
  <c r="B278" i="7"/>
  <c r="C278" i="7"/>
  <c r="G278" i="7"/>
  <c r="D278" i="7"/>
  <c r="A279" i="7"/>
  <c r="B279" i="7"/>
  <c r="C279" i="7"/>
  <c r="G279" i="7"/>
  <c r="D279" i="7"/>
  <c r="A280" i="7"/>
  <c r="B280" i="7"/>
  <c r="C280" i="7"/>
  <c r="G280" i="7"/>
  <c r="D280" i="7"/>
  <c r="A281" i="7"/>
  <c r="B281" i="7"/>
  <c r="C281" i="7"/>
  <c r="F281" i="7"/>
  <c r="D281" i="7"/>
  <c r="A282" i="7"/>
  <c r="B282" i="7"/>
  <c r="C282" i="7"/>
  <c r="F282" i="7"/>
  <c r="D282" i="7"/>
  <c r="A283" i="7"/>
  <c r="B283" i="7"/>
  <c r="C283" i="7"/>
  <c r="G283" i="7"/>
  <c r="D283" i="7"/>
  <c r="A284" i="7"/>
  <c r="B284" i="7"/>
  <c r="C284" i="7"/>
  <c r="F284" i="7"/>
  <c r="D284" i="7"/>
  <c r="A285" i="7"/>
  <c r="B285" i="7"/>
  <c r="C285" i="7"/>
  <c r="F285" i="7"/>
  <c r="D285" i="7"/>
  <c r="A286" i="7"/>
  <c r="B286" i="7"/>
  <c r="C286" i="7"/>
  <c r="G286" i="7"/>
  <c r="D286" i="7"/>
  <c r="A287" i="7"/>
  <c r="B287" i="7"/>
  <c r="C287" i="7"/>
  <c r="G287" i="7"/>
  <c r="D287" i="7"/>
  <c r="A288" i="7"/>
  <c r="B288" i="7"/>
  <c r="C288" i="7"/>
  <c r="G288" i="7"/>
  <c r="D288" i="7"/>
  <c r="A289" i="7"/>
  <c r="B289" i="7"/>
  <c r="C289" i="7"/>
  <c r="F289" i="7"/>
  <c r="D289" i="7"/>
  <c r="A290" i="7"/>
  <c r="B290" i="7"/>
  <c r="C290" i="7"/>
  <c r="G290" i="7"/>
  <c r="D290" i="7"/>
  <c r="A291" i="7"/>
  <c r="B291" i="7"/>
  <c r="C291" i="7"/>
  <c r="D291" i="7"/>
  <c r="A292" i="7"/>
  <c r="B292" i="7"/>
  <c r="C292" i="7"/>
  <c r="F292" i="7"/>
  <c r="D292" i="7"/>
  <c r="A293" i="7"/>
  <c r="B293" i="7"/>
  <c r="C293" i="7"/>
  <c r="F293" i="7"/>
  <c r="D293" i="7"/>
  <c r="A294" i="7"/>
  <c r="B294" i="7"/>
  <c r="C294" i="7"/>
  <c r="D294" i="7"/>
  <c r="A295" i="7"/>
  <c r="B295" i="7"/>
  <c r="C295" i="7"/>
  <c r="D295" i="7"/>
  <c r="A296" i="7"/>
  <c r="B296" i="7"/>
  <c r="C296" i="7"/>
  <c r="G296" i="7"/>
  <c r="D296" i="7"/>
  <c r="A297" i="7"/>
  <c r="B297" i="7"/>
  <c r="C297" i="7"/>
  <c r="F297" i="7"/>
  <c r="D297" i="7"/>
  <c r="A298" i="7"/>
  <c r="B298" i="7"/>
  <c r="C298" i="7"/>
  <c r="F298" i="7"/>
  <c r="D298" i="7"/>
  <c r="A299" i="7"/>
  <c r="B299" i="7"/>
  <c r="C299" i="7"/>
  <c r="G299" i="7"/>
  <c r="D299" i="7"/>
  <c r="A300" i="7"/>
  <c r="B300" i="7"/>
  <c r="C300" i="7"/>
  <c r="G300" i="7"/>
  <c r="D300" i="7"/>
  <c r="A301" i="7"/>
  <c r="B301" i="7"/>
  <c r="C301" i="7"/>
  <c r="D301" i="7"/>
  <c r="A302" i="7"/>
  <c r="B302" i="7"/>
  <c r="C302" i="7"/>
  <c r="G302" i="7"/>
  <c r="D302" i="7"/>
  <c r="A303" i="7"/>
  <c r="B303" i="7"/>
  <c r="D303" i="7"/>
  <c r="A304" i="7"/>
  <c r="B304" i="7"/>
  <c r="C304" i="7"/>
  <c r="D304" i="7"/>
  <c r="A305" i="7"/>
  <c r="B305" i="7"/>
  <c r="C305" i="7"/>
  <c r="G305" i="7"/>
  <c r="D305" i="7"/>
  <c r="A306" i="7"/>
  <c r="B306" i="7"/>
  <c r="C306" i="7"/>
  <c r="D306" i="7"/>
  <c r="A307" i="7"/>
  <c r="B307" i="7"/>
  <c r="C307" i="7"/>
  <c r="G307" i="7"/>
  <c r="F307" i="7"/>
  <c r="D307" i="7"/>
  <c r="A308" i="7"/>
  <c r="B308" i="7"/>
  <c r="C308" i="7"/>
  <c r="G308" i="7"/>
  <c r="D308" i="7"/>
  <c r="A309" i="7"/>
  <c r="B309" i="7"/>
  <c r="C309" i="7"/>
  <c r="F309" i="7"/>
  <c r="D309" i="7"/>
  <c r="A310" i="7"/>
  <c r="B310" i="7"/>
  <c r="C310" i="7"/>
  <c r="F310" i="7"/>
  <c r="D310" i="7"/>
  <c r="A311" i="7"/>
  <c r="B311" i="7"/>
  <c r="C311" i="7"/>
  <c r="G311" i="7"/>
  <c r="D311" i="7"/>
  <c r="A312" i="7"/>
  <c r="B312" i="7"/>
  <c r="C312" i="7"/>
  <c r="D312" i="7"/>
  <c r="A313" i="7"/>
  <c r="B313" i="7"/>
  <c r="C313" i="7"/>
  <c r="F313" i="7"/>
  <c r="D313" i="7"/>
  <c r="A314" i="7"/>
  <c r="B314" i="7"/>
  <c r="C314" i="7"/>
  <c r="F314" i="7"/>
  <c r="D314" i="7"/>
  <c r="A315" i="7"/>
  <c r="B315" i="7"/>
  <c r="C315" i="7"/>
  <c r="F315" i="7"/>
  <c r="D315" i="7"/>
  <c r="A316" i="7"/>
  <c r="B316" i="7"/>
  <c r="C316" i="7"/>
  <c r="F316" i="7"/>
  <c r="D316" i="7"/>
  <c r="A317" i="7"/>
  <c r="B317" i="7"/>
  <c r="C317" i="7"/>
  <c r="F317" i="7"/>
  <c r="D317" i="7"/>
  <c r="A318" i="7"/>
  <c r="B318" i="7"/>
  <c r="C318" i="7"/>
  <c r="G318" i="7"/>
  <c r="D318" i="7"/>
  <c r="A319" i="7"/>
  <c r="B319" i="7"/>
  <c r="C319" i="7"/>
  <c r="F319" i="7"/>
  <c r="D319" i="7"/>
  <c r="A320" i="7"/>
  <c r="B320" i="7"/>
  <c r="C320" i="7"/>
  <c r="F320" i="7"/>
  <c r="D320" i="7"/>
  <c r="A321" i="7"/>
  <c r="B321" i="7"/>
  <c r="C321" i="7"/>
  <c r="F321" i="7"/>
  <c r="D321" i="7"/>
  <c r="A322" i="7"/>
  <c r="B322" i="7"/>
  <c r="C322" i="7"/>
  <c r="F322" i="7"/>
  <c r="D322" i="7"/>
  <c r="A323" i="7"/>
  <c r="B323" i="7"/>
  <c r="C323" i="7"/>
  <c r="D323" i="7"/>
  <c r="A324" i="7"/>
  <c r="B324" i="7"/>
  <c r="C324" i="7"/>
  <c r="G324" i="7"/>
  <c r="D324" i="7"/>
  <c r="A325" i="7"/>
  <c r="B325" i="7"/>
  <c r="C325" i="7"/>
  <c r="D325" i="7"/>
  <c r="A326" i="7"/>
  <c r="B326" i="7"/>
  <c r="C326" i="7"/>
  <c r="F326" i="7"/>
  <c r="D326" i="7"/>
  <c r="A327" i="7"/>
  <c r="B327" i="7"/>
  <c r="C327" i="7"/>
  <c r="G327" i="7"/>
  <c r="D327" i="7"/>
  <c r="A328" i="7"/>
  <c r="B328" i="7"/>
  <c r="C328" i="7"/>
  <c r="D328" i="7"/>
  <c r="A329" i="7"/>
  <c r="B329" i="7"/>
  <c r="C329" i="7"/>
  <c r="F329" i="7"/>
  <c r="D329" i="7"/>
  <c r="A330" i="7"/>
  <c r="B330" i="7"/>
  <c r="C330" i="7"/>
  <c r="F330" i="7"/>
  <c r="D330" i="7"/>
  <c r="A331" i="7"/>
  <c r="B331" i="7"/>
  <c r="C331" i="7"/>
  <c r="G331" i="7"/>
  <c r="D331" i="7"/>
  <c r="A332" i="7"/>
  <c r="B332" i="7"/>
  <c r="C332" i="7"/>
  <c r="G332" i="7"/>
  <c r="D332" i="7"/>
  <c r="A333" i="7"/>
  <c r="B333" i="7"/>
  <c r="C333" i="7"/>
  <c r="G333" i="7"/>
  <c r="D333" i="7"/>
  <c r="A334" i="7"/>
  <c r="B334" i="7"/>
  <c r="C334" i="7"/>
  <c r="D334" i="7"/>
  <c r="A335" i="7"/>
  <c r="B335" i="7"/>
  <c r="C335" i="7"/>
  <c r="D335" i="7"/>
  <c r="A336" i="7"/>
  <c r="B336" i="7"/>
  <c r="C336" i="7"/>
  <c r="G336" i="7"/>
  <c r="D336" i="7"/>
  <c r="A337" i="7"/>
  <c r="B337" i="7"/>
  <c r="C337" i="7"/>
  <c r="G337" i="7"/>
  <c r="D337" i="7"/>
  <c r="A338" i="7"/>
  <c r="B338" i="7"/>
  <c r="C338" i="7"/>
  <c r="D338" i="7"/>
  <c r="A339" i="7"/>
  <c r="B339" i="7"/>
  <c r="C339" i="7"/>
  <c r="F339" i="7"/>
  <c r="D339" i="7"/>
  <c r="A340" i="7"/>
  <c r="B340" i="7"/>
  <c r="C340" i="7"/>
  <c r="F340" i="7"/>
  <c r="D340" i="7"/>
  <c r="A341" i="7"/>
  <c r="B341" i="7"/>
  <c r="C341" i="7"/>
  <c r="G341" i="7"/>
  <c r="D341" i="7"/>
  <c r="A342" i="7"/>
  <c r="B342" i="7"/>
  <c r="C342" i="7"/>
  <c r="D342" i="7"/>
  <c r="A343" i="7"/>
  <c r="B343" i="7"/>
  <c r="C343" i="7"/>
  <c r="G343" i="7"/>
  <c r="D343" i="7"/>
  <c r="A344" i="7"/>
  <c r="B344" i="7"/>
  <c r="C344" i="7"/>
  <c r="F344" i="7"/>
  <c r="D344" i="7"/>
  <c r="A345" i="7"/>
  <c r="B345" i="7"/>
  <c r="C345" i="7"/>
  <c r="G345" i="7"/>
  <c r="D345" i="7"/>
  <c r="A346" i="7"/>
  <c r="B346" i="7"/>
  <c r="C346" i="7"/>
  <c r="G346" i="7"/>
  <c r="D346" i="7"/>
  <c r="A347" i="7"/>
  <c r="B347" i="7"/>
  <c r="C347" i="7"/>
  <c r="G347" i="7"/>
  <c r="D347" i="7"/>
  <c r="A348" i="7"/>
  <c r="B348" i="7"/>
  <c r="C348" i="7"/>
  <c r="G348" i="7"/>
  <c r="D348" i="7"/>
  <c r="A349" i="7"/>
  <c r="B349" i="7"/>
  <c r="C349" i="7"/>
  <c r="G349" i="7"/>
  <c r="D349" i="7"/>
  <c r="A350" i="7"/>
  <c r="B350" i="7"/>
  <c r="C350" i="7"/>
  <c r="G350" i="7"/>
  <c r="D350" i="7"/>
  <c r="A351" i="7"/>
  <c r="B351" i="7"/>
  <c r="C351" i="7"/>
  <c r="G351" i="7"/>
  <c r="D351" i="7"/>
  <c r="A352" i="7"/>
  <c r="B352" i="7"/>
  <c r="C352" i="7"/>
  <c r="G352" i="7"/>
  <c r="D352" i="7"/>
  <c r="A353" i="7"/>
  <c r="B353" i="7"/>
  <c r="C353" i="7"/>
  <c r="F353" i="7"/>
  <c r="D353" i="7"/>
  <c r="A354" i="7"/>
  <c r="B354" i="7"/>
  <c r="C354" i="7"/>
  <c r="F354" i="7"/>
  <c r="D354" i="7"/>
  <c r="A355" i="7"/>
  <c r="B355" i="7"/>
  <c r="C355" i="7"/>
  <c r="F355" i="7"/>
  <c r="D355" i="7"/>
  <c r="A356" i="7"/>
  <c r="B356" i="7"/>
  <c r="C356" i="7"/>
  <c r="D356" i="7"/>
  <c r="A357" i="7"/>
  <c r="B357" i="7"/>
  <c r="C357" i="7"/>
  <c r="G357" i="7"/>
  <c r="D357" i="7"/>
  <c r="A358" i="7"/>
  <c r="B358" i="7"/>
  <c r="C358" i="7"/>
  <c r="D358" i="7"/>
  <c r="A359" i="7"/>
  <c r="B359" i="7"/>
  <c r="C359" i="7"/>
  <c r="G359" i="7"/>
  <c r="D359" i="7"/>
  <c r="A360" i="7"/>
  <c r="B360" i="7"/>
  <c r="C360" i="7"/>
  <c r="G360" i="7"/>
  <c r="D360" i="7"/>
  <c r="A361" i="7"/>
  <c r="B361" i="7"/>
  <c r="C361" i="7"/>
  <c r="D361" i="7"/>
  <c r="A362" i="7"/>
  <c r="B362" i="7"/>
  <c r="C362" i="7"/>
  <c r="G362" i="7"/>
  <c r="D362" i="7"/>
  <c r="A363" i="7"/>
  <c r="B363" i="7"/>
  <c r="C363" i="7"/>
  <c r="G363" i="7"/>
  <c r="D363" i="7"/>
  <c r="A364" i="7"/>
  <c r="B364" i="7"/>
  <c r="C364" i="7"/>
  <c r="F364" i="7"/>
  <c r="D364" i="7"/>
  <c r="A365" i="7"/>
  <c r="B365" i="7"/>
  <c r="C365" i="7"/>
  <c r="F365" i="7"/>
  <c r="D365" i="7"/>
  <c r="A366" i="7"/>
  <c r="B366" i="7"/>
  <c r="C366" i="7"/>
  <c r="G366" i="7"/>
  <c r="D366" i="7"/>
  <c r="A367" i="7"/>
  <c r="B367" i="7"/>
  <c r="C367" i="7"/>
  <c r="G367" i="7"/>
  <c r="D367" i="7"/>
  <c r="A368" i="7"/>
  <c r="B368" i="7"/>
  <c r="C368" i="7"/>
  <c r="G368" i="7"/>
  <c r="D368" i="7"/>
  <c r="A369" i="7"/>
  <c r="B369" i="7"/>
  <c r="C369" i="7"/>
  <c r="F369" i="7"/>
  <c r="D369" i="7"/>
  <c r="A370" i="7"/>
  <c r="B370" i="7"/>
  <c r="C370" i="7"/>
  <c r="G370" i="7"/>
  <c r="D370" i="7"/>
  <c r="A371" i="7"/>
  <c r="B371" i="7"/>
  <c r="C371" i="7"/>
  <c r="F371" i="7"/>
  <c r="D371" i="7"/>
  <c r="A372" i="7"/>
  <c r="B372" i="7"/>
  <c r="C372" i="7"/>
  <c r="G372" i="7"/>
  <c r="D372" i="7"/>
  <c r="A373" i="7"/>
  <c r="B373" i="7"/>
  <c r="C373" i="7"/>
  <c r="D373" i="7"/>
  <c r="A374" i="7"/>
  <c r="B374" i="7"/>
  <c r="C374" i="7"/>
  <c r="G374" i="7"/>
  <c r="D374" i="7"/>
  <c r="A375" i="7"/>
  <c r="B375" i="7"/>
  <c r="C375" i="7"/>
  <c r="D375" i="7"/>
  <c r="A376" i="7"/>
  <c r="B376" i="7"/>
  <c r="C376" i="7"/>
  <c r="G376" i="7"/>
  <c r="D376" i="7"/>
  <c r="A377" i="7"/>
  <c r="B377" i="7"/>
  <c r="C377" i="7"/>
  <c r="G377" i="7"/>
  <c r="D377" i="7"/>
  <c r="A378" i="7"/>
  <c r="B378" i="7"/>
  <c r="C378" i="7"/>
  <c r="F378" i="7"/>
  <c r="D378" i="7"/>
  <c r="A379" i="7"/>
  <c r="B379" i="7"/>
  <c r="C379" i="7"/>
  <c r="F379" i="7"/>
  <c r="D379" i="7"/>
  <c r="A380" i="7"/>
  <c r="B380" i="7"/>
  <c r="C380" i="7"/>
  <c r="F380" i="7"/>
  <c r="D380" i="7"/>
  <c r="A381" i="7"/>
  <c r="B381" i="7"/>
  <c r="C381" i="7"/>
  <c r="D381" i="7"/>
  <c r="A382" i="7"/>
  <c r="B382" i="7"/>
  <c r="C382" i="7"/>
  <c r="D382" i="7"/>
  <c r="A383" i="7"/>
  <c r="B383" i="7"/>
  <c r="C383" i="7"/>
  <c r="D383" i="7"/>
  <c r="A384" i="7"/>
  <c r="B384" i="7"/>
  <c r="C384" i="7"/>
  <c r="D384" i="7"/>
  <c r="A385" i="7"/>
  <c r="B385" i="7"/>
  <c r="C385" i="7"/>
  <c r="G385" i="7"/>
  <c r="D385" i="7"/>
  <c r="A386" i="7"/>
  <c r="B386" i="7"/>
  <c r="C386" i="7"/>
  <c r="G386" i="7"/>
  <c r="D386" i="7"/>
  <c r="A387" i="7"/>
  <c r="B387" i="7"/>
  <c r="C387" i="7"/>
  <c r="D387" i="7"/>
  <c r="A388" i="7"/>
  <c r="B388" i="7"/>
  <c r="C388" i="7"/>
  <c r="F388" i="7"/>
  <c r="D388" i="7"/>
  <c r="A389" i="7"/>
  <c r="B389" i="7"/>
  <c r="C389" i="7"/>
  <c r="G389" i="7"/>
  <c r="D389" i="7"/>
  <c r="A390" i="7"/>
  <c r="B390" i="7"/>
  <c r="C390" i="7"/>
  <c r="G390" i="7"/>
  <c r="D390" i="7"/>
  <c r="A391" i="7"/>
  <c r="B391" i="7"/>
  <c r="C391" i="7"/>
  <c r="F391" i="7"/>
  <c r="D391" i="7"/>
  <c r="A392" i="7"/>
  <c r="B392" i="7"/>
  <c r="D392" i="7"/>
  <c r="A393" i="7"/>
  <c r="B393" i="7"/>
  <c r="C393" i="7"/>
  <c r="G393" i="7"/>
  <c r="D393" i="7"/>
  <c r="A394" i="7"/>
  <c r="B394" i="7"/>
  <c r="C394" i="7"/>
  <c r="D394" i="7"/>
  <c r="A395" i="7"/>
  <c r="B395" i="7"/>
  <c r="C395" i="7"/>
  <c r="F395" i="7"/>
  <c r="D395" i="7"/>
  <c r="A396" i="7"/>
  <c r="B396" i="7"/>
  <c r="C396" i="7"/>
  <c r="G396" i="7"/>
  <c r="D396" i="7"/>
  <c r="A397" i="7"/>
  <c r="B397" i="7"/>
  <c r="C397" i="7"/>
  <c r="F397" i="7"/>
  <c r="D397" i="7"/>
  <c r="A398" i="7"/>
  <c r="B398" i="7"/>
  <c r="C398" i="7"/>
  <c r="G398" i="7"/>
  <c r="D398" i="7"/>
  <c r="A399" i="7"/>
  <c r="B399" i="7"/>
  <c r="C399" i="7"/>
  <c r="F399" i="7"/>
  <c r="D399" i="7"/>
  <c r="A400" i="7"/>
  <c r="B400" i="7"/>
  <c r="C400" i="7"/>
  <c r="D400" i="7"/>
  <c r="A401" i="7"/>
  <c r="B401" i="7"/>
  <c r="C401" i="7"/>
  <c r="D401" i="7"/>
  <c r="A402" i="7"/>
  <c r="B402" i="7"/>
  <c r="C402" i="7"/>
  <c r="F402" i="7"/>
  <c r="D402" i="7"/>
  <c r="A403" i="7"/>
  <c r="B403" i="7"/>
  <c r="C403" i="7"/>
  <c r="G403" i="7"/>
  <c r="D403" i="7"/>
  <c r="A404" i="7"/>
  <c r="B404" i="7"/>
  <c r="C404" i="7"/>
  <c r="G404" i="7"/>
  <c r="D404" i="7"/>
  <c r="A405" i="7"/>
  <c r="B405" i="7"/>
  <c r="C405" i="7"/>
  <c r="F405" i="7"/>
  <c r="D405" i="7"/>
  <c r="A406" i="7"/>
  <c r="B406" i="7"/>
  <c r="C406" i="7"/>
  <c r="D406" i="7"/>
  <c r="A407" i="7"/>
  <c r="B407" i="7"/>
  <c r="C407" i="7"/>
  <c r="G407" i="7"/>
  <c r="D407" i="7"/>
  <c r="A408" i="7"/>
  <c r="B408" i="7"/>
  <c r="C408" i="7"/>
  <c r="G408" i="7"/>
  <c r="D408" i="7"/>
  <c r="A409" i="7"/>
  <c r="B409" i="7"/>
  <c r="C409" i="7"/>
  <c r="G409" i="7"/>
  <c r="D409" i="7"/>
  <c r="A410" i="7"/>
  <c r="B410" i="7"/>
  <c r="C410" i="7"/>
  <c r="F410" i="7"/>
  <c r="D410" i="7"/>
  <c r="A411" i="7"/>
  <c r="B411" i="7"/>
  <c r="C411" i="7"/>
  <c r="G411" i="7"/>
  <c r="D411" i="7"/>
  <c r="A412" i="7"/>
  <c r="B412" i="7"/>
  <c r="C412" i="7"/>
  <c r="F412" i="7"/>
  <c r="D412" i="7"/>
  <c r="A413" i="7"/>
  <c r="B413" i="7"/>
  <c r="C413" i="7"/>
  <c r="D413" i="7"/>
  <c r="A414" i="7"/>
  <c r="B414" i="7"/>
  <c r="C414" i="7"/>
  <c r="D414" i="7"/>
  <c r="A415" i="7"/>
  <c r="B415" i="7"/>
  <c r="C415" i="7"/>
  <c r="F415" i="7"/>
  <c r="D415" i="7"/>
  <c r="A416" i="7"/>
  <c r="B416" i="7"/>
  <c r="C416" i="7"/>
  <c r="D416" i="7"/>
  <c r="A417" i="7"/>
  <c r="B417" i="7"/>
  <c r="C417" i="7"/>
  <c r="F417" i="7"/>
  <c r="D417" i="7"/>
  <c r="A418" i="7"/>
  <c r="B418" i="7"/>
  <c r="C418" i="7"/>
  <c r="F418" i="7"/>
  <c r="D418" i="7"/>
  <c r="A419" i="7"/>
  <c r="B419" i="7"/>
  <c r="C419" i="7"/>
  <c r="D419" i="7"/>
  <c r="A420" i="7"/>
  <c r="B420" i="7"/>
  <c r="C420" i="7"/>
  <c r="G420" i="7"/>
  <c r="D420" i="7"/>
  <c r="A421" i="7"/>
  <c r="B421" i="7"/>
  <c r="C421" i="7"/>
  <c r="D421" i="7"/>
  <c r="A422" i="7"/>
  <c r="B422" i="7"/>
  <c r="C422" i="7"/>
  <c r="F422" i="7"/>
  <c r="D422" i="7"/>
  <c r="A423" i="7"/>
  <c r="B423" i="7"/>
  <c r="C423" i="7"/>
  <c r="D423" i="7"/>
  <c r="A424" i="7"/>
  <c r="B424" i="7"/>
  <c r="C424" i="7"/>
  <c r="G424" i="7"/>
  <c r="D424" i="7"/>
  <c r="A425" i="7"/>
  <c r="B425" i="7"/>
  <c r="C425" i="7"/>
  <c r="G425" i="7"/>
  <c r="D425" i="7"/>
  <c r="A426" i="7"/>
  <c r="B426" i="7"/>
  <c r="C426" i="7"/>
  <c r="F426" i="7"/>
  <c r="D426" i="7"/>
  <c r="A427" i="7"/>
  <c r="B427" i="7"/>
  <c r="C427" i="7"/>
  <c r="D427" i="7"/>
  <c r="A428" i="7"/>
  <c r="B428" i="7"/>
  <c r="C428" i="7"/>
  <c r="F428" i="7"/>
  <c r="D428" i="7"/>
  <c r="A429" i="7"/>
  <c r="B429" i="7"/>
  <c r="C429" i="7"/>
  <c r="F429" i="7"/>
  <c r="D429" i="7"/>
  <c r="A430" i="7"/>
  <c r="B430" i="7"/>
  <c r="C430" i="7"/>
  <c r="G430" i="7"/>
  <c r="D430" i="7"/>
  <c r="A431" i="7"/>
  <c r="B431" i="7"/>
  <c r="C431" i="7"/>
  <c r="G431" i="7"/>
  <c r="D431" i="7"/>
  <c r="A432" i="7"/>
  <c r="B432" i="7"/>
  <c r="C432" i="7"/>
  <c r="F432" i="7"/>
  <c r="D432" i="7"/>
  <c r="A433" i="7"/>
  <c r="B433" i="7"/>
  <c r="C433" i="7"/>
  <c r="G433" i="7"/>
  <c r="D433" i="7"/>
  <c r="A434" i="7"/>
  <c r="B434" i="7"/>
  <c r="C434" i="7"/>
  <c r="F434" i="7"/>
  <c r="D434" i="7"/>
  <c r="A435" i="7"/>
  <c r="B435" i="7"/>
  <c r="C435" i="7"/>
  <c r="G435" i="7"/>
  <c r="D435" i="7"/>
  <c r="A436" i="7"/>
  <c r="B436" i="7"/>
  <c r="C436" i="7"/>
  <c r="F436" i="7"/>
  <c r="D436" i="7"/>
  <c r="A437" i="7"/>
  <c r="B437" i="7"/>
  <c r="C437" i="7"/>
  <c r="G437" i="7"/>
  <c r="D437" i="7"/>
  <c r="A438" i="7"/>
  <c r="B438" i="7"/>
  <c r="C438" i="7"/>
  <c r="G438" i="7"/>
  <c r="D438" i="7"/>
  <c r="A439" i="7"/>
  <c r="B439" i="7"/>
  <c r="C439" i="7"/>
  <c r="G439" i="7"/>
  <c r="D439" i="7"/>
  <c r="A440" i="7"/>
  <c r="B440" i="7"/>
  <c r="C440" i="7"/>
  <c r="G440" i="7"/>
  <c r="D440" i="7"/>
  <c r="A441" i="7"/>
  <c r="B441" i="7"/>
  <c r="C441" i="7"/>
  <c r="G441" i="7"/>
  <c r="D441" i="7"/>
  <c r="A442" i="7"/>
  <c r="B442" i="7"/>
  <c r="C442" i="7"/>
  <c r="G442" i="7"/>
  <c r="D442" i="7"/>
  <c r="A443" i="7"/>
  <c r="B443" i="7"/>
  <c r="C443" i="7"/>
  <c r="F443" i="7"/>
  <c r="D443" i="7"/>
  <c r="A444" i="7"/>
  <c r="B444" i="7"/>
  <c r="C444" i="7"/>
  <c r="F444" i="7"/>
  <c r="D444" i="7"/>
  <c r="A445" i="7"/>
  <c r="B445" i="7"/>
  <c r="C445" i="7"/>
  <c r="D445" i="7"/>
  <c r="A446" i="7"/>
  <c r="B446" i="7"/>
  <c r="C446" i="7"/>
  <c r="G446" i="7"/>
  <c r="D446" i="7"/>
  <c r="A447" i="7"/>
  <c r="B447" i="7"/>
  <c r="C447" i="7"/>
  <c r="F447" i="7"/>
  <c r="D447" i="7"/>
  <c r="A448" i="7"/>
  <c r="B448" i="7"/>
  <c r="C448" i="7"/>
  <c r="G448" i="7"/>
  <c r="D448" i="7"/>
  <c r="A449" i="7"/>
  <c r="B449" i="7"/>
  <c r="C449" i="7"/>
  <c r="G449" i="7"/>
  <c r="D449" i="7"/>
  <c r="A450" i="7"/>
  <c r="B450" i="7"/>
  <c r="C450" i="7"/>
  <c r="G450" i="7"/>
  <c r="D450" i="7"/>
  <c r="A451" i="7"/>
  <c r="B451" i="7"/>
  <c r="C451" i="7"/>
  <c r="G451" i="7"/>
  <c r="D451" i="7"/>
  <c r="A452" i="7"/>
  <c r="B452" i="7"/>
  <c r="C452" i="7"/>
  <c r="D452" i="7"/>
  <c r="A453" i="7"/>
  <c r="B453" i="7"/>
  <c r="C453" i="7"/>
  <c r="G453" i="7"/>
  <c r="D453" i="7"/>
  <c r="A454" i="7"/>
  <c r="B454" i="7"/>
  <c r="C454" i="7"/>
  <c r="G454" i="7"/>
  <c r="D454" i="7"/>
  <c r="A455" i="7"/>
  <c r="B455" i="7"/>
  <c r="C455" i="7"/>
  <c r="D455" i="7"/>
  <c r="A456" i="7"/>
  <c r="B456" i="7"/>
  <c r="C456" i="7"/>
  <c r="G456" i="7"/>
  <c r="D456" i="7"/>
  <c r="A457" i="7"/>
  <c r="B457" i="7"/>
  <c r="C457" i="7"/>
  <c r="F457" i="7"/>
  <c r="D457" i="7"/>
  <c r="A458" i="7"/>
  <c r="B458" i="7"/>
  <c r="C458" i="7"/>
  <c r="D458" i="7"/>
  <c r="A459" i="7"/>
  <c r="B459" i="7"/>
  <c r="C459" i="7"/>
  <c r="F459" i="7"/>
  <c r="D459" i="7"/>
  <c r="A460" i="7"/>
  <c r="B460" i="7"/>
  <c r="C460" i="7"/>
  <c r="F460" i="7"/>
  <c r="D460" i="7"/>
  <c r="A461" i="7"/>
  <c r="B461" i="7"/>
  <c r="C461" i="7"/>
  <c r="D461" i="7"/>
  <c r="A462" i="7"/>
  <c r="B462" i="7"/>
  <c r="C462" i="7"/>
  <c r="F462" i="7"/>
  <c r="D462" i="7"/>
  <c r="A463" i="7"/>
  <c r="B463" i="7"/>
  <c r="C463" i="7"/>
  <c r="F463" i="7"/>
  <c r="D463" i="7"/>
  <c r="A464" i="7"/>
  <c r="B464" i="7"/>
  <c r="C464" i="7"/>
  <c r="F464" i="7"/>
  <c r="D464" i="7"/>
  <c r="A465" i="7"/>
  <c r="B465" i="7"/>
  <c r="C465" i="7"/>
  <c r="F465" i="7"/>
  <c r="D465" i="7"/>
  <c r="A466" i="7"/>
  <c r="B466" i="7"/>
  <c r="C466" i="7"/>
  <c r="F466" i="7"/>
  <c r="D466" i="7"/>
  <c r="A467" i="7"/>
  <c r="B467" i="7"/>
  <c r="C467" i="7"/>
  <c r="G467" i="7"/>
  <c r="D467" i="7"/>
  <c r="A468" i="7"/>
  <c r="B468" i="7"/>
  <c r="C468" i="7"/>
  <c r="G468" i="7"/>
  <c r="D468" i="7"/>
  <c r="A469" i="7"/>
  <c r="B469" i="7"/>
  <c r="C469" i="7"/>
  <c r="F469" i="7"/>
  <c r="D469" i="7"/>
  <c r="A470" i="7"/>
  <c r="B470" i="7"/>
  <c r="C470" i="7"/>
  <c r="F470" i="7"/>
  <c r="D470" i="7"/>
  <c r="A471" i="7"/>
  <c r="B471" i="7"/>
  <c r="C471" i="7"/>
  <c r="D471" i="7"/>
  <c r="A472" i="7"/>
  <c r="B472" i="7"/>
  <c r="C472" i="7"/>
  <c r="F472" i="7"/>
  <c r="D472" i="7"/>
  <c r="A473" i="7"/>
  <c r="B473" i="7"/>
  <c r="C473" i="7"/>
  <c r="D473" i="7"/>
  <c r="A474" i="7"/>
  <c r="B474" i="7"/>
  <c r="C474" i="7"/>
  <c r="G474" i="7"/>
  <c r="D474" i="7"/>
  <c r="A475" i="7"/>
  <c r="B475" i="7"/>
  <c r="C475" i="7"/>
  <c r="F475" i="7"/>
  <c r="D475" i="7"/>
  <c r="A476" i="7"/>
  <c r="B476" i="7"/>
  <c r="C476" i="7"/>
  <c r="F476" i="7"/>
  <c r="D476" i="7"/>
  <c r="A477" i="7"/>
  <c r="B477" i="7"/>
  <c r="C477" i="7"/>
  <c r="F477" i="7"/>
  <c r="D477" i="7"/>
  <c r="A478" i="7"/>
  <c r="B478" i="7"/>
  <c r="C478" i="7"/>
  <c r="G478" i="7"/>
  <c r="D478" i="7"/>
  <c r="A479" i="7"/>
  <c r="B479" i="7"/>
  <c r="C479" i="7"/>
  <c r="F479" i="7"/>
  <c r="D479" i="7"/>
  <c r="A480" i="7"/>
  <c r="B480" i="7"/>
  <c r="C480" i="7"/>
  <c r="F480" i="7"/>
  <c r="D480" i="7"/>
  <c r="A481" i="7"/>
  <c r="B481" i="7"/>
  <c r="C481" i="7"/>
  <c r="D481" i="7"/>
  <c r="A482" i="7"/>
  <c r="B482" i="7"/>
  <c r="C482" i="7"/>
  <c r="F482" i="7"/>
  <c r="D482" i="7"/>
  <c r="A483" i="7"/>
  <c r="B483" i="7"/>
  <c r="C483" i="7"/>
  <c r="F483" i="7"/>
  <c r="D483" i="7"/>
  <c r="A484" i="7"/>
  <c r="B484" i="7"/>
  <c r="C484" i="7"/>
  <c r="D484" i="7"/>
  <c r="A485" i="7"/>
  <c r="B485" i="7"/>
  <c r="C485" i="7"/>
  <c r="G485" i="7"/>
  <c r="D485" i="7"/>
  <c r="A486" i="7"/>
  <c r="B486" i="7"/>
  <c r="C486" i="7"/>
  <c r="D486" i="7"/>
  <c r="A487" i="7"/>
  <c r="B487" i="7"/>
  <c r="C487" i="7"/>
  <c r="F487" i="7"/>
  <c r="D487" i="7"/>
  <c r="A488" i="7"/>
  <c r="B488" i="7"/>
  <c r="C488" i="7"/>
  <c r="F488" i="7"/>
  <c r="D488" i="7"/>
  <c r="A489" i="7"/>
  <c r="B489" i="7"/>
  <c r="C489" i="7"/>
  <c r="G489" i="7"/>
  <c r="D489" i="7"/>
  <c r="A490" i="7"/>
  <c r="B490" i="7"/>
  <c r="C490" i="7"/>
  <c r="G490" i="7"/>
  <c r="D490" i="7"/>
  <c r="A491" i="7"/>
  <c r="B491" i="7"/>
  <c r="C491" i="7"/>
  <c r="D491" i="7"/>
  <c r="A492" i="7"/>
  <c r="B492" i="7"/>
  <c r="C492" i="7"/>
  <c r="F492" i="7"/>
  <c r="D492" i="7"/>
  <c r="A493" i="7"/>
  <c r="B493" i="7"/>
  <c r="C493" i="7"/>
  <c r="G493" i="7"/>
  <c r="D493" i="7"/>
  <c r="A494" i="7"/>
  <c r="B494" i="7"/>
  <c r="C494" i="7"/>
  <c r="F494" i="7"/>
  <c r="D494" i="7"/>
  <c r="A495" i="7"/>
  <c r="B495" i="7"/>
  <c r="C495" i="7"/>
  <c r="G495" i="7"/>
  <c r="D495" i="7"/>
  <c r="A496" i="7"/>
  <c r="B496" i="7"/>
  <c r="C496" i="7"/>
  <c r="G496" i="7"/>
  <c r="D496" i="7"/>
  <c r="A497" i="7"/>
  <c r="B497" i="7"/>
  <c r="C497" i="7"/>
  <c r="G497" i="7"/>
  <c r="D497" i="7"/>
  <c r="A498" i="7"/>
  <c r="B498" i="7"/>
  <c r="C498" i="7"/>
  <c r="F498" i="7"/>
  <c r="D498" i="7"/>
  <c r="A499" i="7"/>
  <c r="B499" i="7"/>
  <c r="C499" i="7"/>
  <c r="F499" i="7"/>
  <c r="D499" i="7"/>
  <c r="A500" i="7"/>
  <c r="B500" i="7"/>
  <c r="C500" i="7"/>
  <c r="G500" i="7"/>
  <c r="D500" i="7"/>
  <c r="A501" i="7"/>
  <c r="B501" i="7"/>
  <c r="C501" i="7"/>
  <c r="F501" i="7"/>
  <c r="D501" i="7"/>
  <c r="A502" i="7"/>
  <c r="B502" i="7"/>
  <c r="C502" i="7"/>
  <c r="G502" i="7"/>
  <c r="D502" i="7"/>
  <c r="A503" i="7"/>
  <c r="B503" i="7"/>
  <c r="C503" i="7"/>
  <c r="G503" i="7"/>
  <c r="D503" i="7"/>
  <c r="A504" i="7"/>
  <c r="B504" i="7"/>
  <c r="C504" i="7"/>
  <c r="G504" i="7"/>
  <c r="D504" i="7"/>
  <c r="A505" i="7"/>
  <c r="B505" i="7"/>
  <c r="C505" i="7"/>
  <c r="G505" i="7"/>
  <c r="D505" i="7"/>
  <c r="A506" i="7"/>
  <c r="B506" i="7"/>
  <c r="C506" i="7"/>
  <c r="G506" i="7"/>
  <c r="D506" i="7"/>
  <c r="A507" i="7"/>
  <c r="B507" i="7"/>
  <c r="C507" i="7"/>
  <c r="F507" i="7"/>
  <c r="D507" i="7"/>
  <c r="A508" i="7"/>
  <c r="B508" i="7"/>
  <c r="C508" i="7"/>
  <c r="G508" i="7"/>
  <c r="D508" i="7"/>
  <c r="A509" i="7"/>
  <c r="B509" i="7"/>
  <c r="C509" i="7"/>
  <c r="F509" i="7"/>
  <c r="D509" i="7"/>
  <c r="A510" i="7"/>
  <c r="B510" i="7"/>
  <c r="C510" i="7"/>
  <c r="F510" i="7"/>
  <c r="D510" i="7"/>
  <c r="A511" i="7"/>
  <c r="B511" i="7"/>
  <c r="C511" i="7"/>
  <c r="G511" i="7"/>
  <c r="D511" i="7"/>
  <c r="A512" i="7"/>
  <c r="B512" i="7"/>
  <c r="C512" i="7"/>
  <c r="G512" i="7"/>
  <c r="D512" i="7"/>
  <c r="A513" i="7"/>
  <c r="B513" i="7"/>
  <c r="C513" i="7"/>
  <c r="G513" i="7"/>
  <c r="D513" i="7"/>
  <c r="A514" i="7"/>
  <c r="B514" i="7"/>
  <c r="C514" i="7"/>
  <c r="G514" i="7"/>
  <c r="D514" i="7"/>
  <c r="A515" i="7"/>
  <c r="B515" i="7"/>
  <c r="C515" i="7"/>
  <c r="G515" i="7"/>
  <c r="D515" i="7"/>
  <c r="A516" i="7"/>
  <c r="B516" i="7"/>
  <c r="C516" i="7"/>
  <c r="F516" i="7"/>
  <c r="D516" i="7"/>
  <c r="A517" i="7"/>
  <c r="B517" i="7"/>
  <c r="C517" i="7"/>
  <c r="G517" i="7"/>
  <c r="D517" i="7"/>
  <c r="A518" i="7"/>
  <c r="B518" i="7"/>
  <c r="C518" i="7"/>
  <c r="D518" i="7"/>
  <c r="A519" i="7"/>
  <c r="B519" i="7"/>
  <c r="C519" i="7"/>
  <c r="G519" i="7"/>
  <c r="D519" i="7"/>
  <c r="A520" i="7"/>
  <c r="B520" i="7"/>
  <c r="C520" i="7"/>
  <c r="G520" i="7"/>
  <c r="D520" i="7"/>
  <c r="A521" i="7"/>
  <c r="B521" i="7"/>
  <c r="C521" i="7"/>
  <c r="G521" i="7"/>
  <c r="D521" i="7"/>
  <c r="A522" i="7"/>
  <c r="B522" i="7"/>
  <c r="C522" i="7"/>
  <c r="F522" i="7"/>
  <c r="D522" i="7"/>
  <c r="A523" i="7"/>
  <c r="B523" i="7"/>
  <c r="C523" i="7"/>
  <c r="G523" i="7"/>
  <c r="D523" i="7"/>
  <c r="A524" i="7"/>
  <c r="B524" i="7"/>
  <c r="C524" i="7"/>
  <c r="G524" i="7"/>
  <c r="D524" i="7"/>
  <c r="A525" i="7"/>
  <c r="B525" i="7"/>
  <c r="C525" i="7"/>
  <c r="G525" i="7"/>
  <c r="D525" i="7"/>
  <c r="A526" i="7"/>
  <c r="B526" i="7"/>
  <c r="C526" i="7"/>
  <c r="G526" i="7"/>
  <c r="D526" i="7"/>
  <c r="A527" i="7"/>
  <c r="B527" i="7"/>
  <c r="C527" i="7"/>
  <c r="G527" i="7"/>
  <c r="D527" i="7"/>
  <c r="A528" i="7"/>
  <c r="B528" i="7"/>
  <c r="C528" i="7"/>
  <c r="D528" i="7"/>
  <c r="A529" i="7"/>
  <c r="B529" i="7"/>
  <c r="C529" i="7"/>
  <c r="F529" i="7"/>
  <c r="D529" i="7"/>
  <c r="A530" i="7"/>
  <c r="B530" i="7"/>
  <c r="C530" i="7"/>
  <c r="G530" i="7"/>
  <c r="D530" i="7"/>
  <c r="A531" i="7"/>
  <c r="B531" i="7"/>
  <c r="C531" i="7"/>
  <c r="F531" i="7"/>
  <c r="D531" i="7"/>
  <c r="A532" i="7"/>
  <c r="B532" i="7"/>
  <c r="C532" i="7"/>
  <c r="G532" i="7"/>
  <c r="D532" i="7"/>
  <c r="A533" i="7"/>
  <c r="B533" i="7"/>
  <c r="C533" i="7"/>
  <c r="F533" i="7"/>
  <c r="D533" i="7"/>
  <c r="A534" i="7"/>
  <c r="B534" i="7"/>
  <c r="C534" i="7"/>
  <c r="F534" i="7"/>
  <c r="D534" i="7"/>
  <c r="A535" i="7"/>
  <c r="B535" i="7"/>
  <c r="C535" i="7"/>
  <c r="G535" i="7"/>
  <c r="D535" i="7"/>
  <c r="A536" i="7"/>
  <c r="B536" i="7"/>
  <c r="C536" i="7"/>
  <c r="F536" i="7"/>
  <c r="D536" i="7"/>
  <c r="A537" i="7"/>
  <c r="B537" i="7"/>
  <c r="C537" i="7"/>
  <c r="F537" i="7"/>
  <c r="D537" i="7"/>
  <c r="A538" i="7"/>
  <c r="B538" i="7"/>
  <c r="C538" i="7"/>
  <c r="D538" i="7"/>
  <c r="A539" i="7"/>
  <c r="B539" i="7"/>
  <c r="C539" i="7"/>
  <c r="G539" i="7"/>
  <c r="D539" i="7"/>
  <c r="A540" i="7"/>
  <c r="B540" i="7"/>
  <c r="C540" i="7"/>
  <c r="G540" i="7"/>
  <c r="D540" i="7"/>
  <c r="A541" i="7"/>
  <c r="B541" i="7"/>
  <c r="C541" i="7"/>
  <c r="F541" i="7"/>
  <c r="D541" i="7"/>
  <c r="A542" i="7"/>
  <c r="B542" i="7"/>
  <c r="C542" i="7"/>
  <c r="G542" i="7"/>
  <c r="D542" i="7"/>
  <c r="A543" i="7"/>
  <c r="B543" i="7"/>
  <c r="C543" i="7"/>
  <c r="G543" i="7"/>
  <c r="D543" i="7"/>
  <c r="A544" i="7"/>
  <c r="B544" i="7"/>
  <c r="C544" i="7"/>
  <c r="D544" i="7"/>
  <c r="A545" i="7"/>
  <c r="B545" i="7"/>
  <c r="C545" i="7"/>
  <c r="G545" i="7"/>
  <c r="D545" i="7"/>
  <c r="A546" i="7"/>
  <c r="B546" i="7"/>
  <c r="C546" i="7"/>
  <c r="F546" i="7"/>
  <c r="D546" i="7"/>
  <c r="A547" i="7"/>
  <c r="B547" i="7"/>
  <c r="C547" i="7"/>
  <c r="F547" i="7"/>
  <c r="D547" i="7"/>
  <c r="A548" i="7"/>
  <c r="B548" i="7"/>
  <c r="C548" i="7"/>
  <c r="F548" i="7"/>
  <c r="D548" i="7"/>
  <c r="A549" i="7"/>
  <c r="B549" i="7"/>
  <c r="C549" i="7"/>
  <c r="F549" i="7"/>
  <c r="D549" i="7"/>
  <c r="A550" i="7"/>
  <c r="B550" i="7"/>
  <c r="C550" i="7"/>
  <c r="G550" i="7"/>
  <c r="D550" i="7"/>
  <c r="A551" i="7"/>
  <c r="B551" i="7"/>
  <c r="C551" i="7"/>
  <c r="D551" i="7"/>
  <c r="A552" i="7"/>
  <c r="B552" i="7"/>
  <c r="C552" i="7"/>
  <c r="G552" i="7"/>
  <c r="D552" i="7"/>
  <c r="A553" i="7"/>
  <c r="B553" i="7"/>
  <c r="C553" i="7"/>
  <c r="G553" i="7"/>
  <c r="D553" i="7"/>
  <c r="A554" i="7"/>
  <c r="B554" i="7"/>
  <c r="C554" i="7"/>
  <c r="D554" i="7"/>
  <c r="A555" i="7"/>
  <c r="B555" i="7"/>
  <c r="C555" i="7"/>
  <c r="G555" i="7"/>
  <c r="D555" i="7"/>
  <c r="A556" i="7"/>
  <c r="B556" i="7"/>
  <c r="C556" i="7"/>
  <c r="F556" i="7"/>
  <c r="D556" i="7"/>
  <c r="A557" i="7"/>
  <c r="B557" i="7"/>
  <c r="C557" i="7"/>
  <c r="G557" i="7"/>
  <c r="D557" i="7"/>
  <c r="A558" i="7"/>
  <c r="B558" i="7"/>
  <c r="C558" i="7"/>
  <c r="F558" i="7"/>
  <c r="D558" i="7"/>
  <c r="A559" i="7"/>
  <c r="B559" i="7"/>
  <c r="C559" i="7"/>
  <c r="G559" i="7"/>
  <c r="D559" i="7"/>
  <c r="A560" i="7"/>
  <c r="B560" i="7"/>
  <c r="C560" i="7"/>
  <c r="G560" i="7"/>
  <c r="D560" i="7"/>
  <c r="A561" i="7"/>
  <c r="B561" i="7"/>
  <c r="C561" i="7"/>
  <c r="F561" i="7"/>
  <c r="D561" i="7"/>
  <c r="A562" i="7"/>
  <c r="B562" i="7"/>
  <c r="C562" i="7"/>
  <c r="G562" i="7"/>
  <c r="D562" i="7"/>
  <c r="A563" i="7"/>
  <c r="B563" i="7"/>
  <c r="C563" i="7"/>
  <c r="G563" i="7"/>
  <c r="D563" i="7"/>
  <c r="A564" i="7"/>
  <c r="B564" i="7"/>
  <c r="C564" i="7"/>
  <c r="F564" i="7"/>
  <c r="D564" i="7"/>
  <c r="A565" i="7"/>
  <c r="B565" i="7"/>
  <c r="C565" i="7"/>
  <c r="G565" i="7"/>
  <c r="D565" i="7"/>
  <c r="A566" i="7"/>
  <c r="B566" i="7"/>
  <c r="C566" i="7"/>
  <c r="G566" i="7"/>
  <c r="D566" i="7"/>
  <c r="A567" i="7"/>
  <c r="B567" i="7"/>
  <c r="C567" i="7"/>
  <c r="D567" i="7"/>
  <c r="A568" i="7"/>
  <c r="B568" i="7"/>
  <c r="C568" i="7"/>
  <c r="G568" i="7"/>
  <c r="D568" i="7"/>
  <c r="A569" i="7"/>
  <c r="B569" i="7"/>
  <c r="C569" i="7"/>
  <c r="G569" i="7"/>
  <c r="D569" i="7"/>
  <c r="A570" i="7"/>
  <c r="B570" i="7"/>
  <c r="C570" i="7"/>
  <c r="D570" i="7"/>
  <c r="A571" i="7"/>
  <c r="B571" i="7"/>
  <c r="C571" i="7"/>
  <c r="G571" i="7"/>
  <c r="D571" i="7"/>
  <c r="A572" i="7"/>
  <c r="B572" i="7"/>
  <c r="C572" i="7"/>
  <c r="F572" i="7"/>
  <c r="D572" i="7"/>
  <c r="A573" i="7"/>
  <c r="B573" i="7"/>
  <c r="C573" i="7"/>
  <c r="F573" i="7"/>
  <c r="D573" i="7"/>
  <c r="A574" i="7"/>
  <c r="B574" i="7"/>
  <c r="C574" i="7"/>
  <c r="F574" i="7"/>
  <c r="D574" i="7"/>
  <c r="A575" i="7"/>
  <c r="B575" i="7"/>
  <c r="C575" i="7"/>
  <c r="D575" i="7"/>
  <c r="A576" i="7"/>
  <c r="B576" i="7"/>
  <c r="C576" i="7"/>
  <c r="G576" i="7"/>
  <c r="D576" i="7"/>
  <c r="A577" i="7"/>
  <c r="B577" i="7"/>
  <c r="C577" i="7"/>
  <c r="G577" i="7"/>
  <c r="D577" i="7"/>
  <c r="A578" i="7"/>
  <c r="B578" i="7"/>
  <c r="C578" i="7"/>
  <c r="G578" i="7"/>
  <c r="D578" i="7"/>
  <c r="A579" i="7"/>
  <c r="B579" i="7"/>
  <c r="C579" i="7"/>
  <c r="F579" i="7"/>
  <c r="D579" i="7"/>
  <c r="A580" i="7"/>
  <c r="B580" i="7"/>
  <c r="C580" i="7"/>
  <c r="D580" i="7"/>
  <c r="A581" i="7"/>
  <c r="B581" i="7"/>
  <c r="C581" i="7"/>
  <c r="F581" i="7"/>
  <c r="D581" i="7"/>
  <c r="A582" i="7"/>
  <c r="B582" i="7"/>
  <c r="C582" i="7"/>
  <c r="F582" i="7"/>
  <c r="D582" i="7"/>
  <c r="A583" i="7"/>
  <c r="B583" i="7"/>
  <c r="C583" i="7"/>
  <c r="G583" i="7"/>
  <c r="D583" i="7"/>
  <c r="A584" i="7"/>
  <c r="B584" i="7"/>
  <c r="C584" i="7"/>
  <c r="D584" i="7"/>
  <c r="A585" i="7"/>
  <c r="B585" i="7"/>
  <c r="C585" i="7"/>
  <c r="G585" i="7"/>
  <c r="D585" i="7"/>
  <c r="A586" i="7"/>
  <c r="B586" i="7"/>
  <c r="C586" i="7"/>
  <c r="F586" i="7"/>
  <c r="D586" i="7"/>
  <c r="A587" i="7"/>
  <c r="B587" i="7"/>
  <c r="C587" i="7"/>
  <c r="F587" i="7"/>
  <c r="D587" i="7"/>
  <c r="A588" i="7"/>
  <c r="B588" i="7"/>
  <c r="C588" i="7"/>
  <c r="G588" i="7"/>
  <c r="D588" i="7"/>
  <c r="A589" i="7"/>
  <c r="B589" i="7"/>
  <c r="C589" i="7"/>
  <c r="F589" i="7"/>
  <c r="D589" i="7"/>
  <c r="A590" i="7"/>
  <c r="B590" i="7"/>
  <c r="C590" i="7"/>
  <c r="D590" i="7"/>
  <c r="A591" i="7"/>
  <c r="B591" i="7"/>
  <c r="C591" i="7"/>
  <c r="G591" i="7"/>
  <c r="D591" i="7"/>
  <c r="A592" i="7"/>
  <c r="B592" i="7"/>
  <c r="C592" i="7"/>
  <c r="D592" i="7"/>
  <c r="A593" i="7"/>
  <c r="B593" i="7"/>
  <c r="C593" i="7"/>
  <c r="G593" i="7"/>
  <c r="D593" i="7"/>
  <c r="A594" i="7"/>
  <c r="B594" i="7"/>
  <c r="C594" i="7"/>
  <c r="F594" i="7"/>
  <c r="D594" i="7"/>
  <c r="A595" i="7"/>
  <c r="B595" i="7"/>
  <c r="C595" i="7"/>
  <c r="G595" i="7"/>
  <c r="D595" i="7"/>
  <c r="A596" i="7"/>
  <c r="B596" i="7"/>
  <c r="C596" i="7"/>
  <c r="F596" i="7"/>
  <c r="D596" i="7"/>
  <c r="A597" i="7"/>
  <c r="B597" i="7"/>
  <c r="C597" i="7"/>
  <c r="G597" i="7"/>
  <c r="D597" i="7"/>
  <c r="A598" i="7"/>
  <c r="B598" i="7"/>
  <c r="C598" i="7"/>
  <c r="D598" i="7"/>
  <c r="A599" i="7"/>
  <c r="B599" i="7"/>
  <c r="C599" i="7"/>
  <c r="G599" i="7"/>
  <c r="D599" i="7"/>
  <c r="A600" i="7"/>
  <c r="B600" i="7"/>
  <c r="C600" i="7"/>
  <c r="G600" i="7"/>
  <c r="D600" i="7"/>
  <c r="A601" i="7"/>
  <c r="B601" i="7"/>
  <c r="C601" i="7"/>
  <c r="D601" i="7"/>
  <c r="A602" i="7"/>
  <c r="B602" i="7"/>
  <c r="C602" i="7"/>
  <c r="F602" i="7"/>
  <c r="D602" i="7"/>
  <c r="A603" i="7"/>
  <c r="B603" i="7"/>
  <c r="C603" i="7"/>
  <c r="G603" i="7"/>
  <c r="D603" i="7"/>
  <c r="A604" i="7"/>
  <c r="B604" i="7"/>
  <c r="C604" i="7"/>
  <c r="G604" i="7"/>
  <c r="D604" i="7"/>
  <c r="A605" i="7"/>
  <c r="B605" i="7"/>
  <c r="C605" i="7"/>
  <c r="G605" i="7"/>
  <c r="D605" i="7"/>
  <c r="A606" i="7"/>
  <c r="B606" i="7"/>
  <c r="C606" i="7"/>
  <c r="D606" i="7"/>
  <c r="A607" i="7"/>
  <c r="B607" i="7"/>
  <c r="C607" i="7"/>
  <c r="F607" i="7"/>
  <c r="D607" i="7"/>
  <c r="A608" i="7"/>
  <c r="B608" i="7"/>
  <c r="C608" i="7"/>
  <c r="G608" i="7"/>
  <c r="D608" i="7"/>
  <c r="A609" i="7"/>
  <c r="B609" i="7"/>
  <c r="C609" i="7"/>
  <c r="D609" i="7"/>
  <c r="A610" i="7"/>
  <c r="B610" i="7"/>
  <c r="C610" i="7"/>
  <c r="G610" i="7"/>
  <c r="D610" i="7"/>
  <c r="A611" i="7"/>
  <c r="B611" i="7"/>
  <c r="C611" i="7"/>
  <c r="G611" i="7"/>
  <c r="D611" i="7"/>
  <c r="A612" i="7"/>
  <c r="B612" i="7"/>
  <c r="C612" i="7"/>
  <c r="F612" i="7"/>
  <c r="D612" i="7"/>
  <c r="A613" i="7"/>
  <c r="B613" i="7"/>
  <c r="D613" i="7"/>
  <c r="A614" i="7"/>
  <c r="B614" i="7"/>
  <c r="C614" i="7"/>
  <c r="G614" i="7"/>
  <c r="D614" i="7"/>
  <c r="A615" i="7"/>
  <c r="B615" i="7"/>
  <c r="C615" i="7"/>
  <c r="D615" i="7"/>
  <c r="A616" i="7"/>
  <c r="B616" i="7"/>
  <c r="C616" i="7"/>
  <c r="F616" i="7"/>
  <c r="D616" i="7"/>
  <c r="A617" i="7"/>
  <c r="B617" i="7"/>
  <c r="C617" i="7"/>
  <c r="F617" i="7"/>
  <c r="D617" i="7"/>
  <c r="A618" i="7"/>
  <c r="B618" i="7"/>
  <c r="C618" i="7"/>
  <c r="F618" i="7"/>
  <c r="D618" i="7"/>
  <c r="A619" i="7"/>
  <c r="B619" i="7"/>
  <c r="C619" i="7"/>
  <c r="D619" i="7"/>
  <c r="A620" i="7"/>
  <c r="B620" i="7"/>
  <c r="C620" i="7"/>
  <c r="G620" i="7"/>
  <c r="D620" i="7"/>
  <c r="A621" i="7"/>
  <c r="B621" i="7"/>
  <c r="C621" i="7"/>
  <c r="D621" i="7"/>
  <c r="A622" i="7"/>
  <c r="B622" i="7"/>
  <c r="C622" i="7"/>
  <c r="F622" i="7"/>
  <c r="D622" i="7"/>
  <c r="A623" i="7"/>
  <c r="B623" i="7"/>
  <c r="C623" i="7"/>
  <c r="G623" i="7"/>
  <c r="D623" i="7"/>
  <c r="A624" i="7"/>
  <c r="B624" i="7"/>
  <c r="C624" i="7"/>
  <c r="D624" i="7"/>
  <c r="A625" i="7"/>
  <c r="B625" i="7"/>
  <c r="C625" i="7"/>
  <c r="D625" i="7"/>
  <c r="A626" i="7"/>
  <c r="B626" i="7"/>
  <c r="C626" i="7"/>
  <c r="F626" i="7"/>
  <c r="D626" i="7"/>
  <c r="A627" i="7"/>
  <c r="B627" i="7"/>
  <c r="C627" i="7"/>
  <c r="F627" i="7"/>
  <c r="D627" i="7"/>
  <c r="A628" i="7"/>
  <c r="B628" i="7"/>
  <c r="C628" i="7"/>
  <c r="G628" i="7"/>
  <c r="D628" i="7"/>
  <c r="A629" i="7"/>
  <c r="B629" i="7"/>
  <c r="C629" i="7"/>
  <c r="G629" i="7"/>
  <c r="D629" i="7"/>
  <c r="A630" i="7"/>
  <c r="B630" i="7"/>
  <c r="C630" i="7"/>
  <c r="G630" i="7"/>
  <c r="D630" i="7"/>
  <c r="A631" i="7"/>
  <c r="B631" i="7"/>
  <c r="C631" i="7"/>
  <c r="D631" i="7"/>
  <c r="A632" i="7"/>
  <c r="B632" i="7"/>
  <c r="C632" i="7"/>
  <c r="F632" i="7"/>
  <c r="D632" i="7"/>
  <c r="A633" i="7"/>
  <c r="B633" i="7"/>
  <c r="C633" i="7"/>
  <c r="F633" i="7"/>
  <c r="D633" i="7"/>
  <c r="A634" i="7"/>
  <c r="B634" i="7"/>
  <c r="C634" i="7"/>
  <c r="F634" i="7"/>
  <c r="D634" i="7"/>
  <c r="A635" i="7"/>
  <c r="B635" i="7"/>
  <c r="C635" i="7"/>
  <c r="G635" i="7"/>
  <c r="D635" i="7"/>
  <c r="A636" i="7"/>
  <c r="B636" i="7"/>
  <c r="C636" i="7"/>
  <c r="G636" i="7"/>
  <c r="D636" i="7"/>
  <c r="A637" i="7"/>
  <c r="B637" i="7"/>
  <c r="C637" i="7"/>
  <c r="F637" i="7"/>
  <c r="D637" i="7"/>
  <c r="A638" i="7"/>
  <c r="B638" i="7"/>
  <c r="C638" i="7"/>
  <c r="D638" i="7"/>
  <c r="A639" i="7"/>
  <c r="B639" i="7"/>
  <c r="C639" i="7"/>
  <c r="G639" i="7"/>
  <c r="D639" i="7"/>
  <c r="A640" i="7"/>
  <c r="B640" i="7"/>
  <c r="C640" i="7"/>
  <c r="G640" i="7"/>
  <c r="D640" i="7"/>
  <c r="A641" i="7"/>
  <c r="B641" i="7"/>
  <c r="C641" i="7"/>
  <c r="F641" i="7"/>
  <c r="D641" i="7"/>
  <c r="A642" i="7"/>
  <c r="B642" i="7"/>
  <c r="C642" i="7"/>
  <c r="G642" i="7"/>
  <c r="D642" i="7"/>
  <c r="A643" i="7"/>
  <c r="B643" i="7"/>
  <c r="C643" i="7"/>
  <c r="D643" i="7"/>
  <c r="A644" i="7"/>
  <c r="B644" i="7"/>
  <c r="C644" i="7"/>
  <c r="G644" i="7"/>
  <c r="D644" i="7"/>
  <c r="A645" i="7"/>
  <c r="B645" i="7"/>
  <c r="C645" i="7"/>
  <c r="G645" i="7"/>
  <c r="D645" i="7"/>
  <c r="A646" i="7"/>
  <c r="B646" i="7"/>
  <c r="C646" i="7"/>
  <c r="D646" i="7"/>
  <c r="A647" i="7"/>
  <c r="B647" i="7"/>
  <c r="C647" i="7"/>
  <c r="F647" i="7"/>
  <c r="D647" i="7"/>
  <c r="A648" i="7"/>
  <c r="B648" i="7"/>
  <c r="C648" i="7"/>
  <c r="G648" i="7"/>
  <c r="D648" i="7"/>
  <c r="A649" i="7"/>
  <c r="B649" i="7"/>
  <c r="C649" i="7"/>
  <c r="D649" i="7"/>
  <c r="A650" i="7"/>
  <c r="B650" i="7"/>
  <c r="C650" i="7"/>
  <c r="G650" i="7"/>
  <c r="D650" i="7"/>
  <c r="A651" i="7"/>
  <c r="B651" i="7"/>
  <c r="C651" i="7"/>
  <c r="G651" i="7"/>
  <c r="D651" i="7"/>
  <c r="A652" i="7"/>
  <c r="B652" i="7"/>
  <c r="C652" i="7"/>
  <c r="D652" i="7"/>
  <c r="A653" i="7"/>
  <c r="B653" i="7"/>
  <c r="C653" i="7"/>
  <c r="F653" i="7"/>
  <c r="D653" i="7"/>
  <c r="A654" i="7"/>
  <c r="B654" i="7"/>
  <c r="C654" i="7"/>
  <c r="F654" i="7"/>
  <c r="D654" i="7"/>
  <c r="A655" i="7"/>
  <c r="B655" i="7"/>
  <c r="C655" i="7"/>
  <c r="G655" i="7"/>
  <c r="D655" i="7"/>
  <c r="A656" i="7"/>
  <c r="B656" i="7"/>
  <c r="C656" i="7"/>
  <c r="F656" i="7"/>
  <c r="D656" i="7"/>
  <c r="A657" i="7"/>
  <c r="B657" i="7"/>
  <c r="C657" i="7"/>
  <c r="G657" i="7"/>
  <c r="D657" i="7"/>
  <c r="A658" i="7"/>
  <c r="B658" i="7"/>
  <c r="C658" i="7"/>
  <c r="F658" i="7"/>
  <c r="D658" i="7"/>
  <c r="A659" i="7"/>
  <c r="B659" i="7"/>
  <c r="C659" i="7"/>
  <c r="F659" i="7"/>
  <c r="D659" i="7"/>
  <c r="A660" i="7"/>
  <c r="B660" i="7"/>
  <c r="C660" i="7"/>
  <c r="F660" i="7"/>
  <c r="D660" i="7"/>
  <c r="A661" i="7"/>
  <c r="B661" i="7"/>
  <c r="C661" i="7"/>
  <c r="G661" i="7"/>
  <c r="D661" i="7"/>
  <c r="A662" i="7"/>
  <c r="B662" i="7"/>
  <c r="C662" i="7"/>
  <c r="G662" i="7"/>
  <c r="D662" i="7"/>
  <c r="A663" i="7"/>
  <c r="B663" i="7"/>
  <c r="C663" i="7"/>
  <c r="D663" i="7"/>
  <c r="A664" i="7"/>
  <c r="B664" i="7"/>
  <c r="C664" i="7"/>
  <c r="G664" i="7"/>
  <c r="D664" i="7"/>
  <c r="A665" i="7"/>
  <c r="B665" i="7"/>
  <c r="C665" i="7"/>
  <c r="G665" i="7"/>
  <c r="D665" i="7"/>
  <c r="A666" i="7"/>
  <c r="B666" i="7"/>
  <c r="C666" i="7"/>
  <c r="F666" i="7"/>
  <c r="D666" i="7"/>
  <c r="A667" i="7"/>
  <c r="B667" i="7"/>
  <c r="C667" i="7"/>
  <c r="G667" i="7"/>
  <c r="D667" i="7"/>
  <c r="A668" i="7"/>
  <c r="B668" i="7"/>
  <c r="C668" i="7"/>
  <c r="D668" i="7"/>
  <c r="A669" i="7"/>
  <c r="B669" i="7"/>
  <c r="C669" i="7"/>
  <c r="F669" i="7"/>
  <c r="D669" i="7"/>
  <c r="A670" i="7"/>
  <c r="B670" i="7"/>
  <c r="C670" i="7"/>
  <c r="G670" i="7"/>
  <c r="D670" i="7"/>
  <c r="A671" i="7"/>
  <c r="B671" i="7"/>
  <c r="C671" i="7"/>
  <c r="F671" i="7"/>
  <c r="D671" i="7"/>
  <c r="A672" i="7"/>
  <c r="B672" i="7"/>
  <c r="C672" i="7"/>
  <c r="G672" i="7"/>
  <c r="D672" i="7"/>
  <c r="A673" i="7"/>
  <c r="B673" i="7"/>
  <c r="C673" i="7"/>
  <c r="F673" i="7"/>
  <c r="D673" i="7"/>
  <c r="A674" i="7"/>
  <c r="B674" i="7"/>
  <c r="C674" i="7"/>
  <c r="F674" i="7"/>
  <c r="D674" i="7"/>
  <c r="A675" i="7"/>
  <c r="B675" i="7"/>
  <c r="C675" i="7"/>
  <c r="G675" i="7"/>
  <c r="D675" i="7"/>
  <c r="A676" i="7"/>
  <c r="B676" i="7"/>
  <c r="C676" i="7"/>
  <c r="G676" i="7"/>
  <c r="D676" i="7"/>
  <c r="A677" i="7"/>
  <c r="B677" i="7"/>
  <c r="C677" i="7"/>
  <c r="G677" i="7"/>
  <c r="D677" i="7"/>
  <c r="A678" i="7"/>
  <c r="B678" i="7"/>
  <c r="C678" i="7"/>
  <c r="G678" i="7"/>
  <c r="D678" i="7"/>
  <c r="A679" i="7"/>
  <c r="B679" i="7"/>
  <c r="C679" i="7"/>
  <c r="D679" i="7"/>
  <c r="A680" i="7"/>
  <c r="B680" i="7"/>
  <c r="C680" i="7"/>
  <c r="G680" i="7"/>
  <c r="D680" i="7"/>
  <c r="A681" i="7"/>
  <c r="B681" i="7"/>
  <c r="C681" i="7"/>
  <c r="D681" i="7"/>
  <c r="A682" i="7"/>
  <c r="B682" i="7"/>
  <c r="C682" i="7"/>
  <c r="G682" i="7"/>
  <c r="D682" i="7"/>
  <c r="A683" i="7"/>
  <c r="B683" i="7"/>
  <c r="C683" i="7"/>
  <c r="G683" i="7"/>
  <c r="D683" i="7"/>
  <c r="A684" i="7"/>
  <c r="B684" i="7"/>
  <c r="C684" i="7"/>
  <c r="G684" i="7"/>
  <c r="D684" i="7"/>
  <c r="A685" i="7"/>
  <c r="B685" i="7"/>
  <c r="C685" i="7"/>
  <c r="G685" i="7"/>
  <c r="D685" i="7"/>
  <c r="A686" i="7"/>
  <c r="B686" i="7"/>
  <c r="C686" i="7"/>
  <c r="F686" i="7"/>
  <c r="D686" i="7"/>
  <c r="A687" i="7"/>
  <c r="B687" i="7"/>
  <c r="C687" i="7"/>
  <c r="D687" i="7"/>
  <c r="A688" i="7"/>
  <c r="B688" i="7"/>
  <c r="C688" i="7"/>
  <c r="G688" i="7"/>
  <c r="D688" i="7"/>
  <c r="A689" i="7"/>
  <c r="B689" i="7"/>
  <c r="C689" i="7"/>
  <c r="F689" i="7"/>
  <c r="D689" i="7"/>
  <c r="A690" i="7"/>
  <c r="B690" i="7"/>
  <c r="C690" i="7"/>
  <c r="G690" i="7"/>
  <c r="D690" i="7"/>
  <c r="A691" i="7"/>
  <c r="B691" i="7"/>
  <c r="C691" i="7"/>
  <c r="G691" i="7"/>
  <c r="D691" i="7"/>
  <c r="A692" i="7"/>
  <c r="B692" i="7"/>
  <c r="C692" i="7"/>
  <c r="F692" i="7"/>
  <c r="D692" i="7"/>
  <c r="A693" i="7"/>
  <c r="B693" i="7"/>
  <c r="C693" i="7"/>
  <c r="F693" i="7"/>
  <c r="D693" i="7"/>
  <c r="A694" i="7"/>
  <c r="B694" i="7"/>
  <c r="C694" i="7"/>
  <c r="F694" i="7"/>
  <c r="D694" i="7"/>
  <c r="A695" i="7"/>
  <c r="B695" i="7"/>
  <c r="C695" i="7"/>
  <c r="F695" i="7"/>
  <c r="D695" i="7"/>
  <c r="A696" i="7"/>
  <c r="B696" i="7"/>
  <c r="C696" i="7"/>
  <c r="G696" i="7"/>
  <c r="D696" i="7"/>
  <c r="A697" i="7"/>
  <c r="B697" i="7"/>
  <c r="C697" i="7"/>
  <c r="G697" i="7"/>
  <c r="D697" i="7"/>
  <c r="A698" i="7"/>
  <c r="B698" i="7"/>
  <c r="C698" i="7"/>
  <c r="G698" i="7"/>
  <c r="D698" i="7"/>
  <c r="A699" i="7"/>
  <c r="B699" i="7"/>
  <c r="C699" i="7"/>
  <c r="G699" i="7"/>
  <c r="D699" i="7"/>
  <c r="A700" i="7"/>
  <c r="B700" i="7"/>
  <c r="C700" i="7"/>
  <c r="G700" i="7"/>
  <c r="D700" i="7"/>
  <c r="A701" i="7"/>
  <c r="B701" i="7"/>
  <c r="C701" i="7"/>
  <c r="G701" i="7"/>
  <c r="D701" i="7"/>
  <c r="A702" i="7"/>
  <c r="B702" i="7"/>
  <c r="C702" i="7"/>
  <c r="G702" i="7"/>
  <c r="D702" i="7"/>
  <c r="A703" i="7"/>
  <c r="B703" i="7"/>
  <c r="C703" i="7"/>
  <c r="F703" i="7"/>
  <c r="D703" i="7"/>
  <c r="A704" i="7"/>
  <c r="B704" i="7"/>
  <c r="C704" i="7"/>
  <c r="F704" i="7"/>
  <c r="D704" i="7"/>
  <c r="A705" i="7"/>
  <c r="B705" i="7"/>
  <c r="C705" i="7"/>
  <c r="F705" i="7"/>
  <c r="D705" i="7"/>
  <c r="A706" i="7"/>
  <c r="B706" i="7"/>
  <c r="C706" i="7"/>
  <c r="G706" i="7"/>
  <c r="D706" i="7"/>
  <c r="A707" i="7"/>
  <c r="B707" i="7"/>
  <c r="C707" i="7"/>
  <c r="G707" i="7"/>
  <c r="D707" i="7"/>
  <c r="A708" i="7"/>
  <c r="B708" i="7"/>
  <c r="C708" i="7"/>
  <c r="G708" i="7"/>
  <c r="D708" i="7"/>
  <c r="A709" i="7"/>
  <c r="B709" i="7"/>
  <c r="C709" i="7"/>
  <c r="F709" i="7"/>
  <c r="D709" i="7"/>
  <c r="A710" i="7"/>
  <c r="B710" i="7"/>
  <c r="C710" i="7"/>
  <c r="D710" i="7"/>
  <c r="A711" i="7"/>
  <c r="B711" i="7"/>
  <c r="C711" i="7"/>
  <c r="G711" i="7"/>
  <c r="D711" i="7"/>
  <c r="A712" i="7"/>
  <c r="B712" i="7"/>
  <c r="C712" i="7"/>
  <c r="D712" i="7"/>
  <c r="A713" i="7"/>
  <c r="B713" i="7"/>
  <c r="C713" i="7"/>
  <c r="G713" i="7"/>
  <c r="D713" i="7"/>
  <c r="A714" i="7"/>
  <c r="B714" i="7"/>
  <c r="C714" i="7"/>
  <c r="F714" i="7"/>
  <c r="D714" i="7"/>
  <c r="A715" i="7"/>
  <c r="B715" i="7"/>
  <c r="C715" i="7"/>
  <c r="G715" i="7"/>
  <c r="D715" i="7"/>
  <c r="A716" i="7"/>
  <c r="B716" i="7"/>
  <c r="C716" i="7"/>
  <c r="G716" i="7"/>
  <c r="D716" i="7"/>
  <c r="A717" i="7"/>
  <c r="B717" i="7"/>
  <c r="C717" i="7"/>
  <c r="F717" i="7"/>
  <c r="D717" i="7"/>
  <c r="A718" i="7"/>
  <c r="B718" i="7"/>
  <c r="C718" i="7"/>
  <c r="G718" i="7"/>
  <c r="D718" i="7"/>
  <c r="A719" i="7"/>
  <c r="B719" i="7"/>
  <c r="C719" i="7"/>
  <c r="F719" i="7"/>
  <c r="D719" i="7"/>
  <c r="A720" i="7"/>
  <c r="B720" i="7"/>
  <c r="C720" i="7"/>
  <c r="F720" i="7"/>
  <c r="D720" i="7"/>
  <c r="A721" i="7"/>
  <c r="B721" i="7"/>
  <c r="C721" i="7"/>
  <c r="F721" i="7"/>
  <c r="D721" i="7"/>
  <c r="A722" i="7"/>
  <c r="B722" i="7"/>
  <c r="C722" i="7"/>
  <c r="G722" i="7"/>
  <c r="D722" i="7"/>
  <c r="A723" i="7"/>
  <c r="B723" i="7"/>
  <c r="C723" i="7"/>
  <c r="D723" i="7"/>
  <c r="A724" i="7"/>
  <c r="B724" i="7"/>
  <c r="C724" i="7"/>
  <c r="F724" i="7"/>
  <c r="D724" i="7"/>
  <c r="A725" i="7"/>
  <c r="B725" i="7"/>
  <c r="C725" i="7"/>
  <c r="F725" i="7"/>
  <c r="D725" i="7"/>
  <c r="A726" i="7"/>
  <c r="B726" i="7"/>
  <c r="C726" i="7"/>
  <c r="D726" i="7"/>
  <c r="A727" i="7"/>
  <c r="B727" i="7"/>
  <c r="C727" i="7"/>
  <c r="F727" i="7"/>
  <c r="D727" i="7"/>
  <c r="A728" i="7"/>
  <c r="B728" i="7"/>
  <c r="C728" i="7"/>
  <c r="G728" i="7"/>
  <c r="D728" i="7"/>
  <c r="A729" i="7"/>
  <c r="B729" i="7"/>
  <c r="C729" i="7"/>
  <c r="G729" i="7"/>
  <c r="D729" i="7"/>
  <c r="A730" i="7"/>
  <c r="B730" i="7"/>
  <c r="C730" i="7"/>
  <c r="F730" i="7"/>
  <c r="D730" i="7"/>
  <c r="A731" i="7"/>
  <c r="B731" i="7"/>
  <c r="C731" i="7"/>
  <c r="F731" i="7"/>
  <c r="D731" i="7"/>
  <c r="A732" i="7"/>
  <c r="B732" i="7"/>
  <c r="C732" i="7"/>
  <c r="G732" i="7"/>
  <c r="D732" i="7"/>
  <c r="A733" i="7"/>
  <c r="B733" i="7"/>
  <c r="C733" i="7"/>
  <c r="D733" i="7"/>
  <c r="A734" i="7"/>
  <c r="B734" i="7"/>
  <c r="C734" i="7"/>
  <c r="G734" i="7"/>
  <c r="D734" i="7"/>
  <c r="A735" i="7"/>
  <c r="B735" i="7"/>
  <c r="C735" i="7"/>
  <c r="G735" i="7"/>
  <c r="D735" i="7"/>
  <c r="A736" i="7"/>
  <c r="B736" i="7"/>
  <c r="C736" i="7"/>
  <c r="D736" i="7"/>
  <c r="A737" i="7"/>
  <c r="B737" i="7"/>
  <c r="C737" i="7"/>
  <c r="F737" i="7"/>
  <c r="D737" i="7"/>
  <c r="A738" i="7"/>
  <c r="B738" i="7"/>
  <c r="C738" i="7"/>
  <c r="D738" i="7"/>
  <c r="A739" i="7"/>
  <c r="B739" i="7"/>
  <c r="C739" i="7"/>
  <c r="G739" i="7"/>
  <c r="D739" i="7"/>
  <c r="A740" i="7"/>
  <c r="B740" i="7"/>
  <c r="C740" i="7"/>
  <c r="F740" i="7"/>
  <c r="D740" i="7"/>
  <c r="A741" i="7"/>
  <c r="B741" i="7"/>
  <c r="C741" i="7"/>
  <c r="D741" i="7"/>
  <c r="A742" i="7"/>
  <c r="B742" i="7"/>
  <c r="C742" i="7"/>
  <c r="D742" i="7"/>
  <c r="A743" i="7"/>
  <c r="B743" i="7"/>
  <c r="C743" i="7"/>
  <c r="F743" i="7"/>
  <c r="D743" i="7"/>
  <c r="A744" i="7"/>
  <c r="B744" i="7"/>
  <c r="C744" i="7"/>
  <c r="D744" i="7"/>
  <c r="A745" i="7"/>
  <c r="B745" i="7"/>
  <c r="C745" i="7"/>
  <c r="F745" i="7"/>
  <c r="D745" i="7"/>
  <c r="A746" i="7"/>
  <c r="B746" i="7"/>
  <c r="C746" i="7"/>
  <c r="F746" i="7"/>
  <c r="D746" i="7"/>
  <c r="A747" i="7"/>
  <c r="B747" i="7"/>
  <c r="C747" i="7"/>
  <c r="F747" i="7"/>
  <c r="D747" i="7"/>
  <c r="A748" i="7"/>
  <c r="B748" i="7"/>
  <c r="C748" i="7"/>
  <c r="G748" i="7"/>
  <c r="D748" i="7"/>
  <c r="A749" i="7"/>
  <c r="B749" i="7"/>
  <c r="C749" i="7"/>
  <c r="F749" i="7"/>
  <c r="D749" i="7"/>
  <c r="A750" i="7"/>
  <c r="B750" i="7"/>
  <c r="C750" i="7"/>
  <c r="F750" i="7"/>
  <c r="D750" i="7"/>
  <c r="A751" i="7"/>
  <c r="B751" i="7"/>
  <c r="C751" i="7"/>
  <c r="G751" i="7"/>
  <c r="D751" i="7"/>
  <c r="A752" i="7"/>
  <c r="B752" i="7"/>
  <c r="C752" i="7"/>
  <c r="G752" i="7"/>
  <c r="D752" i="7"/>
  <c r="A753" i="7"/>
  <c r="B753" i="7"/>
  <c r="C753" i="7"/>
  <c r="F753" i="7"/>
  <c r="D753" i="7"/>
  <c r="A754" i="7"/>
  <c r="B754" i="7"/>
  <c r="C754" i="7"/>
  <c r="F754" i="7"/>
  <c r="D754" i="7"/>
  <c r="A755" i="7"/>
  <c r="B755" i="7"/>
  <c r="C755" i="7"/>
  <c r="F755" i="7"/>
  <c r="D755" i="7"/>
  <c r="A756" i="7"/>
  <c r="B756" i="7"/>
  <c r="C756" i="7"/>
  <c r="F756" i="7"/>
  <c r="D756" i="7"/>
  <c r="A757" i="7"/>
  <c r="B757" i="7"/>
  <c r="C757" i="7"/>
  <c r="D757" i="7"/>
  <c r="A758" i="7"/>
  <c r="B758" i="7"/>
  <c r="C758" i="7"/>
  <c r="D758" i="7"/>
  <c r="A759" i="7"/>
  <c r="B759" i="7"/>
  <c r="C759" i="7"/>
  <c r="F759" i="7"/>
  <c r="D759" i="7"/>
  <c r="A760" i="7"/>
  <c r="B760" i="7"/>
  <c r="C760" i="7"/>
  <c r="G760" i="7"/>
  <c r="D760" i="7"/>
  <c r="A761" i="7"/>
  <c r="B761" i="7"/>
  <c r="C761" i="7"/>
  <c r="F761" i="7"/>
  <c r="D761" i="7"/>
  <c r="A762" i="7"/>
  <c r="B762" i="7"/>
  <c r="C762" i="7"/>
  <c r="G762" i="7"/>
  <c r="D762" i="7"/>
  <c r="A763" i="7"/>
  <c r="B763" i="7"/>
  <c r="C763" i="7"/>
  <c r="F763" i="7"/>
  <c r="D763" i="7"/>
  <c r="A764" i="7"/>
  <c r="B764" i="7"/>
  <c r="C764" i="7"/>
  <c r="G764" i="7"/>
  <c r="D764" i="7"/>
  <c r="A765" i="7"/>
  <c r="B765" i="7"/>
  <c r="C765" i="7"/>
  <c r="G765" i="7"/>
  <c r="D765" i="7"/>
  <c r="A766" i="7"/>
  <c r="B766" i="7"/>
  <c r="C766" i="7"/>
  <c r="F766" i="7"/>
  <c r="D766" i="7"/>
  <c r="A767" i="7"/>
  <c r="B767" i="7"/>
  <c r="C767" i="7"/>
  <c r="F767" i="7"/>
  <c r="D767" i="7"/>
  <c r="A768" i="7"/>
  <c r="B768" i="7"/>
  <c r="C768" i="7"/>
  <c r="G768" i="7"/>
  <c r="D768" i="7"/>
  <c r="A769" i="7"/>
  <c r="B769" i="7"/>
  <c r="C769" i="7"/>
  <c r="F769" i="7"/>
  <c r="D769" i="7"/>
  <c r="A770" i="7"/>
  <c r="B770" i="7"/>
  <c r="C770" i="7"/>
  <c r="F770" i="7"/>
  <c r="D770" i="7"/>
  <c r="A771" i="7"/>
  <c r="B771" i="7"/>
  <c r="C771" i="7"/>
  <c r="G771" i="7"/>
  <c r="D771" i="7"/>
  <c r="A772" i="7"/>
  <c r="B772" i="7"/>
  <c r="C772" i="7"/>
  <c r="F772" i="7"/>
  <c r="D772" i="7"/>
  <c r="A773" i="7"/>
  <c r="B773" i="7"/>
  <c r="C773" i="7"/>
  <c r="G773" i="7"/>
  <c r="D773" i="7"/>
  <c r="A774" i="7"/>
  <c r="B774" i="7"/>
  <c r="C774" i="7"/>
  <c r="F774" i="7"/>
  <c r="D774" i="7"/>
  <c r="A775" i="7"/>
  <c r="B775" i="7"/>
  <c r="C775" i="7"/>
  <c r="F775" i="7"/>
  <c r="D775" i="7"/>
  <c r="A776" i="7"/>
  <c r="B776" i="7"/>
  <c r="C776" i="7"/>
  <c r="D776" i="7"/>
  <c r="A777" i="7"/>
  <c r="B777" i="7"/>
  <c r="C777" i="7"/>
  <c r="D777" i="7"/>
  <c r="A778" i="7"/>
  <c r="B778" i="7"/>
  <c r="C778" i="7"/>
  <c r="G778" i="7"/>
  <c r="D778" i="7"/>
  <c r="A779" i="7"/>
  <c r="B779" i="7"/>
  <c r="C779" i="7"/>
  <c r="G779" i="7"/>
  <c r="D779" i="7"/>
  <c r="A780" i="7"/>
  <c r="B780" i="7"/>
  <c r="C780" i="7"/>
  <c r="F780" i="7"/>
  <c r="D780" i="7"/>
  <c r="A781" i="7"/>
  <c r="B781" i="7"/>
  <c r="C781" i="7"/>
  <c r="F781" i="7"/>
  <c r="D781" i="7"/>
  <c r="A782" i="7"/>
  <c r="B782" i="7"/>
  <c r="C782" i="7"/>
  <c r="F782" i="7"/>
  <c r="D782" i="7"/>
  <c r="A783" i="7"/>
  <c r="B783" i="7"/>
  <c r="C783" i="7"/>
  <c r="D783" i="7"/>
  <c r="A784" i="7"/>
  <c r="B784" i="7"/>
  <c r="C784" i="7"/>
  <c r="G784" i="7"/>
  <c r="D784" i="7"/>
  <c r="A785" i="7"/>
  <c r="B785" i="7"/>
  <c r="C785" i="7"/>
  <c r="F785" i="7"/>
  <c r="D785" i="7"/>
  <c r="A786" i="7"/>
  <c r="B786" i="7"/>
  <c r="C786" i="7"/>
  <c r="D786" i="7"/>
  <c r="A787" i="7"/>
  <c r="B787" i="7"/>
  <c r="C787" i="7"/>
  <c r="G787" i="7"/>
  <c r="D787" i="7"/>
  <c r="A788" i="7"/>
  <c r="B788" i="7"/>
  <c r="C788" i="7"/>
  <c r="G788" i="7"/>
  <c r="D788" i="7"/>
  <c r="A789" i="7"/>
  <c r="B789" i="7"/>
  <c r="C789" i="7"/>
  <c r="F789" i="7"/>
  <c r="D789" i="7"/>
  <c r="A790" i="7"/>
  <c r="B790" i="7"/>
  <c r="C790" i="7"/>
  <c r="F790" i="7"/>
  <c r="D790" i="7"/>
  <c r="A791" i="7"/>
  <c r="B791" i="7"/>
  <c r="C791" i="7"/>
  <c r="F791" i="7"/>
  <c r="D791" i="7"/>
  <c r="A792" i="7"/>
  <c r="B792" i="7"/>
  <c r="C792" i="7"/>
  <c r="D792" i="7"/>
  <c r="A793" i="7"/>
  <c r="B793" i="7"/>
  <c r="C793" i="7"/>
  <c r="D793" i="7"/>
  <c r="A794" i="7"/>
  <c r="B794" i="7"/>
  <c r="C794" i="7"/>
  <c r="F794" i="7"/>
  <c r="D794" i="7"/>
  <c r="A795" i="7"/>
  <c r="B795" i="7"/>
  <c r="C795" i="7"/>
  <c r="F795" i="7"/>
  <c r="D795" i="7"/>
  <c r="A796" i="7"/>
  <c r="B796" i="7"/>
  <c r="C796" i="7"/>
  <c r="F796" i="7"/>
  <c r="D796" i="7"/>
  <c r="A797" i="7"/>
  <c r="B797" i="7"/>
  <c r="C797" i="7"/>
  <c r="F797" i="7"/>
  <c r="D797" i="7"/>
  <c r="A798" i="7"/>
  <c r="B798" i="7"/>
  <c r="C798" i="7"/>
  <c r="G798" i="7"/>
  <c r="D798" i="7"/>
  <c r="A799" i="7"/>
  <c r="B799" i="7"/>
  <c r="C799" i="7"/>
  <c r="F799" i="7"/>
  <c r="D799" i="7"/>
  <c r="A800" i="7"/>
  <c r="B800" i="7"/>
  <c r="C800" i="7"/>
  <c r="G800" i="7"/>
  <c r="D800" i="7"/>
  <c r="A801" i="7"/>
  <c r="B801" i="7"/>
  <c r="C801" i="7"/>
  <c r="F801" i="7"/>
  <c r="D801" i="7"/>
  <c r="A802" i="7"/>
  <c r="B802" i="7"/>
  <c r="C802" i="7"/>
  <c r="G802" i="7"/>
  <c r="D802" i="7"/>
  <c r="A803" i="7"/>
  <c r="B803" i="7"/>
  <c r="C803" i="7"/>
  <c r="G803" i="7"/>
  <c r="D803" i="7"/>
  <c r="A804" i="7"/>
  <c r="B804" i="7"/>
  <c r="C804" i="7"/>
  <c r="G804" i="7"/>
  <c r="D804" i="7"/>
  <c r="A805" i="7"/>
  <c r="B805" i="7"/>
  <c r="C805" i="7"/>
  <c r="D805" i="7"/>
  <c r="A806" i="7"/>
  <c r="B806" i="7"/>
  <c r="C806" i="7"/>
  <c r="G806" i="7"/>
  <c r="D806" i="7"/>
  <c r="A807" i="7"/>
  <c r="B807" i="7"/>
  <c r="C807" i="7"/>
  <c r="F807" i="7"/>
  <c r="D807" i="7"/>
  <c r="A808" i="7"/>
  <c r="B808" i="7"/>
  <c r="C808" i="7"/>
  <c r="G808" i="7"/>
  <c r="D808" i="7"/>
  <c r="A809" i="7"/>
  <c r="B809" i="7"/>
  <c r="C809" i="7"/>
  <c r="F809" i="7"/>
  <c r="D809" i="7"/>
  <c r="A810" i="7"/>
  <c r="B810" i="7"/>
  <c r="C810" i="7"/>
  <c r="F810" i="7"/>
  <c r="D810" i="7"/>
  <c r="A811" i="7"/>
  <c r="B811" i="7"/>
  <c r="C811" i="7"/>
  <c r="F811" i="7"/>
  <c r="D811" i="7"/>
  <c r="A812" i="7"/>
  <c r="B812" i="7"/>
  <c r="C812" i="7"/>
  <c r="G812" i="7"/>
  <c r="D812" i="7"/>
  <c r="A813" i="7"/>
  <c r="B813" i="7"/>
  <c r="C813" i="7"/>
  <c r="G813" i="7"/>
  <c r="D813" i="7"/>
  <c r="A814" i="7"/>
  <c r="B814" i="7"/>
  <c r="C814" i="7"/>
  <c r="D814" i="7"/>
  <c r="A815" i="7"/>
  <c r="B815" i="7"/>
  <c r="C815" i="7"/>
  <c r="F815" i="7"/>
  <c r="D815" i="7"/>
  <c r="A816" i="7"/>
  <c r="B816" i="7"/>
  <c r="C816" i="7"/>
  <c r="F816" i="7"/>
  <c r="D816" i="7"/>
  <c r="A817" i="7"/>
  <c r="B817" i="7"/>
  <c r="C817" i="7"/>
  <c r="G817" i="7"/>
  <c r="D817" i="7"/>
  <c r="A818" i="7"/>
  <c r="B818" i="7"/>
  <c r="C818" i="7"/>
  <c r="G818" i="7"/>
  <c r="D818" i="7"/>
  <c r="A819" i="7"/>
  <c r="B819" i="7"/>
  <c r="C819" i="7"/>
  <c r="F819" i="7"/>
  <c r="D819" i="7"/>
  <c r="A820" i="7"/>
  <c r="B820" i="7"/>
  <c r="C820" i="7"/>
  <c r="F820" i="7"/>
  <c r="D820" i="7"/>
  <c r="A821" i="7"/>
  <c r="B821" i="7"/>
  <c r="C821" i="7"/>
  <c r="G821" i="7"/>
  <c r="D821" i="7"/>
  <c r="A822" i="7"/>
  <c r="B822" i="7"/>
  <c r="C822" i="7"/>
  <c r="F822" i="7"/>
  <c r="D822" i="7"/>
  <c r="A823" i="7"/>
  <c r="B823" i="7"/>
  <c r="C823" i="7"/>
  <c r="D823" i="7"/>
  <c r="A824" i="7"/>
  <c r="B824" i="7"/>
  <c r="C824" i="7"/>
  <c r="F824" i="7"/>
  <c r="D824" i="7"/>
  <c r="A825" i="7"/>
  <c r="B825" i="7"/>
  <c r="C825" i="7"/>
  <c r="D825" i="7"/>
  <c r="A826" i="7"/>
  <c r="B826" i="7"/>
  <c r="C826" i="7"/>
  <c r="G826" i="7"/>
  <c r="D826" i="7"/>
  <c r="A827" i="7"/>
  <c r="B827" i="7"/>
  <c r="C827" i="7"/>
  <c r="G827" i="7"/>
  <c r="D827" i="7"/>
  <c r="A828" i="7"/>
  <c r="B828" i="7"/>
  <c r="C828" i="7"/>
  <c r="F828" i="7"/>
  <c r="D828" i="7"/>
  <c r="A829" i="7"/>
  <c r="B829" i="7"/>
  <c r="C829" i="7"/>
  <c r="F829" i="7"/>
  <c r="D829" i="7"/>
  <c r="A830" i="7"/>
  <c r="B830" i="7"/>
  <c r="C830" i="7"/>
  <c r="F830" i="7"/>
  <c r="D830" i="7"/>
  <c r="A831" i="7"/>
  <c r="B831" i="7"/>
  <c r="C831" i="7"/>
  <c r="G831" i="7"/>
  <c r="D831" i="7"/>
  <c r="A832" i="7"/>
  <c r="B832" i="7"/>
  <c r="C832" i="7"/>
  <c r="D832" i="7"/>
  <c r="A833" i="7"/>
  <c r="B833" i="7"/>
  <c r="C833" i="7"/>
  <c r="F833" i="7"/>
  <c r="D833" i="7"/>
  <c r="A834" i="7"/>
  <c r="B834" i="7"/>
  <c r="C834" i="7"/>
  <c r="G834" i="7"/>
  <c r="D834" i="7"/>
  <c r="A835" i="7"/>
  <c r="B835" i="7"/>
  <c r="C835" i="7"/>
  <c r="G835" i="7"/>
  <c r="D835" i="7"/>
  <c r="A836" i="7"/>
  <c r="B836" i="7"/>
  <c r="C836" i="7"/>
  <c r="F836" i="7"/>
  <c r="D836" i="7"/>
  <c r="A837" i="7"/>
  <c r="B837" i="7"/>
  <c r="C837" i="7"/>
  <c r="F837" i="7"/>
  <c r="D837" i="7"/>
  <c r="A838" i="7"/>
  <c r="B838" i="7"/>
  <c r="C838" i="7"/>
  <c r="F838" i="7"/>
  <c r="D838" i="7"/>
  <c r="A839" i="7"/>
  <c r="B839" i="7"/>
  <c r="C839" i="7"/>
  <c r="G839" i="7"/>
  <c r="D839" i="7"/>
  <c r="A840" i="7"/>
  <c r="B840" i="7"/>
  <c r="C840" i="7"/>
  <c r="F840" i="7"/>
  <c r="D840" i="7"/>
  <c r="A841" i="7"/>
  <c r="B841" i="7"/>
  <c r="C841" i="7"/>
  <c r="D841" i="7"/>
  <c r="A842" i="7"/>
  <c r="B842" i="7"/>
  <c r="C842" i="7"/>
  <c r="G842" i="7"/>
  <c r="D842" i="7"/>
  <c r="A843" i="7"/>
  <c r="B843" i="7"/>
  <c r="C843" i="7"/>
  <c r="F843" i="7"/>
  <c r="D843" i="7"/>
  <c r="A844" i="7"/>
  <c r="B844" i="7"/>
  <c r="C844" i="7"/>
  <c r="F844" i="7"/>
  <c r="D844" i="7"/>
  <c r="A845" i="7"/>
  <c r="B845" i="7"/>
  <c r="C845" i="7"/>
  <c r="G845" i="7"/>
  <c r="D845" i="7"/>
  <c r="A846" i="7"/>
  <c r="B846" i="7"/>
  <c r="C846" i="7"/>
  <c r="D846" i="7"/>
  <c r="A847" i="7"/>
  <c r="B847" i="7"/>
  <c r="C847" i="7"/>
  <c r="G847" i="7"/>
  <c r="D847" i="7"/>
  <c r="A848" i="7"/>
  <c r="B848" i="7"/>
  <c r="C848" i="7"/>
  <c r="G848" i="7"/>
  <c r="D848" i="7"/>
  <c r="A849" i="7"/>
  <c r="B849" i="7"/>
  <c r="C849" i="7"/>
  <c r="G849" i="7"/>
  <c r="D849" i="7"/>
  <c r="A850" i="7"/>
  <c r="B850" i="7"/>
  <c r="C850" i="7"/>
  <c r="D850" i="7"/>
  <c r="A851" i="7"/>
  <c r="B851" i="7"/>
  <c r="C851" i="7"/>
  <c r="F851" i="7"/>
  <c r="D851" i="7"/>
  <c r="A852" i="7"/>
  <c r="B852" i="7"/>
  <c r="C852" i="7"/>
  <c r="G852" i="7"/>
  <c r="D852" i="7"/>
  <c r="A853" i="7"/>
  <c r="B853" i="7"/>
  <c r="C853" i="7"/>
  <c r="G853" i="7"/>
  <c r="D853" i="7"/>
  <c r="A854" i="7"/>
  <c r="B854" i="7"/>
  <c r="C854" i="7"/>
  <c r="F854" i="7"/>
  <c r="D854" i="7"/>
  <c r="A855" i="7"/>
  <c r="B855" i="7"/>
  <c r="C855" i="7"/>
  <c r="G855" i="7"/>
  <c r="D855" i="7"/>
  <c r="A856" i="7"/>
  <c r="B856" i="7"/>
  <c r="C856" i="7"/>
  <c r="G856" i="7"/>
  <c r="D856" i="7"/>
  <c r="A857" i="7"/>
  <c r="B857" i="7"/>
  <c r="C857" i="7"/>
  <c r="G857" i="7"/>
  <c r="D857" i="7"/>
  <c r="A858" i="7"/>
  <c r="B858" i="7"/>
  <c r="C858" i="7"/>
  <c r="D858" i="7"/>
  <c r="A859" i="7"/>
  <c r="B859" i="7"/>
  <c r="C859" i="7"/>
  <c r="F859" i="7"/>
  <c r="D859" i="7"/>
  <c r="A860" i="7"/>
  <c r="B860" i="7"/>
  <c r="C860" i="7"/>
  <c r="G860" i="7"/>
  <c r="D860" i="7"/>
  <c r="A861" i="7"/>
  <c r="B861" i="7"/>
  <c r="C861" i="7"/>
  <c r="G861" i="7"/>
  <c r="D861" i="7"/>
  <c r="A862" i="7"/>
  <c r="B862" i="7"/>
  <c r="C862" i="7"/>
  <c r="F862" i="7"/>
  <c r="D862" i="7"/>
  <c r="A863" i="7"/>
  <c r="B863" i="7"/>
  <c r="C863" i="7"/>
  <c r="D863" i="7"/>
  <c r="A864" i="7"/>
  <c r="B864" i="7"/>
  <c r="C864" i="7"/>
  <c r="F864" i="7"/>
  <c r="D864" i="7"/>
  <c r="A865" i="7"/>
  <c r="B865" i="7"/>
  <c r="C865" i="7"/>
  <c r="G865" i="7"/>
  <c r="D865" i="7"/>
  <c r="A866" i="7"/>
  <c r="B866" i="7"/>
  <c r="C866" i="7"/>
  <c r="G866" i="7"/>
  <c r="D866" i="7"/>
  <c r="A867" i="7"/>
  <c r="B867" i="7"/>
  <c r="C867" i="7"/>
  <c r="F867" i="7"/>
  <c r="D867" i="7"/>
  <c r="A868" i="7"/>
  <c r="B868" i="7"/>
  <c r="C868" i="7"/>
  <c r="D868" i="7"/>
  <c r="A869" i="7"/>
  <c r="B869" i="7"/>
  <c r="C869" i="7"/>
  <c r="G869" i="7"/>
  <c r="D869" i="7"/>
  <c r="A870" i="7"/>
  <c r="B870" i="7"/>
  <c r="C870" i="7"/>
  <c r="F870" i="7"/>
  <c r="D870" i="7"/>
  <c r="A871" i="7"/>
  <c r="B871" i="7"/>
  <c r="C871" i="7"/>
  <c r="F871" i="7"/>
  <c r="D871" i="7"/>
  <c r="A872" i="7"/>
  <c r="B872" i="7"/>
  <c r="C872" i="7"/>
  <c r="G872" i="7"/>
  <c r="D872" i="7"/>
  <c r="A873" i="7"/>
  <c r="B873" i="7"/>
  <c r="C873" i="7"/>
  <c r="F873" i="7"/>
  <c r="D873" i="7"/>
  <c r="A874" i="7"/>
  <c r="B874" i="7"/>
  <c r="C874" i="7"/>
  <c r="F874" i="7"/>
  <c r="D874" i="7"/>
  <c r="A875" i="7"/>
  <c r="B875" i="7"/>
  <c r="C875" i="7"/>
  <c r="G875" i="7"/>
  <c r="D875" i="7"/>
  <c r="A876" i="7"/>
  <c r="B876" i="7"/>
  <c r="C876" i="7"/>
  <c r="G876" i="7"/>
  <c r="D876" i="7"/>
  <c r="A877" i="7"/>
  <c r="B877" i="7"/>
  <c r="C877" i="7"/>
  <c r="F877" i="7"/>
  <c r="D877" i="7"/>
  <c r="A878" i="7"/>
  <c r="B878" i="7"/>
  <c r="C878" i="7"/>
  <c r="F878" i="7"/>
  <c r="D878" i="7"/>
  <c r="A879" i="7"/>
  <c r="B879" i="7"/>
  <c r="C879" i="7"/>
  <c r="G879" i="7"/>
  <c r="D879" i="7"/>
  <c r="A880" i="7"/>
  <c r="B880" i="7"/>
  <c r="C880" i="7"/>
  <c r="F880" i="7"/>
  <c r="D880" i="7"/>
  <c r="A881" i="7"/>
  <c r="B881" i="7"/>
  <c r="C881" i="7"/>
  <c r="G881" i="7"/>
  <c r="D881" i="7"/>
  <c r="A882" i="7"/>
  <c r="B882" i="7"/>
  <c r="C882" i="7"/>
  <c r="F882" i="7"/>
  <c r="D882" i="7"/>
  <c r="A883" i="7"/>
  <c r="B883" i="7"/>
  <c r="C883" i="7"/>
  <c r="F883" i="7"/>
  <c r="D883" i="7"/>
  <c r="A884" i="7"/>
  <c r="B884" i="7"/>
  <c r="C884" i="7"/>
  <c r="F884" i="7"/>
  <c r="D884" i="7"/>
  <c r="A885" i="7"/>
  <c r="B885" i="7"/>
  <c r="C885" i="7"/>
  <c r="D885" i="7"/>
  <c r="A886" i="7"/>
  <c r="B886" i="7"/>
  <c r="C886" i="7"/>
  <c r="G886" i="7"/>
  <c r="D886" i="7"/>
  <c r="A887" i="7"/>
  <c r="B887" i="7"/>
  <c r="C887" i="7"/>
  <c r="F887" i="7"/>
  <c r="D887" i="7"/>
  <c r="A888" i="7"/>
  <c r="B888" i="7"/>
  <c r="C888" i="7"/>
  <c r="G888" i="7"/>
  <c r="D888" i="7"/>
  <c r="A889" i="7"/>
  <c r="B889" i="7"/>
  <c r="C889" i="7"/>
  <c r="G889" i="7"/>
  <c r="D889" i="7"/>
  <c r="A890" i="7"/>
  <c r="B890" i="7"/>
  <c r="C890" i="7"/>
  <c r="F890" i="7"/>
  <c r="D890" i="7"/>
  <c r="A891" i="7"/>
  <c r="B891" i="7"/>
  <c r="C891" i="7"/>
  <c r="D891" i="7"/>
  <c r="A892" i="7"/>
  <c r="B892" i="7"/>
  <c r="C892" i="7"/>
  <c r="D892" i="7"/>
  <c r="A893" i="7"/>
  <c r="B893" i="7"/>
  <c r="C893" i="7"/>
  <c r="G893" i="7"/>
  <c r="D893" i="7"/>
  <c r="A894" i="7"/>
  <c r="B894" i="7"/>
  <c r="C894" i="7"/>
  <c r="F894" i="7"/>
  <c r="D894" i="7"/>
  <c r="A895" i="7"/>
  <c r="B895" i="7"/>
  <c r="C895" i="7"/>
  <c r="F895" i="7"/>
  <c r="D895" i="7"/>
  <c r="A896" i="7"/>
  <c r="B896" i="7"/>
  <c r="C896" i="7"/>
  <c r="F896" i="7"/>
  <c r="D896" i="7"/>
  <c r="A897" i="7"/>
  <c r="B897" i="7"/>
  <c r="C897" i="7"/>
  <c r="F897" i="7"/>
  <c r="D897" i="7"/>
  <c r="A898" i="7"/>
  <c r="B898" i="7"/>
  <c r="C898" i="7"/>
  <c r="G898" i="7"/>
  <c r="D898" i="7"/>
  <c r="A899" i="7"/>
  <c r="B899" i="7"/>
  <c r="C899" i="7"/>
  <c r="G899" i="7"/>
  <c r="D899" i="7"/>
  <c r="A900" i="7"/>
  <c r="B900" i="7"/>
  <c r="C900" i="7"/>
  <c r="F900" i="7"/>
  <c r="D900" i="7"/>
  <c r="A901" i="7"/>
  <c r="B901" i="7"/>
  <c r="C901" i="7"/>
  <c r="F901" i="7"/>
  <c r="D901" i="7"/>
  <c r="A902" i="7"/>
  <c r="B902" i="7"/>
  <c r="C902" i="7"/>
  <c r="G902" i="7"/>
  <c r="D902" i="7"/>
  <c r="A903" i="7"/>
  <c r="B903" i="7"/>
  <c r="C903" i="7"/>
  <c r="G903" i="7"/>
  <c r="D903" i="7"/>
  <c r="A904" i="7"/>
  <c r="B904" i="7"/>
  <c r="C904" i="7"/>
  <c r="G904" i="7"/>
  <c r="D904" i="7"/>
  <c r="A905" i="7"/>
  <c r="B905" i="7"/>
  <c r="C905" i="7"/>
  <c r="F905" i="7"/>
  <c r="D905" i="7"/>
  <c r="A906" i="7"/>
  <c r="B906" i="7"/>
  <c r="C906" i="7"/>
  <c r="F906" i="7"/>
  <c r="D906" i="7"/>
  <c r="A907" i="7"/>
  <c r="B907" i="7"/>
  <c r="C907" i="7"/>
  <c r="F907" i="7"/>
  <c r="D907" i="7"/>
  <c r="A908" i="7"/>
  <c r="B908" i="7"/>
  <c r="C908" i="7"/>
  <c r="G908" i="7"/>
  <c r="D908" i="7"/>
  <c r="A909" i="7"/>
  <c r="B909" i="7"/>
  <c r="C909" i="7"/>
  <c r="D909" i="7"/>
  <c r="A910" i="7"/>
  <c r="B910" i="7"/>
  <c r="C910" i="7"/>
  <c r="F910" i="7"/>
  <c r="D910" i="7"/>
  <c r="A911" i="7"/>
  <c r="B911" i="7"/>
  <c r="C911" i="7"/>
  <c r="G911" i="7"/>
  <c r="D911" i="7"/>
  <c r="A912" i="7"/>
  <c r="B912" i="7"/>
  <c r="C912" i="7"/>
  <c r="F912" i="7"/>
  <c r="D912" i="7"/>
  <c r="A913" i="7"/>
  <c r="B913" i="7"/>
  <c r="C913" i="7"/>
  <c r="G913" i="7"/>
  <c r="D913" i="7"/>
  <c r="A914" i="7"/>
  <c r="B914" i="7"/>
  <c r="C914" i="7"/>
  <c r="F914" i="7"/>
  <c r="D914" i="7"/>
  <c r="A915" i="7"/>
  <c r="B915" i="7"/>
  <c r="C915" i="7"/>
  <c r="D915" i="7"/>
  <c r="A916" i="7"/>
  <c r="B916" i="7"/>
  <c r="C916" i="7"/>
  <c r="G916" i="7"/>
  <c r="D916" i="7"/>
  <c r="A917" i="7"/>
  <c r="B917" i="7"/>
  <c r="C917" i="7"/>
  <c r="F917" i="7"/>
  <c r="D917" i="7"/>
  <c r="A918" i="7"/>
  <c r="B918" i="7"/>
  <c r="C918" i="7"/>
  <c r="F918" i="7"/>
  <c r="D918" i="7"/>
  <c r="A919" i="7"/>
  <c r="B919" i="7"/>
  <c r="C919" i="7"/>
  <c r="G919" i="7"/>
  <c r="D919" i="7"/>
  <c r="A920" i="7"/>
  <c r="B920" i="7"/>
  <c r="C920" i="7"/>
  <c r="D920" i="7"/>
  <c r="A921" i="7"/>
  <c r="B921" i="7"/>
  <c r="C921" i="7"/>
  <c r="F921" i="7"/>
  <c r="D921" i="7"/>
  <c r="A922" i="7"/>
  <c r="B922" i="7"/>
  <c r="C922" i="7"/>
  <c r="G922" i="7"/>
  <c r="D922" i="7"/>
  <c r="A923" i="7"/>
  <c r="B923" i="7"/>
  <c r="C923" i="7"/>
  <c r="G923" i="7"/>
  <c r="D923" i="7"/>
  <c r="A924" i="7"/>
  <c r="B924" i="7"/>
  <c r="C924" i="7"/>
  <c r="D924" i="7"/>
  <c r="A925" i="7"/>
  <c r="B925" i="7"/>
  <c r="C925" i="7"/>
  <c r="G925" i="7"/>
  <c r="D925" i="7"/>
  <c r="A926" i="7"/>
  <c r="B926" i="7"/>
  <c r="C926" i="7"/>
  <c r="F926" i="7"/>
  <c r="D926" i="7"/>
  <c r="A927" i="7"/>
  <c r="B927" i="7"/>
  <c r="C927" i="7"/>
  <c r="G927" i="7"/>
  <c r="D927" i="7"/>
  <c r="A928" i="7"/>
  <c r="B928" i="7"/>
  <c r="C928" i="7"/>
  <c r="D928" i="7"/>
  <c r="A929" i="7"/>
  <c r="B929" i="7"/>
  <c r="C929" i="7"/>
  <c r="G929" i="7"/>
  <c r="D929" i="7"/>
  <c r="A930" i="7"/>
  <c r="B930" i="7"/>
  <c r="C930" i="7"/>
  <c r="F930" i="7"/>
  <c r="D930" i="7"/>
  <c r="A931" i="7"/>
  <c r="B931" i="7"/>
  <c r="C931" i="7"/>
  <c r="G931" i="7"/>
  <c r="D931" i="7"/>
  <c r="A932" i="7"/>
  <c r="B932" i="7"/>
  <c r="C932" i="7"/>
  <c r="G932" i="7"/>
  <c r="D932" i="7"/>
  <c r="A933" i="7"/>
  <c r="B933" i="7"/>
  <c r="C933" i="7"/>
  <c r="F933" i="7"/>
  <c r="D933" i="7"/>
  <c r="A934" i="7"/>
  <c r="B934" i="7"/>
  <c r="C934" i="7"/>
  <c r="G934" i="7"/>
  <c r="D934" i="7"/>
  <c r="A935" i="7"/>
  <c r="B935" i="7"/>
  <c r="C935" i="7"/>
  <c r="D935" i="7"/>
  <c r="A936" i="7"/>
  <c r="B936" i="7"/>
  <c r="C936" i="7"/>
  <c r="F936" i="7"/>
  <c r="D936" i="7"/>
  <c r="A937" i="7"/>
  <c r="B937" i="7"/>
  <c r="C937" i="7"/>
  <c r="F937" i="7"/>
  <c r="D937" i="7"/>
  <c r="A938" i="7"/>
  <c r="B938" i="7"/>
  <c r="C938" i="7"/>
  <c r="G938" i="7"/>
  <c r="D938" i="7"/>
  <c r="A939" i="7"/>
  <c r="B939" i="7"/>
  <c r="C939" i="7"/>
  <c r="G939" i="7"/>
  <c r="D939" i="7"/>
  <c r="A940" i="7"/>
  <c r="B940" i="7"/>
  <c r="C940" i="7"/>
  <c r="G940" i="7"/>
  <c r="D940" i="7"/>
  <c r="A941" i="7"/>
  <c r="B941" i="7"/>
  <c r="C941" i="7"/>
  <c r="F941" i="7"/>
  <c r="D941" i="7"/>
  <c r="A942" i="7"/>
  <c r="B942" i="7"/>
  <c r="C942" i="7"/>
  <c r="D942" i="7"/>
  <c r="A943" i="7"/>
  <c r="B943" i="7"/>
  <c r="C943" i="7"/>
  <c r="F943" i="7"/>
  <c r="D943" i="7"/>
  <c r="A944" i="7"/>
  <c r="B944" i="7"/>
  <c r="C944" i="7"/>
  <c r="D944" i="7"/>
  <c r="A945" i="7"/>
  <c r="B945" i="7"/>
  <c r="C945" i="7"/>
  <c r="F945" i="7"/>
  <c r="D945" i="7"/>
  <c r="A946" i="7"/>
  <c r="B946" i="7"/>
  <c r="C946" i="7"/>
  <c r="D946" i="7"/>
  <c r="A947" i="7"/>
  <c r="B947" i="7"/>
  <c r="C947" i="7"/>
  <c r="F947" i="7"/>
  <c r="D947" i="7"/>
  <c r="A948" i="7"/>
  <c r="B948" i="7"/>
  <c r="C948" i="7"/>
  <c r="G948" i="7"/>
  <c r="D948" i="7"/>
  <c r="A949" i="7"/>
  <c r="B949" i="7"/>
  <c r="C949" i="7"/>
  <c r="G949" i="7"/>
  <c r="D949" i="7"/>
  <c r="A950" i="7"/>
  <c r="B950" i="7"/>
  <c r="C950" i="7"/>
  <c r="G950" i="7"/>
  <c r="D950" i="7"/>
  <c r="A951" i="7"/>
  <c r="B951" i="7"/>
  <c r="C951" i="7"/>
  <c r="F951" i="7"/>
  <c r="D951" i="7"/>
  <c r="A952" i="7"/>
  <c r="B952" i="7"/>
  <c r="C952" i="7"/>
  <c r="F952" i="7"/>
  <c r="D952" i="7"/>
  <c r="A953" i="7"/>
  <c r="B953" i="7"/>
  <c r="C953" i="7"/>
  <c r="F953" i="7"/>
  <c r="D953" i="7"/>
  <c r="A954" i="7"/>
  <c r="B954" i="7"/>
  <c r="C954" i="7"/>
  <c r="F954" i="7"/>
  <c r="D954" i="7"/>
  <c r="A955" i="7"/>
  <c r="B955" i="7"/>
  <c r="C955" i="7"/>
  <c r="G955" i="7"/>
  <c r="D955" i="7"/>
  <c r="A956" i="7"/>
  <c r="B956" i="7"/>
  <c r="C956" i="7"/>
  <c r="G956" i="7"/>
  <c r="D956" i="7"/>
  <c r="A957" i="7"/>
  <c r="B957" i="7"/>
  <c r="C957" i="7"/>
  <c r="G957" i="7"/>
  <c r="D957" i="7"/>
  <c r="A958" i="7"/>
  <c r="B958" i="7"/>
  <c r="C958" i="7"/>
  <c r="G958" i="7"/>
  <c r="D958" i="7"/>
  <c r="A959" i="7"/>
  <c r="B959" i="7"/>
  <c r="C959" i="7"/>
  <c r="F959" i="7"/>
  <c r="D959" i="7"/>
  <c r="A960" i="7"/>
  <c r="B960" i="7"/>
  <c r="C960" i="7"/>
  <c r="F960" i="7"/>
  <c r="D960" i="7"/>
  <c r="A961" i="7"/>
  <c r="B961" i="7"/>
  <c r="C961" i="7"/>
  <c r="G961" i="7"/>
  <c r="D961" i="7"/>
  <c r="A962" i="7"/>
  <c r="B962" i="7"/>
  <c r="C962" i="7"/>
  <c r="F962" i="7"/>
  <c r="D962" i="7"/>
  <c r="A963" i="7"/>
  <c r="B963" i="7"/>
  <c r="C963" i="7"/>
  <c r="D963" i="7"/>
  <c r="A964" i="7"/>
  <c r="B964" i="7"/>
  <c r="C964" i="7"/>
  <c r="G964" i="7"/>
  <c r="D964" i="7"/>
  <c r="A965" i="7"/>
  <c r="B965" i="7"/>
  <c r="C965" i="7"/>
  <c r="F965" i="7"/>
  <c r="D965" i="7"/>
  <c r="A966" i="7"/>
  <c r="B966" i="7"/>
  <c r="C966" i="7"/>
  <c r="F966" i="7"/>
  <c r="D966" i="7"/>
  <c r="A967" i="7"/>
  <c r="B967" i="7"/>
  <c r="C967" i="7"/>
  <c r="F967" i="7"/>
  <c r="D967" i="7"/>
  <c r="A968" i="7"/>
  <c r="B968" i="7"/>
  <c r="C968" i="7"/>
  <c r="G968" i="7"/>
  <c r="D968" i="7"/>
  <c r="A969" i="7"/>
  <c r="B969" i="7"/>
  <c r="C969" i="7"/>
  <c r="G969" i="7"/>
  <c r="D969" i="7"/>
  <c r="A970" i="7"/>
  <c r="B970" i="7"/>
  <c r="C970" i="7"/>
  <c r="F970" i="7"/>
  <c r="D970" i="7"/>
  <c r="A971" i="7"/>
  <c r="B971" i="7"/>
  <c r="C971" i="7"/>
  <c r="G971" i="7"/>
  <c r="D971" i="7"/>
  <c r="A972" i="7"/>
  <c r="B972" i="7"/>
  <c r="C972" i="7"/>
  <c r="F972" i="7"/>
  <c r="D972" i="7"/>
  <c r="A973" i="7"/>
  <c r="B973" i="7"/>
  <c r="C973" i="7"/>
  <c r="D973" i="7"/>
  <c r="A974" i="7"/>
  <c r="B974" i="7"/>
  <c r="C974" i="7"/>
  <c r="F974" i="7"/>
  <c r="D974" i="7"/>
  <c r="A975" i="7"/>
  <c r="B975" i="7"/>
  <c r="C975" i="7"/>
  <c r="G975" i="7"/>
  <c r="D975" i="7"/>
  <c r="A976" i="7"/>
  <c r="B976" i="7"/>
  <c r="C976" i="7"/>
  <c r="G976" i="7"/>
  <c r="D976" i="7"/>
  <c r="A977" i="7"/>
  <c r="B977" i="7"/>
  <c r="C977" i="7"/>
  <c r="G977" i="7"/>
  <c r="D977" i="7"/>
  <c r="A978" i="7"/>
  <c r="B978" i="7"/>
  <c r="C978" i="7"/>
  <c r="F978" i="7"/>
  <c r="D978" i="7"/>
  <c r="A979" i="7"/>
  <c r="B979" i="7"/>
  <c r="C979" i="7"/>
  <c r="G979" i="7"/>
  <c r="D979" i="7"/>
  <c r="A980" i="7"/>
  <c r="B980" i="7"/>
  <c r="C980" i="7"/>
  <c r="G980" i="7"/>
  <c r="D980" i="7"/>
  <c r="A981" i="7"/>
  <c r="B981" i="7"/>
  <c r="C981" i="7"/>
  <c r="F981" i="7"/>
  <c r="D981" i="7"/>
  <c r="A982" i="7"/>
  <c r="B982" i="7"/>
  <c r="C982" i="7"/>
  <c r="G982" i="7"/>
  <c r="D982" i="7"/>
  <c r="A983" i="7"/>
  <c r="B983" i="7"/>
  <c r="C983" i="7"/>
  <c r="D983" i="7"/>
  <c r="A984" i="7"/>
  <c r="B984" i="7"/>
  <c r="C984" i="7"/>
  <c r="F984" i="7"/>
  <c r="D984" i="7"/>
  <c r="A985" i="7"/>
  <c r="B985" i="7"/>
  <c r="C985" i="7"/>
  <c r="D985" i="7"/>
  <c r="A986" i="7"/>
  <c r="B986" i="7"/>
  <c r="C986" i="7"/>
  <c r="G986" i="7"/>
  <c r="D986" i="7"/>
  <c r="A987" i="7"/>
  <c r="B987" i="7"/>
  <c r="C987" i="7"/>
  <c r="G987" i="7"/>
  <c r="D987" i="7"/>
  <c r="A988" i="7"/>
  <c r="B988" i="7"/>
  <c r="C988" i="7"/>
  <c r="F988" i="7"/>
  <c r="D988" i="7"/>
  <c r="A989" i="7"/>
  <c r="B989" i="7"/>
  <c r="C989" i="7"/>
  <c r="G989" i="7"/>
  <c r="D989" i="7"/>
  <c r="A990" i="7"/>
  <c r="B990" i="7"/>
  <c r="C990" i="7"/>
  <c r="F990" i="7"/>
  <c r="D990" i="7"/>
  <c r="A991" i="7"/>
  <c r="B991" i="7"/>
  <c r="C991" i="7"/>
  <c r="F991" i="7"/>
  <c r="D991" i="7"/>
  <c r="A992" i="7"/>
  <c r="B992" i="7"/>
  <c r="C992" i="7"/>
  <c r="F992" i="7"/>
  <c r="D992" i="7"/>
  <c r="A993" i="7"/>
  <c r="B993" i="7"/>
  <c r="C993" i="7"/>
  <c r="D993" i="7"/>
  <c r="A994" i="7"/>
  <c r="B994" i="7"/>
  <c r="C994" i="7"/>
  <c r="G994" i="7"/>
  <c r="D994" i="7"/>
  <c r="A995" i="7"/>
  <c r="B995" i="7"/>
  <c r="C995" i="7"/>
  <c r="G995" i="7"/>
  <c r="D995" i="7"/>
  <c r="A996" i="7"/>
  <c r="B996" i="7"/>
  <c r="C996" i="7"/>
  <c r="D996" i="7"/>
  <c r="A997" i="7"/>
  <c r="B997" i="7"/>
  <c r="C997" i="7"/>
  <c r="G997" i="7"/>
  <c r="D997" i="7"/>
  <c r="A998" i="7"/>
  <c r="B998" i="7"/>
  <c r="C998" i="7"/>
  <c r="D998" i="7"/>
  <c r="A999" i="7"/>
  <c r="B999" i="7"/>
  <c r="C999" i="7"/>
  <c r="F999" i="7"/>
  <c r="D999" i="7"/>
  <c r="A1000" i="7"/>
  <c r="B1000" i="7"/>
  <c r="C1000" i="7"/>
  <c r="D1000" i="7"/>
  <c r="D2" i="7"/>
  <c r="C2" i="7"/>
  <c r="B2" i="7"/>
  <c r="A2" i="7"/>
  <c r="F313" i="11"/>
  <c r="F344" i="11"/>
  <c r="F349" i="11"/>
  <c r="F225" i="11"/>
  <c r="F274" i="11"/>
  <c r="D3" i="16"/>
  <c r="D2" i="16"/>
  <c r="F206" i="11"/>
  <c r="F129" i="11"/>
  <c r="F188" i="11"/>
  <c r="D2" i="10"/>
  <c r="X272" i="1"/>
  <c r="X333" i="1"/>
  <c r="X386" i="1"/>
  <c r="X371" i="1"/>
  <c r="Y371" i="1" s="1"/>
  <c r="X294" i="1"/>
  <c r="X274" i="1"/>
  <c r="Y274" i="1" s="1"/>
  <c r="X165" i="1"/>
  <c r="X135" i="1"/>
  <c r="Y135" i="1" s="1"/>
  <c r="X150" i="1"/>
  <c r="Y150" i="1" s="1"/>
  <c r="X163" i="1"/>
  <c r="X169" i="1"/>
  <c r="X132" i="1"/>
  <c r="X145" i="1"/>
  <c r="X137" i="1"/>
  <c r="X131" i="1"/>
  <c r="X151" i="1"/>
  <c r="X140" i="1"/>
  <c r="X149" i="1"/>
  <c r="X166" i="1"/>
  <c r="X174" i="1"/>
  <c r="Y174" i="1" s="1"/>
  <c r="X173" i="1"/>
  <c r="X162" i="1"/>
  <c r="X172" i="1"/>
  <c r="X155" i="1"/>
  <c r="X156" i="1"/>
  <c r="Y156" i="1" s="1"/>
  <c r="X171" i="1"/>
  <c r="G16" i="14"/>
  <c r="M6" i="14"/>
  <c r="F34" i="14"/>
  <c r="L52" i="24"/>
  <c r="M52" i="24"/>
  <c r="L84" i="24"/>
  <c r="M84" i="24"/>
  <c r="L28" i="24"/>
  <c r="L69" i="24"/>
  <c r="L45" i="24"/>
  <c r="M45" i="24"/>
  <c r="L68" i="24"/>
  <c r="M68" i="24"/>
  <c r="L21" i="24"/>
  <c r="M21" i="24"/>
  <c r="L25" i="24"/>
  <c r="M25" i="24"/>
  <c r="L55" i="24"/>
  <c r="M55" i="24"/>
  <c r="L50" i="24"/>
  <c r="M50" i="24"/>
  <c r="L38" i="24"/>
  <c r="M38" i="24"/>
  <c r="L22" i="24"/>
  <c r="M22" i="24"/>
  <c r="L76" i="24"/>
  <c r="M76" i="24"/>
  <c r="L34" i="24"/>
  <c r="M34" i="24"/>
  <c r="L72" i="24"/>
  <c r="M72" i="24"/>
  <c r="L29" i="24"/>
  <c r="L42" i="24"/>
  <c r="M42" i="24"/>
  <c r="L56" i="24"/>
  <c r="M56" i="24"/>
  <c r="L37" i="24"/>
  <c r="L17" i="24"/>
  <c r="M17" i="24"/>
  <c r="L80" i="24"/>
  <c r="M80" i="24"/>
  <c r="L19" i="24"/>
  <c r="M19" i="24"/>
  <c r="L39" i="24"/>
  <c r="M39" i="24"/>
  <c r="L43" i="24"/>
  <c r="L70" i="24"/>
  <c r="M70" i="24"/>
  <c r="L66" i="24"/>
  <c r="M66" i="24"/>
  <c r="L33" i="24"/>
  <c r="M33" i="24"/>
  <c r="L77" i="24"/>
  <c r="M77" i="24"/>
  <c r="L32" i="24"/>
  <c r="M32" i="24"/>
  <c r="L57" i="24"/>
  <c r="M57" i="24"/>
  <c r="B293" i="1"/>
  <c r="Y293" i="1" s="1"/>
  <c r="B377" i="1"/>
  <c r="B38" i="1"/>
  <c r="X38" i="1"/>
  <c r="X83" i="1"/>
  <c r="Y83" i="1" s="1"/>
  <c r="X178" i="1"/>
  <c r="X243" i="1"/>
  <c r="D25" i="14" a="1"/>
  <c r="D25" i="14" s="1"/>
  <c r="F38" i="14" a="1"/>
  <c r="F38" i="14" s="1"/>
  <c r="G28" i="14" a="1"/>
  <c r="G28" i="14" s="1"/>
  <c r="N41" i="24" a="1"/>
  <c r="N41" i="24" s="1"/>
  <c r="O41" i="24" s="1"/>
  <c r="E18" i="10"/>
  <c r="E19" i="10"/>
  <c r="N67" i="24" a="1"/>
  <c r="N67" i="24" s="1"/>
  <c r="O67" i="24" s="1"/>
  <c r="N75" i="24" a="1"/>
  <c r="N75" i="24" s="1"/>
  <c r="O75" i="24" s="1"/>
  <c r="N21" i="24" a="1"/>
  <c r="N21" i="24" s="1"/>
  <c r="O21" i="24" s="1"/>
  <c r="F24" i="10" a="1"/>
  <c r="F24" i="10" s="1"/>
  <c r="G18" i="14" a="1"/>
  <c r="G18" i="14" s="1"/>
  <c r="F42" i="14" a="1"/>
  <c r="F42" i="14" s="1"/>
  <c r="F20" i="10" a="1"/>
  <c r="F20" i="10" s="1"/>
  <c r="H20" i="10" s="1"/>
  <c r="K20" i="10" s="1"/>
  <c r="F26" i="10" a="1"/>
  <c r="F26" i="10" s="1"/>
  <c r="F45" i="14" a="1"/>
  <c r="F45" i="14" s="1"/>
  <c r="F14" i="10" a="1"/>
  <c r="F14" i="10" s="1"/>
  <c r="G26" i="14" a="1"/>
  <c r="G26" i="14" s="1"/>
  <c r="I26" i="14" s="1"/>
  <c r="M26" i="14" s="1"/>
  <c r="F36" i="14" a="1"/>
  <c r="F36" i="14" s="1"/>
  <c r="F40" i="14" a="1"/>
  <c r="F40" i="14" s="1"/>
  <c r="F27" i="10" a="1"/>
  <c r="F27" i="10" s="1"/>
  <c r="H27" i="10" s="1"/>
  <c r="J27" i="10" s="1"/>
  <c r="F48" i="14" a="1"/>
  <c r="F48" i="14" s="1"/>
  <c r="F15" i="10" a="1"/>
  <c r="F15" i="10" s="1"/>
  <c r="H15" i="10" s="1"/>
  <c r="G19" i="14" a="1"/>
  <c r="G19" i="14" s="1"/>
  <c r="F52" i="14" a="1"/>
  <c r="F52" i="14" s="1"/>
  <c r="F46" i="14" a="1"/>
  <c r="F46" i="14" s="1"/>
  <c r="N70" i="24" a="1"/>
  <c r="N70" i="24" s="1"/>
  <c r="O70" i="24" s="1"/>
  <c r="N84" i="24" a="1"/>
  <c r="N84" i="24" s="1"/>
  <c r="O84" i="24" s="1"/>
  <c r="N73" i="24" a="1"/>
  <c r="N73" i="24" s="1"/>
  <c r="O73" i="24" s="1"/>
  <c r="N37" i="24" a="1"/>
  <c r="N37" i="24" s="1"/>
  <c r="O37" i="24" s="1"/>
  <c r="E37" i="14" a="1"/>
  <c r="E37" i="14" s="1"/>
  <c r="N69" i="24" a="1"/>
  <c r="N69" i="24" s="1"/>
  <c r="O69" i="24" s="1"/>
  <c r="N23" i="24" a="1"/>
  <c r="N23" i="24" s="1"/>
  <c r="O23" i="24" s="1"/>
  <c r="N28" i="24" a="1"/>
  <c r="N28" i="24" s="1"/>
  <c r="O28" i="24" s="1"/>
  <c r="N43" i="24" a="1"/>
  <c r="N43" i="24" s="1"/>
  <c r="O43" i="24" s="1"/>
  <c r="D21" i="14" a="1"/>
  <c r="D21" i="14" s="1"/>
  <c r="N14" i="24" a="1"/>
  <c r="N14" i="24" s="1"/>
  <c r="O14" i="24" s="1"/>
  <c r="E50" i="14" a="1"/>
  <c r="E50" i="14" s="1"/>
  <c r="N27" i="24" a="1"/>
  <c r="N27" i="24" s="1"/>
  <c r="O27" i="24" s="1"/>
  <c r="E17" i="10"/>
  <c r="E28" i="10"/>
  <c r="E20" i="10"/>
  <c r="G20" i="10" s="1"/>
  <c r="E14" i="10"/>
  <c r="E26" i="10"/>
  <c r="E12" i="10"/>
  <c r="E16" i="10"/>
  <c r="N80" i="24" a="1"/>
  <c r="N80" i="24" s="1"/>
  <c r="O80" i="24" s="1"/>
  <c r="D28" i="14" a="1"/>
  <c r="D28" i="14" s="1"/>
  <c r="N22" i="24" a="1"/>
  <c r="N22" i="24" s="1"/>
  <c r="O22" i="24" s="1"/>
  <c r="N76" i="24" a="1"/>
  <c r="N76" i="24" s="1"/>
  <c r="O76" i="24" s="1"/>
  <c r="N48" i="24" a="1"/>
  <c r="N48" i="24" s="1"/>
  <c r="O48" i="24" s="1"/>
  <c r="E43" i="14" a="1"/>
  <c r="E43" i="14" s="1"/>
  <c r="N61" i="24" a="1"/>
  <c r="N61" i="24" s="1"/>
  <c r="O61" i="24" s="1"/>
  <c r="E53" i="14" a="1"/>
  <c r="E53" i="14" s="1"/>
  <c r="N25" i="24" a="1"/>
  <c r="N25" i="24" s="1"/>
  <c r="O25" i="24" s="1"/>
  <c r="N44" i="24" a="1"/>
  <c r="N44" i="24" s="1"/>
  <c r="O44" i="24" s="1"/>
  <c r="N36" i="24" a="1"/>
  <c r="N36" i="24" s="1"/>
  <c r="O36" i="24" s="1"/>
  <c r="N12" i="24" a="1"/>
  <c r="N12" i="24" s="1"/>
  <c r="O12" i="24" s="1"/>
  <c r="D26" i="14" a="1"/>
  <c r="D26" i="14" s="1"/>
  <c r="D22" i="14" a="1"/>
  <c r="D22" i="14" s="1"/>
  <c r="F22" i="14" s="1"/>
  <c r="E41" i="14" a="1"/>
  <c r="E41" i="14" s="1"/>
  <c r="N29" i="24" a="1"/>
  <c r="N29" i="24" s="1"/>
  <c r="O29" i="24" s="1"/>
  <c r="N8" i="24" a="1"/>
  <c r="N8" i="24" s="1"/>
  <c r="N26" i="24" a="1"/>
  <c r="N26" i="24" s="1"/>
  <c r="O26" i="24" s="1"/>
  <c r="N63" i="24" a="1"/>
  <c r="N63" i="24" s="1"/>
  <c r="O63" i="24" s="1"/>
  <c r="N83" i="24" a="1"/>
  <c r="N83" i="24" s="1"/>
  <c r="O83" i="24" s="1"/>
  <c r="N58" i="24" a="1"/>
  <c r="N58" i="24" s="1"/>
  <c r="O58" i="24" s="1"/>
  <c r="N86" i="24" a="1"/>
  <c r="N86" i="24" s="1"/>
  <c r="O86" i="24" s="1"/>
  <c r="E52" i="14" a="1"/>
  <c r="E52" i="14" s="1"/>
  <c r="N81" i="24" a="1"/>
  <c r="N81" i="24" s="1"/>
  <c r="O81" i="24" s="1"/>
  <c r="N34" i="24" a="1"/>
  <c r="N34" i="24" s="1"/>
  <c r="O34" i="24" s="1"/>
  <c r="N9" i="24" a="1"/>
  <c r="N9" i="24" s="1"/>
  <c r="O9" i="24" s="1"/>
  <c r="N13" i="24" a="1"/>
  <c r="N13" i="24" s="1"/>
  <c r="O13" i="24" s="1"/>
  <c r="E44" i="14" a="1"/>
  <c r="E44" i="14" s="1"/>
  <c r="E36" i="14" a="1"/>
  <c r="E36" i="14" s="1"/>
  <c r="N72" i="24" a="1"/>
  <c r="N72" i="24" s="1"/>
  <c r="O72" i="24" s="1"/>
  <c r="N19" i="24" a="1"/>
  <c r="N19" i="24" s="1"/>
  <c r="O19" i="24" s="1"/>
  <c r="N56" i="24" a="1"/>
  <c r="N56" i="24" s="1"/>
  <c r="O56" i="24" s="1"/>
  <c r="N60" i="24" a="1"/>
  <c r="N60" i="24" s="1"/>
  <c r="O60" i="24" s="1"/>
  <c r="N78" i="24" a="1"/>
  <c r="N78" i="24" s="1"/>
  <c r="O78" i="24" s="1"/>
  <c r="N32" i="24" a="1"/>
  <c r="N32" i="24" s="1"/>
  <c r="O32" i="24" s="1"/>
  <c r="N24" i="24" a="1"/>
  <c r="N24" i="24" s="1"/>
  <c r="O24" i="24" s="1"/>
  <c r="N59" i="24" a="1"/>
  <c r="N59" i="24" s="1"/>
  <c r="O59" i="24" s="1"/>
  <c r="N38" i="24" a="1"/>
  <c r="N38" i="24" s="1"/>
  <c r="O38" i="24" s="1"/>
  <c r="D23" i="14" a="1"/>
  <c r="D23" i="14" s="1"/>
  <c r="F23" i="14" s="1"/>
  <c r="N54" i="24" a="1"/>
  <c r="N54" i="24" s="1"/>
  <c r="O54" i="24" s="1"/>
  <c r="E21" i="10"/>
  <c r="E48" i="14" a="1"/>
  <c r="E48" i="14" s="1"/>
  <c r="N65" i="24" a="1"/>
  <c r="N65" i="24" s="1"/>
  <c r="O65" i="24" s="1"/>
  <c r="N64" i="24" a="1"/>
  <c r="N64" i="24" s="1"/>
  <c r="O64" i="24" s="1"/>
  <c r="N35" i="24" a="1"/>
  <c r="N35" i="24" s="1"/>
  <c r="O35" i="24" s="1"/>
  <c r="N39" i="24" a="1"/>
  <c r="N39" i="24" s="1"/>
  <c r="O39" i="24" s="1"/>
  <c r="N30" i="24" a="1"/>
  <c r="N30" i="24" s="1"/>
  <c r="O30" i="24" s="1"/>
  <c r="N68" i="24" a="1"/>
  <c r="N68" i="24" s="1"/>
  <c r="O68" i="24" s="1"/>
  <c r="E25" i="10"/>
  <c r="D18" i="14" a="1"/>
  <c r="D18" i="14" s="1"/>
  <c r="N50" i="24" a="1"/>
  <c r="N50" i="24" s="1"/>
  <c r="O50" i="24" s="1"/>
  <c r="E42" i="14" a="1"/>
  <c r="E42" i="14" s="1"/>
  <c r="E39" i="14" a="1"/>
  <c r="E39" i="14" s="1"/>
  <c r="N57" i="24" a="1"/>
  <c r="N57" i="24" s="1"/>
  <c r="O57" i="24" s="1"/>
  <c r="N11" i="24" a="1"/>
  <c r="N11" i="24" s="1"/>
  <c r="O11" i="24" s="1"/>
  <c r="N55" i="24" a="1"/>
  <c r="N55" i="24" s="1"/>
  <c r="O55" i="24" s="1"/>
  <c r="N18" i="24" a="1"/>
  <c r="N18" i="24" s="1"/>
  <c r="O18" i="24" s="1"/>
  <c r="N7" i="24" a="1"/>
  <c r="N7" i="24" s="1"/>
  <c r="O7" i="24" s="1"/>
  <c r="N52" i="24" a="1"/>
  <c r="N52" i="24" s="1"/>
  <c r="O52" i="24" s="1"/>
  <c r="E15" i="10"/>
  <c r="N15" i="24" a="1"/>
  <c r="N15" i="24" s="1"/>
  <c r="O15" i="24" s="1"/>
  <c r="E27" i="10"/>
  <c r="N40" i="24" a="1"/>
  <c r="N40" i="24" s="1"/>
  <c r="O40" i="24" s="1"/>
  <c r="N66" i="24" a="1"/>
  <c r="N66" i="24" s="1"/>
  <c r="O66" i="24" s="1"/>
  <c r="N20" i="24" a="1"/>
  <c r="N20" i="24" s="1"/>
  <c r="O20" i="24" s="1"/>
  <c r="N82" i="24" a="1"/>
  <c r="N82" i="24" s="1"/>
  <c r="O82" i="24" s="1"/>
  <c r="N79" i="24" a="1"/>
  <c r="N79" i="24" s="1"/>
  <c r="O79" i="24" s="1"/>
  <c r="N16" i="24" a="1"/>
  <c r="N16" i="24" s="1"/>
  <c r="O16" i="24" s="1"/>
  <c r="D20" i="14" a="1"/>
  <c r="D20" i="14" s="1"/>
  <c r="F20" i="14" s="1"/>
  <c r="E11" i="10"/>
  <c r="N45" i="24" a="1"/>
  <c r="N45" i="24" s="1"/>
  <c r="O45" i="24" s="1"/>
  <c r="E23" i="10"/>
  <c r="N46" i="24" a="1"/>
  <c r="N46" i="24" s="1"/>
  <c r="O46" i="24" s="1"/>
  <c r="E47" i="14" a="1"/>
  <c r="E47" i="14" s="1"/>
  <c r="E55" i="14" a="1"/>
  <c r="E55" i="14" s="1"/>
  <c r="N53" i="24" a="1"/>
  <c r="N53" i="24" s="1"/>
  <c r="O53" i="24" s="1"/>
  <c r="N10" i="24" a="1"/>
  <c r="N10" i="24" s="1"/>
  <c r="O10" i="24" s="1"/>
  <c r="E51" i="14" a="1"/>
  <c r="E51" i="14" s="1"/>
  <c r="E40" i="14" a="1"/>
  <c r="E40" i="14" s="1"/>
  <c r="E49" i="14" a="1"/>
  <c r="E49" i="14" s="1"/>
  <c r="D27" i="14" a="1"/>
  <c r="D27" i="14" s="1"/>
  <c r="D24" i="14" a="1"/>
  <c r="D24" i="14" s="1"/>
  <c r="F24" i="14" s="1"/>
  <c r="D30" i="14" a="1"/>
  <c r="D30" i="14" s="1"/>
  <c r="E13" i="10"/>
  <c r="N33" i="24" a="1"/>
  <c r="N33" i="24" s="1"/>
  <c r="O33" i="24" s="1"/>
  <c r="N31" i="24" a="1"/>
  <c r="N31" i="24" s="1"/>
  <c r="O31" i="24" s="1"/>
  <c r="N47" i="24" a="1"/>
  <c r="N47" i="24" s="1"/>
  <c r="O47" i="24" s="1"/>
  <c r="E38" i="14" a="1"/>
  <c r="E38" i="14" s="1"/>
  <c r="E54" i="14" a="1"/>
  <c r="E54" i="14" s="1"/>
  <c r="N62" i="24" a="1"/>
  <c r="N62" i="24" s="1"/>
  <c r="O62" i="24" s="1"/>
  <c r="N17" i="24" a="1"/>
  <c r="N17" i="24" s="1"/>
  <c r="O17" i="24" s="1"/>
  <c r="N51" i="24" a="1"/>
  <c r="N51" i="24" s="1"/>
  <c r="O51" i="24" s="1"/>
  <c r="N85" i="24" a="1"/>
  <c r="N85" i="24" s="1"/>
  <c r="O85" i="24" s="1"/>
  <c r="D19" i="14" a="1"/>
  <c r="D19" i="14" s="1"/>
  <c r="D29" i="14" a="1"/>
  <c r="D29" i="14" s="1"/>
  <c r="E24" i="10"/>
  <c r="N77" i="24" a="1"/>
  <c r="N77" i="24" s="1"/>
  <c r="O77" i="24" s="1"/>
  <c r="N74" i="24" a="1"/>
  <c r="N74" i="24" s="1"/>
  <c r="O74" i="24" s="1"/>
  <c r="E46" i="14" a="1"/>
  <c r="E46" i="14" s="1"/>
  <c r="N49" i="24" a="1"/>
  <c r="N49" i="24" s="1"/>
  <c r="O49" i="24" s="1"/>
  <c r="N42" i="24" a="1"/>
  <c r="N42" i="24" s="1"/>
  <c r="O42" i="24" s="1"/>
  <c r="N71" i="24" a="1"/>
  <c r="N71" i="24" s="1"/>
  <c r="O71" i="24" s="1"/>
  <c r="K6" i="14"/>
  <c r="I6" i="14"/>
  <c r="K34" i="14"/>
  <c r="D16" i="14"/>
  <c r="G6" i="14"/>
  <c r="F13" i="28" a="1"/>
  <c r="F13" i="28" s="1"/>
  <c r="H13" i="28" s="1"/>
  <c r="L13" i="28" s="1"/>
  <c r="F25" i="28" a="1"/>
  <c r="F25" i="28" s="1"/>
  <c r="H25" i="28" s="1"/>
  <c r="F17" i="28" a="1"/>
  <c r="F17" i="28" s="1"/>
  <c r="F11" i="28" a="1"/>
  <c r="F11" i="28" s="1"/>
  <c r="H11" i="28" s="1"/>
  <c r="F12" i="28" a="1"/>
  <c r="F12" i="28" s="1"/>
  <c r="H12" i="28" s="1"/>
  <c r="G29" i="14" a="1"/>
  <c r="G29" i="14" s="1"/>
  <c r="F24" i="28" a="1"/>
  <c r="F24" i="28" s="1"/>
  <c r="H24" i="28" s="1"/>
  <c r="L24" i="28" s="1"/>
  <c r="F16" i="28" a="1"/>
  <c r="F16" i="28" s="1"/>
  <c r="F23" i="28" a="1"/>
  <c r="F23" i="28" s="1"/>
  <c r="F19" i="28" a="1"/>
  <c r="F19" i="28" s="1"/>
  <c r="H19" i="28" s="1"/>
  <c r="N19" i="28" s="1"/>
  <c r="F15" i="28" a="1"/>
  <c r="F15" i="28" s="1"/>
  <c r="F18" i="10" a="1"/>
  <c r="F18" i="10" s="1"/>
  <c r="G21" i="14" a="1"/>
  <c r="G21" i="14" s="1"/>
  <c r="I21" i="14" s="1"/>
  <c r="M21" i="14" s="1"/>
  <c r="F55" i="14" a="1"/>
  <c r="F55" i="14" s="1"/>
  <c r="F22" i="28" a="1"/>
  <c r="F22" i="28" s="1"/>
  <c r="H22" i="28" s="1"/>
  <c r="F18" i="28" a="1"/>
  <c r="F18" i="28" s="1"/>
  <c r="F14" i="28" a="1"/>
  <c r="F14" i="28" s="1"/>
  <c r="E26" i="28"/>
  <c r="E22" i="28"/>
  <c r="E18" i="28"/>
  <c r="E14" i="28"/>
  <c r="E13" i="28"/>
  <c r="E25" i="28"/>
  <c r="E21" i="28"/>
  <c r="E17" i="28"/>
  <c r="E12" i="28"/>
  <c r="E28" i="28"/>
  <c r="E24" i="28"/>
  <c r="E20" i="28"/>
  <c r="E16" i="28"/>
  <c r="E11" i="28"/>
  <c r="E27" i="28"/>
  <c r="E23" i="28"/>
  <c r="E19" i="28"/>
  <c r="E15" i="28"/>
  <c r="E22" i="10"/>
  <c r="G426" i="7"/>
  <c r="L51" i="24"/>
  <c r="L49" i="24"/>
  <c r="M49" i="24"/>
  <c r="L85" i="24"/>
  <c r="L35" i="24"/>
  <c r="M35" i="24"/>
  <c r="L27" i="24"/>
  <c r="M27" i="24"/>
  <c r="L63" i="24"/>
  <c r="M63" i="24"/>
  <c r="L79" i="24"/>
  <c r="M79" i="24"/>
  <c r="L71" i="24"/>
  <c r="M71" i="24"/>
  <c r="L44" i="24"/>
  <c r="L20" i="24"/>
  <c r="M20" i="24"/>
  <c r="L54" i="24"/>
  <c r="M54" i="24"/>
  <c r="L24" i="24"/>
  <c r="M24" i="24"/>
  <c r="L40" i="24"/>
  <c r="M40" i="24"/>
  <c r="L47" i="24"/>
  <c r="M47" i="24"/>
  <c r="L41" i="24"/>
  <c r="L30" i="24"/>
  <c r="M30" i="24"/>
  <c r="L65" i="24"/>
  <c r="L62" i="24"/>
  <c r="L83" i="24"/>
  <c r="L74" i="24"/>
  <c r="M74" i="24"/>
  <c r="L61" i="24"/>
  <c r="M61" i="24"/>
  <c r="L64" i="24"/>
  <c r="L18" i="24"/>
  <c r="M18" i="24"/>
  <c r="L73" i="24"/>
  <c r="L82" i="24"/>
  <c r="M82" i="24"/>
  <c r="L48" i="24"/>
  <c r="L78" i="24"/>
  <c r="L23" i="24"/>
  <c r="M23" i="24"/>
  <c r="L31" i="24"/>
  <c r="L46" i="24"/>
  <c r="M4" i="24"/>
  <c r="G444" i="7"/>
  <c r="F490" i="7"/>
  <c r="G23" i="14" a="1"/>
  <c r="G23" i="14" s="1"/>
  <c r="B79" i="1"/>
  <c r="F26" i="28" a="1"/>
  <c r="F26" i="28" s="1"/>
  <c r="X79" i="1"/>
  <c r="F21" i="28" a="1"/>
  <c r="F21" i="28" s="1"/>
  <c r="F20" i="28" a="1"/>
  <c r="F20" i="28" s="1"/>
  <c r="F28" i="28" a="1"/>
  <c r="F28" i="28" s="1"/>
  <c r="F437" i="7"/>
  <c r="F409" i="7"/>
  <c r="G41" i="7"/>
  <c r="F403" i="7"/>
  <c r="G930" i="7"/>
  <c r="F149" i="7"/>
  <c r="G709" i="7"/>
  <c r="F77" i="7"/>
  <c r="F449" i="7"/>
  <c r="G303" i="7"/>
  <c r="G365" i="7"/>
  <c r="F176" i="7"/>
  <c r="F104" i="7"/>
  <c r="F86" i="7"/>
  <c r="G105" i="7"/>
  <c r="G339" i="7"/>
  <c r="F467" i="7"/>
  <c r="F441" i="7"/>
  <c r="F257" i="7"/>
  <c r="F129" i="7"/>
  <c r="G132" i="7"/>
  <c r="F478" i="7"/>
  <c r="G204" i="7"/>
  <c r="F108" i="7"/>
  <c r="F114" i="7"/>
  <c r="G111" i="7"/>
  <c r="F451" i="7"/>
  <c r="G475" i="7"/>
  <c r="F20" i="7"/>
  <c r="G724" i="7"/>
  <c r="F431" i="7"/>
  <c r="F80" i="7"/>
  <c r="F197" i="7"/>
  <c r="G319" i="7"/>
  <c r="G110" i="7"/>
  <c r="G434" i="7"/>
  <c r="G432" i="7"/>
  <c r="G209" i="7"/>
  <c r="G140" i="7"/>
  <c r="F127" i="7"/>
  <c r="F374" i="7"/>
  <c r="F210" i="7"/>
  <c r="G228" i="7"/>
  <c r="G184" i="7"/>
  <c r="F130" i="7"/>
  <c r="F107" i="7"/>
  <c r="F305" i="7"/>
  <c r="G17" i="7"/>
  <c r="G133" i="7"/>
  <c r="F244" i="7"/>
  <c r="G329" i="7"/>
  <c r="F160" i="7"/>
  <c r="F253" i="7"/>
  <c r="F899" i="7"/>
  <c r="G326" i="7"/>
  <c r="G191" i="7"/>
  <c r="F134" i="7"/>
  <c r="F343" i="7"/>
  <c r="F362" i="7"/>
  <c r="F869" i="7"/>
  <c r="G284" i="7"/>
  <c r="F158" i="7"/>
  <c r="F11" i="7"/>
  <c r="F866" i="7"/>
  <c r="F162" i="7"/>
  <c r="G464" i="7"/>
  <c r="G364" i="7"/>
  <c r="G410" i="7"/>
  <c r="G116" i="7"/>
  <c r="G959" i="7"/>
  <c r="G101" i="7"/>
  <c r="F425" i="7"/>
  <c r="F131" i="7"/>
  <c r="G220" i="7"/>
  <c r="F19" i="7"/>
  <c r="F274" i="7"/>
  <c r="G199" i="7"/>
  <c r="F913" i="7"/>
  <c r="F119" i="7"/>
  <c r="F440" i="7"/>
  <c r="F196" i="7"/>
  <c r="G206" i="7"/>
  <c r="F143" i="7"/>
  <c r="G225" i="7"/>
  <c r="G202" i="7"/>
  <c r="G795" i="7"/>
  <c r="F336" i="7"/>
  <c r="G200" i="7"/>
  <c r="G245" i="7"/>
  <c r="F408" i="7"/>
  <c r="F99" i="7"/>
  <c r="F235" i="7"/>
  <c r="F288" i="7"/>
  <c r="F177" i="7"/>
  <c r="G247" i="7"/>
  <c r="F675" i="7"/>
  <c r="G262" i="7"/>
  <c r="G412" i="7"/>
  <c r="G243" i="7"/>
  <c r="F219" i="7"/>
  <c r="G417" i="7"/>
  <c r="G187" i="7"/>
  <c r="G378" i="7"/>
  <c r="G178" i="7"/>
  <c r="F57" i="7"/>
  <c r="G870" i="7"/>
  <c r="F261" i="7"/>
  <c r="F250" i="7"/>
  <c r="F585" i="7"/>
  <c r="G124" i="7"/>
  <c r="F234" i="7"/>
  <c r="F115" i="7"/>
  <c r="F193" i="7"/>
  <c r="F286" i="7"/>
  <c r="G237" i="7"/>
  <c r="F390" i="7"/>
  <c r="G207" i="7"/>
  <c r="F106" i="7"/>
  <c r="F280" i="7"/>
  <c r="F181" i="7"/>
  <c r="F142" i="7"/>
  <c r="G429" i="7"/>
  <c r="F283" i="7"/>
  <c r="F523" i="7"/>
  <c r="G136" i="7"/>
  <c r="F236" i="7"/>
  <c r="F345" i="7"/>
  <c r="F386" i="7"/>
  <c r="F120" i="7"/>
  <c r="F278" i="7"/>
  <c r="F163" i="7"/>
  <c r="F249" i="7"/>
  <c r="F348" i="7"/>
  <c r="F597" i="7"/>
  <c r="G123" i="7"/>
  <c r="G344" i="7"/>
  <c r="G487" i="7"/>
  <c r="F211" i="7"/>
  <c r="F51" i="7"/>
  <c r="F642" i="7"/>
  <c r="F925" i="7"/>
  <c r="F665" i="7"/>
  <c r="F21" i="7"/>
  <c r="F685" i="7"/>
  <c r="F102" i="7"/>
  <c r="G673" i="7"/>
  <c r="F661" i="7"/>
  <c r="G9" i="7"/>
  <c r="F39" i="7"/>
  <c r="F78" i="7"/>
  <c r="F6" i="7"/>
  <c r="F608" i="7"/>
  <c r="F267" i="7"/>
  <c r="F87" i="7"/>
  <c r="F96" i="7"/>
  <c r="F655" i="7"/>
  <c r="F670" i="7"/>
  <c r="F69" i="7"/>
  <c r="G634" i="7"/>
  <c r="F60" i="7"/>
  <c r="G999" i="7"/>
  <c r="F676" i="7"/>
  <c r="G63" i="7"/>
  <c r="F376" i="7"/>
  <c r="G66" i="7"/>
  <c r="G75" i="7"/>
  <c r="F36" i="7"/>
  <c r="G33" i="7"/>
  <c r="G912" i="7"/>
  <c r="G91" i="7"/>
  <c r="G94" i="7"/>
  <c r="F61" i="7"/>
  <c r="F255" i="7"/>
  <c r="F337" i="7"/>
  <c r="F514" i="7"/>
  <c r="G558" i="7"/>
  <c r="G270" i="7"/>
  <c r="G282" i="7"/>
  <c r="G391" i="7"/>
  <c r="G574" i="7"/>
  <c r="G379" i="7"/>
  <c r="F333" i="7"/>
  <c r="F363" i="7"/>
  <c r="G388" i="7"/>
  <c r="G480" i="7"/>
  <c r="F85" i="7"/>
  <c r="F246" i="7"/>
  <c r="F372" i="7"/>
  <c r="G355" i="7"/>
  <c r="F76" i="7"/>
  <c r="G58" i="7"/>
  <c r="F368" i="7"/>
  <c r="F88" i="7"/>
  <c r="G289" i="7"/>
  <c r="F520" i="7"/>
  <c r="F532" i="7"/>
  <c r="F346" i="7"/>
  <c r="F349" i="7"/>
  <c r="F264" i="7"/>
  <c r="G64" i="7"/>
  <c r="F352" i="7"/>
  <c r="G313" i="7"/>
  <c r="F350" i="7"/>
  <c r="F367" i="7"/>
  <c r="F493" i="7"/>
  <c r="F239" i="7"/>
  <c r="G201" i="7"/>
  <c r="F332" i="7"/>
  <c r="G380" i="7"/>
  <c r="F389" i="7"/>
  <c r="G138" i="7"/>
  <c r="F351" i="7"/>
  <c r="F79" i="7"/>
  <c r="F214" i="7"/>
  <c r="G256" i="7"/>
  <c r="F798" i="7"/>
  <c r="G952" i="7"/>
  <c r="F577" i="7"/>
  <c r="G730" i="7"/>
  <c r="F359" i="7"/>
  <c r="F420" i="7"/>
  <c r="F578" i="7"/>
  <c r="G242" i="7"/>
  <c r="G43" i="7"/>
  <c r="G483" i="7"/>
  <c r="F231" i="7"/>
  <c r="F198" i="7"/>
  <c r="G371" i="7"/>
  <c r="F152" i="7"/>
  <c r="G174" i="7"/>
  <c r="G166" i="7"/>
  <c r="G84" i="7"/>
  <c r="F30" i="7"/>
  <c r="G90" i="7"/>
  <c r="G830" i="7"/>
  <c r="F771" i="7"/>
  <c r="G586" i="7"/>
  <c r="G815" i="7"/>
  <c r="F67" i="7"/>
  <c r="G46" i="7"/>
  <c r="G797" i="7"/>
  <c r="G772" i="7"/>
  <c r="F42" i="7"/>
  <c r="G727" i="7"/>
  <c r="F677" i="7"/>
  <c r="G582" i="7"/>
  <c r="F644" i="7"/>
  <c r="G509" i="7"/>
  <c r="G533" i="7"/>
  <c r="G476" i="7"/>
  <c r="F764" i="7"/>
  <c r="F34" i="7"/>
  <c r="G587" i="7"/>
  <c r="F279" i="7"/>
  <c r="F908" i="7"/>
  <c r="G395" i="7"/>
  <c r="F503" i="7"/>
  <c r="F324" i="7"/>
  <c r="F506" i="7"/>
  <c r="F396" i="7"/>
  <c r="G641" i="7"/>
  <c r="G285" i="7"/>
  <c r="G269" i="7"/>
  <c r="F827" i="7"/>
  <c r="F4" i="7"/>
  <c r="G28" i="7"/>
  <c r="G405" i="7"/>
  <c r="F393" i="7"/>
  <c r="G988" i="7"/>
  <c r="F611" i="7"/>
  <c r="G37" i="7"/>
  <c r="G470" i="7"/>
  <c r="G25" i="7"/>
  <c r="F898" i="7"/>
  <c r="F860" i="7"/>
  <c r="F53" i="7"/>
  <c r="G721" i="7"/>
  <c r="F148" i="7"/>
  <c r="F468" i="7"/>
  <c r="G392" i="7"/>
  <c r="F826" i="7"/>
  <c r="F512" i="7"/>
  <c r="G705" i="7"/>
  <c r="F857" i="7"/>
  <c r="G897" i="7"/>
  <c r="F702" i="7"/>
  <c r="F629" i="7"/>
  <c r="G947" i="7"/>
  <c r="F180" i="7"/>
  <c r="G10" i="7"/>
  <c r="G693" i="7"/>
  <c r="F982" i="7"/>
  <c r="G463" i="7"/>
  <c r="F948" i="7"/>
  <c r="F875" i="7"/>
  <c r="F614" i="7"/>
  <c r="F881" i="7"/>
  <c r="G796" i="7"/>
  <c r="G767" i="7"/>
  <c r="F699" i="7"/>
  <c r="G581" i="7"/>
  <c r="F5" i="7"/>
  <c r="G654" i="7"/>
  <c r="G457" i="7"/>
  <c r="F311" i="7"/>
  <c r="F192" i="7"/>
  <c r="G466" i="7"/>
  <c r="G954" i="7"/>
  <c r="F980" i="7"/>
  <c r="F620" i="7"/>
  <c r="F610" i="7"/>
  <c r="G293" i="7"/>
  <c r="G807" i="7"/>
  <c r="F215" i="7"/>
  <c r="F636" i="7"/>
  <c r="G874" i="7"/>
  <c r="F433" i="7"/>
  <c r="F232" i="7"/>
  <c r="F189" i="7"/>
  <c r="F226" i="7"/>
  <c r="F929" i="7"/>
  <c r="F137" i="7"/>
  <c r="G743" i="7"/>
  <c r="G781" i="7"/>
  <c r="G227" i="7"/>
  <c r="F448" i="7"/>
  <c r="F474" i="7"/>
  <c r="F308" i="7"/>
  <c r="G974" i="7"/>
  <c r="F543" i="7"/>
  <c r="G864" i="7"/>
  <c r="F817" i="7"/>
  <c r="G780" i="7"/>
  <c r="G218" i="7"/>
  <c r="F357" i="7"/>
  <c r="G647" i="7"/>
  <c r="F454" i="7"/>
  <c r="G229" i="7"/>
  <c r="G499" i="7"/>
  <c r="G317" i="7"/>
  <c r="F540" i="7"/>
  <c r="G477" i="7"/>
  <c r="F623" i="7"/>
  <c r="G546" i="7"/>
  <c r="G320" i="7"/>
  <c r="G810" i="7"/>
  <c r="G822" i="7"/>
  <c r="F290" i="7"/>
  <c r="G978" i="7"/>
  <c r="G871" i="7"/>
  <c r="F513" i="7"/>
  <c r="F718" i="7"/>
  <c r="G179" i="7"/>
  <c r="G315" i="7"/>
  <c r="G910" i="7"/>
  <c r="G890" i="7"/>
  <c r="G725" i="7"/>
  <c r="G643" i="7"/>
  <c r="F643" i="7"/>
  <c r="G631" i="7"/>
  <c r="F631" i="7"/>
  <c r="G625" i="7"/>
  <c r="F625" i="7"/>
  <c r="F595" i="7"/>
  <c r="F987" i="7"/>
  <c r="F964" i="7"/>
  <c r="F956" i="7"/>
  <c r="G901" i="7"/>
  <c r="G887" i="7"/>
  <c r="G867" i="7"/>
  <c r="F777" i="7"/>
  <c r="G777" i="7"/>
  <c r="G763" i="7"/>
  <c r="F575" i="7"/>
  <c r="G575" i="7"/>
  <c r="F551" i="7"/>
  <c r="G551" i="7"/>
  <c r="F150" i="7"/>
  <c r="G150" i="7"/>
  <c r="G507" i="7"/>
  <c r="F439" i="7"/>
  <c r="G418" i="7"/>
  <c r="F757" i="7"/>
  <c r="G757" i="7"/>
  <c r="F663" i="7"/>
  <c r="G663" i="7"/>
  <c r="F442" i="7"/>
  <c r="G915" i="7"/>
  <c r="F915" i="7"/>
  <c r="G421" i="7"/>
  <c r="F421" i="7"/>
  <c r="F521" i="7"/>
  <c r="F182" i="7"/>
  <c r="G829" i="7"/>
  <c r="G609" i="7"/>
  <c r="F609" i="7"/>
  <c r="G170" i="7"/>
  <c r="F170" i="7"/>
  <c r="G745" i="7"/>
  <c r="G522" i="7"/>
  <c r="F504" i="7"/>
  <c r="G2" i="7"/>
  <c r="F2" i="7"/>
  <c r="G846" i="7"/>
  <c r="F846" i="7"/>
  <c r="G615" i="7"/>
  <c r="F615" i="7"/>
  <c r="G342" i="7"/>
  <c r="F342" i="7"/>
  <c r="G271" i="7"/>
  <c r="F238" i="7"/>
  <c r="G238" i="7"/>
  <c r="G754" i="7"/>
  <c r="F733" i="7"/>
  <c r="G733" i="7"/>
  <c r="F722" i="7"/>
  <c r="G892" i="7"/>
  <c r="F892" i="7"/>
  <c r="F657" i="7"/>
  <c r="F560" i="7"/>
  <c r="F732" i="7"/>
  <c r="G878" i="7"/>
  <c r="F300" i="7"/>
  <c r="F65" i="7"/>
  <c r="G747" i="7"/>
  <c r="G712" i="7"/>
  <c r="F712" i="7"/>
  <c r="G668" i="7"/>
  <c r="F668" i="7"/>
  <c r="F652" i="7"/>
  <c r="G652" i="7"/>
  <c r="F646" i="7"/>
  <c r="G646" i="7"/>
  <c r="F56" i="7"/>
  <c r="G56" i="7"/>
  <c r="G873" i="7"/>
  <c r="G877" i="7"/>
  <c r="G744" i="7"/>
  <c r="F744" i="7"/>
  <c r="G741" i="7"/>
  <c r="F741" i="7"/>
  <c r="F738" i="7"/>
  <c r="G738" i="7"/>
  <c r="G501" i="7"/>
  <c r="F891" i="7"/>
  <c r="G891" i="7"/>
  <c r="G851" i="7"/>
  <c r="G793" i="7"/>
  <c r="F793" i="7"/>
  <c r="F787" i="7"/>
  <c r="F445" i="7"/>
  <c r="G445" i="7"/>
  <c r="F62" i="7"/>
  <c r="G62" i="7"/>
  <c r="G422" i="7"/>
  <c r="F590" i="7"/>
  <c r="G590" i="7"/>
  <c r="G567" i="7"/>
  <c r="F567" i="7"/>
  <c r="F347" i="7"/>
  <c r="F48" i="7"/>
  <c r="G48" i="7"/>
  <c r="G436" i="7"/>
  <c r="G944" i="7"/>
  <c r="F944" i="7"/>
  <c r="F515" i="7"/>
  <c r="F489" i="7"/>
  <c r="F419" i="7"/>
  <c r="G419" i="7"/>
  <c r="F416" i="7"/>
  <c r="G416" i="7"/>
  <c r="F413" i="7"/>
  <c r="G413" i="7"/>
  <c r="G312" i="7"/>
  <c r="F312" i="7"/>
  <c r="G516" i="7"/>
  <c r="G297" i="7"/>
  <c r="F865" i="7"/>
  <c r="G695" i="7"/>
  <c r="F144" i="7"/>
  <c r="G492" i="7"/>
  <c r="F715" i="7"/>
  <c r="G594" i="7"/>
  <c r="F842" i="7"/>
  <c r="G689" i="7"/>
  <c r="G686" i="7"/>
  <c r="F773" i="7"/>
  <c r="G74" i="7"/>
  <c r="F74" i="7"/>
  <c r="G71" i="7"/>
  <c r="F71" i="7"/>
  <c r="F27" i="7"/>
  <c r="G27" i="7"/>
  <c r="F18" i="7"/>
  <c r="F923" i="7"/>
  <c r="F889" i="7"/>
  <c r="F806" i="7"/>
  <c r="G632" i="7"/>
  <c r="F664" i="7"/>
  <c r="F411" i="7"/>
  <c r="F565" i="7"/>
  <c r="F446" i="7"/>
  <c r="F183" i="7"/>
  <c r="G151" i="7"/>
  <c r="G49" i="7"/>
  <c r="G168" i="7"/>
  <c r="G736" i="7"/>
  <c r="F736" i="7"/>
  <c r="G985" i="7"/>
  <c r="F985" i="7"/>
  <c r="G427" i="7"/>
  <c r="F427" i="7"/>
  <c r="G996" i="7"/>
  <c r="F996" i="7"/>
  <c r="G993" i="7"/>
  <c r="F993" i="7"/>
  <c r="F700" i="7"/>
  <c r="G633" i="7"/>
  <c r="F554" i="7"/>
  <c r="G554" i="7"/>
  <c r="F341" i="7"/>
  <c r="G338" i="7"/>
  <c r="F338" i="7"/>
  <c r="G291" i="7"/>
  <c r="F291" i="7"/>
  <c r="F327" i="7"/>
  <c r="F588" i="7"/>
  <c r="G726" i="7"/>
  <c r="F726" i="7"/>
  <c r="G471" i="7"/>
  <c r="F471" i="7"/>
  <c r="G306" i="7"/>
  <c r="F306" i="7"/>
  <c r="F920" i="7"/>
  <c r="G920" i="7"/>
  <c r="G770" i="7"/>
  <c r="F752" i="7"/>
  <c r="G973" i="7"/>
  <c r="F973" i="7"/>
  <c r="G967" i="7"/>
  <c r="F841" i="7"/>
  <c r="G841" i="7"/>
  <c r="F832" i="7"/>
  <c r="G832" i="7"/>
  <c r="G723" i="7"/>
  <c r="F723" i="7"/>
  <c r="F580" i="7"/>
  <c r="G580" i="7"/>
  <c r="G518" i="7"/>
  <c r="F518" i="7"/>
  <c r="F358" i="7"/>
  <c r="G358" i="7"/>
  <c r="G963" i="7"/>
  <c r="F963" i="7"/>
  <c r="F742" i="7"/>
  <c r="G742" i="7"/>
  <c r="F481" i="7"/>
  <c r="G481" i="7"/>
  <c r="F16" i="7"/>
  <c r="G942" i="7"/>
  <c r="F942" i="7"/>
  <c r="G758" i="7"/>
  <c r="F758" i="7"/>
  <c r="G755" i="7"/>
  <c r="G47" i="7"/>
  <c r="F47" i="7"/>
  <c r="G316" i="7"/>
  <c r="G981" i="7"/>
  <c r="G626" i="7"/>
  <c r="G491" i="7"/>
  <c r="F491" i="7"/>
  <c r="F414" i="7"/>
  <c r="G414" i="7"/>
  <c r="F334" i="7"/>
  <c r="G334" i="7"/>
  <c r="F240" i="7"/>
  <c r="G240" i="7"/>
  <c r="G55" i="7"/>
  <c r="F55" i="7"/>
  <c r="G544" i="7"/>
  <c r="F544" i="7"/>
  <c r="G924" i="7"/>
  <c r="F924" i="7"/>
  <c r="F814" i="7"/>
  <c r="G814" i="7"/>
  <c r="F808" i="7"/>
  <c r="G805" i="7"/>
  <c r="F805" i="7"/>
  <c r="F687" i="7"/>
  <c r="G687" i="7"/>
  <c r="G681" i="7"/>
  <c r="F681" i="7"/>
  <c r="F649" i="7"/>
  <c r="G649" i="7"/>
  <c r="F458" i="7"/>
  <c r="G458" i="7"/>
  <c r="G455" i="7"/>
  <c r="F455" i="7"/>
  <c r="G452" i="7"/>
  <c r="F452" i="7"/>
  <c r="F384" i="7"/>
  <c r="G384" i="7"/>
  <c r="G381" i="7"/>
  <c r="F381" i="7"/>
  <c r="G375" i="7"/>
  <c r="F375" i="7"/>
  <c r="G157" i="7"/>
  <c r="F157" i="7"/>
  <c r="F154" i="7"/>
  <c r="G154" i="7"/>
  <c r="F707" i="7"/>
  <c r="F13" i="7"/>
  <c r="G1000" i="7"/>
  <c r="F1000" i="7"/>
  <c r="F997" i="7"/>
  <c r="G935" i="7"/>
  <c r="F935" i="7"/>
  <c r="G719" i="7"/>
  <c r="F576" i="7"/>
  <c r="G584" i="7"/>
  <c r="F584" i="7"/>
  <c r="F598" i="7"/>
  <c r="G598" i="7"/>
  <c r="G710" i="7"/>
  <c r="F710" i="7"/>
  <c r="G260" i="7"/>
  <c r="F260" i="7"/>
  <c r="F7" i="7"/>
  <c r="G7" i="7"/>
  <c r="F613" i="7"/>
  <c r="G613" i="7"/>
  <c r="G534" i="7"/>
  <c r="F401" i="7"/>
  <c r="G401" i="7"/>
  <c r="F430" i="7"/>
  <c r="G946" i="7"/>
  <c r="F946" i="7"/>
  <c r="G943" i="7"/>
  <c r="F909" i="7"/>
  <c r="G909" i="7"/>
  <c r="G759" i="7"/>
  <c r="G277" i="7"/>
  <c r="F277" i="7"/>
  <c r="F89" i="7"/>
  <c r="G89" i="7"/>
  <c r="G472" i="7"/>
  <c r="G824" i="7"/>
  <c r="F812" i="7"/>
  <c r="F640" i="7"/>
  <c r="F450" i="7"/>
  <c r="G740" i="7"/>
  <c r="F888" i="7"/>
  <c r="G692" i="7"/>
  <c r="F839" i="7"/>
  <c r="F545" i="7"/>
  <c r="G737" i="7"/>
  <c r="G529" i="7"/>
  <c r="F571" i="7"/>
  <c r="G820" i="7"/>
  <c r="G761" i="7"/>
  <c r="G992" i="7"/>
  <c r="G984" i="7"/>
  <c r="G962" i="7"/>
  <c r="F957" i="7"/>
  <c r="F938" i="7"/>
  <c r="F916" i="7"/>
  <c r="G844" i="7"/>
  <c r="F784" i="7"/>
  <c r="G216" i="7"/>
  <c r="G161" i="7"/>
  <c r="G59" i="7"/>
  <c r="F519" i="7"/>
  <c r="G482" i="7"/>
  <c r="F876" i="7"/>
  <c r="G669" i="7"/>
  <c r="G951" i="7"/>
  <c r="G937" i="7"/>
  <c r="G561" i="7"/>
  <c r="G756" i="7"/>
  <c r="F886" i="7"/>
  <c r="G447" i="7"/>
  <c r="F535" i="7"/>
  <c r="F552" i="7"/>
  <c r="F852" i="7"/>
  <c r="F768" i="7"/>
  <c r="G469" i="7"/>
  <c r="F979" i="7"/>
  <c r="G933" i="7"/>
  <c r="F683" i="7"/>
  <c r="G825" i="7"/>
  <c r="F825" i="7"/>
  <c r="F295" i="7"/>
  <c r="G295" i="7"/>
  <c r="G233" i="7"/>
  <c r="F233" i="7"/>
  <c r="F949" i="7"/>
  <c r="F690" i="7"/>
  <c r="G746" i="7"/>
  <c r="G799" i="7"/>
  <c r="F570" i="7"/>
  <c r="G570" i="7"/>
  <c r="F831" i="7"/>
  <c r="F845" i="7"/>
  <c r="F122" i="7"/>
  <c r="G38" i="7"/>
  <c r="G991" i="7"/>
  <c r="G473" i="7"/>
  <c r="F473" i="7"/>
  <c r="G175" i="7"/>
  <c r="F175" i="7"/>
  <c r="G488" i="7"/>
  <c r="F922" i="7"/>
  <c r="F400" i="7"/>
  <c r="G400" i="7"/>
  <c r="F35" i="7"/>
  <c r="F530" i="7"/>
  <c r="G694" i="7"/>
  <c r="F802" i="7"/>
  <c r="F818" i="7"/>
  <c r="F593" i="7"/>
  <c r="G990" i="7"/>
  <c r="F751" i="7"/>
  <c r="F592" i="7"/>
  <c r="G592" i="7"/>
  <c r="G73" i="7"/>
  <c r="F73" i="7"/>
  <c r="F125" i="7"/>
  <c r="G125" i="7"/>
  <c r="G850" i="7"/>
  <c r="F850" i="7"/>
  <c r="G601" i="7"/>
  <c r="F601" i="7"/>
  <c r="G749" i="7"/>
  <c r="G917" i="7"/>
  <c r="G52" i="7"/>
  <c r="F983" i="7"/>
  <c r="G983" i="7"/>
  <c r="F679" i="7"/>
  <c r="G679" i="7"/>
  <c r="G81" i="7"/>
  <c r="G811" i="7"/>
  <c r="F861" i="7"/>
  <c r="G918" i="7"/>
  <c r="F821" i="7"/>
  <c r="G774" i="7"/>
  <c r="G32" i="7"/>
  <c r="F728" i="7"/>
  <c r="F366" i="7"/>
  <c r="F92" i="7"/>
  <c r="G460" i="7"/>
  <c r="G998" i="7"/>
  <c r="F998" i="7"/>
  <c r="G972" i="7"/>
  <c r="F885" i="7"/>
  <c r="G885" i="7"/>
  <c r="F696" i="7"/>
  <c r="G621" i="7"/>
  <c r="F621" i="7"/>
  <c r="F603" i="7"/>
  <c r="G538" i="7"/>
  <c r="F538" i="7"/>
  <c r="F263" i="7"/>
  <c r="G263" i="7"/>
  <c r="F188" i="7"/>
  <c r="G135" i="7"/>
  <c r="F8" i="7"/>
  <c r="G8" i="7"/>
  <c r="F301" i="7"/>
  <c r="G301" i="7"/>
  <c r="G325" i="7"/>
  <c r="F325" i="7"/>
  <c r="F559" i="7"/>
  <c r="G292" i="7"/>
  <c r="G616" i="7"/>
  <c r="G498" i="7"/>
  <c r="F691" i="7"/>
  <c r="G3" i="7"/>
  <c r="G792" i="7"/>
  <c r="F792" i="7"/>
  <c r="F680" i="7"/>
  <c r="F969" i="7"/>
  <c r="G819" i="7"/>
  <c r="G298" i="7"/>
  <c r="G766" i="7"/>
  <c r="F662" i="7"/>
  <c r="F879" i="7"/>
  <c r="F934" i="7"/>
  <c r="G966" i="7"/>
  <c r="F786" i="7"/>
  <c r="G786" i="7"/>
  <c r="G486" i="7"/>
  <c r="F486" i="7"/>
  <c r="G619" i="7"/>
  <c r="F619" i="7"/>
  <c r="G304" i="7"/>
  <c r="F304" i="7"/>
  <c r="F919" i="7"/>
  <c r="F697" i="7"/>
  <c r="G840" i="7"/>
  <c r="G459" i="7"/>
  <c r="F169" i="7"/>
  <c r="G868" i="7"/>
  <c r="F868" i="7"/>
  <c r="F995" i="7"/>
  <c r="G153" i="7"/>
  <c r="F583" i="7"/>
  <c r="F568" i="7"/>
  <c r="G397" i="7"/>
  <c r="F252" i="7"/>
  <c r="G854" i="7"/>
  <c r="F628" i="7"/>
  <c r="F224" i="7"/>
  <c r="G769" i="7"/>
  <c r="F485" i="7"/>
  <c r="G863" i="7"/>
  <c r="F863" i="7"/>
  <c r="F645" i="7"/>
  <c r="G833" i="7"/>
  <c r="G838" i="7"/>
  <c r="F682" i="7"/>
  <c r="G674" i="7"/>
  <c r="F600" i="7"/>
  <c r="G549" i="7"/>
  <c r="G95" i="7"/>
  <c r="F103" i="7"/>
  <c r="F208" i="7"/>
  <c r="G823" i="7"/>
  <c r="F823" i="7"/>
  <c r="G783" i="7"/>
  <c r="F783" i="7"/>
  <c r="F205" i="7"/>
  <c r="F800" i="7"/>
  <c r="F904" i="7"/>
  <c r="G914" i="7"/>
  <c r="G548" i="7"/>
  <c r="F562" i="7"/>
  <c r="F508" i="7"/>
  <c r="F788" i="7"/>
  <c r="G230" i="7"/>
  <c r="G883" i="7"/>
  <c r="F971" i="7"/>
  <c r="G928" i="7"/>
  <c r="F928" i="7"/>
  <c r="G862" i="7"/>
  <c r="G141" i="7"/>
  <c r="F524" i="7"/>
  <c r="G186" i="7"/>
  <c r="F164" i="7"/>
  <c r="F113" i="7"/>
  <c r="G354" i="7"/>
  <c r="G314" i="7"/>
  <c r="F185" i="7"/>
  <c r="G72" i="7"/>
  <c r="G26" i="7"/>
  <c r="G782" i="7"/>
  <c r="F734" i="7"/>
  <c r="G703" i="7"/>
  <c r="G494" i="7"/>
  <c r="G281" i="7"/>
  <c r="F258" i="7"/>
  <c r="G100" i="7"/>
  <c r="G31" i="7"/>
  <c r="F14" i="7"/>
  <c r="G547" i="7"/>
  <c r="F287" i="7"/>
  <c r="G627" i="7"/>
  <c r="G321" i="7"/>
  <c r="G254" i="7"/>
  <c r="F117" i="7"/>
  <c r="G241" i="7"/>
  <c r="G12" i="7"/>
  <c r="F931" i="7"/>
  <c r="F950" i="7"/>
  <c r="G789" i="7"/>
  <c r="F779" i="7"/>
  <c r="G731" i="7"/>
  <c r="F672" i="7"/>
  <c r="F667" i="7"/>
  <c r="F424" i="7"/>
  <c r="G309" i="7"/>
  <c r="F296" i="7"/>
  <c r="G268" i="7"/>
  <c r="F165" i="7"/>
  <c r="G165" i="7"/>
  <c r="G145" i="7"/>
  <c r="G213" i="7"/>
  <c r="G579" i="7"/>
  <c r="G194" i="7"/>
  <c r="F15" i="7"/>
  <c r="G794" i="7"/>
  <c r="F539" i="7"/>
  <c r="G222" i="7"/>
  <c r="G212" i="7"/>
  <c r="F167" i="7"/>
  <c r="G147" i="7"/>
  <c r="G622" i="7"/>
  <c r="F847" i="7"/>
  <c r="F684" i="7"/>
  <c r="F760" i="7"/>
  <c r="F505" i="7"/>
  <c r="G666" i="7"/>
  <c r="G894" i="7"/>
  <c r="F834" i="7"/>
  <c r="F650" i="7"/>
  <c r="F435" i="7"/>
  <c r="G612" i="7"/>
  <c r="G556" i="7"/>
  <c r="G462" i="7"/>
  <c r="G217" i="7"/>
  <c r="G159" i="7"/>
  <c r="F139" i="7"/>
  <c r="G139" i="7"/>
  <c r="F606" i="7"/>
  <c r="G606" i="7"/>
  <c r="G704" i="7"/>
  <c r="F24" i="7"/>
  <c r="G330" i="7"/>
  <c r="F203" i="7"/>
  <c r="F591" i="7"/>
  <c r="F29" i="7"/>
  <c r="F407" i="7"/>
  <c r="G658" i="7"/>
  <c r="F762" i="7"/>
  <c r="F872" i="7"/>
  <c r="G671" i="7"/>
  <c r="G596" i="7"/>
  <c r="F955" i="7"/>
  <c r="G896" i="7"/>
  <c r="F566" i="7"/>
  <c r="F604" i="7"/>
  <c r="F525" i="7"/>
  <c r="G406" i="7"/>
  <c r="F406" i="7"/>
  <c r="F98" i="7"/>
  <c r="F735" i="7"/>
  <c r="G510" i="7"/>
  <c r="G653" i="7"/>
  <c r="F605" i="7"/>
  <c r="F708" i="7"/>
  <c r="F748" i="7"/>
  <c r="F765" i="7"/>
  <c r="G753" i="7"/>
  <c r="F835" i="7"/>
  <c r="G717" i="7"/>
  <c r="F701" i="7"/>
  <c r="F496" i="7"/>
  <c r="F54" i="7"/>
  <c r="G659" i="7"/>
  <c r="F940" i="7"/>
  <c r="G884" i="7"/>
  <c r="G443" i="7"/>
  <c r="G801" i="7"/>
  <c r="F553" i="7"/>
  <c r="G465" i="7"/>
  <c r="G44" i="7"/>
  <c r="G970" i="7"/>
  <c r="F555" i="7"/>
  <c r="G589" i="7"/>
  <c r="F563" i="7"/>
  <c r="G900" i="7"/>
  <c r="F813" i="7"/>
  <c r="G70" i="7"/>
  <c r="G190" i="7"/>
  <c r="F989" i="7"/>
  <c r="F927" i="7"/>
  <c r="F939" i="7"/>
  <c r="G907" i="7"/>
  <c r="F902" i="7"/>
  <c r="G809" i="7"/>
  <c r="F778" i="7"/>
  <c r="F635" i="7"/>
  <c r="F630" i="7"/>
  <c r="F599" i="7"/>
  <c r="G531" i="7"/>
  <c r="G171" i="7"/>
  <c r="F45" i="7"/>
  <c r="F195" i="7"/>
  <c r="G637" i="7"/>
  <c r="F994" i="7"/>
  <c r="G941" i="7"/>
  <c r="G837" i="7"/>
  <c r="F528" i="7"/>
  <c r="G528" i="7"/>
  <c r="G402" i="7"/>
  <c r="F118" i="7"/>
  <c r="G93" i="7"/>
  <c r="G921" i="7"/>
  <c r="G880" i="7"/>
  <c r="F729" i="7"/>
  <c r="F977" i="7"/>
  <c r="F803" i="7"/>
  <c r="G573" i="7"/>
  <c r="F453" i="7"/>
  <c r="G617" i="7"/>
  <c r="G266" i="7"/>
  <c r="F172" i="7"/>
  <c r="G155" i="7"/>
  <c r="F50" i="7"/>
  <c r="F932" i="7"/>
  <c r="G714" i="7"/>
  <c r="G660" i="7"/>
  <c r="F302" i="7"/>
  <c r="G173" i="7"/>
  <c r="E25" i="16"/>
  <c r="G25" i="16" s="1"/>
  <c r="F804" i="7"/>
  <c r="F527" i="7"/>
  <c r="G607" i="7"/>
  <c r="F968" i="7"/>
  <c r="G265" i="7"/>
  <c r="G310" i="7"/>
  <c r="G602" i="7"/>
  <c r="G564" i="7"/>
  <c r="F849" i="7"/>
  <c r="F461" i="7"/>
  <c r="G461" i="7"/>
  <c r="G816" i="7"/>
  <c r="G936" i="7"/>
  <c r="G836" i="7"/>
  <c r="F648" i="7"/>
  <c r="F385" i="7"/>
  <c r="F903" i="7"/>
  <c r="G775" i="7"/>
  <c r="F855" i="7"/>
  <c r="F651" i="7"/>
  <c r="G322" i="7"/>
  <c r="F387" i="7"/>
  <c r="G387" i="7"/>
  <c r="F361" i="7"/>
  <c r="G361" i="7"/>
  <c r="G23" i="7"/>
  <c r="F23" i="7"/>
  <c r="G965" i="7"/>
  <c r="F975" i="7"/>
  <c r="F961" i="7"/>
  <c r="G906" i="7"/>
  <c r="G790" i="7"/>
  <c r="F856" i="7"/>
  <c r="G828" i="7"/>
  <c r="F438" i="7"/>
  <c r="G859" i="7"/>
  <c r="F511" i="7"/>
  <c r="F678" i="7"/>
  <c r="F500" i="7"/>
  <c r="G960" i="7"/>
  <c r="F526" i="7"/>
  <c r="G335" i="7"/>
  <c r="F335" i="7"/>
  <c r="G128" i="7"/>
  <c r="G785" i="7"/>
  <c r="F569" i="7"/>
  <c r="G572" i="7"/>
  <c r="G479" i="7"/>
  <c r="F221" i="7"/>
  <c r="G423" i="7"/>
  <c r="F423" i="7"/>
  <c r="G323" i="7"/>
  <c r="F323" i="7"/>
  <c r="G223" i="7"/>
  <c r="F223" i="7"/>
  <c r="G83" i="7"/>
  <c r="F83" i="7"/>
  <c r="G276" i="7"/>
  <c r="F276" i="7"/>
  <c r="G273" i="7"/>
  <c r="F273" i="7"/>
  <c r="F121" i="7"/>
  <c r="G121" i="7"/>
  <c r="G328" i="7"/>
  <c r="F328" i="7"/>
  <c r="G146" i="7"/>
  <c r="F146" i="7"/>
  <c r="G82" i="7"/>
  <c r="F82" i="7"/>
  <c r="F383" i="7"/>
  <c r="G383" i="7"/>
  <c r="F377" i="7"/>
  <c r="G926" i="7"/>
  <c r="F404" i="7"/>
  <c r="F318" i="7"/>
  <c r="F495" i="7"/>
  <c r="F360" i="7"/>
  <c r="F517" i="7"/>
  <c r="G624" i="7"/>
  <c r="F624" i="7"/>
  <c r="G415" i="7"/>
  <c r="G618" i="7"/>
  <c r="F248" i="7"/>
  <c r="G394" i="7"/>
  <c r="F394" i="7"/>
  <c r="F716" i="7"/>
  <c r="F456" i="7"/>
  <c r="G953" i="7"/>
  <c r="F713" i="7"/>
  <c r="G945" i="7"/>
  <c r="F639" i="7"/>
  <c r="G843" i="7"/>
  <c r="F550" i="7"/>
  <c r="G382" i="7"/>
  <c r="F382" i="7"/>
  <c r="G373" i="7"/>
  <c r="F373" i="7"/>
  <c r="F356" i="7"/>
  <c r="G356" i="7"/>
  <c r="F272" i="7"/>
  <c r="G272" i="7"/>
  <c r="G251" i="7"/>
  <c r="F251" i="7"/>
  <c r="F557" i="7"/>
  <c r="F858" i="7"/>
  <c r="G858" i="7"/>
  <c r="G484" i="7"/>
  <c r="F484" i="7"/>
  <c r="G541" i="7"/>
  <c r="F497" i="7"/>
  <c r="F958" i="7"/>
  <c r="F331" i="7"/>
  <c r="G275" i="7"/>
  <c r="G537" i="7"/>
  <c r="F711" i="7"/>
  <c r="G905" i="7"/>
  <c r="F156" i="7"/>
  <c r="F502" i="7"/>
  <c r="F893" i="7"/>
  <c r="G791" i="7"/>
  <c r="F976" i="7"/>
  <c r="G882" i="7"/>
  <c r="G259" i="7"/>
  <c r="F40" i="7"/>
  <c r="G340" i="7"/>
  <c r="F97" i="7"/>
  <c r="G353" i="7"/>
  <c r="F688" i="7"/>
  <c r="G776" i="7"/>
  <c r="F776" i="7"/>
  <c r="G638" i="7"/>
  <c r="F638" i="7"/>
  <c r="F126" i="7"/>
  <c r="G126" i="7"/>
  <c r="G112" i="7"/>
  <c r="F112" i="7"/>
  <c r="G109" i="7"/>
  <c r="F109" i="7"/>
  <c r="M9" i="16"/>
  <c r="G750" i="7"/>
  <c r="G536" i="7"/>
  <c r="F706" i="7"/>
  <c r="G369" i="7"/>
  <c r="F542" i="7"/>
  <c r="F398" i="7"/>
  <c r="G720" i="7"/>
  <c r="F848" i="7"/>
  <c r="G656" i="7"/>
  <c r="F853" i="7"/>
  <c r="F698" i="7"/>
  <c r="F739" i="7"/>
  <c r="F299" i="7"/>
  <c r="F986" i="7"/>
  <c r="F370" i="7"/>
  <c r="F911" i="7"/>
  <c r="G428" i="7"/>
  <c r="F68" i="7"/>
  <c r="G294" i="7"/>
  <c r="F294" i="7"/>
  <c r="G895" i="7"/>
  <c r="F22" i="7"/>
  <c r="G399" i="7"/>
  <c r="T9" i="16"/>
  <c r="U9" i="16"/>
  <c r="F9" i="16"/>
  <c r="J9" i="16"/>
  <c r="I9" i="10"/>
  <c r="K9" i="28"/>
  <c r="L9" i="16"/>
  <c r="O9" i="16"/>
  <c r="K9" i="16"/>
  <c r="Q9" i="16"/>
  <c r="R9" i="16"/>
  <c r="N9" i="16"/>
  <c r="P9" i="16"/>
  <c r="S9" i="16"/>
  <c r="Y22" i="1"/>
  <c r="Y109" i="1"/>
  <c r="Y388" i="1"/>
  <c r="Y92" i="1"/>
  <c r="Y89" i="1"/>
  <c r="Y336" i="1"/>
  <c r="Y332" i="1"/>
  <c r="Y124" i="1"/>
  <c r="Y264" i="1"/>
  <c r="Y147" i="1"/>
  <c r="Y265" i="1"/>
  <c r="Y302" i="1"/>
  <c r="Y88" i="1"/>
  <c r="Y308" i="1"/>
  <c r="Y137" i="1"/>
  <c r="Y63" i="1"/>
  <c r="Y132" i="1"/>
  <c r="Y356" i="1"/>
  <c r="Y275" i="1"/>
  <c r="Y322" i="1"/>
  <c r="Y393" i="1"/>
  <c r="Y315" i="1"/>
  <c r="Y165" i="1"/>
  <c r="Y306" i="1"/>
  <c r="Y316" i="1"/>
  <c r="Y304" i="1"/>
  <c r="Y214" i="1"/>
  <c r="Y210" i="1"/>
  <c r="Y367" i="1"/>
  <c r="Y133" i="1"/>
  <c r="Y138" i="1"/>
  <c r="Y281" i="1"/>
  <c r="Y106" i="1"/>
  <c r="Y344" i="1"/>
  <c r="Y43" i="1"/>
  <c r="Y292" i="1"/>
  <c r="Y28" i="1"/>
  <c r="Y18" i="1"/>
  <c r="Y152" i="1"/>
  <c r="Y27" i="1"/>
  <c r="Y29" i="1"/>
  <c r="Y262" i="1"/>
  <c r="Y12" i="1"/>
  <c r="Y85" i="1"/>
  <c r="Y385" i="1"/>
  <c r="Y123" i="1"/>
  <c r="Y175" i="1"/>
  <c r="Y346" i="1"/>
  <c r="Y68" i="1"/>
  <c r="Y247" i="1"/>
  <c r="Y193" i="1"/>
  <c r="Y197" i="1"/>
  <c r="Y5" i="1"/>
  <c r="H7" i="28"/>
  <c r="E7" i="16"/>
  <c r="H7" i="10"/>
  <c r="V396" i="27" l="1"/>
  <c r="Y23" i="1"/>
  <c r="Y259" i="1"/>
  <c r="AB79" i="1"/>
  <c r="Y377" i="1"/>
  <c r="Y65" i="1"/>
  <c r="Y164" i="1"/>
  <c r="Y271" i="1"/>
  <c r="AB243" i="1"/>
  <c r="Y183" i="1"/>
  <c r="Y335" i="1"/>
  <c r="Y305" i="1"/>
  <c r="Y276" i="1"/>
  <c r="B9" i="1"/>
  <c r="Y369" i="1"/>
  <c r="Y313" i="1"/>
  <c r="Y102" i="1"/>
  <c r="Y53" i="1"/>
  <c r="W9" i="1"/>
  <c r="X9" i="1" s="1"/>
  <c r="X405" i="1" s="1"/>
  <c r="Y334" i="1"/>
  <c r="Y224" i="1"/>
  <c r="Y294" i="1"/>
  <c r="Y7" i="1"/>
  <c r="Y195" i="1"/>
  <c r="Y130" i="1"/>
  <c r="Y148" i="1"/>
  <c r="Y87" i="1"/>
  <c r="Y206" i="1"/>
  <c r="Y307" i="1"/>
  <c r="Y220" i="1"/>
  <c r="Y384" i="1"/>
  <c r="Y242" i="1"/>
  <c r="Y392" i="1"/>
  <c r="Y279" i="1"/>
  <c r="Y115" i="1"/>
  <c r="F27" i="28" a="1"/>
  <c r="F27" i="28" s="1"/>
  <c r="H27" i="28" s="1"/>
  <c r="Y323" i="1"/>
  <c r="Y33" i="1"/>
  <c r="Y221" i="1"/>
  <c r="Y212" i="1"/>
  <c r="Y30" i="1"/>
  <c r="Y82" i="1"/>
  <c r="Y324" i="1"/>
  <c r="F49" i="14" a="1"/>
  <c r="F49" i="14" s="1"/>
  <c r="Y11" i="1"/>
  <c r="Y373" i="1"/>
  <c r="Y36" i="1"/>
  <c r="Y144" i="1"/>
  <c r="Y37" i="1"/>
  <c r="Y359" i="1"/>
  <c r="Y258" i="1"/>
  <c r="Y10" i="1"/>
  <c r="Y160" i="1"/>
  <c r="Y142" i="1"/>
  <c r="U405" i="1"/>
  <c r="U396" i="27"/>
  <c r="I26" i="28" a="1"/>
  <c r="I26" i="28" s="1"/>
  <c r="J26" i="28" s="1"/>
  <c r="M26" i="28" s="1"/>
  <c r="I12" i="28" a="1"/>
  <c r="I12" i="28" s="1"/>
  <c r="J12" i="28" s="1"/>
  <c r="M12" i="28" s="1"/>
  <c r="I27" i="28" a="1"/>
  <c r="I27" i="28" s="1"/>
  <c r="J27" i="28" s="1"/>
  <c r="M27" i="28" s="1"/>
  <c r="I28" i="28" a="1"/>
  <c r="I28" i="28" s="1"/>
  <c r="J28" i="28" s="1"/>
  <c r="M28" i="28" s="1"/>
  <c r="I24" i="28" a="1"/>
  <c r="I24" i="28" s="1"/>
  <c r="J24" i="28" s="1"/>
  <c r="M24" i="28" s="1"/>
  <c r="I17" i="28" a="1"/>
  <c r="I17" i="28" s="1"/>
  <c r="J17" i="28" s="1"/>
  <c r="M17" i="28" s="1"/>
  <c r="I18" i="28" a="1"/>
  <c r="I18" i="28" s="1"/>
  <c r="J18" i="28" s="1"/>
  <c r="M18" i="28" s="1"/>
  <c r="I16" i="28" a="1"/>
  <c r="I16" i="28" s="1"/>
  <c r="J16" i="28" s="1"/>
  <c r="M16" i="28" s="1"/>
  <c r="I25" i="28" a="1"/>
  <c r="I25" i="28" s="1"/>
  <c r="J25" i="28" s="1"/>
  <c r="M25" i="28" s="1"/>
  <c r="I20" i="28" a="1"/>
  <c r="I20" i="28" s="1"/>
  <c r="J20" i="28" s="1"/>
  <c r="M20" i="28" s="1"/>
  <c r="I15" i="28" a="1"/>
  <c r="I15" i="28" s="1"/>
  <c r="J15" i="28" s="1"/>
  <c r="M15" i="28" s="1"/>
  <c r="I22" i="28" a="1"/>
  <c r="I22" i="28" s="1"/>
  <c r="J22" i="28" s="1"/>
  <c r="M22" i="28" s="1"/>
  <c r="I21" i="28" a="1"/>
  <c r="I21" i="28" s="1"/>
  <c r="J21" i="28" s="1"/>
  <c r="M21" i="28" s="1"/>
  <c r="I11" i="28" a="1"/>
  <c r="I11" i="28" s="1"/>
  <c r="I14" i="28" a="1"/>
  <c r="I14" i="28" s="1"/>
  <c r="J14" i="28" s="1"/>
  <c r="M14" i="28" s="1"/>
  <c r="I23" i="28" a="1"/>
  <c r="I23" i="28" s="1"/>
  <c r="J23" i="28" s="1"/>
  <c r="M23" i="28" s="1"/>
  <c r="I19" i="28" a="1"/>
  <c r="I19" i="28" s="1"/>
  <c r="J19" i="28" s="1"/>
  <c r="M19" i="28" s="1"/>
  <c r="I13" i="28" a="1"/>
  <c r="I13" i="28" s="1"/>
  <c r="J13" i="28" s="1"/>
  <c r="M13" i="28" s="1"/>
  <c r="G45" i="14"/>
  <c r="Y149" i="1"/>
  <c r="Y333" i="1"/>
  <c r="Y155" i="1"/>
  <c r="Y172" i="1"/>
  <c r="Y203" i="1"/>
  <c r="Y15" i="1"/>
  <c r="Y162" i="1"/>
  <c r="Y49" i="1"/>
  <c r="Y78" i="1"/>
  <c r="Y169" i="1"/>
  <c r="Y62" i="1"/>
  <c r="Y231" i="1"/>
  <c r="Y378" i="1"/>
  <c r="Y326" i="1"/>
  <c r="Y41" i="1"/>
  <c r="Y67" i="1"/>
  <c r="Y176" i="1"/>
  <c r="Y357" i="1"/>
  <c r="Y108" i="1"/>
  <c r="Y54" i="1"/>
  <c r="Y8" i="1"/>
  <c r="Y98" i="1"/>
  <c r="Y143" i="1"/>
  <c r="Y153" i="1"/>
  <c r="Y159" i="1"/>
  <c r="Y288" i="1"/>
  <c r="Y196" i="1"/>
  <c r="Y110" i="1"/>
  <c r="Y241" i="1"/>
  <c r="Y282" i="1"/>
  <c r="Y128" i="1"/>
  <c r="Y171" i="1"/>
  <c r="Y239" i="1"/>
  <c r="Y60" i="1"/>
  <c r="Y379" i="1"/>
  <c r="Y341" i="1"/>
  <c r="Y74" i="1"/>
  <c r="Y99" i="1"/>
  <c r="Y95" i="1"/>
  <c r="Y105" i="1"/>
  <c r="Y179" i="1"/>
  <c r="Y16" i="1"/>
  <c r="Y287" i="1"/>
  <c r="Y351" i="1"/>
  <c r="Y154" i="1"/>
  <c r="Y161" i="1"/>
  <c r="Y136" i="1"/>
  <c r="Y167" i="1"/>
  <c r="Y232" i="1"/>
  <c r="Y280" i="1"/>
  <c r="Y286" i="1"/>
  <c r="Y298" i="1"/>
  <c r="Y94" i="1"/>
  <c r="Y24" i="1"/>
  <c r="Y270" i="1"/>
  <c r="Y141" i="1"/>
  <c r="Y157" i="1"/>
  <c r="Y382" i="1"/>
  <c r="Y338" i="1"/>
  <c r="Y38" i="1"/>
  <c r="Y330" i="1"/>
  <c r="Y213" i="1"/>
  <c r="Y209" i="1"/>
  <c r="Y238" i="1"/>
  <c r="Y273" i="1"/>
  <c r="Y347" i="1"/>
  <c r="Y236" i="1"/>
  <c r="Y50" i="1"/>
  <c r="Y327" i="1"/>
  <c r="Y234" i="1"/>
  <c r="Y366" i="1"/>
  <c r="G36" i="14"/>
  <c r="Y200" i="1"/>
  <c r="Y111" i="1"/>
  <c r="Y86" i="1"/>
  <c r="J15" i="10"/>
  <c r="K15" i="10"/>
  <c r="I23" i="14"/>
  <c r="M23" i="14" s="1"/>
  <c r="L23" i="14"/>
  <c r="G48" i="14"/>
  <c r="Y386" i="1"/>
  <c r="Y2" i="1"/>
  <c r="Y390" i="1"/>
  <c r="Y360" i="1"/>
  <c r="Y228" i="1"/>
  <c r="Y204" i="1"/>
  <c r="Y6" i="1"/>
  <c r="Y310" i="1"/>
  <c r="Y158" i="1"/>
  <c r="Y216" i="1"/>
  <c r="Y188" i="1"/>
  <c r="Y320" i="1"/>
  <c r="Y300" i="1"/>
  <c r="Y40" i="1"/>
  <c r="Y303" i="1"/>
  <c r="Y394" i="1"/>
  <c r="Y131" i="1"/>
  <c r="Y151" i="1"/>
  <c r="Y103" i="1"/>
  <c r="Y84" i="1"/>
  <c r="Y9" i="1"/>
  <c r="Y75" i="1"/>
  <c r="Y4" i="1"/>
  <c r="Y56" i="1"/>
  <c r="Y194" i="1"/>
  <c r="Y339" i="1"/>
  <c r="Y181" i="1"/>
  <c r="Y312" i="1"/>
  <c r="G42" i="14"/>
  <c r="Y113" i="1"/>
  <c r="Y337" i="1"/>
  <c r="Y119" i="1"/>
  <c r="Y170" i="1"/>
  <c r="Y145" i="1"/>
  <c r="Y205" i="1"/>
  <c r="Y277" i="1"/>
  <c r="Y93" i="1"/>
  <c r="Y45" i="1"/>
  <c r="Y375" i="1"/>
  <c r="Y391" i="1"/>
  <c r="Y314" i="1"/>
  <c r="Y96" i="1"/>
  <c r="Y260" i="1"/>
  <c r="Y361" i="1"/>
  <c r="Y257" i="1"/>
  <c r="Y126" i="1"/>
  <c r="Y353" i="1"/>
  <c r="Y256" i="1"/>
  <c r="Y219" i="1"/>
  <c r="Y329" i="1"/>
  <c r="Y64" i="1"/>
  <c r="Y81" i="1"/>
  <c r="L12" i="28"/>
  <c r="N12" i="28"/>
  <c r="L11" i="28"/>
  <c r="N11" i="28"/>
  <c r="G18" i="28"/>
  <c r="H18" i="28"/>
  <c r="N18" i="28" s="1"/>
  <c r="G17" i="28"/>
  <c r="H17" i="28"/>
  <c r="L17" i="28" s="1"/>
  <c r="L19" i="28"/>
  <c r="L19" i="14"/>
  <c r="L18" i="14"/>
  <c r="Y230" i="1"/>
  <c r="Y107" i="1"/>
  <c r="Y70" i="1"/>
  <c r="Y80" i="1"/>
  <c r="Y345" i="1"/>
  <c r="Y139" i="1"/>
  <c r="Y61" i="1"/>
  <c r="Y118" i="1"/>
  <c r="Y321" i="1"/>
  <c r="Y269" i="1"/>
  <c r="G26" i="28"/>
  <c r="L26" i="14"/>
  <c r="Y79" i="1"/>
  <c r="G11" i="28"/>
  <c r="L21" i="14"/>
  <c r="Y372" i="1"/>
  <c r="Y13" i="1"/>
  <c r="Y46" i="1"/>
  <c r="Y381" i="1"/>
  <c r="Y73" i="1"/>
  <c r="Y117" i="1"/>
  <c r="Y39" i="1"/>
  <c r="Y31" i="1"/>
  <c r="Y364" i="1"/>
  <c r="Y57" i="1"/>
  <c r="J20" i="10"/>
  <c r="Y140" i="1"/>
  <c r="Y272" i="1"/>
  <c r="Y21" i="1"/>
  <c r="Y71" i="1"/>
  <c r="Y376" i="1"/>
  <c r="Y354" i="1"/>
  <c r="Y90" i="1"/>
  <c r="Y199" i="1"/>
  <c r="H14" i="10"/>
  <c r="G14" i="10"/>
  <c r="N22" i="28"/>
  <c r="L22" i="28"/>
  <c r="H26" i="10"/>
  <c r="K26" i="10" s="1"/>
  <c r="G26" i="10"/>
  <c r="H18" i="10"/>
  <c r="G18" i="10"/>
  <c r="Y189" i="1"/>
  <c r="L28" i="14"/>
  <c r="G19" i="28"/>
  <c r="F16" i="10" a="1"/>
  <c r="F16" i="10" s="1"/>
  <c r="F41" i="14" a="1"/>
  <c r="F41" i="14" s="1"/>
  <c r="F23" i="10" a="1"/>
  <c r="F23" i="10" s="1"/>
  <c r="Y97" i="1"/>
  <c r="Y173" i="1"/>
  <c r="G46" i="14"/>
  <c r="G52" i="14"/>
  <c r="Y163" i="1"/>
  <c r="B178" i="1"/>
  <c r="D12" i="14" s="1" a="1"/>
  <c r="D12" i="14" s="1"/>
  <c r="G27" i="14" a="1"/>
  <c r="G27" i="14" s="1"/>
  <c r="I27" i="14" s="1"/>
  <c r="M27" i="14" s="1"/>
  <c r="F22" i="10" a="1"/>
  <c r="F22" i="10" s="1"/>
  <c r="H22" i="10" s="1"/>
  <c r="F21" i="10" a="1"/>
  <c r="F21" i="10" s="1"/>
  <c r="F25" i="10" a="1"/>
  <c r="F25" i="10" s="1"/>
  <c r="G25" i="10" s="1"/>
  <c r="F39" i="14" a="1"/>
  <c r="F39" i="14" s="1"/>
  <c r="G39" i="14" s="1"/>
  <c r="F19" i="10" a="1"/>
  <c r="F19" i="10" s="1"/>
  <c r="G22" i="14" a="1"/>
  <c r="G22" i="14" s="1"/>
  <c r="L22" i="14" s="1"/>
  <c r="G24" i="14" a="1"/>
  <c r="G24" i="14" s="1"/>
  <c r="F11" i="10" a="1"/>
  <c r="F11" i="10" s="1"/>
  <c r="H11" i="10" s="1"/>
  <c r="D26" i="16" a="1"/>
  <c r="D26" i="16" s="1"/>
  <c r="E26" i="16" s="1"/>
  <c r="G26" i="16" s="1"/>
  <c r="D22" i="16" a="1"/>
  <c r="D22" i="16" s="1"/>
  <c r="E22" i="16" s="1"/>
  <c r="G22" i="16" s="1"/>
  <c r="F54" i="14" a="1"/>
  <c r="F54" i="14" s="1"/>
  <c r="G54" i="14" s="1"/>
  <c r="G25" i="14" a="1"/>
  <c r="G25" i="14" s="1"/>
  <c r="I25" i="14" s="1"/>
  <c r="G20" i="14" a="1"/>
  <c r="G20" i="14" s="1"/>
  <c r="F13" i="10" a="1"/>
  <c r="F13" i="10" s="1"/>
  <c r="F28" i="10" a="1"/>
  <c r="F28" i="10" s="1"/>
  <c r="F43" i="14" a="1"/>
  <c r="F43" i="14" s="1"/>
  <c r="G43" i="14" s="1"/>
  <c r="G55" i="14"/>
  <c r="G15" i="10"/>
  <c r="G22" i="28"/>
  <c r="G27" i="10"/>
  <c r="G40" i="14"/>
  <c r="E9" i="28"/>
  <c r="F51" i="14" a="1"/>
  <c r="F51" i="14" s="1"/>
  <c r="G51" i="14" s="1"/>
  <c r="F47" i="14" a="1"/>
  <c r="F47" i="14" s="1"/>
  <c r="G47" i="14" s="1"/>
  <c r="G30" i="14" a="1"/>
  <c r="G30" i="14" s="1"/>
  <c r="L30" i="14" s="1"/>
  <c r="F37" i="14" a="1"/>
  <c r="F37" i="14" s="1"/>
  <c r="G37" i="14" s="1"/>
  <c r="Y362" i="1"/>
  <c r="E11" i="14" a="1"/>
  <c r="E11" i="14" s="1"/>
  <c r="F53" i="14" a="1"/>
  <c r="F53" i="14" s="1"/>
  <c r="G53" i="14" s="1"/>
  <c r="F12" i="10" a="1"/>
  <c r="F12" i="10" s="1"/>
  <c r="F50" i="14" a="1"/>
  <c r="F50" i="14" s="1"/>
  <c r="G50" i="14" s="1"/>
  <c r="F17" i="10" a="1"/>
  <c r="F17" i="10" s="1"/>
  <c r="F44" i="14" a="1"/>
  <c r="F44" i="14" s="1"/>
  <c r="G44" i="14" s="1"/>
  <c r="Y243" i="1"/>
  <c r="Y101" i="1"/>
  <c r="Y240" i="1"/>
  <c r="Y266" i="1"/>
  <c r="Y380" i="1"/>
  <c r="Y309" i="1"/>
  <c r="Y317" i="1"/>
  <c r="Y129" i="1"/>
  <c r="Y352" i="1"/>
  <c r="D9" i="14" a="1"/>
  <c r="D9" i="14" s="1"/>
  <c r="Y184" i="1"/>
  <c r="Y295" i="1"/>
  <c r="Y186" i="1"/>
  <c r="Y215" i="1"/>
  <c r="Y348" i="1"/>
  <c r="Y104" i="1"/>
  <c r="AB9" i="1"/>
  <c r="D12" i="16" a="1"/>
  <c r="D12" i="16" s="1"/>
  <c r="E12" i="16" s="1"/>
  <c r="G12" i="16" s="1"/>
  <c r="D16" i="16" a="1"/>
  <c r="D16" i="16" s="1"/>
  <c r="E16" i="16" s="1"/>
  <c r="G16" i="16" s="1"/>
  <c r="Y291" i="1"/>
  <c r="D17" i="16" a="1"/>
  <c r="D17" i="16" s="1"/>
  <c r="E17" i="16" s="1"/>
  <c r="G17" i="16" s="1"/>
  <c r="D27" i="16" a="1"/>
  <c r="D27" i="16" s="1"/>
  <c r="E27" i="16" s="1"/>
  <c r="G27" i="16" s="1"/>
  <c r="AB178" i="1"/>
  <c r="D13" i="16" a="1"/>
  <c r="D13" i="16" s="1"/>
  <c r="E13" i="16" s="1"/>
  <c r="G13" i="16" s="1"/>
  <c r="D18" i="16" a="1"/>
  <c r="D18" i="16" s="1"/>
  <c r="E18" i="16" s="1"/>
  <c r="G18" i="16" s="1"/>
  <c r="D23" i="16" a="1"/>
  <c r="D23" i="16" s="1"/>
  <c r="E23" i="16" s="1"/>
  <c r="G23" i="16" s="1"/>
  <c r="D28" i="16" a="1"/>
  <c r="D28" i="16" s="1"/>
  <c r="E28" i="16" s="1"/>
  <c r="G28" i="16" s="1"/>
  <c r="G24" i="28"/>
  <c r="E9" i="10"/>
  <c r="Y112" i="1"/>
  <c r="Y370" i="1"/>
  <c r="Y201" i="1"/>
  <c r="Y120" i="1"/>
  <c r="D14" i="16" a="1"/>
  <c r="D14" i="16" s="1"/>
  <c r="E14" i="16" s="1"/>
  <c r="G14" i="16" s="1"/>
  <c r="Y343" i="1"/>
  <c r="D11" i="16" a="1"/>
  <c r="D11" i="16" s="1"/>
  <c r="D19" i="16" a="1"/>
  <c r="D19" i="16" s="1"/>
  <c r="E19" i="16" s="1"/>
  <c r="G19" i="16" s="1"/>
  <c r="Y225" i="1"/>
  <c r="D15" i="16" a="1"/>
  <c r="D15" i="16" s="1"/>
  <c r="E15" i="16" s="1"/>
  <c r="G15" i="16" s="1"/>
  <c r="D20" i="16" a="1"/>
  <c r="D20" i="16" s="1"/>
  <c r="E20" i="16" s="1"/>
  <c r="G20" i="16" s="1"/>
  <c r="D24" i="16" a="1"/>
  <c r="D24" i="16" s="1"/>
  <c r="E24" i="16" s="1"/>
  <c r="G24" i="16" s="1"/>
  <c r="D21" i="16" a="1"/>
  <c r="D21" i="16" s="1"/>
  <c r="E21" i="16" s="1"/>
  <c r="G21" i="16" s="1"/>
  <c r="N27" i="28"/>
  <c r="L27" i="28"/>
  <c r="K36" i="14" a="1"/>
  <c r="K36" i="14" s="1"/>
  <c r="G20" i="28"/>
  <c r="H20" i="28"/>
  <c r="G15" i="28"/>
  <c r="H15" i="28"/>
  <c r="N25" i="28"/>
  <c r="L25" i="28"/>
  <c r="G38" i="14"/>
  <c r="G21" i="28"/>
  <c r="H21" i="28"/>
  <c r="L29" i="14"/>
  <c r="G11" i="10"/>
  <c r="H25" i="10"/>
  <c r="O8" i="24"/>
  <c r="O4" i="24" s="1"/>
  <c r="N4" i="24"/>
  <c r="G23" i="10"/>
  <c r="H23" i="10"/>
  <c r="F25" i="14"/>
  <c r="K37" i="14" a="1"/>
  <c r="K37" i="14" s="1"/>
  <c r="J26" i="10"/>
  <c r="H24" i="10"/>
  <c r="G24" i="10"/>
  <c r="H16" i="28"/>
  <c r="G16" i="28"/>
  <c r="G28" i="28"/>
  <c r="H28" i="28"/>
  <c r="H14" i="28"/>
  <c r="F9" i="28"/>
  <c r="H9" i="28" s="1"/>
  <c r="L9" i="28" s="1"/>
  <c r="G14" i="28"/>
  <c r="H23" i="28"/>
  <c r="G23" i="28"/>
  <c r="H26" i="28"/>
  <c r="K40" i="14" a="1"/>
  <c r="K40" i="14" s="1"/>
  <c r="Y32" i="1"/>
  <c r="Y69" i="1"/>
  <c r="E57" i="14"/>
  <c r="N13" i="28"/>
  <c r="G41" i="14"/>
  <c r="H12" i="14" a="1"/>
  <c r="H12" i="14" s="1"/>
  <c r="K39" i="14" a="1"/>
  <c r="K39" i="14" s="1"/>
  <c r="G13" i="28"/>
  <c r="G12" i="28"/>
  <c r="G27" i="28"/>
  <c r="G10" i="14" a="1"/>
  <c r="G10" i="14" s="1"/>
  <c r="K27" i="10"/>
  <c r="Y331" i="1"/>
  <c r="K41" i="14" a="1"/>
  <c r="K41" i="14" s="1"/>
  <c r="N24" i="28"/>
  <c r="D32" i="14"/>
  <c r="G49" i="14"/>
  <c r="Y368" i="1"/>
  <c r="Y166" i="1"/>
  <c r="K38" i="14" a="1"/>
  <c r="K38" i="14" s="1"/>
  <c r="G25" i="28"/>
  <c r="Y116" i="1"/>
  <c r="L27" i="14" l="1"/>
  <c r="W405" i="1"/>
  <c r="N17" i="28"/>
  <c r="I9" i="28"/>
  <c r="J11" i="28"/>
  <c r="M11" i="28" s="1"/>
  <c r="E8" i="14" a="1"/>
  <c r="E8" i="14" s="1"/>
  <c r="E12" i="14" a="1"/>
  <c r="E12" i="14" s="1"/>
  <c r="L12" i="14" s="1"/>
  <c r="M25" i="14"/>
  <c r="H11" i="14" a="1"/>
  <c r="H11" i="14" s="1"/>
  <c r="L11" i="14" s="1"/>
  <c r="H10" i="14" a="1"/>
  <c r="H10" i="14" s="1"/>
  <c r="I10" i="14" s="1"/>
  <c r="G11" i="14" a="1"/>
  <c r="G11" i="14" s="1"/>
  <c r="D8" i="14" a="1"/>
  <c r="D8" i="14" s="1"/>
  <c r="F8" i="14" s="1"/>
  <c r="H9" i="14" a="1"/>
  <c r="H9" i="14" s="1"/>
  <c r="I22" i="14"/>
  <c r="M22" i="14" s="1"/>
  <c r="D10" i="14" a="1"/>
  <c r="D10" i="14" s="1"/>
  <c r="K10" i="14" s="1"/>
  <c r="E9" i="14" a="1"/>
  <c r="E9" i="14" s="1"/>
  <c r="D11" i="14" a="1"/>
  <c r="D11" i="14" s="1"/>
  <c r="F11" i="14" s="1"/>
  <c r="E10" i="14" a="1"/>
  <c r="E10" i="14" s="1"/>
  <c r="H8" i="14" a="1"/>
  <c r="H8" i="14" s="1"/>
  <c r="G12" i="14" a="1"/>
  <c r="G12" i="14" s="1"/>
  <c r="I12" i="14" s="1"/>
  <c r="L18" i="28"/>
  <c r="G22" i="10"/>
  <c r="L25" i="14"/>
  <c r="G8" i="14" a="1"/>
  <c r="G8" i="14" s="1"/>
  <c r="H17" i="10"/>
  <c r="G17" i="10"/>
  <c r="G13" i="10"/>
  <c r="H13" i="10"/>
  <c r="I20" i="14"/>
  <c r="M20" i="14" s="1"/>
  <c r="L20" i="14"/>
  <c r="L39" i="14" a="1"/>
  <c r="L39" i="14" s="1"/>
  <c r="M39" i="14" s="1"/>
  <c r="H12" i="10"/>
  <c r="G12" i="10"/>
  <c r="G19" i="10"/>
  <c r="H19" i="10"/>
  <c r="G9" i="28"/>
  <c r="G57" i="14"/>
  <c r="L40" i="14" a="1"/>
  <c r="L40" i="14" s="1"/>
  <c r="M40" i="14" s="1"/>
  <c r="E11" i="16"/>
  <c r="G11" i="16" s="1"/>
  <c r="D9" i="16"/>
  <c r="E9" i="16" s="1"/>
  <c r="G9" i="16" s="1"/>
  <c r="K18" i="10"/>
  <c r="J18" i="10"/>
  <c r="L41" i="14" a="1"/>
  <c r="L41" i="14" s="1"/>
  <c r="H21" i="10"/>
  <c r="G21" i="10"/>
  <c r="L37" i="14" a="1"/>
  <c r="L37" i="14" s="1"/>
  <c r="M37" i="14" s="1"/>
  <c r="F9" i="10"/>
  <c r="H9" i="10" s="1"/>
  <c r="L36" i="14" a="1"/>
  <c r="L36" i="14" s="1"/>
  <c r="M36" i="14" s="1"/>
  <c r="J22" i="10"/>
  <c r="K22" i="10"/>
  <c r="G32" i="14"/>
  <c r="F57" i="14"/>
  <c r="L38" i="14" a="1"/>
  <c r="L38" i="14" s="1"/>
  <c r="M38" i="14" s="1"/>
  <c r="H28" i="10"/>
  <c r="G28" i="10"/>
  <c r="I24" i="14"/>
  <c r="M24" i="14" s="1"/>
  <c r="L24" i="14"/>
  <c r="Y178" i="1"/>
  <c r="G9" i="14" a="1"/>
  <c r="G9" i="14" s="1"/>
  <c r="H16" i="10"/>
  <c r="G16" i="10"/>
  <c r="K14" i="10"/>
  <c r="J14" i="10"/>
  <c r="N21" i="28"/>
  <c r="L21" i="28"/>
  <c r="N20" i="28"/>
  <c r="L20" i="28"/>
  <c r="L26" i="28"/>
  <c r="N26" i="28"/>
  <c r="L28" i="28"/>
  <c r="N28" i="28"/>
  <c r="J23" i="10"/>
  <c r="K23" i="10"/>
  <c r="K25" i="10"/>
  <c r="J25" i="10"/>
  <c r="K43" i="14"/>
  <c r="L23" i="28"/>
  <c r="N23" i="28"/>
  <c r="K11" i="10"/>
  <c r="J11" i="10"/>
  <c r="L16" i="28"/>
  <c r="N16" i="28"/>
  <c r="M41" i="14"/>
  <c r="L14" i="28"/>
  <c r="N14" i="28"/>
  <c r="K24" i="10"/>
  <c r="J24" i="10"/>
  <c r="N15" i="28"/>
  <c r="L15" i="28"/>
  <c r="J9" i="28" l="1"/>
  <c r="M9" i="28" s="1"/>
  <c r="Q9" i="28"/>
  <c r="L32" i="14"/>
  <c r="F12" i="14"/>
  <c r="M12" i="14" s="1"/>
  <c r="H14" i="14"/>
  <c r="I11" i="14"/>
  <c r="M11" i="14" s="1"/>
  <c r="L10" i="14"/>
  <c r="L9" i="14"/>
  <c r="F9" i="14"/>
  <c r="E14" i="14"/>
  <c r="K11" i="14"/>
  <c r="D14" i="14"/>
  <c r="I8" i="14"/>
  <c r="M8" i="14" s="1"/>
  <c r="F10" i="14"/>
  <c r="M10" i="14" s="1"/>
  <c r="K12" i="14"/>
  <c r="L8" i="14"/>
  <c r="J3" i="16"/>
  <c r="J32" i="16" s="1"/>
  <c r="K8" i="14"/>
  <c r="O9" i="10"/>
  <c r="G9" i="10"/>
  <c r="G14" i="14"/>
  <c r="K9" i="14"/>
  <c r="K17" i="10"/>
  <c r="J17" i="10"/>
  <c r="J16" i="10"/>
  <c r="K16" i="10"/>
  <c r="K12" i="10"/>
  <c r="J12" i="10"/>
  <c r="I9" i="14"/>
  <c r="J13" i="10"/>
  <c r="K13" i="10"/>
  <c r="L43" i="14"/>
  <c r="J21" i="10"/>
  <c r="K21" i="10"/>
  <c r="J19" i="10"/>
  <c r="K19" i="10"/>
  <c r="J28" i="10"/>
  <c r="K28" i="10"/>
  <c r="M43" i="14"/>
  <c r="K9" i="10"/>
  <c r="J9" i="10"/>
  <c r="K14" i="14" l="1"/>
  <c r="L14" i="14"/>
  <c r="F14" i="14"/>
  <c r="M9" i="14"/>
  <c r="K32" i="16"/>
  <c r="M14" i="14"/>
  <c r="O18" i="14" s="1"/>
  <c r="I14" i="1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<sst xmlns="http://schemas.openxmlformats.org/spreadsheetml/2006/main" count="39782" uniqueCount="6801">
  <si>
    <t>Date</t>
  </si>
  <si>
    <t>Reporting Month</t>
  </si>
  <si>
    <t>Company Code : 0002, Cost Center : 68427709 Ops &amp; Compl</t>
  </si>
  <si>
    <t>AOP</t>
  </si>
  <si>
    <t>Var AOP</t>
  </si>
  <si>
    <t>AOP YtD</t>
  </si>
  <si>
    <t>Actuals YtD</t>
  </si>
  <si>
    <t>Diff</t>
  </si>
  <si>
    <t>Difference</t>
  </si>
  <si>
    <t>Explanation</t>
  </si>
  <si>
    <t>GL</t>
  </si>
  <si>
    <t>Description</t>
  </si>
  <si>
    <t>Total</t>
  </si>
  <si>
    <t>Only when difference &gt; 10%</t>
  </si>
  <si>
    <t>485073003</t>
  </si>
  <si>
    <t>PC support</t>
  </si>
  <si>
    <t>Desktop Management</t>
  </si>
  <si>
    <t>485073004</t>
  </si>
  <si>
    <t>Messaging</t>
  </si>
  <si>
    <t>485073006</t>
  </si>
  <si>
    <t>Software li MS Infr</t>
  </si>
  <si>
    <t>see remark 5</t>
  </si>
  <si>
    <t>485073010</t>
  </si>
  <si>
    <t xml:space="preserve">Network Services </t>
  </si>
  <si>
    <t>Network Management</t>
  </si>
  <si>
    <t>see remark 6</t>
  </si>
  <si>
    <t>485073011</t>
  </si>
  <si>
    <t>Network Services Other</t>
  </si>
  <si>
    <t>485073020</t>
  </si>
  <si>
    <t>Voice - Fixed</t>
  </si>
  <si>
    <t>Communication</t>
  </si>
  <si>
    <t>485073030</t>
  </si>
  <si>
    <t>SAP Operations</t>
  </si>
  <si>
    <t>Operations</t>
  </si>
  <si>
    <t>485073031</t>
  </si>
  <si>
    <t>Storage</t>
  </si>
  <si>
    <t>485073032</t>
  </si>
  <si>
    <t>Servers</t>
  </si>
  <si>
    <t>485073033</t>
  </si>
  <si>
    <t>Other Oper. Infra</t>
  </si>
  <si>
    <t>485073034</t>
  </si>
  <si>
    <t>IT-Security</t>
  </si>
  <si>
    <t>Security</t>
  </si>
  <si>
    <t>see remark 7</t>
  </si>
  <si>
    <t>485074001</t>
  </si>
  <si>
    <t>Accenture Application Support</t>
  </si>
  <si>
    <t>Application Support</t>
  </si>
  <si>
    <t>see remark 4</t>
  </si>
  <si>
    <t>485074002</t>
  </si>
  <si>
    <t>HP Application Support</t>
  </si>
  <si>
    <t>485040000</t>
  </si>
  <si>
    <t>Other costs hardware and software</t>
  </si>
  <si>
    <t>483040000</t>
  </si>
  <si>
    <t>Consultancies &amp; fees other</t>
  </si>
  <si>
    <t>485074003</t>
  </si>
  <si>
    <t>Other Sup Appl Sup</t>
  </si>
  <si>
    <t>see remark 1</t>
  </si>
  <si>
    <t>485074004</t>
  </si>
  <si>
    <t>Software li SAP appl</t>
  </si>
  <si>
    <t>485074005</t>
  </si>
  <si>
    <t>Software li oth appl</t>
  </si>
  <si>
    <t>See remark 2</t>
  </si>
  <si>
    <t>General remarks</t>
  </si>
  <si>
    <t xml:space="preserve">still expected: van sambeek 350k, actemium 200k, saviynt 360k, salesforce 300k. </t>
  </si>
  <si>
    <t>More costs expected later this year (pega, intelligent solutions, hamilton grand, optimizely, cognizant 350k, boomi 700k expected, alteryx 600k expected, aico 300k expected, 4 industry 400k expected)</t>
  </si>
  <si>
    <t>Jelle to check with budget owners if the actuals are correct (especially OBS network costs are 100k per month lower than last year)</t>
  </si>
  <si>
    <t>Credit note 250k received from 2024</t>
  </si>
  <si>
    <t>Expect in h2 higher costs because of new contract</t>
  </si>
  <si>
    <t>Lower costs expected due to reduction in services</t>
  </si>
  <si>
    <t>Some costs booked on other line items and other invoices still to be expected</t>
  </si>
  <si>
    <t>AOP reduced</t>
  </si>
  <si>
    <t>AOP red YTD</t>
  </si>
  <si>
    <t>Diff AOP</t>
  </si>
  <si>
    <t>Diff AOP reduced</t>
  </si>
  <si>
    <t>Network Services BT</t>
  </si>
  <si>
    <t>Accenture Appl. supp</t>
  </si>
  <si>
    <t/>
  </si>
  <si>
    <t>Company code</t>
  </si>
  <si>
    <t>0002</t>
  </si>
  <si>
    <t>KDE BV</t>
  </si>
  <si>
    <t>Fiscal year/period</t>
  </si>
  <si>
    <t>Result</t>
  </si>
  <si>
    <t>Period 01 2026</t>
  </si>
  <si>
    <t>Period 02 2026</t>
  </si>
  <si>
    <t>Period 03 2026</t>
  </si>
  <si>
    <t>Period 04 2026</t>
  </si>
  <si>
    <t>Period 05 2026</t>
  </si>
  <si>
    <t>Period 06 2026</t>
  </si>
  <si>
    <t>Balance Debit/Crd.LC</t>
  </si>
  <si>
    <t>G/L Account</t>
  </si>
  <si>
    <t>Creditor</t>
  </si>
  <si>
    <t>EUR</t>
  </si>
  <si>
    <t>Overall Result</t>
  </si>
  <si>
    <t>187516</t>
  </si>
  <si>
    <t>Accenture B.V.</t>
  </si>
  <si>
    <t>Software licence costs Microsoft (Infra)</t>
  </si>
  <si>
    <t>166304</t>
  </si>
  <si>
    <t>Microsoft B.V.</t>
  </si>
  <si>
    <t>#</t>
  </si>
  <si>
    <t>Not assigned</t>
  </si>
  <si>
    <t>Network Services</t>
  </si>
  <si>
    <t>196653</t>
  </si>
  <si>
    <t>Orange Business Netherlands B.V.</t>
  </si>
  <si>
    <t>200013</t>
  </si>
  <si>
    <t>RIPE NCC</t>
  </si>
  <si>
    <t>204343</t>
  </si>
  <si>
    <t>Equinix (Netherlands) B.V.</t>
  </si>
  <si>
    <t>209736</t>
  </si>
  <si>
    <t>T-Mobile Netherlands B.V.</t>
  </si>
  <si>
    <t>210591</t>
  </si>
  <si>
    <t>Park Place Technologies B.V.</t>
  </si>
  <si>
    <t>129450</t>
  </si>
  <si>
    <t>BT Nederland N.V.</t>
  </si>
  <si>
    <t>168422</t>
  </si>
  <si>
    <t>ReleaseTMS B.V.</t>
  </si>
  <si>
    <t>SAP operations</t>
  </si>
  <si>
    <t>120252</t>
  </si>
  <si>
    <t>Eviden Netherlands B.V.</t>
  </si>
  <si>
    <t>118041</t>
  </si>
  <si>
    <t>IBM Nederland B.V.</t>
  </si>
  <si>
    <t>Other Operational Infrastructure</t>
  </si>
  <si>
    <t>207761</t>
  </si>
  <si>
    <t>Livingstone Technologies Limited</t>
  </si>
  <si>
    <t>IT - security</t>
  </si>
  <si>
    <t>152539</t>
  </si>
  <si>
    <t>Insight Enterprise Netherlands B.V.</t>
  </si>
  <si>
    <t>165840</t>
  </si>
  <si>
    <t>Ploum Lodder Princen Advocaten en N</t>
  </si>
  <si>
    <t>181508</t>
  </si>
  <si>
    <t>PWC Advisory</t>
  </si>
  <si>
    <t>195870</t>
  </si>
  <si>
    <t>Sans Institute</t>
  </si>
  <si>
    <t>209374</t>
  </si>
  <si>
    <t>Grabowsky B.V.</t>
  </si>
  <si>
    <t>209509</t>
  </si>
  <si>
    <t>Ironscales Ltd.</t>
  </si>
  <si>
    <t>Application support</t>
  </si>
  <si>
    <t>Other Suppliers Application Support</t>
  </si>
  <si>
    <t>115995</t>
  </si>
  <si>
    <t>Methec B.V.</t>
  </si>
  <si>
    <t>121208</t>
  </si>
  <si>
    <t>KPMG Advisory N.V.</t>
  </si>
  <si>
    <t>142582</t>
  </si>
  <si>
    <t>Just BI B.V.</t>
  </si>
  <si>
    <t>165589</t>
  </si>
  <si>
    <t>X-Center Benelux B.V.</t>
  </si>
  <si>
    <t>167557</t>
  </si>
  <si>
    <t>Swap Support B.V.</t>
  </si>
  <si>
    <t>168933</t>
  </si>
  <si>
    <t>Open Text Coöperatief U.A.</t>
  </si>
  <si>
    <t>188831</t>
  </si>
  <si>
    <t>iRely, LLC</t>
  </si>
  <si>
    <t>189203</t>
  </si>
  <si>
    <t>Van Sambeek Org Adviesbureau B.V.</t>
  </si>
  <si>
    <t>189205</t>
  </si>
  <si>
    <t>Ctac B.V.</t>
  </si>
  <si>
    <t>191793</t>
  </si>
  <si>
    <t>XTEL SRL</t>
  </si>
  <si>
    <t>192202</t>
  </si>
  <si>
    <t>SyncForce B.V.</t>
  </si>
  <si>
    <t>193317</t>
  </si>
  <si>
    <t>AVEVA Software Netherlands B.V.</t>
  </si>
  <si>
    <t>196055</t>
  </si>
  <si>
    <t>Cognizant Worldwide Limited</t>
  </si>
  <si>
    <t>196742</t>
  </si>
  <si>
    <t>Vaimo Benelux</t>
  </si>
  <si>
    <t>197254</t>
  </si>
  <si>
    <t>Internet Advantage Nederland B.V.</t>
  </si>
  <si>
    <t>199582</t>
  </si>
  <si>
    <t>Plat4mation B.V.</t>
  </si>
  <si>
    <t>204075</t>
  </si>
  <si>
    <t>Qualtrics LLC</t>
  </si>
  <si>
    <t>208262</t>
  </si>
  <si>
    <t>Versuni Netherlands B.V.</t>
  </si>
  <si>
    <t>210231</t>
  </si>
  <si>
    <t>Consensus Cloud Solutions Int. Ltd</t>
  </si>
  <si>
    <t>210807</t>
  </si>
  <si>
    <t>Atvance Intellect B.V.</t>
  </si>
  <si>
    <t>212189</t>
  </si>
  <si>
    <t>Ciphix B.V.</t>
  </si>
  <si>
    <t>212289</t>
  </si>
  <si>
    <t>Comarch Ag - Belgian Branch</t>
  </si>
  <si>
    <t>3001456</t>
  </si>
  <si>
    <t>Gartner Nederland B.V.</t>
  </si>
  <si>
    <t>3001946</t>
  </si>
  <si>
    <t>Epam Systems Netherlands B.V.</t>
  </si>
  <si>
    <t>Software license costs SAP (appl)</t>
  </si>
  <si>
    <t>117570</t>
  </si>
  <si>
    <t>SAP Nederland B.V.</t>
  </si>
  <si>
    <t>151290</t>
  </si>
  <si>
    <t>Seeburger Benelux B.V.</t>
  </si>
  <si>
    <t>167392</t>
  </si>
  <si>
    <t>Generix Group Benelux NV</t>
  </si>
  <si>
    <t>169056</t>
  </si>
  <si>
    <t>Redwood Software Nederland B.V.</t>
  </si>
  <si>
    <t>205005</t>
  </si>
  <si>
    <t>Eulabs B.V.</t>
  </si>
  <si>
    <t>3000043</t>
  </si>
  <si>
    <t>Seeburger Deutschland GmbH &amp; Co. Kg</t>
  </si>
  <si>
    <t>Software license costs other (appl)</t>
  </si>
  <si>
    <t>127376</t>
  </si>
  <si>
    <t>Intelligent Solutions SA</t>
  </si>
  <si>
    <t>136544</t>
  </si>
  <si>
    <t>Sopheon N.V.</t>
  </si>
  <si>
    <t>165943</t>
  </si>
  <si>
    <t>Procyon Networks B.V.</t>
  </si>
  <si>
    <t>166010</t>
  </si>
  <si>
    <t>Refinitiv Limited</t>
  </si>
  <si>
    <t>166095</t>
  </si>
  <si>
    <t>EPiSERVER AB</t>
  </si>
  <si>
    <t>167422</t>
  </si>
  <si>
    <t>CAPE Systems – Esko-Graphics bvba</t>
  </si>
  <si>
    <t>167606</t>
  </si>
  <si>
    <t>insightsoftware, LLC</t>
  </si>
  <si>
    <t>168291</t>
  </si>
  <si>
    <t>Concur Holdings (Netherland) B.V.</t>
  </si>
  <si>
    <t>169113</t>
  </si>
  <si>
    <t>Hybrid Software BrandZ NV</t>
  </si>
  <si>
    <t>172149</t>
  </si>
  <si>
    <t>Point. X, spol. s r.o.</t>
  </si>
  <si>
    <t>181857</t>
  </si>
  <si>
    <t>Sphera Solutions GmbH</t>
  </si>
  <si>
    <t>187876</t>
  </si>
  <si>
    <t>ServiceNow Nederland B.V.</t>
  </si>
  <si>
    <t>188518</t>
  </si>
  <si>
    <t>Wall Street Systems UK Limited</t>
  </si>
  <si>
    <t>189448</t>
  </si>
  <si>
    <t>Atlassian Pty Ltd</t>
  </si>
  <si>
    <t>193291</t>
  </si>
  <si>
    <t>Meridian Global Vat Services Ltd</t>
  </si>
  <si>
    <t>193714</t>
  </si>
  <si>
    <t>AG5 B.V.</t>
  </si>
  <si>
    <t>197180</t>
  </si>
  <si>
    <t>Aveva Select Benelux BV</t>
  </si>
  <si>
    <t>197331</t>
  </si>
  <si>
    <t>Meta Platforms Ireland Limited</t>
  </si>
  <si>
    <t>197617</t>
  </si>
  <si>
    <t>Starlims Netherlands B.V.</t>
  </si>
  <si>
    <t>199680</t>
  </si>
  <si>
    <t>Zylab Ediscovery &amp; Compliance Serv.</t>
  </si>
  <si>
    <t>199977</t>
  </si>
  <si>
    <t>Own Data Company Ltd</t>
  </si>
  <si>
    <t>200670</t>
  </si>
  <si>
    <t>Hamilton Grant Software Limited</t>
  </si>
  <si>
    <t>203475</t>
  </si>
  <si>
    <t>H.S. PractiTest Ltd</t>
  </si>
  <si>
    <t>204415</t>
  </si>
  <si>
    <t>SFDC Ireland Limited</t>
  </si>
  <si>
    <t>204773</t>
  </si>
  <si>
    <t>Aico Group OY</t>
  </si>
  <si>
    <t>208282</t>
  </si>
  <si>
    <t>Vonage Business Limited</t>
  </si>
  <si>
    <t>208526</t>
  </si>
  <si>
    <t>Metapack Ltd</t>
  </si>
  <si>
    <t>209341</t>
  </si>
  <si>
    <t>Rojo Innovation B.V.</t>
  </si>
  <si>
    <t>209378</t>
  </si>
  <si>
    <t>Icron Technologies Europe B.V.</t>
  </si>
  <si>
    <t>209478</t>
  </si>
  <si>
    <t>Boomi BeNeLux B.V.</t>
  </si>
  <si>
    <t>209507</t>
  </si>
  <si>
    <t>Servana Managed Services Ltd</t>
  </si>
  <si>
    <t>209546</t>
  </si>
  <si>
    <t>Sposea B.V.</t>
  </si>
  <si>
    <t>211572</t>
  </si>
  <si>
    <t>Visier Solutions Inc.</t>
  </si>
  <si>
    <t>211753</t>
  </si>
  <si>
    <t>Softwareone Netherlands B.V.</t>
  </si>
  <si>
    <t>212141</t>
  </si>
  <si>
    <t>Hygraph GmbH</t>
  </si>
  <si>
    <t>212251</t>
  </si>
  <si>
    <t>Planisware Sas</t>
  </si>
  <si>
    <t>212346</t>
  </si>
  <si>
    <t>Beyondtrust Corporation</t>
  </si>
  <si>
    <t>212585</t>
  </si>
  <si>
    <t>Cargoo Ag</t>
  </si>
  <si>
    <t>212793</t>
  </si>
  <si>
    <t>Docusign International (Emea) Ltd</t>
  </si>
  <si>
    <t>212959</t>
  </si>
  <si>
    <t>Figma Inc.</t>
  </si>
  <si>
    <t>212998</t>
  </si>
  <si>
    <t>Ot Technology Spain Sl</t>
  </si>
  <si>
    <t>3000389</t>
  </si>
  <si>
    <t>Telus Agriculture And</t>
  </si>
  <si>
    <t>3000477</t>
  </si>
  <si>
    <t>Sprinklr, Inc.</t>
  </si>
  <si>
    <t>3000627</t>
  </si>
  <si>
    <t>Huris Cloud B.V</t>
  </si>
  <si>
    <t>3000948</t>
  </si>
  <si>
    <t>Plm Xpertcenter Bv</t>
  </si>
  <si>
    <t>3000994</t>
  </si>
  <si>
    <t>HCL Technology</t>
  </si>
  <si>
    <t>3002176</t>
  </si>
  <si>
    <t>Autodesk, Inc.</t>
  </si>
  <si>
    <t>3002211</t>
  </si>
  <si>
    <t>Icepanel Technologies Inc.</t>
  </si>
  <si>
    <t>Subject</t>
  </si>
  <si>
    <t>Change Driver</t>
  </si>
  <si>
    <t>Project code</t>
  </si>
  <si>
    <t>Cost Center</t>
  </si>
  <si>
    <t>Additional Costs</t>
  </si>
  <si>
    <t>Status</t>
  </si>
  <si>
    <t>Periodicity</t>
  </si>
  <si>
    <t>Type</t>
  </si>
  <si>
    <t>AOP Year</t>
  </si>
  <si>
    <t>Contact</t>
  </si>
  <si>
    <t>Remarks</t>
  </si>
  <si>
    <t>Winshuttle</t>
  </si>
  <si>
    <t>Ezy Replacement</t>
  </si>
  <si>
    <t>Processed</t>
  </si>
  <si>
    <t>Annual</t>
  </si>
  <si>
    <t>Maintenance</t>
  </si>
  <si>
    <t>Robin Diepeveen</t>
  </si>
  <si>
    <t>20% on net license base (58K), after 3 years base will become gross</t>
  </si>
  <si>
    <t>Runbook</t>
  </si>
  <si>
    <t>17% on software base (190K)</t>
  </si>
  <si>
    <t>VIM</t>
  </si>
  <si>
    <t>Upgrade VIM</t>
  </si>
  <si>
    <t>Hardware/NW</t>
  </si>
  <si>
    <t>Ognyan Romanov</t>
  </si>
  <si>
    <t>Additional Hardware Cost</t>
  </si>
  <si>
    <t>Simba</t>
  </si>
  <si>
    <t>Connector SDS / SF</t>
  </si>
  <si>
    <t>Kauri</t>
  </si>
  <si>
    <t>license</t>
  </si>
  <si>
    <t>Stefan Beekman</t>
  </si>
  <si>
    <t>1 connector is 2000$ subscription per environment</t>
  </si>
  <si>
    <t>Zylab</t>
  </si>
  <si>
    <t>Transition to support</t>
  </si>
  <si>
    <t>Support</t>
  </si>
  <si>
    <t>Wilco Westerman</t>
  </si>
  <si>
    <t>Engagor</t>
  </si>
  <si>
    <t>Ezy Solutions EoL</t>
  </si>
  <si>
    <t>Ezy End of Life, no more license cost expected</t>
  </si>
  <si>
    <t>SharePoint</t>
  </si>
  <si>
    <t>Outsourcing of Intranet Team</t>
  </si>
  <si>
    <t>SDS Support, rebaselining</t>
  </si>
  <si>
    <t>Wave 2 go live</t>
  </si>
  <si>
    <t>Delta CCN5 vs CCN6</t>
  </si>
  <si>
    <t>J2Global Efax Tool</t>
  </si>
  <si>
    <t>Dropped in 2017</t>
  </si>
  <si>
    <t>Theo van Vliet</t>
  </si>
  <si>
    <t>Was taken out of global budget but did not land locally</t>
  </si>
  <si>
    <t>3 new BAS resources</t>
  </si>
  <si>
    <t>Bas extension</t>
  </si>
  <si>
    <t>3 new BAS resources added</t>
  </si>
  <si>
    <t>AMS Bonus</t>
  </si>
  <si>
    <t>Contractual Agreement</t>
  </si>
  <si>
    <t>Needs to be accrued annually in case AMS Gets a bonus</t>
  </si>
  <si>
    <t>Keops Waterfall</t>
  </si>
  <si>
    <t>Roll out to other factories</t>
  </si>
  <si>
    <t>Joost Speek</t>
  </si>
  <si>
    <t>Additional Countries being added in 2017</t>
  </si>
  <si>
    <t>Blackline</t>
  </si>
  <si>
    <t>W3 Rollout Brazil &amp; Norway</t>
  </si>
  <si>
    <t>Sharon Dijksma</t>
  </si>
  <si>
    <t>from 150K to 160K</t>
  </si>
  <si>
    <t>Packflow</t>
  </si>
  <si>
    <t>New module implemented</t>
  </si>
  <si>
    <t>Ravi Venkatamaran</t>
  </si>
  <si>
    <t>Seems there is an overestimation of 70K in AOP compared to ongoing cost</t>
  </si>
  <si>
    <t>QlikView</t>
  </si>
  <si>
    <t>Project 1 added scope</t>
  </si>
  <si>
    <t>Xavier Marrisal</t>
  </si>
  <si>
    <t>Higher cost due to additional licenses acquired through project 1</t>
  </si>
  <si>
    <t>SAP licenses Purchase</t>
  </si>
  <si>
    <t xml:space="preserve">licenses Appendix 16 </t>
  </si>
  <si>
    <t>Rohan Uppal</t>
  </si>
  <si>
    <t>Based on 1.3Mio license purchase Kauri</t>
  </si>
  <si>
    <t>Lease Accounting</t>
  </si>
  <si>
    <t>LAE extension</t>
  </si>
  <si>
    <t>Antonio Branco</t>
  </si>
  <si>
    <t>Machine renewal (175K), Maintenance (195K), SAP development (55K), AMS Support (70K)</t>
  </si>
  <si>
    <t>Excise Duty</t>
  </si>
  <si>
    <t>Support Contract</t>
  </si>
  <si>
    <t>James Cronk</t>
  </si>
  <si>
    <t>Salesforce</t>
  </si>
  <si>
    <t>licenses</t>
  </si>
  <si>
    <t>Subscription as of November 2018</t>
  </si>
  <si>
    <t>Apttus</t>
  </si>
  <si>
    <t>Click</t>
  </si>
  <si>
    <t>XTEL Support</t>
  </si>
  <si>
    <t>Hugo v/d Heijden</t>
  </si>
  <si>
    <t>L2/L3 Support coverage</t>
  </si>
  <si>
    <t>XTEL Maintenance</t>
  </si>
  <si>
    <t>Maintenance fee XTEL</t>
  </si>
  <si>
    <t xml:space="preserve">Total license base = 980K * 18% </t>
  </si>
  <si>
    <t>SharePoint Support</t>
  </si>
  <si>
    <t>SharePoint Support Outsourcing</t>
  </si>
  <si>
    <t>Remco Gerrets</t>
  </si>
  <si>
    <t>fxtel</t>
  </si>
  <si>
    <t>Increase in licenses</t>
  </si>
  <si>
    <t>license + Maintenance</t>
  </si>
  <si>
    <t>Marco Groenewegen</t>
  </si>
  <si>
    <t>140 users * 925 + 18% maintenance fee is 200K vs 170K 2017</t>
  </si>
  <si>
    <t>SF Marketing Cloud</t>
  </si>
  <si>
    <t>Services</t>
  </si>
  <si>
    <t>Subscription</t>
  </si>
  <si>
    <t>DTC Project recurring cost</t>
  </si>
  <si>
    <t>SF licenses Coffeecare</t>
  </si>
  <si>
    <t>License</t>
  </si>
  <si>
    <t>80 SF licenses for Coffeecare</t>
  </si>
  <si>
    <t>Sopheon</t>
  </si>
  <si>
    <t>Additional licenses</t>
  </si>
  <si>
    <t>RFGen Mobile Scanning</t>
  </si>
  <si>
    <t>Consumption</t>
  </si>
  <si>
    <t>3 man-days per month for covering changes to RFGen</t>
  </si>
  <si>
    <t>iRely</t>
  </si>
  <si>
    <t>Sheryl dmello</t>
  </si>
  <si>
    <t>(522900 = implementation + licenses = 60 * 5444 euro + 15 * 3444 ) * 22% (first year)</t>
  </si>
  <si>
    <t>Hardware</t>
  </si>
  <si>
    <t>Infra</t>
  </si>
  <si>
    <t>SQL DB = 5300, 2 SQL Server CPS = 2300, I21 landscape (D,T,P) = 6000</t>
  </si>
  <si>
    <t>PLM Oracle licenses</t>
  </si>
  <si>
    <t>Covers for additional acquisition of 150 licenses which were missed in AOP 2017</t>
  </si>
  <si>
    <t>Tas Support to PDC</t>
  </si>
  <si>
    <t>Support transition</t>
  </si>
  <si>
    <t>Positive Delta from moving support from Barcelona (100K) to PDC (60K)</t>
  </si>
  <si>
    <t>Authorization Support to PDC</t>
  </si>
  <si>
    <t>Support outsourcing</t>
  </si>
  <si>
    <t>Increase in costs for managing additional Authorization requests</t>
  </si>
  <si>
    <t>EyeQuestion</t>
  </si>
  <si>
    <t>license Cost</t>
  </si>
  <si>
    <t>Stefan Jochems</t>
  </si>
  <si>
    <t>This was missed during AOP 2017 as it was still part of Sequoia</t>
  </si>
  <si>
    <t>Webservices.nl</t>
  </si>
  <si>
    <t>Sjors van Rijswijk</t>
  </si>
  <si>
    <t>replacing Trillium resulting in 30K savings</t>
  </si>
  <si>
    <t>Generix (influ)</t>
  </si>
  <si>
    <t>Running costs</t>
  </si>
  <si>
    <t>Xavier Marisal</t>
  </si>
  <si>
    <t>Additional running costs moving from local to central</t>
  </si>
  <si>
    <t>Service Now</t>
  </si>
  <si>
    <t>License Cost</t>
  </si>
  <si>
    <t>Michal Tepczynski</t>
  </si>
  <si>
    <t>Additional Service Now Licenses due to EUC project</t>
  </si>
  <si>
    <t>Vatbox</t>
  </si>
  <si>
    <t>Change of Contract Sovos</t>
  </si>
  <si>
    <t>Irene Duward</t>
  </si>
  <si>
    <t xml:space="preserve">Change of contract with Sovos where IT component is separately charged </t>
  </si>
  <si>
    <t>Software Asset Mgt (SNOW)</t>
  </si>
  <si>
    <t>Managed Service + Maint.</t>
  </si>
  <si>
    <t>Adriana Rubio</t>
  </si>
  <si>
    <t>Hardware / hosting</t>
  </si>
  <si>
    <t>Hosting</t>
  </si>
  <si>
    <t>Knowledge Mgt Associates</t>
  </si>
  <si>
    <t>Mekko Graphics</t>
  </si>
  <si>
    <t>3 Years</t>
  </si>
  <si>
    <t>Jaap Schouten</t>
  </si>
  <si>
    <t># extension due in 2018, was formerly in local budget</t>
  </si>
  <si>
    <t>Decartes</t>
  </si>
  <si>
    <t>EDI Messages, VAN</t>
  </si>
  <si>
    <t>Will move to local NL AOP</t>
  </si>
  <si>
    <t>Hana Cloud Platform</t>
  </si>
  <si>
    <t>C4C hosting</t>
  </si>
  <si>
    <t>Mylene Schuyt</t>
  </si>
  <si>
    <t>Surprise leftover from Sequoia</t>
  </si>
  <si>
    <t>GEMS</t>
  </si>
  <si>
    <t>Annual License</t>
  </si>
  <si>
    <t>Toni Tuells</t>
  </si>
  <si>
    <t>GEMS will be decommissioned, Effacts will be introduced</t>
  </si>
  <si>
    <t>Effacts</t>
  </si>
  <si>
    <t>Replacement of GEMS</t>
  </si>
  <si>
    <t>Editel Austria</t>
  </si>
  <si>
    <t>Takeout of 2017 AOP but still costs are central</t>
  </si>
  <si>
    <t>IQN</t>
  </si>
  <si>
    <t>Contingent Labor</t>
  </si>
  <si>
    <t>Contingent Labor project never came of the ground</t>
  </si>
  <si>
    <t>Prepaid locally in 2014, now coming to global</t>
  </si>
  <si>
    <t>Giarte</t>
  </si>
  <si>
    <t>Managed Service + Platform</t>
  </si>
  <si>
    <t>Bas Schroder</t>
  </si>
  <si>
    <t>9 initial + 50K coming from roll out</t>
  </si>
  <si>
    <t>Atos</t>
  </si>
  <si>
    <t>SAP SSR &amp; NSSR</t>
  </si>
  <si>
    <t>Nizaar Thierens</t>
  </si>
  <si>
    <t>New wintel machines supporting SAP solutions BO, GRC</t>
  </si>
  <si>
    <t>GITHub</t>
  </si>
  <si>
    <t>Basis support SF</t>
  </si>
  <si>
    <t>Copado</t>
  </si>
  <si>
    <t>Jira</t>
  </si>
  <si>
    <t>Ariba</t>
  </si>
  <si>
    <t>Metalogics</t>
  </si>
  <si>
    <t>Discontinued per dec 2016</t>
  </si>
  <si>
    <t>Macaw</t>
  </si>
  <si>
    <t>360 support</t>
  </si>
  <si>
    <t>Ivan Hrdina</t>
  </si>
  <si>
    <t>Moved to AMS</t>
  </si>
  <si>
    <t>Point X</t>
  </si>
  <si>
    <t>Annual maintenance</t>
  </si>
  <si>
    <t>Moved from local to central (again)</t>
  </si>
  <si>
    <t>Sonar Qube VM</t>
  </si>
  <si>
    <t>VM Costs</t>
  </si>
  <si>
    <t>Sanne Reus</t>
  </si>
  <si>
    <t>VM supporting Sonar Qube</t>
  </si>
  <si>
    <t>AutoCAD</t>
  </si>
  <si>
    <t>Additional Design Suite licenses</t>
  </si>
  <si>
    <t>Intershop</t>
  </si>
  <si>
    <t>Cancelled</t>
  </si>
  <si>
    <t>Peter Vogel</t>
  </si>
  <si>
    <t>Moved from Global Sales to Central AOP as these are (significant) IT Cost</t>
  </si>
  <si>
    <t>Bazaar Voice</t>
  </si>
  <si>
    <t>ChannelSight</t>
  </si>
  <si>
    <t>Adobe</t>
  </si>
  <si>
    <t>Pro licenses</t>
  </si>
  <si>
    <t>Jeroen Wijbenga</t>
  </si>
  <si>
    <t>C4C Roll out</t>
  </si>
  <si>
    <t>Martin Doens</t>
  </si>
  <si>
    <t>EPI finds</t>
  </si>
  <si>
    <t>licenses for NL, BE and DK</t>
  </si>
  <si>
    <t>Extended scope Ukrain Hub</t>
  </si>
  <si>
    <t>Jeroen Aalten</t>
  </si>
  <si>
    <t>Poll Everywhere</t>
  </si>
  <si>
    <t>Kalypso</t>
  </si>
  <si>
    <t>Additional Tickets</t>
  </si>
  <si>
    <t>More Ticket Volume used</t>
  </si>
  <si>
    <t>Storage Costs</t>
  </si>
  <si>
    <t>DTC</t>
  </si>
  <si>
    <t>Review again after Consumer DB migration project!</t>
  </si>
  <si>
    <t>Nintex</t>
  </si>
  <si>
    <t>Missed Costs Y3</t>
  </si>
  <si>
    <t>Data Grinder App</t>
  </si>
  <si>
    <t>Support costs Just BI</t>
  </si>
  <si>
    <t>Agnieszka Kubiak</t>
  </si>
  <si>
    <t>Just BI support for board room app Exco</t>
  </si>
  <si>
    <t>Sap cloud Subscription</t>
  </si>
  <si>
    <t>Annual fee</t>
  </si>
  <si>
    <t>Analytics Hub</t>
  </si>
  <si>
    <t>Sap Audit find / appendix 17</t>
  </si>
  <si>
    <t>Maintenance fee 22%</t>
  </si>
  <si>
    <t>22% on 732K audit find SAP 2017</t>
  </si>
  <si>
    <t>SAFT</t>
  </si>
  <si>
    <t>Maintenance fee</t>
  </si>
  <si>
    <t>Paulo Martins</t>
  </si>
  <si>
    <t>Navigator</t>
  </si>
  <si>
    <t>AOP was in euro but actual amounts are in GBP….</t>
  </si>
  <si>
    <t>iPaaS DellBoomi</t>
  </si>
  <si>
    <t>license fee</t>
  </si>
  <si>
    <t>Kumar Gaurav</t>
  </si>
  <si>
    <t>Y2 - €143K, Y3 - €202K &amp; Y4 – 261K</t>
  </si>
  <si>
    <t>Eenvoud Media</t>
  </si>
  <si>
    <t>Supply Chain Apps Hosting fee</t>
  </si>
  <si>
    <t>20 Certificates, 20 jira / confluence. 70vps, 160 software, 225 SLA</t>
  </si>
  <si>
    <t>RFGen extension banburry</t>
  </si>
  <si>
    <t xml:space="preserve">Additional scanners </t>
  </si>
  <si>
    <t>New Scanners</t>
  </si>
  <si>
    <t>Website Legal compliance</t>
  </si>
  <si>
    <t>Additional Websites AMS</t>
  </si>
  <si>
    <t>Accenture AMS</t>
  </si>
  <si>
    <t>8 additional websites being migrated to AMS</t>
  </si>
  <si>
    <t>Lease Accounting Usage</t>
  </si>
  <si>
    <t>Usage fee for registered assets</t>
  </si>
  <si>
    <t>1,98 per asset per year * 112000 Machines (NL,BE,DE,FR,DK) Delta = 225 - 52(AOP 2018)</t>
  </si>
  <si>
    <t>Willem Dijkhuizen</t>
  </si>
  <si>
    <t>Covering for additional scope on blackline (200K vs 160K in 2018)</t>
  </si>
  <si>
    <t>Support Contract IPaaS</t>
  </si>
  <si>
    <t>AMS Support (incidents, changes)</t>
  </si>
  <si>
    <t>Gaurav Kumar</t>
  </si>
  <si>
    <t>AMS support Full 1 FTE (40K)+ BAS(125K) + once off T2S cost (35K), to be validated</t>
  </si>
  <si>
    <t>Support Contract XTEL</t>
  </si>
  <si>
    <t>Based on 230 days X 950 euro per day for Kantar AMS, to be validated</t>
  </si>
  <si>
    <t>Maintenance Xtel</t>
  </si>
  <si>
    <t>Correction Licenses</t>
  </si>
  <si>
    <t>Correction on Maintenance base Xtel, splitting maintenance in Support</t>
  </si>
  <si>
    <t>BAS XTEL</t>
  </si>
  <si>
    <t>Dedicated BAS person assuming Accenture rate of 125K annual Cost</t>
  </si>
  <si>
    <t>Infra XTEL</t>
  </si>
  <si>
    <t>Increase capacity</t>
  </si>
  <si>
    <t>Farhan Malik</t>
  </si>
  <si>
    <t>Included in Atos infra costs</t>
  </si>
  <si>
    <t>CIS SecureSuite</t>
  </si>
  <si>
    <t>Membership fee</t>
  </si>
  <si>
    <t>Regien Schagen</t>
  </si>
  <si>
    <t>Visual Analytics</t>
  </si>
  <si>
    <t>BI for Caloc</t>
  </si>
  <si>
    <t>Barbara Kiendl</t>
  </si>
  <si>
    <t xml:space="preserve">Lumira </t>
  </si>
  <si>
    <t>Maintenance on additional licenses</t>
  </si>
  <si>
    <t>22% on 55 additional licenses</t>
  </si>
  <si>
    <t>Eplan</t>
  </si>
  <si>
    <t>Annual Fee</t>
  </si>
  <si>
    <t>Belongs to AutoCAD which is central IT already</t>
  </si>
  <si>
    <t>Restricted Party Screening</t>
  </si>
  <si>
    <t>Inflation correction</t>
  </si>
  <si>
    <t>Blue Prism</t>
  </si>
  <si>
    <t>Running costs for 2 Blue Prism licenses</t>
  </si>
  <si>
    <t>Magento</t>
  </si>
  <si>
    <t>Vaimo hosting, Magento Order Management and Mageneto e-com licenses</t>
  </si>
  <si>
    <t>SAP Active Embedded</t>
  </si>
  <si>
    <t>Seems AOP for Active embedded was too low (140 while it is 197)</t>
  </si>
  <si>
    <t>Uptrends</t>
  </si>
  <si>
    <t>Wesley Geurts</t>
  </si>
  <si>
    <t>Seems invoices are a bit higher than budgeted</t>
  </si>
  <si>
    <t>Winshuttle Support</t>
  </si>
  <si>
    <t xml:space="preserve">Support / Strippenkaart </t>
  </si>
  <si>
    <t>This is to cover for the occasional support needed from Ctac 30 hrs * 130 euro</t>
  </si>
  <si>
    <t>Opentext</t>
  </si>
  <si>
    <t>We only have license cost covered however we receive seperate invoice for maintenance..</t>
  </si>
  <si>
    <t>Infor</t>
  </si>
  <si>
    <t>S21 decommissioning</t>
  </si>
  <si>
    <t>We will not be able to decommision fully in 2019 so keeping the cost in</t>
  </si>
  <si>
    <t>Taleo</t>
  </si>
  <si>
    <t>License &amp; support decommissioning</t>
  </si>
  <si>
    <t>Rene Borst</t>
  </si>
  <si>
    <t>Replaced by Smart Recruiters</t>
  </si>
  <si>
    <t>Smartrecruiters</t>
  </si>
  <si>
    <t>Annual Service Fee + support</t>
  </si>
  <si>
    <t>Toni Peric</t>
  </si>
  <si>
    <t>Replacing Taleo, check if this budget goes to business</t>
  </si>
  <si>
    <t>Board Vantage</t>
  </si>
  <si>
    <t>Budget Move</t>
  </si>
  <si>
    <t>Umit Unver</t>
  </si>
  <si>
    <t>Budget is with Exco Assistant</t>
  </si>
  <si>
    <t>XL Reporting</t>
  </si>
  <si>
    <t>Cancellation</t>
  </si>
  <si>
    <t>We did not see an invoice for last 3 years, probably local or no longer in use</t>
  </si>
  <si>
    <t>Iot Application &amp; Landscape support</t>
  </si>
  <si>
    <t>Connected coffee machine support</t>
  </si>
  <si>
    <t>150K reserved for IOT support, hosting costs covered in new MS contract - project will support in '19</t>
  </si>
  <si>
    <t>Bynder</t>
  </si>
  <si>
    <t>Decommisioned in favor of Pulse</t>
  </si>
  <si>
    <t>Bynder contract will be stopped in october 2018, Pulse will be used instead</t>
  </si>
  <si>
    <t>Additional Support Digital AMS</t>
  </si>
  <si>
    <t>1 Additonal resource Digital Team</t>
  </si>
  <si>
    <t xml:space="preserve">Due to increase in e-commerce activites + additonal websites under management </t>
  </si>
  <si>
    <t>Oracle Database licenses</t>
  </si>
  <si>
    <t>Cancellation service contracts</t>
  </si>
  <si>
    <t>Cancellation service contracts 5510557 (290K) and 6716064 (157K), Take out Oracle Saving</t>
  </si>
  <si>
    <t>PointX :    24 X 7 Support</t>
  </si>
  <si>
    <t>Murat Celic</t>
  </si>
  <si>
    <t>Improving support on point x which is getting larger footprint and is becoming more critical</t>
  </si>
  <si>
    <t>Licenses</t>
  </si>
  <si>
    <t>Second attempt to move all Point X cost to central</t>
  </si>
  <si>
    <t>SAP</t>
  </si>
  <si>
    <t>Maintenance Fee SAP AIF, LAE Build</t>
  </si>
  <si>
    <t>22% over Custombuild effort LAE / AIF (511K) = 112K vs 50K in 2018</t>
  </si>
  <si>
    <t>Data Protector Microfocus</t>
  </si>
  <si>
    <t>Annual maintenance fee</t>
  </si>
  <si>
    <t>Maintenance fee over software base (106K)</t>
  </si>
  <si>
    <t>Licenses Delta 2019</t>
  </si>
  <si>
    <t>Delta: 1528K - 132,5K (AOP 2018)</t>
  </si>
  <si>
    <t>Henk vd Gugten</t>
  </si>
  <si>
    <t>Delta: 1152K-210K (AOP 2018)</t>
  </si>
  <si>
    <t>Delta: 375K - 62,5K (AOP 2018)</t>
  </si>
  <si>
    <t>Apttus AMS</t>
  </si>
  <si>
    <t>Support Contract Apttuss</t>
  </si>
  <si>
    <t>Remainder AMS Apttus --&gt; Will be cancelled</t>
  </si>
  <si>
    <t>Professional Devops</t>
  </si>
  <si>
    <t>Application support &amp; development</t>
  </si>
  <si>
    <t>ITMT</t>
  </si>
  <si>
    <t>Devops Salesforce &amp; Apttus</t>
  </si>
  <si>
    <t>Click Support</t>
  </si>
  <si>
    <t>Full Year AMS 24X7 Support for Click from Lisbon + Transition Cost</t>
  </si>
  <si>
    <t>DTC AMS Support</t>
  </si>
  <si>
    <t>24 X 7 support, Blokker Extension</t>
  </si>
  <si>
    <t>Ton Hofstede</t>
  </si>
  <si>
    <t>Additional Manpower</t>
  </si>
  <si>
    <t>ATOS</t>
  </si>
  <si>
    <t>Ton Hostede will be chargeble from 2018 / 2019</t>
  </si>
  <si>
    <t>Seeburger</t>
  </si>
  <si>
    <t>Additional edi messaging volume due to scope increases</t>
  </si>
  <si>
    <t>RFC Budget</t>
  </si>
  <si>
    <t>Additional scope due to kauri release retain &amp; proffesional</t>
  </si>
  <si>
    <t>Net AMS Contract Delta 2019</t>
  </si>
  <si>
    <t>Monitoring:-83K, Enh: +25K, Incidents:+65K, BAS:+15K</t>
  </si>
  <si>
    <t xml:space="preserve">Usage increase </t>
  </si>
  <si>
    <t>Additional licenses for Service now due to Epsylon and extended use</t>
  </si>
  <si>
    <t>HP ALM</t>
  </si>
  <si>
    <t>Full ownership Operations</t>
  </si>
  <si>
    <t>Assumption: 180 Euro Per user Per month; 100 concurrent users (vs 175 today)</t>
  </si>
  <si>
    <t>Storage Non-SAP + Store Simple</t>
  </si>
  <si>
    <t>Data growth</t>
  </si>
  <si>
    <t>Expected increase in Storage Cost ATOS</t>
  </si>
  <si>
    <t>Sap Operations</t>
  </si>
  <si>
    <t>Atos Running cost delta SAP DS</t>
  </si>
  <si>
    <t>Fiori: +32K CRM Decom: -56K Storage:+90K : Solman Java Split, Extra SiD:+30K. 4-Tier:120K</t>
  </si>
  <si>
    <t>Additional Licenses</t>
  </si>
  <si>
    <t>Inge Groen</t>
  </si>
  <si>
    <t>Overrun on 300 licenses, moving to 400 licenses</t>
  </si>
  <si>
    <t>S4 HANA Readiness</t>
  </si>
  <si>
    <t>Follow up actions</t>
  </si>
  <si>
    <t>Archiving, code clean up, code optimization</t>
  </si>
  <si>
    <t>S4 HANA Dryruns</t>
  </si>
  <si>
    <t>Hosting and effort</t>
  </si>
  <si>
    <t>Sandbox setup, hosting and migration trials</t>
  </si>
  <si>
    <t>S4 HANA Value</t>
  </si>
  <si>
    <t>Value Engenering</t>
  </si>
  <si>
    <t>Other</t>
  </si>
  <si>
    <t>Business case, future TCO, contract review</t>
  </si>
  <si>
    <t>Awareness standard e-training subscription</t>
  </si>
  <si>
    <t>Awareness Ambasador Program</t>
  </si>
  <si>
    <t>Full time hire for a year</t>
  </si>
  <si>
    <t>GRC Access Control KPMG</t>
  </si>
  <si>
    <t>KPMG</t>
  </si>
  <si>
    <t xml:space="preserve">Small saving </t>
  </si>
  <si>
    <t>Pentest SAP</t>
  </si>
  <si>
    <t>Split Pen Testing in SAP / Salesforce</t>
  </si>
  <si>
    <t>Symantec</t>
  </si>
  <si>
    <t>Original Amount covered 3 years in stead of 1 year</t>
  </si>
  <si>
    <t>Firewalls Runrate</t>
  </si>
  <si>
    <t>Firewalls Runrate BT</t>
  </si>
  <si>
    <t>Factory IT firewalls, part of BT contract. Cancelled as it is in factory RFP</t>
  </si>
  <si>
    <t>3rd Party Remote Access</t>
  </si>
  <si>
    <t>Cancelled as it was double with Ivan</t>
  </si>
  <si>
    <t>Factory Assessment gaps Follow up</t>
  </si>
  <si>
    <t>PM cost for one year, is this in Business AOP?</t>
  </si>
  <si>
    <t>Cylance Endpoint Protection</t>
  </si>
  <si>
    <t>Cylance + Accenture EUS</t>
  </si>
  <si>
    <t>Service Desk Onboarding</t>
  </si>
  <si>
    <t>Costs for onboarding applications / vendors</t>
  </si>
  <si>
    <t>Onboarding costs Kauri and critical Applications with IT Service Desk</t>
  </si>
  <si>
    <t xml:space="preserve">ClearDB </t>
  </si>
  <si>
    <t>Charging now separate from Azure</t>
  </si>
  <si>
    <t>assuming 3K monthly invoice. Cancelled Asuming we get rid of clearDB in 2019</t>
  </si>
  <si>
    <t>Cryptshare</t>
  </si>
  <si>
    <t>Potential Decommisioning</t>
  </si>
  <si>
    <t>26,3K licenses +0,6K support: Cancelled as cost are not in AOP 2018 so no delta</t>
  </si>
  <si>
    <t>Apptio</t>
  </si>
  <si>
    <t>Annual Runrate</t>
  </si>
  <si>
    <t>Ines Rodrigues</t>
  </si>
  <si>
    <t>New tool for ITFM</t>
  </si>
  <si>
    <t>Maintenance Visual Doc / Flow</t>
  </si>
  <si>
    <t>Has been decommisioned</t>
  </si>
  <si>
    <t>Decommisioned in Hungary and now Uk due to Salesforce implementation</t>
  </si>
  <si>
    <t>Keops Ukraine</t>
  </si>
  <si>
    <t>Budgetted locally</t>
  </si>
  <si>
    <t>Apple</t>
  </si>
  <si>
    <t>150 euro anually with no vendor</t>
  </si>
  <si>
    <t>There is no vendor and no invoice, taking this out from central AOP</t>
  </si>
  <si>
    <t>Saving due to 3 year contract</t>
  </si>
  <si>
    <t>we paid 48K for 3 years, this is 16K per year instead of 26K budgetted</t>
  </si>
  <si>
    <t>Potential increase dus to added products</t>
  </si>
  <si>
    <t>Moving photoshop etc to central budget</t>
  </si>
  <si>
    <t>EY VAT Tool</t>
  </si>
  <si>
    <t>Taking it out of operations AOP</t>
  </si>
  <si>
    <t>No business owner, no vendor, no cost since 2014. We take this out from AOP</t>
  </si>
  <si>
    <t>Predictive Analysis</t>
  </si>
  <si>
    <t>Additional component for native HANA</t>
  </si>
  <si>
    <t>Patrick Vet</t>
  </si>
  <si>
    <t xml:space="preserve">New licenses for SAP Predictive </t>
  </si>
  <si>
    <t>Business Objects</t>
  </si>
  <si>
    <t>Scope increase</t>
  </si>
  <si>
    <t>Addiotnal BO licenses for SDS</t>
  </si>
  <si>
    <t>HANA / BI Stabilization</t>
  </si>
  <si>
    <t>Extra (AMS) resources to stabilize Kauri Template</t>
  </si>
  <si>
    <t>Once Kauri (transactional) template stabilization is done BI will likely need additional manpower</t>
  </si>
  <si>
    <t>SF / Apttus Usage</t>
  </si>
  <si>
    <t>Extra buffer for under estimated volume drivers</t>
  </si>
  <si>
    <t>To account unexpected charges for storage, api calls, messages etc</t>
  </si>
  <si>
    <t>Workplace Support</t>
  </si>
  <si>
    <t>IT support for Workplace</t>
  </si>
  <si>
    <t>Milou Wesdijk</t>
  </si>
  <si>
    <t>MS Contract Renegotiation</t>
  </si>
  <si>
    <t>Check True Up 3 year line 2019</t>
  </si>
  <si>
    <t>Microsoft</t>
  </si>
  <si>
    <t>Moved to True up 1 year, 230K vs 357K</t>
  </si>
  <si>
    <t>Enterprise Support - Appendix 15</t>
  </si>
  <si>
    <t>Correction on AOP figure as it did not match actuals for unknown reason.</t>
  </si>
  <si>
    <t>Inflation yearly contract</t>
  </si>
  <si>
    <t>Inflation correction (160K --&gt; 165K)</t>
  </si>
  <si>
    <t>Sandboxes Salesforce</t>
  </si>
  <si>
    <t>Sanboxes will be aprt of total SF costs</t>
  </si>
  <si>
    <t>Sandboxes were listed seperately in AOP but will be covered in overall SF costs</t>
  </si>
  <si>
    <t>Global Infrastructure Services for Local Application Hosting Projects</t>
  </si>
  <si>
    <t>New item to cover infra costs for ongoing projects ATOS: Cancelled</t>
  </si>
  <si>
    <t>New item to cover infra costs for ongoing projects Accenture</t>
  </si>
  <si>
    <t>Non-Standard Services (AS400 + HPUX)</t>
  </si>
  <si>
    <t>Global Network Services costs for Local Network Projects</t>
  </si>
  <si>
    <t>BT</t>
  </si>
  <si>
    <t>New BT Contract</t>
  </si>
  <si>
    <t>LAN</t>
  </si>
  <si>
    <t>WAN</t>
  </si>
  <si>
    <t>SD-WAN</t>
  </si>
  <si>
    <t>Supergroup, cafax</t>
  </si>
  <si>
    <t>Skype for Business</t>
  </si>
  <si>
    <t>Skype for Business Contact Center (Interactive Intelligence)</t>
  </si>
  <si>
    <t>Skype for Business Contact Center (Interactive Intelligence) SSR's &amp; NSSR's</t>
  </si>
  <si>
    <t>Support cost Skype</t>
  </si>
  <si>
    <t>Hightail Subscription</t>
  </si>
  <si>
    <t>Software licence costs Other</t>
  </si>
  <si>
    <t>Netwrix Subscription</t>
  </si>
  <si>
    <t>O365 Security</t>
  </si>
  <si>
    <t>Microsoft Enterprise Services</t>
  </si>
  <si>
    <t>Enterprises services replaces premier support line going from 105K to 115K</t>
  </si>
  <si>
    <t>Microsoft Azure Server and Cloud Enrollment</t>
  </si>
  <si>
    <t>New contract Microsoft</t>
  </si>
  <si>
    <t>Microsoft Enterprise Agreement Subscription</t>
  </si>
  <si>
    <t>Microsoft Hybrid Server and Cloud Enrollment</t>
  </si>
  <si>
    <t>Microsoft Azure</t>
  </si>
  <si>
    <t>Canceling old Microsoft Items sources through Lage Landen Vendor Lease</t>
  </si>
  <si>
    <t>Microsoft Enterprise Agreement</t>
  </si>
  <si>
    <t>Lage Landen</t>
  </si>
  <si>
    <t>Microsoft Premier Support</t>
  </si>
  <si>
    <t>Selenium</t>
  </si>
  <si>
    <t>Test Automation Software</t>
  </si>
  <si>
    <t>New solution for test automation Salesforce platform</t>
  </si>
  <si>
    <t>Adobe E-Sign</t>
  </si>
  <si>
    <t>License cost Adobe E-Sign</t>
  </si>
  <si>
    <t>Secure Access Servers (Office Network &gt; CCN)</t>
  </si>
  <si>
    <t>Accenture</t>
  </si>
  <si>
    <t>Signed Contracts incl. Security CER</t>
  </si>
  <si>
    <t>Third Party VPN Access</t>
  </si>
  <si>
    <t>EPI Server License cost</t>
  </si>
  <si>
    <t>Licence split epifind</t>
  </si>
  <si>
    <t>Technical split epi server and epi find licenses</t>
  </si>
  <si>
    <t>EPI find licenses 2018 + 2019 impact</t>
  </si>
  <si>
    <t>Additional License</t>
  </si>
  <si>
    <t>30K transfer episerver -14K NL/BE/DK + additional scope 27.280 euro</t>
  </si>
  <si>
    <t>Workplace Licenses</t>
  </si>
  <si>
    <t>Workplace by Facebook</t>
  </si>
  <si>
    <t>Facebook</t>
  </si>
  <si>
    <t>Professional AMS (Service Cloud etc)</t>
  </si>
  <si>
    <t>BI Native HANA Support</t>
  </si>
  <si>
    <t>Route Sales App</t>
  </si>
  <si>
    <t>SAP RAR/LAE/AIF</t>
  </si>
  <si>
    <t>Star LIMS</t>
  </si>
  <si>
    <t>Replacement of Nautilus LIMS</t>
  </si>
  <si>
    <t xml:space="preserve">Sender Domain Management </t>
  </si>
  <si>
    <t>Additional SF module for quality checks on email campaigns</t>
  </si>
  <si>
    <t>Additonal Salses Force and Apttus License Impact</t>
  </si>
  <si>
    <t>Additional licenses needed after kauri counts</t>
  </si>
  <si>
    <t>Crunchr</t>
  </si>
  <si>
    <t>New Analytics tool HR</t>
  </si>
  <si>
    <t>110K Licenses and 40K Support</t>
  </si>
  <si>
    <t>OrgPublisher license cost</t>
  </si>
  <si>
    <t>Decommisioned in favor of Crunchr</t>
  </si>
  <si>
    <t>Decommisioned, licenses cost go through Accenture</t>
  </si>
  <si>
    <t>ImageResizer V4 Elite License</t>
  </si>
  <si>
    <t>Decommisioned since no known contract</t>
  </si>
  <si>
    <t>No business owner, no vendor, no cost since 2 years. We take this out from AOP</t>
  </si>
  <si>
    <t>Salesforce additional runrate</t>
  </si>
  <si>
    <t>Brewer registration project</t>
  </si>
  <si>
    <t>Additional run rate salesforce costs, rolled up in total SF costs 2019</t>
  </si>
  <si>
    <t>Identity &amp; Access mgt tool Savyint</t>
  </si>
  <si>
    <t>New tool implementation for IDM</t>
  </si>
  <si>
    <t>Security - Factories</t>
  </si>
  <si>
    <t>Factory Firewalls</t>
  </si>
  <si>
    <t>Split Factory Firewalls out per request MW for charging direct to MU's</t>
  </si>
  <si>
    <t>S4/Hana + SAP Support</t>
  </si>
  <si>
    <t>AOP discussions</t>
  </si>
  <si>
    <t>Mark Wormgoor</t>
  </si>
  <si>
    <t>Removed S/4 Hana (€270k) - added SAP Lifecycle Management costs (€200k)</t>
  </si>
  <si>
    <t>Reduced to 50 concurrent users - Super Group / Kauri to pay for their own ALM licenses</t>
  </si>
  <si>
    <t>Additional Roll outs</t>
  </si>
  <si>
    <t>Wave 3 impact Engagor rollout</t>
  </si>
  <si>
    <t>Monthly</t>
  </si>
  <si>
    <t>Changed Aure charging to mothly actuals vs. evenly phased contract (contracted amount E 1.934 M)</t>
  </si>
  <si>
    <t>Professional Support</t>
  </si>
  <si>
    <t>WSSS</t>
  </si>
  <si>
    <t>Included charge of €2m WSSS to Professional</t>
  </si>
  <si>
    <t>Video Conferencing</t>
  </si>
  <si>
    <t>Deployment of Kinley video conferencing</t>
  </si>
  <si>
    <t>Robbert van Straaten</t>
  </si>
  <si>
    <t>Further deployment of video conferencing</t>
  </si>
  <si>
    <t>HP Server Lease</t>
  </si>
  <si>
    <t>Reservation 2018 HP</t>
  </si>
  <si>
    <t>Accrual for Server lease removed</t>
  </si>
  <si>
    <t>Professional DevOps - WSSS</t>
  </si>
  <si>
    <t>Supposed to be WSSS</t>
  </si>
  <si>
    <t>Telecoms Expense Management</t>
  </si>
  <si>
    <t>Future opportunity</t>
  </si>
  <si>
    <t>Future opportunity to reduce telecoms cost</t>
  </si>
  <si>
    <t>Cross Browser Testing Tool</t>
  </si>
  <si>
    <t>BrowserStack Solution</t>
  </si>
  <si>
    <t>BrowserStack</t>
  </si>
  <si>
    <t>Acquisition of new tooling to support AMS and Agile office in Cross Browser testing for website changes</t>
  </si>
  <si>
    <t>e-dialog</t>
  </si>
  <si>
    <t>Zeta interactive</t>
  </si>
  <si>
    <t>Bas Vredenburg</t>
  </si>
  <si>
    <t>Contract terminated due to implementation of magento</t>
  </si>
  <si>
    <t>NiceLabel</t>
  </si>
  <si>
    <t>New license Model based on printers</t>
  </si>
  <si>
    <t>New licensing model based on printers for nice label</t>
  </si>
  <si>
    <t>GXS VAN Cost</t>
  </si>
  <si>
    <t>Continued usage increase</t>
  </si>
  <si>
    <t>Continued Increase in VAN cost</t>
  </si>
  <si>
    <t xml:space="preserve">EMT Gearset </t>
  </si>
  <si>
    <t>New solution introduced</t>
  </si>
  <si>
    <t>New solution for frontend deployment consitency checks, 2 X 3 licenses</t>
  </si>
  <si>
    <t>Pointx Enhancements</t>
  </si>
  <si>
    <t>Additional budget for small changes</t>
  </si>
  <si>
    <t>Small budget for small enhancements</t>
  </si>
  <si>
    <t>SAP Preffered care</t>
  </si>
  <si>
    <t>Rate increase Active embedded</t>
  </si>
  <si>
    <t>Increase in SAP support rates</t>
  </si>
  <si>
    <t>Caloc Support</t>
  </si>
  <si>
    <t>Additional Weekly support PW consultancy</t>
  </si>
  <si>
    <t>Increased support for Caloc</t>
  </si>
  <si>
    <t>Moving to a SaaS solution</t>
  </si>
  <si>
    <t>Move Zylab solution to a SaaS</t>
  </si>
  <si>
    <t>40 additional licenses</t>
  </si>
  <si>
    <t>runrate on 40 additional lumira licenses</t>
  </si>
  <si>
    <t>Coffee Care Licenses</t>
  </si>
  <si>
    <t>New Pega 7 implementation</t>
  </si>
  <si>
    <t>Decrease in runrate from 410K to 360K (30K per month)</t>
  </si>
  <si>
    <t>Coffee Care Support</t>
  </si>
  <si>
    <t>Support Costs Pega</t>
  </si>
  <si>
    <t>Delta Accenture AMS (digital) support vs new support contract</t>
  </si>
  <si>
    <t>Salesforce Additional BU</t>
  </si>
  <si>
    <t>New Business Unit Spain Retail</t>
  </si>
  <si>
    <t>Dora Hajnal</t>
  </si>
  <si>
    <t>New Business unit Hormimans / Marcilla</t>
  </si>
  <si>
    <t>BAS Support R&amp;D</t>
  </si>
  <si>
    <t xml:space="preserve">There is no BAS for R&amp;D </t>
  </si>
  <si>
    <t>Internal Role</t>
  </si>
  <si>
    <t>New Business Unit Tiora</t>
  </si>
  <si>
    <t>Additional Business Unit for Tiora</t>
  </si>
  <si>
    <t>OwnBackup</t>
  </si>
  <si>
    <t>Backup / DR solution SalesForce</t>
  </si>
  <si>
    <t>Separte Backup solution for DR &amp; Backup (Sales and Service Cloud only!)</t>
  </si>
  <si>
    <t>SF Event Monitoring</t>
  </si>
  <si>
    <t>SF Module for Security / Application Monitoring</t>
  </si>
  <si>
    <t>Addon SF Mondule for Security and application Monitoring</t>
  </si>
  <si>
    <t>Additional Click users</t>
  </si>
  <si>
    <t>100 additional users 12 months</t>
  </si>
  <si>
    <t>Additional Click users due to scope increase (Q-10689)</t>
  </si>
  <si>
    <t>Salesforce Adapters BI</t>
  </si>
  <si>
    <t>3 Salesforce adapters for SDS</t>
  </si>
  <si>
    <t>Livecom / Consulink</t>
  </si>
  <si>
    <t>Decommisioned due to Pega upgrade</t>
  </si>
  <si>
    <t>EpiServer</t>
  </si>
  <si>
    <t>Cost increase due to additional scope</t>
  </si>
  <si>
    <t>10% increase license cost</t>
  </si>
  <si>
    <t>Octopus Deploy</t>
  </si>
  <si>
    <t>New solution for Website deployments</t>
  </si>
  <si>
    <t>Remco Wijnings</t>
  </si>
  <si>
    <t>New solution for Website Deployments</t>
  </si>
  <si>
    <t xml:space="preserve">Sharegate </t>
  </si>
  <si>
    <t>Increase license count</t>
  </si>
  <si>
    <t>Additional licenses required due to extended AMS activiites</t>
  </si>
  <si>
    <t>Amber Road</t>
  </si>
  <si>
    <t xml:space="preserve">Exceeded subscription </t>
  </si>
  <si>
    <t>Subscription is now for 400K entities, is increased to 500K entities</t>
  </si>
  <si>
    <t>Additional Apps supply chain</t>
  </si>
  <si>
    <t>John Bakker</t>
  </si>
  <si>
    <t>Supply chain mobile apps</t>
  </si>
  <si>
    <t>Just-BI DevOps</t>
  </si>
  <si>
    <t>Support Native HANA, SDS, Apps (Full Amount)</t>
  </si>
  <si>
    <t>Montly Fee = 34700 ; Service Mngt = 1800 ; 24X5 Support = 1800; Upgrades = 1667 = 480000</t>
  </si>
  <si>
    <t>Just-BI AMS</t>
  </si>
  <si>
    <t>Former AMS scope + PowerBi + Altryx</t>
  </si>
  <si>
    <t>Full AMS scope + transitions + 2 onshore resources</t>
  </si>
  <si>
    <t>AMS Support Native HANA</t>
  </si>
  <si>
    <t>Decommisioned , now part of Just BI AMS Support</t>
  </si>
  <si>
    <t>BW Transtion AMS to Just BI</t>
  </si>
  <si>
    <t>Once Off transition from ACN to Just-Bi</t>
  </si>
  <si>
    <t>Once off transition cost for Accenture AMS for taking SAP BW out of AMS scope</t>
  </si>
  <si>
    <t>Additional scope + premier support</t>
  </si>
  <si>
    <t>Seems original amount of 40K was adjusted down which is wrong + adding additional scope</t>
  </si>
  <si>
    <t>ServiceNow</t>
  </si>
  <si>
    <t>Increased scope (Kauri, HR, Master data, AMS)</t>
  </si>
  <si>
    <t>Additonal usage Service Now (based 516 Licenses), Security charges are with Regien</t>
  </si>
  <si>
    <t>Technical correction for more detailed split</t>
  </si>
  <si>
    <t>Correction on 2019 AOP</t>
  </si>
  <si>
    <t>XTEL AMS</t>
  </si>
  <si>
    <t>Kantar Service Desk (Full Amount)</t>
  </si>
  <si>
    <t>XTEL Change Budget</t>
  </si>
  <si>
    <t>Run rate Licenses</t>
  </si>
  <si>
    <t>No run rate increase expected</t>
  </si>
  <si>
    <t xml:space="preserve">BAS Sales </t>
  </si>
  <si>
    <t>There is no BAS for XTEL / C4C</t>
  </si>
  <si>
    <t>No additional Bas needed. Current bas moves to devops and we line up new resource against existing role</t>
  </si>
  <si>
    <t>Accolade</t>
  </si>
  <si>
    <t>Additional runrate</t>
  </si>
  <si>
    <t>maintenance fee for 19 additional licenses</t>
  </si>
  <si>
    <t>Analytics HUB</t>
  </si>
  <si>
    <t>Introduction SAP Analytics Hub</t>
  </si>
  <si>
    <t>SAP Analytics Hub increase usage (2 euro per month per normal user, 20 euro per admin)</t>
  </si>
  <si>
    <t>IT2 Move 2 Cloud</t>
  </si>
  <si>
    <t>Incremental cost moving IT2 to ION</t>
  </si>
  <si>
    <t>IT2</t>
  </si>
  <si>
    <t>Antonio Tuells</t>
  </si>
  <si>
    <t>Move IT2 application from ATOS hosing 2 ION</t>
  </si>
  <si>
    <t>Jira &amp; Confluence</t>
  </si>
  <si>
    <t>Increased usage due to DevOps implementation</t>
  </si>
  <si>
    <t>Increase in licenses to 500 for Jira and 500 for Confluence</t>
  </si>
  <si>
    <t>Ops travel Budget</t>
  </si>
  <si>
    <t>Delivery Center &amp; Vendor visits</t>
  </si>
  <si>
    <t>Taken into WSSS</t>
  </si>
  <si>
    <t>V@Tbox</t>
  </si>
  <si>
    <t>Budget seems to sit with Business</t>
  </si>
  <si>
    <t>Application is confirmed decommisioned by R2R Team</t>
  </si>
  <si>
    <t>HCM Subscription</t>
  </si>
  <si>
    <t>Successfactors Subscription</t>
  </si>
  <si>
    <t>Succesfactors implementation (APP002642)</t>
  </si>
  <si>
    <t>HCM Support</t>
  </si>
  <si>
    <t>Support desk / AMS (Incidents / monitoring)</t>
  </si>
  <si>
    <t>AMS support estimate, to be validated</t>
  </si>
  <si>
    <t>HCM Transition</t>
  </si>
  <si>
    <t>Transition to support costs</t>
  </si>
  <si>
    <t>Once off transition towards AMS</t>
  </si>
  <si>
    <t>Support Model E-Commerce</t>
  </si>
  <si>
    <t xml:space="preserve">Support cost Magento </t>
  </si>
  <si>
    <t>Pending</t>
  </si>
  <si>
    <t>Support cost will become devops hence business funded</t>
  </si>
  <si>
    <t>Deployment Tooling SF / Apttus</t>
  </si>
  <si>
    <t>Increase of cost Gearset</t>
  </si>
  <si>
    <t>Double</t>
  </si>
  <si>
    <t>Oasis Transition</t>
  </si>
  <si>
    <t>Once Off transition to AMS</t>
  </si>
  <si>
    <t>Oasis AMS cost</t>
  </si>
  <si>
    <t>Extended support APAC + AMS scope increase</t>
  </si>
  <si>
    <t>Additional AMS cost and 24 X 7 Scope</t>
  </si>
  <si>
    <t xml:space="preserve">Oasis Swat Team </t>
  </si>
  <si>
    <t>3 Month swat team post hypercare</t>
  </si>
  <si>
    <t>Post hypercare Swat team on the ground to land Oasis properly</t>
  </si>
  <si>
    <t>Test factory</t>
  </si>
  <si>
    <t>Increase scope due to Kauri</t>
  </si>
  <si>
    <t>Splitting SF cost</t>
  </si>
  <si>
    <t>Technical correction to split cost on 5 SF instances</t>
  </si>
  <si>
    <t>System 21 UK / DE</t>
  </si>
  <si>
    <t>Decommisioning System 21</t>
  </si>
  <si>
    <t xml:space="preserve">Fiori </t>
  </si>
  <si>
    <t>Support cost AMS</t>
  </si>
  <si>
    <t>Rolled up in AMS lines</t>
  </si>
  <si>
    <t>Connector4U</t>
  </si>
  <si>
    <t>Increased Run rate Service Now plugin</t>
  </si>
  <si>
    <t>Plugin for Service Now / Jira interfaces</t>
  </si>
  <si>
    <t>Azure Technical support</t>
  </si>
  <si>
    <t>AMS scope increase on Azure</t>
  </si>
  <si>
    <t>Security, sizing, monitoring, upgrades etc</t>
  </si>
  <si>
    <t>Decommisioning in France</t>
  </si>
  <si>
    <t>Xavier Marissal</t>
  </si>
  <si>
    <t>Navigator was decommisioned per April 2019</t>
  </si>
  <si>
    <t>Marketing Cloud Support</t>
  </si>
  <si>
    <t>increase to full fte AMS Marketing / Sales Cloud</t>
  </si>
  <si>
    <t>Full fte in AMS due to increased scope</t>
  </si>
  <si>
    <t>Increased usage (CCM, START)</t>
  </si>
  <si>
    <t>Tas Support</t>
  </si>
  <si>
    <t>Additional SME support TAS</t>
  </si>
  <si>
    <t>Rory Oloughlin</t>
  </si>
  <si>
    <t>Additional support for maintaining TAS which is EOL but has increased scope</t>
  </si>
  <si>
    <t>Increase in number of users KAURi/ OASIS</t>
  </si>
  <si>
    <t>Additonal usage Black line</t>
  </si>
  <si>
    <t>Dellboomi</t>
  </si>
  <si>
    <t xml:space="preserve">Increase subscription </t>
  </si>
  <si>
    <t>Connected Coffee Machine</t>
  </si>
  <si>
    <t>AMS support IOT + transition</t>
  </si>
  <si>
    <t>50K transtion + 2 fte per year 50K per fte</t>
  </si>
  <si>
    <t>EPI Find</t>
  </si>
  <si>
    <t>2 additonal instances</t>
  </si>
  <si>
    <t>Apttio Support TBM</t>
  </si>
  <si>
    <t>Support contract Its value</t>
  </si>
  <si>
    <t>TBM support It's value (6K per month)</t>
  </si>
  <si>
    <t>Retail BI support scope Just BI</t>
  </si>
  <si>
    <t>Additional Retail BI support Just BI</t>
  </si>
  <si>
    <t>D&amp;A</t>
  </si>
  <si>
    <t>Workplace License increase</t>
  </si>
  <si>
    <t>License prices expected to go up</t>
  </si>
  <si>
    <t>Workplace</t>
  </si>
  <si>
    <t>Release management HR solutions</t>
  </si>
  <si>
    <t>DXC release Management Support Cornerstone</t>
  </si>
  <si>
    <t>HR</t>
  </si>
  <si>
    <t>No release mngt coverage, charter cancelled</t>
  </si>
  <si>
    <t>DXC release Management Support Successfactors</t>
  </si>
  <si>
    <t xml:space="preserve">8 additional users, 5 additional streampacks </t>
  </si>
  <si>
    <t>Google Analytics</t>
  </si>
  <si>
    <t>Budget sits with Business</t>
  </si>
  <si>
    <t>Google Search</t>
  </si>
  <si>
    <t>EWM Pilot Implementation</t>
  </si>
  <si>
    <t>Additional Run rate EWM</t>
  </si>
  <si>
    <t>Rollo van der Sar</t>
  </si>
  <si>
    <t>Will be project budget</t>
  </si>
  <si>
    <t>AlteryX Introduction</t>
  </si>
  <si>
    <t>Licenses / subscription costs</t>
  </si>
  <si>
    <t>ATOS SAP Hosting</t>
  </si>
  <si>
    <t>Changes in Hosting Fees</t>
  </si>
  <si>
    <t>BAS Services</t>
  </si>
  <si>
    <t>2% increase in Bas rates</t>
  </si>
  <si>
    <t>Rate increase</t>
  </si>
  <si>
    <t xml:space="preserve">Enhancement Services </t>
  </si>
  <si>
    <t>Kauri, Savyint, Fiori, Dellboomi CCN's</t>
  </si>
  <si>
    <t>Incident management services</t>
  </si>
  <si>
    <t>Webhosting</t>
  </si>
  <si>
    <t>Monitoring &amp; release management</t>
  </si>
  <si>
    <t>Kauri impact from DevOps, environment Management</t>
  </si>
  <si>
    <t>Compliance Services</t>
  </si>
  <si>
    <t>Robotics Support</t>
  </si>
  <si>
    <t>Robotics support AMS</t>
  </si>
  <si>
    <t>AMS support on Robotics platform</t>
  </si>
  <si>
    <t>iPaaS Dellboomi Support</t>
  </si>
  <si>
    <t>Technical correction, now rolled up in other AMS lines</t>
  </si>
  <si>
    <t xml:space="preserve">Kauri Retail (Brazil) + Support </t>
  </si>
  <si>
    <t>Maintenance / upgrades web sites / stores</t>
  </si>
  <si>
    <t>Onshore resource ATOS</t>
  </si>
  <si>
    <t>Retaining onshore resource not contrated yet</t>
  </si>
  <si>
    <t>Onshore resource is required like is the case for BAS persons in AMS. Now partially funded by Oasis until may 2020</t>
  </si>
  <si>
    <t xml:space="preserve">Saviynt </t>
  </si>
  <si>
    <t>IDM replacement</t>
  </si>
  <si>
    <t>Nico Steenbeek</t>
  </si>
  <si>
    <t>Actual cost are 20K per month</t>
  </si>
  <si>
    <t xml:space="preserve">Additional SAP factory licenses </t>
  </si>
  <si>
    <t>Diva upgrade Elmshorn</t>
  </si>
  <si>
    <t>Diva upgrade Elmshorn 14 workers + 2 engineers (22% x 12750 euro license cost)</t>
  </si>
  <si>
    <t>Oracle License Audit finds</t>
  </si>
  <si>
    <t>Due to Java components coming under licenses</t>
  </si>
  <si>
    <t>Oracle</t>
  </si>
  <si>
    <t>2$ per user per month; 26$ * 1600 users; Windows 10 rollout will give more insight</t>
  </si>
  <si>
    <t>Test Factory AMS</t>
  </si>
  <si>
    <t>Capacity increase due to Kauri</t>
  </si>
  <si>
    <t>Gagandeep Sharma</t>
  </si>
  <si>
    <t>increase from 2 to 3.5 FTE , CCN29</t>
  </si>
  <si>
    <t>SIAMS / Service Desk Onboarding</t>
  </si>
  <si>
    <t>No Financial model for onboarding</t>
  </si>
  <si>
    <t>Retrospective 535K, Run cost june 2019 - may 2020 = 743K, June 2020 - Dec 2020 = 434K, HR Brasil = 55K</t>
  </si>
  <si>
    <t>Minitab</t>
  </si>
  <si>
    <t>Budget transfer from local to global</t>
  </si>
  <si>
    <t>Application is locally owned however is used in multiple factories / countries</t>
  </si>
  <si>
    <t>Landschape refresh activities</t>
  </si>
  <si>
    <t>SAP, BPC, SF, HANA, DellBoomi / PO</t>
  </si>
  <si>
    <t xml:space="preserve">Effort required to do a full landscape refresh </t>
  </si>
  <si>
    <t>CSC Geotrust Certificates</t>
  </si>
  <si>
    <t>Moves to Brandstock, budget with Legal</t>
  </si>
  <si>
    <t>Cancel contract once all domains have been moved to Brandstock</t>
  </si>
  <si>
    <t>Additonal licenses</t>
  </si>
  <si>
    <t>Procampaign</t>
  </si>
  <si>
    <t>Deminishing scope, only RU and Ukraine left</t>
  </si>
  <si>
    <t>Procampaign only used in Russia and Ukraine due to legislation</t>
  </si>
  <si>
    <t>Fox IT Services</t>
  </si>
  <si>
    <t>Recurring service in Security</t>
  </si>
  <si>
    <t>Plumsail</t>
  </si>
  <si>
    <t xml:space="preserve">Workflow scheduler </t>
  </si>
  <si>
    <t>Never saw an invoice ever for this</t>
  </si>
  <si>
    <t>Global Efax Ireland</t>
  </si>
  <si>
    <t>More licenses for Legal</t>
  </si>
  <si>
    <t>Additional licenses for Legal</t>
  </si>
  <si>
    <t>SAP Life Cycle Budget</t>
  </si>
  <si>
    <t>Under Oasis for 2020</t>
  </si>
  <si>
    <t>We keep 200K</t>
  </si>
  <si>
    <t>Additional UX designers website team</t>
  </si>
  <si>
    <t xml:space="preserve">To better support content changes </t>
  </si>
  <si>
    <t>Actemium Strippenkaart</t>
  </si>
  <si>
    <t>Was dropped from AOP 2019</t>
  </si>
  <si>
    <t>Add it back to AOP 2020</t>
  </si>
  <si>
    <t>Environment Management SF</t>
  </si>
  <si>
    <t>Additional Support Environment Management</t>
  </si>
  <si>
    <t>Accenture SOW71</t>
  </si>
  <si>
    <t>Additional License Requirements</t>
  </si>
  <si>
    <t>iPPM tooling</t>
  </si>
  <si>
    <t>Run Rate</t>
  </si>
  <si>
    <t>Anna Reitenbach</t>
  </si>
  <si>
    <t>Runrate IPPM + Jira connector</t>
  </si>
  <si>
    <t>Modern Workplace Adoption</t>
  </si>
  <si>
    <t>Lessons learned</t>
  </si>
  <si>
    <t>Infrastructure</t>
  </si>
  <si>
    <t>Moves to Project Charter 150K</t>
  </si>
  <si>
    <t>Recurring Security Assessments</t>
  </si>
  <si>
    <t>Renewed insights</t>
  </si>
  <si>
    <t xml:space="preserve">Retail Salesforce Licenses </t>
  </si>
  <si>
    <t>Marketing Cloud:15 / Salescloud 20 licenses</t>
  </si>
  <si>
    <t>License increase + small change budget</t>
  </si>
  <si>
    <t>Crunhr</t>
  </si>
  <si>
    <t>Docusign</t>
  </si>
  <si>
    <t>Actual licenses lower than estimate</t>
  </si>
  <si>
    <t>Star Lims</t>
  </si>
  <si>
    <t>Moved to People budget</t>
  </si>
  <si>
    <t>Moved to HR resources budget (Wicher), reduction from 150k to 75k</t>
  </si>
  <si>
    <t>Name change</t>
  </si>
  <si>
    <t>Ad hoc</t>
  </si>
  <si>
    <t>Awareness campaign (elearning is separate by SANS)</t>
  </si>
  <si>
    <t>Marcel majoor</t>
  </si>
  <si>
    <t>Remove</t>
  </si>
  <si>
    <t>Vulnerability scanning: Qualys</t>
  </si>
  <si>
    <t>Remove Qualys</t>
  </si>
  <si>
    <t>Penetration test SAP / Sales Force</t>
  </si>
  <si>
    <t>Simplify and combine to one line</t>
  </si>
  <si>
    <t>100k</t>
  </si>
  <si>
    <t>Penetration test infrastructure and websites</t>
  </si>
  <si>
    <t>Snow Managed Service + Hosting</t>
  </si>
  <si>
    <t>Reduction of service fee</t>
  </si>
  <si>
    <t>reduction from 335 to 250k</t>
  </si>
  <si>
    <t>ServiceNow VM module</t>
  </si>
  <si>
    <t>annual fee: Alexander</t>
  </si>
  <si>
    <t>Accenture managed service websites on Nessus</t>
  </si>
  <si>
    <t xml:space="preserve">Avecto </t>
  </si>
  <si>
    <t>additional licenses</t>
  </si>
  <si>
    <t>10.7k</t>
  </si>
  <si>
    <t>Bitsight subscription</t>
  </si>
  <si>
    <t>New Recurring service in Security</t>
  </si>
  <si>
    <t>T&amp;M Messaging small RFC's; Mailbox restores, Intune, Exchange (Infra)</t>
  </si>
  <si>
    <t>move  to EUS</t>
  </si>
  <si>
    <t>Moved to Jeroen</t>
  </si>
  <si>
    <t>Increased monthly usage</t>
  </si>
  <si>
    <t>Farhan to budget based on LE, has been processed according to guidance ITMT</t>
  </si>
  <si>
    <t>Microsoft True-Up (Year 2)</t>
  </si>
  <si>
    <t>Increased licenses due to Acquisition/integration</t>
  </si>
  <si>
    <t>Valeria to check expected true up</t>
  </si>
  <si>
    <t>Audioconferencing</t>
  </si>
  <si>
    <t>decrease of usage, replaced by Skype4B</t>
  </si>
  <si>
    <t>support</t>
  </si>
  <si>
    <t>multiple countries onboarded</t>
  </si>
  <si>
    <t>total mobile cost are 7mln, expected savings are around 5% (350k)</t>
  </si>
  <si>
    <t>Operations Atos &amp; Accenture hosting</t>
  </si>
  <si>
    <t>??</t>
  </si>
  <si>
    <t>Farhan to budget</t>
  </si>
  <si>
    <t>HP ALM Licenses</t>
  </si>
  <si>
    <t>Increase due to increased scope + training</t>
  </si>
  <si>
    <t>Dell Boomi MCS</t>
  </si>
  <si>
    <t xml:space="preserve">Managed Service Dell Boomi </t>
  </si>
  <si>
    <t>Onshore ABAP Resource BAS</t>
  </si>
  <si>
    <t>Quality and speed of ABAP delivery + Hana Prep</t>
  </si>
  <si>
    <t>Lower than expected operational costs</t>
  </si>
  <si>
    <t>Costs seem to be lower than expected, william Mol to clarify</t>
  </si>
  <si>
    <t>Adjusted based on actuals</t>
  </si>
  <si>
    <t>Change Security Items to GL485073034</t>
  </si>
  <si>
    <t>More focus on security</t>
  </si>
  <si>
    <t>Decommisioned as we will use Octane + Gearset</t>
  </si>
  <si>
    <t>Selenium was put in as a place holder as part of Automation tools. This will be Octane icm Gearset</t>
  </si>
  <si>
    <t>BI Bas Resource</t>
  </si>
  <si>
    <t>Asumed Roll Off for BI BAS resource Mid 2019</t>
  </si>
  <si>
    <t>If BI Scope is transferred the BI resource for Accenture will no longer be needed</t>
  </si>
  <si>
    <t>ReturnPath</t>
  </si>
  <si>
    <t>Additional Module SF retail</t>
  </si>
  <si>
    <t>Budget sits with Business, now company info</t>
  </si>
  <si>
    <t>Budget Sits with business</t>
  </si>
  <si>
    <t>Professional DevOps - S&amp;M</t>
  </si>
  <si>
    <t>Split From DevOps External Support</t>
  </si>
  <si>
    <t>Dominique Mallard</t>
  </si>
  <si>
    <t>Professional DevOps - TS</t>
  </si>
  <si>
    <t>Professional DevOps - QTC</t>
  </si>
  <si>
    <t>Accenture SOW QtC Supp</t>
  </si>
  <si>
    <t>Now WSSS so no charge out</t>
  </si>
  <si>
    <t>Click Application Maintenance &amp; Support</t>
  </si>
  <si>
    <t>Apttus Annual Subscription + Support</t>
  </si>
  <si>
    <t>SalesForce Annual Subscription + Support</t>
  </si>
  <si>
    <t>Additional Copado licenses</t>
  </si>
  <si>
    <t>Additonal License impact Salesforce Apttus</t>
  </si>
  <si>
    <t>Rolled up in Apttus Licenses</t>
  </si>
  <si>
    <t>Seeburger APAC</t>
  </si>
  <si>
    <t>Additonal Support for APAC from Singapore</t>
  </si>
  <si>
    <t>Additional support from Seeburger in APAC</t>
  </si>
  <si>
    <t>Pole Everywhere</t>
  </si>
  <si>
    <t>No longer needed</t>
  </si>
  <si>
    <t xml:space="preserve">PowerBi </t>
  </si>
  <si>
    <t>Ongoing fees licenses and maintenance</t>
  </si>
  <si>
    <t>APP002619, 10$ p/m X 12 X 500 users</t>
  </si>
  <si>
    <t>Split various EDI Items</t>
  </si>
  <si>
    <t>Comarch, Editel, CCV etc</t>
  </si>
  <si>
    <t>for better tracability of actuals</t>
  </si>
  <si>
    <t>ST-Addons</t>
  </si>
  <si>
    <t>No longer in use so cancelling contract</t>
  </si>
  <si>
    <t>Replaced by IXOS</t>
  </si>
  <si>
    <t>Oracle database licenses</t>
  </si>
  <si>
    <t>Additional licenses needed for SAP rollout</t>
  </si>
  <si>
    <t>Additional DB fee Oracle</t>
  </si>
  <si>
    <t>BT Runrate Factories</t>
  </si>
  <si>
    <t>Adjusted now actual run rate is known</t>
  </si>
  <si>
    <t>Change in license Model</t>
  </si>
  <si>
    <t>Nintex will adjust license scheme based on users and or workflows</t>
  </si>
  <si>
    <t>SAS Analytics</t>
  </si>
  <si>
    <t xml:space="preserve">Adjusted based on actuals + Larger environment </t>
  </si>
  <si>
    <t>Added 9K for larger environment however lowered budget based on actuals</t>
  </si>
  <si>
    <t>Vaimo hosting</t>
  </si>
  <si>
    <t>Higher fee than anticipated</t>
  </si>
  <si>
    <t>Cancelled due to move Platform.sh</t>
  </si>
  <si>
    <t>Microstrategy</t>
  </si>
  <si>
    <t>Decommisioned</t>
  </si>
  <si>
    <t>Sap Appendix 21</t>
  </si>
  <si>
    <t>SAP SSO Solution run rate</t>
  </si>
  <si>
    <t>Rob Veenman</t>
  </si>
  <si>
    <t>Sap Appendix 20</t>
  </si>
  <si>
    <t>License Audit finds</t>
  </si>
  <si>
    <t>Insourcing Human Data Warehouse DTC</t>
  </si>
  <si>
    <t>Just Bi support Scope</t>
  </si>
  <si>
    <t>cancelled</t>
  </si>
  <si>
    <t>Covered in just-Bi charge</t>
  </si>
  <si>
    <t>Azure / hosting increase</t>
  </si>
  <si>
    <t>Split Edicom, CCv, Comarch for better tracking</t>
  </si>
  <si>
    <t>Admin Split only</t>
  </si>
  <si>
    <t>EPI find</t>
  </si>
  <si>
    <t>licenses increase</t>
  </si>
  <si>
    <t>Koen Zweers</t>
  </si>
  <si>
    <t>Increase should be 12K in total not 20K.</t>
  </si>
  <si>
    <t>C4C Perfect Store Support</t>
  </si>
  <si>
    <t>Accorel Support</t>
  </si>
  <si>
    <t>Ron van de Water</t>
  </si>
  <si>
    <t>Cancelled. 135K to be included in WBSS</t>
  </si>
  <si>
    <t>Split XTEL budget in AMS and Change Budget</t>
  </si>
  <si>
    <t xml:space="preserve">For better tracking &amp; control of CI </t>
  </si>
  <si>
    <t>Total Budget of 435 was split based on Contratc : 60K Changes / 365K AMS Contract</t>
  </si>
  <si>
    <t>iPaaS Dellboomi Development</t>
  </si>
  <si>
    <t>Moving Dev capacity to AMS / SI</t>
  </si>
  <si>
    <t>B2B Transition + Boomi Dev Capacity + Onshore lead</t>
  </si>
  <si>
    <t>2 Additional Blue Prism Licenses</t>
  </si>
  <si>
    <t>Sourcing through IBM</t>
  </si>
  <si>
    <t>Total licences for blueprism should be 40.2K according to Nizaar (4 current licences + 2 additional)</t>
  </si>
  <si>
    <t>Savyint run cost</t>
  </si>
  <si>
    <t>Additional users Oasis</t>
  </si>
  <si>
    <t>Lieke Koers</t>
  </si>
  <si>
    <t>Small Projects Funding</t>
  </si>
  <si>
    <t>Cover small projects / ticket model under AMS</t>
  </si>
  <si>
    <t>eenvoud Media</t>
  </si>
  <si>
    <t>Additional apps</t>
  </si>
  <si>
    <t xml:space="preserve">Loqate </t>
  </si>
  <si>
    <t>New Address Check tool e-commerce</t>
  </si>
  <si>
    <t>Prateek Tiwari</t>
  </si>
  <si>
    <t>Missed in AOP 2020…, 204439 GB Group plc</t>
  </si>
  <si>
    <t>IBM Optim</t>
  </si>
  <si>
    <t>Archive for Saralee entities</t>
  </si>
  <si>
    <t>Swap Support</t>
  </si>
  <si>
    <t xml:space="preserve">Decreased Support </t>
  </si>
  <si>
    <t>Replaced with Azure DevOps</t>
  </si>
  <si>
    <t>Uptrends Monitoring</t>
  </si>
  <si>
    <t>Phased out</t>
  </si>
  <si>
    <t>AGS</t>
  </si>
  <si>
    <t>Learning Module Factories</t>
  </si>
  <si>
    <t>New learning platform which needs global contract and budget</t>
  </si>
  <si>
    <t>Decommisioned in favor of Gearset</t>
  </si>
  <si>
    <t>SAP CP Support</t>
  </si>
  <si>
    <t>Additional Contract</t>
  </si>
  <si>
    <t>Salesforce Storage Proff &amp; Retail</t>
  </si>
  <si>
    <t>Additional Contract Strorage costs</t>
  </si>
  <si>
    <t>Split Siams Onboarding &amp; Run Cost</t>
  </si>
  <si>
    <t>Technical split for tracking ongoing cost and once Off onboarding</t>
  </si>
  <si>
    <t>Split OBS &amp; BT on WAN</t>
  </si>
  <si>
    <t>Technical Split for actual tracking OBS</t>
  </si>
  <si>
    <t>OBS</t>
  </si>
  <si>
    <t>Network</t>
  </si>
  <si>
    <t>Planorama</t>
  </si>
  <si>
    <t>Removed since all costs are paid locally</t>
  </si>
  <si>
    <t>Most costs are paid locally hance reducing central cost</t>
  </si>
  <si>
    <t>C4C Prefered Care</t>
  </si>
  <si>
    <t>Cost prefered care part of licence budget</t>
  </si>
  <si>
    <t>Correcting central budget</t>
  </si>
  <si>
    <t>Syncforce</t>
  </si>
  <si>
    <t>Packflow 1.0 which is still in use</t>
  </si>
  <si>
    <t>For Packflow 1.0 which is still in use</t>
  </si>
  <si>
    <t>Shopspray</t>
  </si>
  <si>
    <t>Addon solution to Epi server</t>
  </si>
  <si>
    <t>SonarCube</t>
  </si>
  <si>
    <t>No longer used for websites</t>
  </si>
  <si>
    <t>Maksym Ivanchenko</t>
  </si>
  <si>
    <t>Teams confirmed Sonar cube no longer in use</t>
  </si>
  <si>
    <t>Minitab entered double in AOP 2020</t>
  </si>
  <si>
    <t>Taking out New entry on minitab</t>
  </si>
  <si>
    <t>Error in AOP 2020, double entry</t>
  </si>
  <si>
    <t>Eyequestion</t>
  </si>
  <si>
    <t>Additional licenses requested by business</t>
  </si>
  <si>
    <t>Salesforce Retail Licenses</t>
  </si>
  <si>
    <t>Additonal Quotes / storage</t>
  </si>
  <si>
    <t>AOP 2020 for retail was too low…</t>
  </si>
  <si>
    <t>MIRC Data protector</t>
  </si>
  <si>
    <t>Microfocus</t>
  </si>
  <si>
    <t>MIRC is decommisioned</t>
  </si>
  <si>
    <t>Decommision Messaging GL account</t>
  </si>
  <si>
    <t>Move budget from 485073004 to 485073003</t>
  </si>
  <si>
    <t xml:space="preserve">Simplify reporting </t>
  </si>
  <si>
    <t>AS400 hardware</t>
  </si>
  <si>
    <t>Econocom (through ATOS), Non-Standard Services (AS400 + HPUX)</t>
  </si>
  <si>
    <t>Need to decommision in 2021</t>
  </si>
  <si>
    <t>Robotics Support Change</t>
  </si>
  <si>
    <t>Potential move from Acn to IBM</t>
  </si>
  <si>
    <t>Business Objects Licenses</t>
  </si>
  <si>
    <t>Business Objects Licenses did not increase</t>
  </si>
  <si>
    <t>Anticipated increase did not materialize, taking it out of AOP 2021</t>
  </si>
  <si>
    <t>Runbook Decommisioning</t>
  </si>
  <si>
    <t>Runbook will be replaced with Aico</t>
  </si>
  <si>
    <t>Runbook will not be decommisioned in 2021</t>
  </si>
  <si>
    <t>Add new SAP worker license line</t>
  </si>
  <si>
    <t>APP002802</t>
  </si>
  <si>
    <t>Adjusted charging model PM for Factories</t>
  </si>
  <si>
    <t>Transition AMS BI Scope</t>
  </si>
  <si>
    <t>Once off for AOP 2020</t>
  </si>
  <si>
    <t>HCM Support Successfactors</t>
  </si>
  <si>
    <t>Higher fee for Succesfactors support</t>
  </si>
  <si>
    <t>Oasis Transition 2.0</t>
  </si>
  <si>
    <t>Keeping Oasis 2.0 Transition</t>
  </si>
  <si>
    <t>Oasis + ANZ Support -</t>
  </si>
  <si>
    <t>New Service APAC support additional shift</t>
  </si>
  <si>
    <t>Final Delta for additional shift basd on CCN36 (23.6K X 12 = 284K vs 250)</t>
  </si>
  <si>
    <t>Increase Coffee Care Support (Pega 7)</t>
  </si>
  <si>
    <t>Rolled up in regular service lines</t>
  </si>
  <si>
    <t>Salesforce retail support</t>
  </si>
  <si>
    <t>Increase due 1 FTE added</t>
  </si>
  <si>
    <t>1 FTE added</t>
  </si>
  <si>
    <t>Rolled up in other service lines</t>
  </si>
  <si>
    <t>Extended support for Workplace</t>
  </si>
  <si>
    <t>Rolled up under AMS with minimal cost impact</t>
  </si>
  <si>
    <t>XTEL AMS Budget</t>
  </si>
  <si>
    <t>Technical Correction</t>
  </si>
  <si>
    <t>Lowering AMS cost as per contract 2020</t>
  </si>
  <si>
    <t>Increasing change budget with amount from AMS</t>
  </si>
  <si>
    <t>Orange Trail support moving to AMS</t>
  </si>
  <si>
    <t>Workplace support with AMS</t>
  </si>
  <si>
    <t>ATOS SAP Infra Changes</t>
  </si>
  <si>
    <t>4 tier landscape</t>
  </si>
  <si>
    <t>8K per month X 12</t>
  </si>
  <si>
    <t>Practitest</t>
  </si>
  <si>
    <t>New solution for manual testing</t>
  </si>
  <si>
    <t>25 licenses</t>
  </si>
  <si>
    <t>Plat4mation</t>
  </si>
  <si>
    <t>C4U License upgrade to PRO</t>
  </si>
  <si>
    <t>covers unlimited connectors + premium support; PRO is needed to complete JIRA change integration</t>
  </si>
  <si>
    <t>Enhancement Budget</t>
  </si>
  <si>
    <t>Change budget to allow for small changes to existing solutions</t>
  </si>
  <si>
    <t>Certificate Management fully with Brandstock now</t>
  </si>
  <si>
    <t>Last invoice was in feb 2019…</t>
  </si>
  <si>
    <t>Move Store Simple + Local App hosting storage</t>
  </si>
  <si>
    <t>Change GL 485073031 Storage to 485073032 Servers</t>
  </si>
  <si>
    <t>Oscar Rodrigues</t>
  </si>
  <si>
    <t>Covered in other changes</t>
  </si>
  <si>
    <t>Octane for DevOps</t>
  </si>
  <si>
    <t>Test Automation for DevOps</t>
  </si>
  <si>
    <t xml:space="preserve">20 licenses. Includes Saas subscription from Micro Focus. </t>
  </si>
  <si>
    <t>VisualWebsiteIOptimizer</t>
  </si>
  <si>
    <t>Costs are local with NL</t>
  </si>
  <si>
    <t>SAF-T Maintenance fee</t>
  </si>
  <si>
    <t>No owner, no vendor, no invoices</t>
  </si>
  <si>
    <t>Taking this out as there is never an invoice from this vendor</t>
  </si>
  <si>
    <t xml:space="preserve">Check budget / accrual EUC </t>
  </si>
  <si>
    <t>Technical Change to decommision GL for storage costs as it is not used</t>
  </si>
  <si>
    <t>Microsoft Contract Expiration</t>
  </si>
  <si>
    <t>Impact on AOP 2021</t>
  </si>
  <si>
    <t>Change Security Items to Network GL 485073010</t>
  </si>
  <si>
    <t>Both ownership and GL for these items are change to improve reporting &amp; control</t>
  </si>
  <si>
    <t>Security (+ BT Zscaler / Security)</t>
  </si>
  <si>
    <t>Security SSR's &amp; NSSR's</t>
  </si>
  <si>
    <t>RAR / LAE / AIF Maintenance Fee Update description</t>
  </si>
  <si>
    <t>Appendix 20 LAE maintenace fee</t>
  </si>
  <si>
    <t>To increase visibility and tracebility of SAP cost</t>
  </si>
  <si>
    <t xml:space="preserve">Reduce licences or end contract by april. </t>
  </si>
  <si>
    <t>Vanessa Barmpa</t>
  </si>
  <si>
    <t>Will be confirmed by Sharon. Proposal will most likely be to add 50% of the annual costs in</t>
  </si>
  <si>
    <t>Aico</t>
  </si>
  <si>
    <t xml:space="preserve">New application </t>
  </si>
  <si>
    <t>New application which will replace Runbook &amp; Blackline</t>
  </si>
  <si>
    <t xml:space="preserve">Salesforce </t>
  </si>
  <si>
    <t>2 additional busines units</t>
  </si>
  <si>
    <t>1 for supergroup and 1 for Moccona</t>
  </si>
  <si>
    <t>14 additional Licenses</t>
  </si>
  <si>
    <t>14 additional licenses, rolled up in one line</t>
  </si>
  <si>
    <t>Oracle license Oasis / Super group</t>
  </si>
  <si>
    <t>Decommision, Consolidate under SAP Oracle licenses</t>
  </si>
  <si>
    <t>8. Oracle Maintenance SAP</t>
  </si>
  <si>
    <t>Add Supergroup Oracle license to Oracle Maint SAP</t>
  </si>
  <si>
    <t>Adding licenses to existing line based on actuals</t>
  </si>
  <si>
    <t>Ariba T2S AMS</t>
  </si>
  <si>
    <t>Moving Ariba under scope of AMS</t>
  </si>
  <si>
    <t>Procurement going for RFI / RFP route so this is unlikely to materialize</t>
  </si>
  <si>
    <t>PLM Solution T2S AMS</t>
  </si>
  <si>
    <t>Moving future PLM solution under AMS</t>
  </si>
  <si>
    <t>Should be captured by project</t>
  </si>
  <si>
    <t>Transition CCN Scope to AMS</t>
  </si>
  <si>
    <t>Moving Connected Coffee Machines to AMS</t>
  </si>
  <si>
    <t>Once Off</t>
  </si>
  <si>
    <t>We will not transition CCM in 2021</t>
  </si>
  <si>
    <t>Dell boomi ipaas licences</t>
  </si>
  <si>
    <t>Increase licences year 4</t>
  </si>
  <si>
    <t>Contract extension to be checked by Robin 80-100K</t>
  </si>
  <si>
    <t xml:space="preserve">Seeburger RFC </t>
  </si>
  <si>
    <t xml:space="preserve">Move to Dell Boomi - Volume re-negotiation  </t>
  </si>
  <si>
    <t>Moving to Dell Boomi</t>
  </si>
  <si>
    <t>Seeburger EDI connection</t>
  </si>
  <si>
    <t>Azure CCM</t>
  </si>
  <si>
    <t>Cost optimizations by cognizant team</t>
  </si>
  <si>
    <t>Azure</t>
  </si>
  <si>
    <t xml:space="preserve">Cost optimizations </t>
  </si>
  <si>
    <t xml:space="preserve">Connected coffee machines </t>
  </si>
  <si>
    <t>Transition to Accenture</t>
  </si>
  <si>
    <t>Cognizant</t>
  </si>
  <si>
    <t>Additonal VIM Licenses Oasis</t>
  </si>
  <si>
    <t>Uimasking, VIM and OCR Licenses Schedule 1 SAP</t>
  </si>
  <si>
    <t>Succesfactors</t>
  </si>
  <si>
    <t>Organic growth. Additional licenses</t>
  </si>
  <si>
    <t>Smart recruiters</t>
  </si>
  <si>
    <t>Ending of 3 year contract based on 12.000 employees. We currently have 18.000 employees. Estimated increase of 10K</t>
  </si>
  <si>
    <t>Epi</t>
  </si>
  <si>
    <t>220 websites expected on epi</t>
  </si>
  <si>
    <t>Due to AMS Renegotiation</t>
  </si>
  <si>
    <t>Consolidated all contracts</t>
  </si>
  <si>
    <t>Power BI</t>
  </si>
  <si>
    <t>Premium Capacity</t>
  </si>
  <si>
    <t>Additional instance to cover for demand</t>
  </si>
  <si>
    <t>Oracle Agile Product Data Management</t>
  </si>
  <si>
    <t>Decommisioning service contract 6711621</t>
  </si>
  <si>
    <t>Stefan Dijs</t>
  </si>
  <si>
    <t>Obsolete licenses</t>
  </si>
  <si>
    <t>Coffee &amp; Tea Sourcing tool Cargoo</t>
  </si>
  <si>
    <t>New solution C&amp;T Sourcing</t>
  </si>
  <si>
    <t>James Gracey</t>
  </si>
  <si>
    <t>Will be 90K in 2022!!</t>
  </si>
  <si>
    <t>Zoovu</t>
  </si>
  <si>
    <t>New online coffee tasting solution</t>
  </si>
  <si>
    <t>Diva Upgrade Elmshorn</t>
  </si>
  <si>
    <t>Roll up in Existing SAP Lines</t>
  </si>
  <si>
    <t>No need to keep a separate AOP line for this</t>
  </si>
  <si>
    <t xml:space="preserve">Alteryx licence </t>
  </si>
  <si>
    <t>Increase of licences because more users are using it</t>
  </si>
  <si>
    <t>Alteryx</t>
  </si>
  <si>
    <t>Bruna Dupim</t>
  </si>
  <si>
    <t>1/3 of new contract which is 101K for 3 years signed in June 2020</t>
  </si>
  <si>
    <t>SAP refresh</t>
  </si>
  <si>
    <t>already covered in ops budget (50K)</t>
  </si>
  <si>
    <t>Predictive Analysis Hana</t>
  </si>
  <si>
    <t>Not used . To be confirmed by Bruna</t>
  </si>
  <si>
    <t>SAP Analytics Hub</t>
  </si>
  <si>
    <t>Licence increase, number unkown</t>
  </si>
  <si>
    <t>Decommision GL 485073004 Messaging</t>
  </si>
  <si>
    <t>Move to GL 485073004 PC Support</t>
  </si>
  <si>
    <t>No use for Messaging GL anymore</t>
  </si>
  <si>
    <t>Flexera</t>
  </si>
  <si>
    <t>Charged seperately as of 2020</t>
  </si>
  <si>
    <t>Higher cost in 2020</t>
  </si>
  <si>
    <t>Change ownership</t>
  </si>
  <si>
    <t>2 year contract</t>
  </si>
  <si>
    <t>RDS Third Party Access Split</t>
  </si>
  <si>
    <t>EUC Part</t>
  </si>
  <si>
    <t>Technical split between RDS for factory Security</t>
  </si>
  <si>
    <t>UiPath</t>
  </si>
  <si>
    <t xml:space="preserve">Fixed asset + variable license price </t>
  </si>
  <si>
    <t>Support cost based on current 12 bots plus growth of 4 in 2021</t>
  </si>
  <si>
    <t>Data &amp; Analytics Just-Bi Support Professional</t>
  </si>
  <si>
    <t xml:space="preserve">Lowered support costs for 2021 </t>
  </si>
  <si>
    <t>Just-Bi</t>
  </si>
  <si>
    <t>Total annual costs would be: 1.562,000. Split between retail and Profesional: tbd</t>
  </si>
  <si>
    <t>ALM</t>
  </si>
  <si>
    <t>Reduce ALM licences</t>
  </si>
  <si>
    <t>Test Factory Utilization</t>
  </si>
  <si>
    <t>Increase 1 FTE to handle Jira and DevOps tools admin part, in 2021.</t>
  </si>
  <si>
    <t>Performance testing</t>
  </si>
  <si>
    <t>Multiple vendors</t>
  </si>
  <si>
    <t xml:space="preserve">Would like to keep this budget, as we spent 25K for Performance tests this year. Expecting demand to go higher, as we have marketed it now at different levels. </t>
  </si>
  <si>
    <t>ServiceNow licenses</t>
  </si>
  <si>
    <t>Licenses, organiz Growth + OT domain</t>
  </si>
  <si>
    <t>20k (25 licenses to cover organic growth) + 17,5k (24 licenses for OT domain; to be discussed if project covers full 2021)</t>
  </si>
  <si>
    <t xml:space="preserve">Giarte </t>
  </si>
  <si>
    <t>Cover new Languages</t>
  </si>
  <si>
    <t>to cover new languages and being aligned with Project Zeta language improvements</t>
  </si>
  <si>
    <t>ITSM</t>
  </si>
  <si>
    <t>Cover small enhancements</t>
  </si>
  <si>
    <t>ITSM small improvement budget to cover advisory/consultancy work, small PoCs and small improvements (bigger ones will go via Charters</t>
  </si>
  <si>
    <t>C4C</t>
  </si>
  <si>
    <t>Adding Brazil + reducing overall price</t>
  </si>
  <si>
    <t>No C4C in brazil as confirmed on 28-9-2020</t>
  </si>
  <si>
    <t>OBS at 500k + BT Zscaler for 4 months at 268k</t>
  </si>
  <si>
    <t>Organic growth</t>
  </si>
  <si>
    <t>Based on actuals 2020</t>
  </si>
  <si>
    <t>Premium support</t>
  </si>
  <si>
    <t>already covered by Jeroen</t>
  </si>
  <si>
    <t>Accenture Si</t>
  </si>
  <si>
    <t>Support for BT 6 months only</t>
  </si>
  <si>
    <t>6 months of activites</t>
  </si>
  <si>
    <t>SD WAN</t>
  </si>
  <si>
    <t>Move to OBS</t>
  </si>
  <si>
    <t>LAN BT</t>
  </si>
  <si>
    <t>WAN BT</t>
  </si>
  <si>
    <t>50% of the sites left for WAN BT</t>
  </si>
  <si>
    <t>Remove line, this is covered in SD WAN</t>
  </si>
  <si>
    <t>Third Party RDS Access</t>
  </si>
  <si>
    <t>Moved to EUC</t>
  </si>
  <si>
    <t>90k to EUC for third party access; the rest for factory RDS support; Category should be schanged to operations</t>
  </si>
  <si>
    <t>T&amp;M Support DirectAccess, VPN (Infra)</t>
  </si>
  <si>
    <t>Can be freed</t>
  </si>
  <si>
    <t>Audioconferencing - BT voice</t>
  </si>
  <si>
    <t>Decomissioned</t>
  </si>
  <si>
    <t>Skype for business</t>
  </si>
  <si>
    <t>Moves to teams</t>
  </si>
  <si>
    <t>This is based on EV committed for 8 months + SIP for 12 months</t>
  </si>
  <si>
    <t>Non SAP Storage</t>
  </si>
  <si>
    <t>Combined with Non SAP Operations</t>
  </si>
  <si>
    <t>Local Application Hosting Central Storage</t>
  </si>
  <si>
    <t>All storage costs combined</t>
  </si>
  <si>
    <t>EUC Storage Central</t>
  </si>
  <si>
    <t>Line to be removed, covered in central storage</t>
  </si>
  <si>
    <t>Non SAP Operations</t>
  </si>
  <si>
    <t>Non SAP storage added</t>
  </si>
  <si>
    <t>Additional license assessment</t>
  </si>
  <si>
    <t>Should belong to security</t>
  </si>
  <si>
    <t>B-lay B.V.</t>
  </si>
  <si>
    <t>MU NSSR support</t>
  </si>
  <si>
    <t>Support for factory related changes like DNS, DHCP changes</t>
  </si>
  <si>
    <t>Colocation costs</t>
  </si>
  <si>
    <t>3 Equinix sites</t>
  </si>
  <si>
    <t>Equinix</t>
  </si>
  <si>
    <t>Software assurance (StoreOnce)</t>
  </si>
  <si>
    <t>HPE</t>
  </si>
  <si>
    <t>Dataprotector annual support renewal</t>
  </si>
  <si>
    <t>Data Protector was in budget for 29K. Increased to 55K, moved budget tp oscar</t>
  </si>
  <si>
    <t>Service Now interface support</t>
  </si>
  <si>
    <t>Already covered in other change</t>
  </si>
  <si>
    <t>LAN OBS</t>
  </si>
  <si>
    <t>Move to OBS - reduce BT</t>
  </si>
  <si>
    <t>AMS / Service Desk Onboarding</t>
  </si>
  <si>
    <t>Allocate from New Service to SAP Suite / SAP Apps</t>
  </si>
  <si>
    <t>Allocating cost to existing service</t>
  </si>
  <si>
    <t>SIAMS Annual Run and onboarding costs</t>
  </si>
  <si>
    <t>Allocate from New Service to Service Now APP0000007</t>
  </si>
  <si>
    <t xml:space="preserve">Cost Center Change Connected Coffee Machines </t>
  </si>
  <si>
    <t>Moves from 68427709 to 68427719</t>
  </si>
  <si>
    <t>Niranjan Sridhar</t>
  </si>
  <si>
    <t>Cancelled as decision has been made to keep this under S&amp;O 7-10-2020</t>
  </si>
  <si>
    <t>Cost Center Change Azure CCM</t>
  </si>
  <si>
    <t>Based on current users and costs</t>
  </si>
  <si>
    <t>Koen Zweers &amp; Kelvin Divendal</t>
  </si>
  <si>
    <t>Salesforce Annual subcription and support</t>
  </si>
  <si>
    <t>Based on current users and costs.</t>
  </si>
  <si>
    <t>Including Marketing Cloud</t>
  </si>
  <si>
    <t>Click annual subscription and support</t>
  </si>
  <si>
    <t>Based on actuals which are currently 397K</t>
  </si>
  <si>
    <t>910 Field Engineers + 48 Service Operations</t>
  </si>
  <si>
    <t>SalesForce event monitoring</t>
  </si>
  <si>
    <t>Included in SELA</t>
  </si>
  <si>
    <t>New Relic</t>
  </si>
  <si>
    <t>Monitoring tool Magento Platform</t>
  </si>
  <si>
    <t xml:space="preserve">Gaurav Kumar </t>
  </si>
  <si>
    <t>Mintab cost increase</t>
  </si>
  <si>
    <t>Higher license fee</t>
  </si>
  <si>
    <t>Veerle Kerstens</t>
  </si>
  <si>
    <t>Pega License increase as of 2021</t>
  </si>
  <si>
    <t>Fee for 2021 - 2024 = 360000 vs 300000 in 2020</t>
  </si>
  <si>
    <t>Dell Boomi mcs</t>
  </si>
  <si>
    <t>Higher Fee due to Seeburger Exit</t>
  </si>
  <si>
    <t>Platform.sh</t>
  </si>
  <si>
    <t>Move from Vaimo to Platform.sh</t>
  </si>
  <si>
    <t>Vaimo Hosting</t>
  </si>
  <si>
    <t>To be decomissioned</t>
  </si>
  <si>
    <t>Vaimo</t>
  </si>
  <si>
    <t>Magento hosting</t>
  </si>
  <si>
    <t xml:space="preserve">Épi find </t>
  </si>
  <si>
    <t>epi find to professional</t>
  </si>
  <si>
    <t>Runbook &amp; Blackline</t>
  </si>
  <si>
    <t>Microsoft azure ATP</t>
  </si>
  <si>
    <t>Protecting all active directory accounts</t>
  </si>
  <si>
    <t>Alexander Klaver</t>
  </si>
  <si>
    <t xml:space="preserve">Support </t>
  </si>
  <si>
    <t>Vulnerability Scanning</t>
  </si>
  <si>
    <t>MICR support fee (Data protector)</t>
  </si>
  <si>
    <t>Remove line, covered by Oscar? To be checked by Willem</t>
  </si>
  <si>
    <t>Now under Oscar, rolled up in other change log item</t>
  </si>
  <si>
    <t>SNOW Licenses</t>
  </si>
  <si>
    <t>Additional devices</t>
  </si>
  <si>
    <t>Valeria</t>
  </si>
  <si>
    <t>Environment Management Team Offshoring</t>
  </si>
  <si>
    <t>Moving onsite resource to offshore</t>
  </si>
  <si>
    <t>Moved under AMS contract</t>
  </si>
  <si>
    <t>Environment Management Team to S&amp;O</t>
  </si>
  <si>
    <t>EMT to move under AMS, hence changing cc 68427709</t>
  </si>
  <si>
    <t>Accenture AMS ABAP BAS</t>
  </si>
  <si>
    <t>Dedicated BAS for ABAP</t>
  </si>
  <si>
    <t>New AMS Contract</t>
  </si>
  <si>
    <t>Azure cost optimization Start</t>
  </si>
  <si>
    <t>Azure optimization for Start Tenant Brazil</t>
  </si>
  <si>
    <t>NSSR Budget increase</t>
  </si>
  <si>
    <t>Related to SIP trunking for MS Teams</t>
  </si>
  <si>
    <t>Dellboomi charging key</t>
  </si>
  <si>
    <t>Change from PC users to SAP users</t>
  </si>
  <si>
    <t xml:space="preserve">Suggest by Niranjan to compensate Seeburger </t>
  </si>
  <si>
    <t xml:space="preserve">Store once </t>
  </si>
  <si>
    <t>Move to Storage GL</t>
  </si>
  <si>
    <t>Microsoft teams support</t>
  </si>
  <si>
    <t>Support costs</t>
  </si>
  <si>
    <t>Henk Kamp</t>
  </si>
  <si>
    <t>Licenses are covered in Microsoft contract?</t>
  </si>
  <si>
    <t xml:space="preserve">Change charging key to central finance </t>
  </si>
  <si>
    <t>Change charging key to DTC</t>
  </si>
  <si>
    <t>Defender ATP</t>
  </si>
  <si>
    <t>Additional Support Hours Its Value</t>
  </si>
  <si>
    <t>Additional Support hours</t>
  </si>
  <si>
    <t>SIAMS Onboarding</t>
  </si>
  <si>
    <t xml:space="preserve">Lesser amount of onboarding expected, lower rates </t>
  </si>
  <si>
    <t>SIAMS runrate</t>
  </si>
  <si>
    <t>Actual Rates slightly lower</t>
  </si>
  <si>
    <t>Bas Services</t>
  </si>
  <si>
    <t>Slightly better rates</t>
  </si>
  <si>
    <t>User Management Services</t>
  </si>
  <si>
    <t>Reduced effort, lower rate</t>
  </si>
  <si>
    <t>Account Management Services</t>
  </si>
  <si>
    <t>Rolled up under Foundational Services</t>
  </si>
  <si>
    <t>Connectivity</t>
  </si>
  <si>
    <t>Monitoring and Release Management Services</t>
  </si>
  <si>
    <t>Incident Management Services</t>
  </si>
  <si>
    <t>Lower rates</t>
  </si>
  <si>
    <t>Website Support</t>
  </si>
  <si>
    <t>Split into Core and Enhancement Services</t>
  </si>
  <si>
    <t>Enhancement services</t>
  </si>
  <si>
    <t>Foundational Services</t>
  </si>
  <si>
    <t>Includes Acc Man, Compliance, Monitoring, EMT, Connectivity</t>
  </si>
  <si>
    <t>Service Reliability Engineers</t>
  </si>
  <si>
    <t>Embedded Automation tema within AMS</t>
  </si>
  <si>
    <t>Core AMS - Enhancement Services – AM – Digital</t>
  </si>
  <si>
    <t>Appl. Development Enhancement Services – SAP/NSA</t>
  </si>
  <si>
    <t>New line for Application Development SAP / NSA</t>
  </si>
  <si>
    <t>Appl. Development Enhancement Services – Digital</t>
  </si>
  <si>
    <t>New line for Application Development Websites</t>
  </si>
  <si>
    <t>Azure Professional Website hosting</t>
  </si>
  <si>
    <t>Additonal professional websites to be hosted</t>
  </si>
  <si>
    <t>As a result of the growth in eCommerce for Professional infrastructure changes are required that will result in an increase in hosting costs</t>
  </si>
  <si>
    <t>Netwrix</t>
  </si>
  <si>
    <t>Wrongly budgetted</t>
  </si>
  <si>
    <t>Seems to be a  3 year budget</t>
  </si>
  <si>
    <t>Symantec Premium SSL</t>
  </si>
  <si>
    <t>Last Po and invoice was in 2015</t>
  </si>
  <si>
    <t>Taking out of the budget</t>
  </si>
  <si>
    <t>WebTMS</t>
  </si>
  <si>
    <t>Apparently budget sits with business</t>
  </si>
  <si>
    <t>Budget sits with business</t>
  </si>
  <si>
    <t>E-Plan</t>
  </si>
  <si>
    <t>Budget still local</t>
  </si>
  <si>
    <t>Budget sits local</t>
  </si>
  <si>
    <t>Increased usage did not materialize in 2020</t>
  </si>
  <si>
    <t>No increase in cost in 2021</t>
  </si>
  <si>
    <t>PW Consulting SAS</t>
  </si>
  <si>
    <t>SAS</t>
  </si>
  <si>
    <t>Oracle: Java components coming under licenses</t>
  </si>
  <si>
    <t>Risk is not matrializing</t>
  </si>
  <si>
    <t>No costs seen in 2020</t>
  </si>
  <si>
    <t>IQS</t>
  </si>
  <si>
    <t>Budget either local or central business, only UK using it</t>
  </si>
  <si>
    <t>Global Waterfall</t>
  </si>
  <si>
    <t>original budget was in Canadian dollars instead of euro</t>
  </si>
  <si>
    <t>Correcting Budget</t>
  </si>
  <si>
    <t>Excise Duty Support</t>
  </si>
  <si>
    <t>No longer needed in separte contract</t>
  </si>
  <si>
    <t>No longer needed in 2021</t>
  </si>
  <si>
    <t>Actemium - Mobile scanning RFGEN</t>
  </si>
  <si>
    <t>Bringing budget in line with actuals as former budgets are too high</t>
  </si>
  <si>
    <t>Bringing in line budget in line with actuals.</t>
  </si>
  <si>
    <t>1Sync</t>
  </si>
  <si>
    <t>Renegotiated terms and scope</t>
  </si>
  <si>
    <t xml:space="preserve">was a bit overbudgetted as well </t>
  </si>
  <si>
    <t>Lumira Licenses</t>
  </si>
  <si>
    <t>Adjusting budget to reflect Appendix 18</t>
  </si>
  <si>
    <t>Lease Accounting Usage / Subscription</t>
  </si>
  <si>
    <t>Rolled up in SAP Appendix 20, taking separte line out</t>
  </si>
  <si>
    <t>Part of Sap appendix 20</t>
  </si>
  <si>
    <t>Split SF MC cost professional &amp; retail</t>
  </si>
  <si>
    <t>Technical split to better allocate Marketing Cloud Cost and added charging key SF users instead of pc uers</t>
  </si>
  <si>
    <t>Managed Service Security Qsight (SOC)</t>
  </si>
  <si>
    <t>Moved to Security GL</t>
  </si>
  <si>
    <t>Oracle PLM - Full Licenses</t>
  </si>
  <si>
    <t>Cancelled contract for 150 licenses (6711621)</t>
  </si>
  <si>
    <t>Budget was too high + cancellation of 1 PLM contract (90K)</t>
  </si>
  <si>
    <t>Oracle PLM - Reader Licenses</t>
  </si>
  <si>
    <t>Additional Licenses Supergroup (18829631)</t>
  </si>
  <si>
    <t>Reducing budget to be in line with actuals</t>
  </si>
  <si>
    <t>To reflect Ops budget only. Dev budget will be paid by Professional centrally</t>
  </si>
  <si>
    <t>MC costs Professional</t>
  </si>
  <si>
    <t>Increase due to additional costs for Spain</t>
  </si>
  <si>
    <t>SAS Visual Analytics</t>
  </si>
  <si>
    <t>License and price increase</t>
  </si>
  <si>
    <t>Based on last invoice</t>
  </si>
  <si>
    <t>Website hosting cost</t>
  </si>
  <si>
    <t>Additional costs for website hosting on Azure</t>
  </si>
  <si>
    <t>Data &amp; Analytics Just-Bi Support Retail</t>
  </si>
  <si>
    <t xml:space="preserve">Increased support costs for 2021 </t>
  </si>
  <si>
    <t>Reallocation of costs + increased scope Just-BI</t>
  </si>
  <si>
    <t>Awareness Campaign</t>
  </si>
  <si>
    <t>Adjusted during AOP discussions with Finance</t>
  </si>
  <si>
    <t>Cancelled during AOP discussions with finance</t>
  </si>
  <si>
    <t>Vulnerability scanning: CIS SecureSuite</t>
  </si>
  <si>
    <t>Microsoft True-Up (Year 1)</t>
  </si>
  <si>
    <t>Additional License Assessment</t>
  </si>
  <si>
    <t xml:space="preserve">Compliance support </t>
  </si>
  <si>
    <t>RDS cost Accenture</t>
  </si>
  <si>
    <t>Adjusted during AOP discussions</t>
  </si>
  <si>
    <t>Videoconferencing Kinly</t>
  </si>
  <si>
    <t>Legisway</t>
  </si>
  <si>
    <t>Increased License count</t>
  </si>
  <si>
    <t>Additional users using this application</t>
  </si>
  <si>
    <t>Additional usage + other Service Model</t>
  </si>
  <si>
    <t>Lisete Otten</t>
  </si>
  <si>
    <t>SAFE booking Tool</t>
  </si>
  <si>
    <t>New application to book desk &amp; trace contact during COVID-19. 6000 users scope</t>
  </si>
  <si>
    <t>Condeco</t>
  </si>
  <si>
    <t>Philippe Piso</t>
  </si>
  <si>
    <t xml:space="preserve">Can be extended to other countries or globally. </t>
  </si>
  <si>
    <t>C4C Licenses SAP</t>
  </si>
  <si>
    <t>Renegotiated contract eo 202</t>
  </si>
  <si>
    <t>Renegotiated contract</t>
  </si>
  <si>
    <t>Splunk Subscriptions</t>
  </si>
  <si>
    <t>Advanced Monitoring on SAP and Infrastructure (Via AMS)</t>
  </si>
  <si>
    <t>Splunk</t>
  </si>
  <si>
    <t>Storage &amp; Transaction fees extended splunk</t>
  </si>
  <si>
    <t>Influe</t>
  </si>
  <si>
    <t>Higher run rate based on actuals</t>
  </si>
  <si>
    <t>Based on actual PO value</t>
  </si>
  <si>
    <t>SAP Appendix 23</t>
  </si>
  <si>
    <t>Missed Oracle / Hana Fees after license Swap</t>
  </si>
  <si>
    <t>Once off charge due to missed Hana / Oracle Fees, needed for swapping licenses</t>
  </si>
  <si>
    <t>Concur</t>
  </si>
  <si>
    <t>Adjusted AOP based on actuals</t>
  </si>
  <si>
    <t>Security Awareness Training</t>
  </si>
  <si>
    <t>Move under GL 485073034</t>
  </si>
  <si>
    <t>Sans</t>
  </si>
  <si>
    <t>Marcel van Leent</t>
  </si>
  <si>
    <t>Should be under security</t>
  </si>
  <si>
    <t>SafeFood</t>
  </si>
  <si>
    <t>R&amp;D Vendor Quality Management Implementation.</t>
  </si>
  <si>
    <t>Saas solution signed by business. Based on 1000 vendors by q4 2021</t>
  </si>
  <si>
    <t>PLM Hamilton Grand</t>
  </si>
  <si>
    <t>R&amp;D the single source of truth for product information (materials, nutrition, packaging, product data)</t>
  </si>
  <si>
    <t>Saas solution signed by business</t>
  </si>
  <si>
    <t>Oracle PLM reader Licenses</t>
  </si>
  <si>
    <t>Decommissioning Oracle contract 6293608 due to Hamilton Grand Roll Out</t>
  </si>
  <si>
    <t>Oracle PLM Full Licenses</t>
  </si>
  <si>
    <t>Decommissioning Oracle contract 10621818 due to Hamilton Grand Roll Out</t>
  </si>
  <si>
    <t>PLM Support Kalypso</t>
  </si>
  <si>
    <t>Decommissioning due to Hamilton Grand Roll Out</t>
  </si>
  <si>
    <t>Oracle Rebudgetting</t>
  </si>
  <si>
    <t>5. Polish license – Database (9526212)</t>
  </si>
  <si>
    <t>Decommissioned</t>
  </si>
  <si>
    <t>3. Oracle Maintenance TAS/Influe Rename :5829345 Oracle Database Enterprise Edtiion - Named User Plus Perpetual</t>
  </si>
  <si>
    <t>Renamed According to Oracle Contract + Inflation</t>
  </si>
  <si>
    <t>4. BI and Database licenses Rename :5850883 Oracle Database Enterprise Edition - Named user Plus</t>
  </si>
  <si>
    <t>Renamed According to Oracle Contract + License reduction</t>
  </si>
  <si>
    <t>6. Database EE Proc licenses Rename :5950219 Oracle Database Enterprise Edition - Processor Perpetual</t>
  </si>
  <si>
    <t>Partitioning and DB standard edition Rename :15189452 Oracle Database Standard Edition 2 - Processor Perpetual</t>
  </si>
  <si>
    <t>8. Oracle Maintenance SAP Rename :10615492 Oracle Database Enterprise Edition - Processor Perpetual</t>
  </si>
  <si>
    <t>Renamed According to Oracle Contract + Correction Amount</t>
  </si>
  <si>
    <t>2. Denmark licenses (DB and OLAP) Rename :5645063 Oracle Database Enterprise Edition 50 NUP Licenses Perpetual</t>
  </si>
  <si>
    <t>5651323 Oracle Database Standard Edition One - Oracle 1-Click Ordering Program - Processor Perpetual</t>
  </si>
  <si>
    <t>Oracle OTM Rename :8308059 Oracle EBS Transportation Management</t>
  </si>
  <si>
    <t>Project Link (Pega)</t>
  </si>
  <si>
    <t>Additional workflows on pega system</t>
  </si>
  <si>
    <t>Pega</t>
  </si>
  <si>
    <t>Signed by business</t>
  </si>
  <si>
    <t>Digital MOS</t>
  </si>
  <si>
    <t>9 sites charge out to factories</t>
  </si>
  <si>
    <t>MOS</t>
  </si>
  <si>
    <t>Murat</t>
  </si>
  <si>
    <t>Exact charge out to be confirmed by Murat</t>
  </si>
  <si>
    <t>SAP security add on</t>
  </si>
  <si>
    <t>Protect4S, Main focus on SAP hardening and vulnerability management</t>
  </si>
  <si>
    <t>Will be included in project budget</t>
  </si>
  <si>
    <t>SAP CDP Project Support</t>
  </si>
  <si>
    <t>CW5465 SAP CDP Project Support</t>
  </si>
  <si>
    <t>Jira License increase</t>
  </si>
  <si>
    <t>Increase userbase from 400 to 500 + additional plug ins</t>
  </si>
  <si>
    <t>MES</t>
  </si>
  <si>
    <t>New</t>
  </si>
  <si>
    <t>Murat Celik</t>
  </si>
  <si>
    <t>EPL</t>
  </si>
  <si>
    <t>Error proof Loading. New</t>
  </si>
  <si>
    <t>Sendgrid</t>
  </si>
  <si>
    <t>Now separated with Microsoft contract (5400849200)</t>
  </si>
  <si>
    <t>Sendgrit</t>
  </si>
  <si>
    <t>Hugo Plaisier</t>
  </si>
  <si>
    <t>Pack Flow 1.0 Still in use</t>
  </si>
  <si>
    <t>Livecom</t>
  </si>
  <si>
    <t>Apparantly this was not decommissioned after Pega Go live</t>
  </si>
  <si>
    <t>Generix</t>
  </si>
  <si>
    <t>Matching budget with actual costs - double entry</t>
  </si>
  <si>
    <t>Remove DXC costs succesfactors</t>
  </si>
  <si>
    <t>No DXC support for succesfactors, this is included in AMS contract</t>
  </si>
  <si>
    <t>DXC</t>
  </si>
  <si>
    <t>DAM licences</t>
  </si>
  <si>
    <t>Digital Asset Management Charge to central DTC</t>
  </si>
  <si>
    <t>These cost will be taken by Central Marketing Dpt as confirmend on 31-8-2021</t>
  </si>
  <si>
    <t xml:space="preserve">Google translate api </t>
  </si>
  <si>
    <t>Ongoing costs. Project Murat to be charged to R&amp;d</t>
  </si>
  <si>
    <t>Vendor code change</t>
  </si>
  <si>
    <t>Changed vendor code Accenture from 118255 to 187516</t>
  </si>
  <si>
    <t>Connected Samba</t>
  </si>
  <si>
    <t>Run costs connected Samba project</t>
  </si>
  <si>
    <t xml:space="preserve">Infinium </t>
  </si>
  <si>
    <t>Corine Beerepoot</t>
  </si>
  <si>
    <t>SAP Cloud Enterprise Agreement</t>
  </si>
  <si>
    <t>Change in Contract setup with SAP</t>
  </si>
  <si>
    <t>Old contract and subscription no longer used, moved to consumption based enterprise contract</t>
  </si>
  <si>
    <t>Azure websites increase</t>
  </si>
  <si>
    <t>representing actuals</t>
  </si>
  <si>
    <t>600K actuals + 50K for growth</t>
  </si>
  <si>
    <t>Split for azure website costs between Retail and professional</t>
  </si>
  <si>
    <t>All website costs are tagged to retail, while 15% of the costs are related to professional</t>
  </si>
  <si>
    <t xml:space="preserve">Smart recruiters </t>
  </si>
  <si>
    <t>contract extension</t>
  </si>
  <si>
    <t>Smart Recruiters</t>
  </si>
  <si>
    <t>licence</t>
  </si>
  <si>
    <t>VPN</t>
  </si>
  <si>
    <t xml:space="preserve">Replacement of SoW 30 VPN implementation van ACN </t>
  </si>
  <si>
    <t>Jeroen/Hugo</t>
  </si>
  <si>
    <t>Ariba contract change</t>
  </si>
  <si>
    <t>Global roll out</t>
  </si>
  <si>
    <t>Stan</t>
  </si>
  <si>
    <t>Ariba support</t>
  </si>
  <si>
    <t>Move support from Key user procerement to accenture</t>
  </si>
  <si>
    <t>Miro</t>
  </si>
  <si>
    <t>Miro collaboartion tooling. 30 licences for Uk&amp;I</t>
  </si>
  <si>
    <t>Licence</t>
  </si>
  <si>
    <t>7600 for UK &amp; I. Adding budget to gather to roll out for other countries</t>
  </si>
  <si>
    <t xml:space="preserve">Platform.sh </t>
  </si>
  <si>
    <t>Insufficient solution sizing</t>
  </si>
  <si>
    <t>Eelke</t>
  </si>
  <si>
    <t>Skype</t>
  </si>
  <si>
    <t>Decomission Skype</t>
  </si>
  <si>
    <t>Changed to teams</t>
  </si>
  <si>
    <t>Saviynt</t>
  </si>
  <si>
    <t>As discussed with Marcel and Carloyn on 7-9-2021</t>
  </si>
  <si>
    <t>Transition to Support Saviynt</t>
  </si>
  <si>
    <t>Needs to part of the project, discussed with Carolyn on 6-9-2021</t>
  </si>
  <si>
    <t>Teams direct Routing</t>
  </si>
  <si>
    <t>BT costs for roll out of Teams</t>
  </si>
  <si>
    <t>Robbert/Henk Kamp</t>
  </si>
  <si>
    <t>Includes gateways, porting, routing</t>
  </si>
  <si>
    <t>Additional internet lines for teams</t>
  </si>
  <si>
    <t>Microsoft Teams</t>
  </si>
  <si>
    <t>Licences</t>
  </si>
  <si>
    <t>Part of microsoft contract</t>
  </si>
  <si>
    <t>Additional storage needed (based on actuals)</t>
  </si>
  <si>
    <t>Decomissioned. We keep it for auditing purposed only. No licences needed</t>
  </si>
  <si>
    <t>Vanessa</t>
  </si>
  <si>
    <t>Decomissioned (replaiced by Aico)</t>
  </si>
  <si>
    <t>Release Management Support Cornerstone</t>
  </si>
  <si>
    <t>Release Management Support Cornerstone. According to actuals</t>
  </si>
  <si>
    <t>Performance, Talent, Succession, Development modules + extension compensation</t>
  </si>
  <si>
    <t>SuccessFactors</t>
  </si>
  <si>
    <t>AMS Succesfactors support increase</t>
  </si>
  <si>
    <t>Support Accenture AMS Talent &amp; performance Successfactors (0,5 fte)</t>
  </si>
  <si>
    <t>Cornerstone performance &amp; Talent</t>
  </si>
  <si>
    <t>Decommissioning Performance module (March 2022)</t>
  </si>
  <si>
    <t>Cornerstone</t>
  </si>
  <si>
    <t>Cruncr</t>
  </si>
  <si>
    <t>Discount due to functionality decommissioned</t>
  </si>
  <si>
    <t>Convercent (helpline)</t>
  </si>
  <si>
    <t>APP002908</t>
  </si>
  <si>
    <t>Helpline</t>
  </si>
  <si>
    <t>No IT contract should this be in AOP?</t>
  </si>
  <si>
    <t>Edicom split</t>
  </si>
  <si>
    <t>Splitting EDI vendor edicom for better transparancy</t>
  </si>
  <si>
    <t>Edicom</t>
  </si>
  <si>
    <t>Moved to Kelvin</t>
  </si>
  <si>
    <t>Name change to CX social</t>
  </si>
  <si>
    <t>Clarabridge</t>
  </si>
  <si>
    <t>Development team digital</t>
  </si>
  <si>
    <t>Move from Agile Office to Operations</t>
  </si>
  <si>
    <t>Capepack</t>
  </si>
  <si>
    <t>Missing in AOP - new app to replace the old one</t>
  </si>
  <si>
    <t>Cape systems ESKO</t>
  </si>
  <si>
    <t>SIAM onboarding costs</t>
  </si>
  <si>
    <t xml:space="preserve">Remove line. Included in run costs. </t>
  </si>
  <si>
    <t>Michal</t>
  </si>
  <si>
    <t>SIAM runcosts</t>
  </si>
  <si>
    <t>Reduced due to contract negotiations</t>
  </si>
  <si>
    <t>95K Adding additional functionality QBR and education</t>
  </si>
  <si>
    <t>Upgraded to Pro + additional licences for compliance</t>
  </si>
  <si>
    <t>Servicenow</t>
  </si>
  <si>
    <t>Additional requirements regarding interfaces</t>
  </si>
  <si>
    <t>Additional licences</t>
  </si>
  <si>
    <t>Gagandeep</t>
  </si>
  <si>
    <t xml:space="preserve">Snow </t>
  </si>
  <si>
    <t>According to actuals</t>
  </si>
  <si>
    <t>Change GL account SAP SSR ATOS</t>
  </si>
  <si>
    <t>Change from 485073033 to 485073030</t>
  </si>
  <si>
    <t>Mismatch budgetting vs actual postings</t>
  </si>
  <si>
    <t>Disaster Recovery Test</t>
  </si>
  <si>
    <t>Decommission this line as this is part of regular service</t>
  </si>
  <si>
    <t>Rolled up in SAP Operations</t>
  </si>
  <si>
    <t>SSR Non-Sap</t>
  </si>
  <si>
    <t>Increase line to mirror SAP amount</t>
  </si>
  <si>
    <t>Adjusted and renamed due to re-contracting with Atos</t>
  </si>
  <si>
    <t>Includes SAP Infrastructure, Storage, Tech. Application Mngt, Batch management</t>
  </si>
  <si>
    <t>Non Standard Services (F5)</t>
  </si>
  <si>
    <t xml:space="preserve">Consolidate into Non-Sap Service line </t>
  </si>
  <si>
    <t>Follow Guidance from Oscar on other change log item</t>
  </si>
  <si>
    <t>Hosting Generic Infrastructure</t>
  </si>
  <si>
    <t>Non-Sap Operations</t>
  </si>
  <si>
    <t>Includes Non-sap Infra, VoC Hotel, Storage, Service Management and Co location service</t>
  </si>
  <si>
    <t>Bonus Atos</t>
  </si>
  <si>
    <t>2% of annual contract value can be awarded</t>
  </si>
  <si>
    <t>Needs to be accrued Seperately</t>
  </si>
  <si>
    <t>XDR (E5 security suite estimate)</t>
  </si>
  <si>
    <t>New XDR solution which is replacing Symantec</t>
  </si>
  <si>
    <t>Email protection</t>
  </si>
  <si>
    <t>Email protection to protect against phishing, spam and malware (MS lacks proper tool, TrendMicro has capabilities which can make this obsolete)</t>
  </si>
  <si>
    <t>Symantec Advanced Threat Protection</t>
  </si>
  <si>
    <t>Will be replaced by XDR</t>
  </si>
  <si>
    <t>Symantec end point protection Global</t>
  </si>
  <si>
    <t>Security Operations Centre Services</t>
  </si>
  <si>
    <t>SOC services cost will drop year over year due to automation and usecase implementation</t>
  </si>
  <si>
    <t>Awaiting input Marcel</t>
  </si>
  <si>
    <t>Azure ATP Licences</t>
  </si>
  <si>
    <t>Azure ATP licenses change to: defender for identities Onderdeel van microsoft contract dus line deleten en toevoegen bij Oscar</t>
  </si>
  <si>
    <t>Managed Service Security Qsight (SOC) KPN</t>
  </si>
  <si>
    <t>Service will be stopped as this will be taken over by Accenture</t>
  </si>
  <si>
    <t>SOC</t>
  </si>
  <si>
    <t>Blue Prism (Robotics)</t>
  </si>
  <si>
    <t>Remainder of BluePrism contract. Blueprism will be terminated in May 2022</t>
  </si>
  <si>
    <t>IBM</t>
  </si>
  <si>
    <t>Uipath licenses</t>
  </si>
  <si>
    <t>Assuming move towards UiPath SaaS instead of on Prem and increase in dev and robot licenses</t>
  </si>
  <si>
    <t>Github</t>
  </si>
  <si>
    <t>According to actuals + additional users</t>
  </si>
  <si>
    <t>Dell Boomi Support</t>
  </si>
  <si>
    <t>Additional developers for migration to Dell boomi</t>
  </si>
  <si>
    <t>Roberto</t>
  </si>
  <si>
    <t>Ipaas Dell Boomi Licences</t>
  </si>
  <si>
    <t>According to new contract / additional licences</t>
  </si>
  <si>
    <t>Dell</t>
  </si>
  <si>
    <t>Seeburger EDI</t>
  </si>
  <si>
    <t>Solace Platform</t>
  </si>
  <si>
    <t>New platform for transffering data</t>
  </si>
  <si>
    <t>Solace</t>
  </si>
  <si>
    <t>Microsoft Azure: Magento hosting</t>
  </si>
  <si>
    <t>Storage usage way higher than anticipated during RFP</t>
  </si>
  <si>
    <t>NewRelic</t>
  </si>
  <si>
    <t>Less functionality used</t>
  </si>
  <si>
    <t>Newrelic</t>
  </si>
  <si>
    <t>Increase in websites</t>
  </si>
  <si>
    <t>310 websites under support</t>
  </si>
  <si>
    <t>According to actuals (BAS hours not charged on projects)</t>
  </si>
  <si>
    <t>0,5 FTE Pega, 0,5 FTE intranet and abab Bas (2.0 FTE offshore)</t>
  </si>
  <si>
    <t>Pega project link support 10K, 60K for succesfactors/HR</t>
  </si>
  <si>
    <t>Pega project link enhancement support 30K +50K enhancement support HR/succesfactors, 10k for IAM</t>
  </si>
  <si>
    <t>UAM requests</t>
  </si>
  <si>
    <t>Increase in UAM requests</t>
  </si>
  <si>
    <t>Increase in monitoring, SF resource and compliance scope + splunk support</t>
  </si>
  <si>
    <t>Rename</t>
  </si>
  <si>
    <t>Rename network services BT to Network services</t>
  </si>
  <si>
    <t>Based on quote</t>
  </si>
  <si>
    <t>Security-factories</t>
  </si>
  <si>
    <t>Recontracted with OBS</t>
  </si>
  <si>
    <t>New line item Recontracted with OBS</t>
  </si>
  <si>
    <t>Change vendor from BT to Orange</t>
  </si>
  <si>
    <t>New linte item: change vendor to orange</t>
  </si>
  <si>
    <t>New line item: OBS</t>
  </si>
  <si>
    <t>Sdriguess</t>
  </si>
  <si>
    <t>Added small Amount for Teams</t>
  </si>
  <si>
    <t>Tdriguesa</t>
  </si>
  <si>
    <t xml:space="preserve">Mdrigues </t>
  </si>
  <si>
    <t>According to new contract and including Microsoft teams &amp; defender for identity (security suite)</t>
  </si>
  <si>
    <t>Microsoft Azure: EUS / Infra</t>
  </si>
  <si>
    <t>Microsoft Azure: CCM</t>
  </si>
  <si>
    <t>Rename to:Microsoft Azure : CTS_IOT'</t>
  </si>
  <si>
    <t>Microsoft Azure: Start (Brazil)</t>
  </si>
  <si>
    <t>Based on actuals</t>
  </si>
  <si>
    <t>Microsoft Azure: Azure Marketplace</t>
  </si>
  <si>
    <t>New row added</t>
  </si>
  <si>
    <t>Microsoft Azure: Data &amp; Analytics</t>
  </si>
  <si>
    <t>Rename: Microsoft Azure : Human Data</t>
  </si>
  <si>
    <t>Microsoft Azure: ACN_SPLUNK-Prod</t>
  </si>
  <si>
    <t>Microsoft Azure: ACN_RAS</t>
  </si>
  <si>
    <t>Microsoft Azure: ACN_SOC-IT</t>
  </si>
  <si>
    <t>Move ownership to Kelvin</t>
  </si>
  <si>
    <t>Increased for the MS Unify product (premier support is not offered any  longer)</t>
  </si>
  <si>
    <t>Service Integration</t>
  </si>
  <si>
    <t>Estimate based on continuation of the last part of BT's network services into 2022</t>
  </si>
  <si>
    <t>Rename to WAN - OBS</t>
  </si>
  <si>
    <t>Network SSR's &amp; NSSR's</t>
  </si>
  <si>
    <t>Change supplier to OBS</t>
  </si>
  <si>
    <t>NdriguesN</t>
  </si>
  <si>
    <t>Reduced because moving to OBS</t>
  </si>
  <si>
    <t>Based on forecast from OBS</t>
  </si>
  <si>
    <t>Support increased because servers increased</t>
  </si>
  <si>
    <t>Remove line item (double entry?)</t>
  </si>
  <si>
    <t>Skype for Business: rename to Teams direct routing</t>
  </si>
  <si>
    <t>Non-Standard Services (F5)</t>
  </si>
  <si>
    <t>Remove line as Atos is not responsible for this</t>
  </si>
  <si>
    <t>Non-Standard Services (StoreOnce + StorSimple)</t>
  </si>
  <si>
    <t xml:space="preserve">Remove storsimple from name </t>
  </si>
  <si>
    <t>HP</t>
  </si>
  <si>
    <t>The amount is higher because of a new way of counting the manner in which data storage is counted</t>
  </si>
  <si>
    <t xml:space="preserve">MICRdrigues </t>
  </si>
  <si>
    <t>Adobe Design</t>
  </si>
  <si>
    <t>Increase in users</t>
  </si>
  <si>
    <t>Not all Mus are using it. Therfore amount reduced</t>
  </si>
  <si>
    <t>Enterprise voice support - NSSRs or minor modifications</t>
  </si>
  <si>
    <t>new line item</t>
  </si>
  <si>
    <t>Skype for Business SSR's &amp; NSSR's</t>
  </si>
  <si>
    <t>rename to: Teams direct Routing - NSSRs</t>
  </si>
  <si>
    <t>Enterprise voice support</t>
  </si>
  <si>
    <t>New line item Support accenture</t>
  </si>
  <si>
    <t>ProCampaign</t>
  </si>
  <si>
    <t>SalesForce Return Path (Sender Domain Management )</t>
  </si>
  <si>
    <t>SAP APO additional dev capacity</t>
  </si>
  <si>
    <t>Continuation of change log in AOP22 file</t>
  </si>
  <si>
    <t>Oasis transition to support</t>
  </si>
  <si>
    <t>Once off</t>
  </si>
  <si>
    <t>Curvature</t>
  </si>
  <si>
    <t>Not decomissioned yet</t>
  </si>
  <si>
    <t>SAP APO</t>
  </si>
  <si>
    <t>Additional dev capacity</t>
  </si>
  <si>
    <t>Rory</t>
  </si>
  <si>
    <t>Metapack for Pudo services</t>
  </si>
  <si>
    <t>to be able to slect pick up points</t>
  </si>
  <si>
    <t xml:space="preserve">SPSS </t>
  </si>
  <si>
    <t xml:space="preserve">Annual upgrade </t>
  </si>
  <si>
    <t>Additional landscpae for annual upgrade</t>
  </si>
  <si>
    <t>D&amp;A retail support</t>
  </si>
  <si>
    <t>18 additional dashboards to support. Adding 2 support FTE</t>
  </si>
  <si>
    <t>Dar Sias</t>
  </si>
  <si>
    <t>To be confirmed tomorrow</t>
  </si>
  <si>
    <t>Power Bi</t>
  </si>
  <si>
    <t>Licence increase</t>
  </si>
  <si>
    <t>Licence increase + SAC POC</t>
  </si>
  <si>
    <t>Decrease in licences and negotiating of the contract</t>
  </si>
  <si>
    <t>Kelvin/Koen</t>
  </si>
  <si>
    <t>Actuals 1,360,000 -&gt; 140k buffer included. Additional users for CH/FR in project budget / renegotiation per november '22 required; to be catered for potential</t>
  </si>
  <si>
    <t>Salesforce Marketing Cloud Licenses Professional</t>
  </si>
  <si>
    <t>Decrease in licences</t>
  </si>
  <si>
    <t>Click Annual Subscription</t>
  </si>
  <si>
    <t>according to actuals</t>
  </si>
  <si>
    <t>Coens</t>
  </si>
  <si>
    <t>Epifind</t>
  </si>
  <si>
    <t>Increase. Move ownership to Kelvin</t>
  </si>
  <si>
    <t>Company.info</t>
  </si>
  <si>
    <t>New tool: Credit checks</t>
  </si>
  <si>
    <t>Company</t>
  </si>
  <si>
    <t>Sonar Cloud</t>
  </si>
  <si>
    <t>New tool</t>
  </si>
  <si>
    <t>Sonar</t>
  </si>
  <si>
    <t>Kendis</t>
  </si>
  <si>
    <t xml:space="preserve">PACKFLOW 2.0 </t>
  </si>
  <si>
    <t>Only used by Russia, replaced by Syncforce</t>
  </si>
  <si>
    <t>PACKFLOW</t>
  </si>
  <si>
    <t xml:space="preserve">Syncforce support </t>
  </si>
  <si>
    <t>Global Water fall (GWF) + IQS</t>
  </si>
  <si>
    <t>Glikl</t>
  </si>
  <si>
    <t>Goldfire application</t>
  </si>
  <si>
    <t>Starlims</t>
  </si>
  <si>
    <t>Change charge to SAP users</t>
  </si>
  <si>
    <t>Boost.AI</t>
  </si>
  <si>
    <t>Virtual assistant / chatbot</t>
  </si>
  <si>
    <t>Bas vredenburg</t>
  </si>
  <si>
    <t>Slight decrease expected based on internalization</t>
  </si>
  <si>
    <t>PivendalO</t>
  </si>
  <si>
    <t>Kelvin Divendal</t>
  </si>
  <si>
    <t>Litmus / E-mail on Acid</t>
  </si>
  <si>
    <t>New Application</t>
  </si>
  <si>
    <t>Livendalo</t>
  </si>
  <si>
    <t>PEGA CoffeeCare</t>
  </si>
  <si>
    <t>Upgrade budget</t>
  </si>
  <si>
    <t>PEGA</t>
  </si>
  <si>
    <t>PEGA LINK</t>
  </si>
  <si>
    <t>AutoCad suite</t>
  </si>
  <si>
    <t>Aochemst</t>
  </si>
  <si>
    <t>SAS VA</t>
  </si>
  <si>
    <t>workplace</t>
  </si>
  <si>
    <t>SuccessFactors Charging</t>
  </si>
  <si>
    <t>Changing Charging Key to SAP Users</t>
  </si>
  <si>
    <t>Sepeveenh</t>
  </si>
  <si>
    <t>CSI EUS/INFRA</t>
  </si>
  <si>
    <t>Ian</t>
  </si>
  <si>
    <t>Epi server</t>
  </si>
  <si>
    <t>Trax</t>
  </si>
  <si>
    <t>Recurring costs for integration</t>
  </si>
  <si>
    <t>Cesare</t>
  </si>
  <si>
    <t>Taken out of AOP because there is no APP ID</t>
  </si>
  <si>
    <t>Workplace Charging</t>
  </si>
  <si>
    <t>Change from central charge to user charge</t>
  </si>
  <si>
    <t>As discussed with Michal Orr and confirmed on 31-8-2021</t>
  </si>
  <si>
    <t xml:space="preserve">Apptus/Conga Technical Upgrades 2022 </t>
  </si>
  <si>
    <t>Apptus upgrades / life cycle management moving from IT4IT to operations</t>
  </si>
  <si>
    <t>Coming from IT4IT discussion on 9-9-2021: Taken out again based on request from 13-9-2021; Included again on 29-9-2021</t>
  </si>
  <si>
    <t>Editel CZ, s.r.o.</t>
  </si>
  <si>
    <t>Budget moves to local</t>
  </si>
  <si>
    <t>Editel</t>
  </si>
  <si>
    <t>Grit, s.r.o.</t>
  </si>
  <si>
    <t>Editel AT</t>
  </si>
  <si>
    <t>Editel CZ</t>
  </si>
  <si>
    <t>EDI: Edicom</t>
  </si>
  <si>
    <t>No further changes</t>
  </si>
  <si>
    <t>Epi Find Licences</t>
  </si>
  <si>
    <t>Add new app id for professional webshops so that only 4 countries will be charged</t>
  </si>
  <si>
    <t>Leonie van Ham</t>
  </si>
  <si>
    <t>Leonie discussed this with Kelvin and we will leave it for this year</t>
  </si>
  <si>
    <t>Icron (replacement of caloc licencs &amp; support)</t>
  </si>
  <si>
    <t xml:space="preserve">Saas solution. </t>
  </si>
  <si>
    <t>Icron</t>
  </si>
  <si>
    <t xml:space="preserve">Including support. 300K licence and 29k is hosting. </t>
  </si>
  <si>
    <t>Caloc maintenance</t>
  </si>
  <si>
    <t>Replaced by Icron</t>
  </si>
  <si>
    <t>Caloc</t>
  </si>
  <si>
    <t>Caloc support</t>
  </si>
  <si>
    <t>Zylab France</t>
  </si>
  <si>
    <t>Roll out to France 21-0195</t>
  </si>
  <si>
    <t>Storage &amp; Licenses</t>
  </si>
  <si>
    <t>Bonus Just-Bi</t>
  </si>
  <si>
    <t>Bonus</t>
  </si>
  <si>
    <t>In total cost</t>
  </si>
  <si>
    <t>SF Retail licences</t>
  </si>
  <si>
    <t>XDR costs</t>
  </si>
  <si>
    <t>450 licences</t>
  </si>
  <si>
    <t>?</t>
  </si>
  <si>
    <t>XDR solution</t>
  </si>
  <si>
    <t>ESG tool</t>
  </si>
  <si>
    <t>tbd</t>
  </si>
  <si>
    <t>Agnieska</t>
  </si>
  <si>
    <t>Did not hear anything about this tool</t>
  </si>
  <si>
    <t>Sitecore licences</t>
  </si>
  <si>
    <t>Licences + environments</t>
  </si>
  <si>
    <t>Accenture support Ecommerce</t>
  </si>
  <si>
    <t>Because this team is unsure, costs will be taken by Ludo directly</t>
  </si>
  <si>
    <t>Dell boomi MCS</t>
  </si>
  <si>
    <t xml:space="preserve">4TH tier boomi </t>
  </si>
  <si>
    <t>Aravo Replacement amber road</t>
  </si>
  <si>
    <t>Aravo, APP003015</t>
  </si>
  <si>
    <t>licences</t>
  </si>
  <si>
    <t>Mural</t>
  </si>
  <si>
    <t>Online whiteboard tool. Costs for three countries</t>
  </si>
  <si>
    <t>Combine GL network services &amp; network services other</t>
  </si>
  <si>
    <t>SR, block postings on gl 11</t>
  </si>
  <si>
    <t>Aico upgrade budget</t>
  </si>
  <si>
    <t>Missing in AOP</t>
  </si>
  <si>
    <t>Jenkins</t>
  </si>
  <si>
    <t>Licences. IT4IT?</t>
  </si>
  <si>
    <t>Gagan Sharma</t>
  </si>
  <si>
    <t xml:space="preserve">Reduce ariba costs. Lience costs reduced </t>
  </si>
  <si>
    <t>This was already processes in 2022</t>
  </si>
  <si>
    <t>Licentie kosten 142k ipv 132k plus potentieel upgrade budget tbd</t>
  </si>
  <si>
    <t>Atos Non-Sap Infra</t>
  </si>
  <si>
    <t>Taking out consolidated entry, will replace with detailed server overview</t>
  </si>
  <si>
    <t>APP000034</t>
  </si>
  <si>
    <t>Infra Cost BCC</t>
  </si>
  <si>
    <t>APP000039</t>
  </si>
  <si>
    <t>Infra Cost Accolade (R&amp;D)</t>
  </si>
  <si>
    <t>APP000041</t>
  </si>
  <si>
    <t>Infra Cost PLM4Process (Kalypso)</t>
  </si>
  <si>
    <t>APP000049</t>
  </si>
  <si>
    <t>Infra Cost Concur Expense</t>
  </si>
  <si>
    <t>APP000050</t>
  </si>
  <si>
    <t>Infra Cost Zylab ONE</t>
  </si>
  <si>
    <t>APP000051</t>
  </si>
  <si>
    <t>Infra Cost Goldfire</t>
  </si>
  <si>
    <t>APP000053</t>
  </si>
  <si>
    <t>Infra Cost TAS</t>
  </si>
  <si>
    <t>APP000054</t>
  </si>
  <si>
    <t>Infra Cost RFGEN Global Instance 1</t>
  </si>
  <si>
    <t>APP000061</t>
  </si>
  <si>
    <t>Infra Cost QIS Utrecht - NL</t>
  </si>
  <si>
    <t>APP000205</t>
  </si>
  <si>
    <t>Infra Cost Rantsoen</t>
  </si>
  <si>
    <t>APP000338</t>
  </si>
  <si>
    <t>Infra Cost Qlikview</t>
  </si>
  <si>
    <t>APP000339</t>
  </si>
  <si>
    <t>Infra Cost PROXESS</t>
  </si>
  <si>
    <t>APP000369</t>
  </si>
  <si>
    <t>Infra Cost CAPEPACK</t>
  </si>
  <si>
    <t>APP000374</t>
  </si>
  <si>
    <t>Infra Cost SAFIR (Romania)</t>
  </si>
  <si>
    <t>APP000382</t>
  </si>
  <si>
    <t>Infra Cost Solidworks (UK)</t>
  </si>
  <si>
    <t>APP000383</t>
  </si>
  <si>
    <t>Infra Cost XLSTAT</t>
  </si>
  <si>
    <t>APP000388</t>
  </si>
  <si>
    <t>Infra Cost !mpuls</t>
  </si>
  <si>
    <t>APP000406</t>
  </si>
  <si>
    <t>Infra Cost Janus - SQL DB AFH-MDP EU-3021</t>
  </si>
  <si>
    <t>APP000428</t>
  </si>
  <si>
    <t>Infra Cost Interflex (Germany)</t>
  </si>
  <si>
    <t>APP000458</t>
  </si>
  <si>
    <t>Infra Cost AIS</t>
  </si>
  <si>
    <t>APP000558</t>
  </si>
  <si>
    <t>Infra Cost Bonsai</t>
  </si>
  <si>
    <t>APP000820</t>
  </si>
  <si>
    <t>Infra Cost Honeywell EBI</t>
  </si>
  <si>
    <t>APP000869</t>
  </si>
  <si>
    <t>Infra Cost PDM</t>
  </si>
  <si>
    <t>APP000884</t>
  </si>
  <si>
    <t>Infra Cost Manual Master</t>
  </si>
  <si>
    <t>Will be decommisioned according to Veerle (July 2022)</t>
  </si>
  <si>
    <t>APP000965</t>
  </si>
  <si>
    <t>Infra Cost Proxsafe</t>
  </si>
  <si>
    <t>APP000985</t>
  </si>
  <si>
    <t>Infra Cost DEP CRM - Obrazovka</t>
  </si>
  <si>
    <t>APP000990</t>
  </si>
  <si>
    <t>Infra Cost BOARD</t>
  </si>
  <si>
    <t>APP001088</t>
  </si>
  <si>
    <t>Infra Cost Honeywell</t>
  </si>
  <si>
    <t>APP001157</t>
  </si>
  <si>
    <t>Infra Cost Tax(VAT) reporting application</t>
  </si>
  <si>
    <t>APP001319</t>
  </si>
  <si>
    <t>Infra Cost RFGEN/ NiceLabel Coffee Utrecht</t>
  </si>
  <si>
    <t>APP001424</t>
  </si>
  <si>
    <t>Infra Cost IXOS</t>
  </si>
  <si>
    <t>APP001536</t>
  </si>
  <si>
    <t>Infra Cost i21(iRely)</t>
  </si>
  <si>
    <t>APP001635</t>
  </si>
  <si>
    <t>Infra Cost Winshuttle</t>
  </si>
  <si>
    <t>APP001724</t>
  </si>
  <si>
    <t>Infra Cost Salesforce Sales Cloud Retail</t>
  </si>
  <si>
    <t>APP001797</t>
  </si>
  <si>
    <t>Infra Cost SNOW Software Asset Management</t>
  </si>
  <si>
    <t>APP001821</t>
  </si>
  <si>
    <t>Infra Cost Genesys PureConnect</t>
  </si>
  <si>
    <t>APP001828</t>
  </si>
  <si>
    <t>Infra Cost XTEL</t>
  </si>
  <si>
    <t>APP001857</t>
  </si>
  <si>
    <t>Infra Cost Baylo AGV UK</t>
  </si>
  <si>
    <t>APP001894</t>
  </si>
  <si>
    <t>Infra Cost RFGEN Global Instance 2</t>
  </si>
  <si>
    <t>APP001908</t>
  </si>
  <si>
    <t>Infra Cost Point.X Global Instance</t>
  </si>
  <si>
    <t>APP002012</t>
  </si>
  <si>
    <t>Infra Cost AGVR AGV Joure</t>
  </si>
  <si>
    <t>APP002306</t>
  </si>
  <si>
    <t>Infra Cost PwC Invoicing Tool</t>
  </si>
  <si>
    <t>APP002589</t>
  </si>
  <si>
    <t>Infra Cost Comscale</t>
  </si>
  <si>
    <t>APP002652</t>
  </si>
  <si>
    <t>Infra Cost Alteryx Designer</t>
  </si>
  <si>
    <t>APP002906</t>
  </si>
  <si>
    <t>Infra Cost HarvesterStore (Nordics)</t>
  </si>
  <si>
    <t>APP002912</t>
  </si>
  <si>
    <t>Infra Cost KEVOX</t>
  </si>
  <si>
    <t>Increase of 27% due to more users using the platform (15 new) + increase of the unit price for the server + reduction of the discount model after 3 years contract</t>
  </si>
  <si>
    <t>Microsoft PowerBi</t>
  </si>
  <si>
    <t>Reduction of 32% on the cost due to better negotiations with Microsoft performed by the Vendor Management team.</t>
  </si>
  <si>
    <t>Just BI support retail</t>
  </si>
  <si>
    <t>Just Bi support Professional</t>
  </si>
  <si>
    <t xml:space="preserve">Only operations costs. </t>
  </si>
  <si>
    <t>Qlikview</t>
  </si>
  <si>
    <t>Increased focus on campaigns</t>
  </si>
  <si>
    <t>Switch completely to Qualys as the single VM platform. Servicenow VR module will be cancelled (80K).</t>
  </si>
  <si>
    <t>Servicenow VR module will be cancelled (80K).</t>
  </si>
  <si>
    <t>No reduction according to Michal because of increase in licences</t>
  </si>
  <si>
    <t>Additional training</t>
  </si>
  <si>
    <t>Azure ATP Support</t>
  </si>
  <si>
    <t>Azure ATP support rename to Accenture SOC services</t>
  </si>
  <si>
    <t>Compliance Support</t>
  </si>
  <si>
    <t>Ad Hoc support for compliance</t>
  </si>
  <si>
    <t>Dedicated Saviynt support team</t>
  </si>
  <si>
    <t>Factory servers remain running on Symantec. APP002630</t>
  </si>
  <si>
    <t>E5 support contract</t>
  </si>
  <si>
    <t>Vendor: Accenture</t>
  </si>
  <si>
    <t>Mandiant Incident Response</t>
  </si>
  <si>
    <t>Both IT and OT incident response. Vendor: Mandiant</t>
  </si>
  <si>
    <t>vendor: Ironscales. APP002997</t>
  </si>
  <si>
    <t>3 year contract in place</t>
  </si>
  <si>
    <t>Protect4S</t>
  </si>
  <si>
    <t>charged to SAP users. Vendor: Protect4S. APP002949</t>
  </si>
  <si>
    <t>Fox IT Services : Recurring service in Security</t>
  </si>
  <si>
    <t>Replaced by the Mandiant IR contract to include OT besides IT</t>
  </si>
  <si>
    <t>Charge to central R&amp;D</t>
  </si>
  <si>
    <t>Reallocation of Oracle support contract</t>
  </si>
  <si>
    <t>Charging Oracle contract to Local factory in Germany. Oracle Contracts 5829345, 5950219 APP ID :APP000744</t>
  </si>
  <si>
    <t>German factory has a local Oracle database for which licenses are paid centrally and will now be charged directly</t>
  </si>
  <si>
    <t>Service Now Contract Renegotiation</t>
  </si>
  <si>
    <t>Additional user base + additional features</t>
  </si>
  <si>
    <t>Michal Tepchzinksi</t>
  </si>
  <si>
    <t>Blue Prism (Robotics) Decommissioning</t>
  </si>
  <si>
    <t>Blue prism is replaced with UIPath</t>
  </si>
  <si>
    <t>UIPath Direct Licensing</t>
  </si>
  <si>
    <t>Contrating UIPath directly for SaaS solution</t>
  </si>
  <si>
    <t>Licence increase + Support CTAC instead of MDM</t>
  </si>
  <si>
    <t xml:space="preserve">Vanessa </t>
  </si>
  <si>
    <t>Lifecycle budget</t>
  </si>
  <si>
    <t>No oracle or aix planned next year</t>
  </si>
  <si>
    <t>AMS onboarding</t>
  </si>
  <si>
    <t>Landscape refresh activities</t>
  </si>
  <si>
    <t>Not needed this year</t>
  </si>
  <si>
    <t>Cost ompitmized swichting to fixed capacity</t>
  </si>
  <si>
    <t>Sitecore support</t>
  </si>
  <si>
    <t>Support by Avenade</t>
  </si>
  <si>
    <t>Carolina</t>
  </si>
  <si>
    <t>Maksym</t>
  </si>
  <si>
    <t>Gearset</t>
  </si>
  <si>
    <t>Ownback up</t>
  </si>
  <si>
    <t xml:space="preserve">C4C </t>
  </si>
  <si>
    <t>Maintenance budget</t>
  </si>
  <si>
    <t>Xtel AMS Contract</t>
  </si>
  <si>
    <t>Charge to Professional cost center. 15K increase due to inflation</t>
  </si>
  <si>
    <t>Remove from retail cost center</t>
  </si>
  <si>
    <t>Reduction because of less usage (removed italy)</t>
  </si>
  <si>
    <t>Garvis</t>
  </si>
  <si>
    <t>S&amp;M support professional</t>
  </si>
  <si>
    <t>Increase due to more develoments and my services</t>
  </si>
  <si>
    <t>Kelvin</t>
  </si>
  <si>
    <t>TS support professional</t>
  </si>
  <si>
    <t>Decrease based on Jira analysis</t>
  </si>
  <si>
    <t>QTC support professional</t>
  </si>
  <si>
    <t>Roll-outs FR, CH (based on same volumes, 5% price increase and removal of free licenses). Contract renewal November 2022.</t>
  </si>
  <si>
    <t>SalesForce Annual Subscription + Support Professional</t>
  </si>
  <si>
    <t>Marketing Cloud licences included</t>
  </si>
  <si>
    <t>Will be included in general salesforce charge</t>
  </si>
  <si>
    <t xml:space="preserve">Decrease in users from 758 to ~550-600. Price protection will no longer apply; </t>
  </si>
  <si>
    <t>EpiFind licenses</t>
  </si>
  <si>
    <t>Add inflation</t>
  </si>
  <si>
    <t>Will be decomissioned</t>
  </si>
  <si>
    <t>Vonage</t>
  </si>
  <si>
    <t>New tool: Customer Service teams, Telesales teams. PC users, charged to Germany only</t>
  </si>
  <si>
    <t>WeGrow</t>
  </si>
  <si>
    <t>PC users, app ID to be provided by bas. New Tool</t>
  </si>
  <si>
    <t>Savings due to Potential move to Adobe</t>
  </si>
  <si>
    <t>Magento Commerce</t>
  </si>
  <si>
    <t>Magento Order management</t>
  </si>
  <si>
    <t>According to contract</t>
  </si>
  <si>
    <t>decrease</t>
  </si>
  <si>
    <t>CX Social</t>
  </si>
  <si>
    <t>Increase accoridng to actuals</t>
  </si>
  <si>
    <t>Decreased because of Accenture support</t>
  </si>
  <si>
    <t>Swaven</t>
  </si>
  <si>
    <t>Local PO, to be moved centrally on request of Carolina/BAS</t>
  </si>
  <si>
    <t>Agreed with Carolina</t>
  </si>
  <si>
    <t>Support moved from Vaimo to Accenture</t>
  </si>
  <si>
    <t>Browserstack</t>
  </si>
  <si>
    <t>Increase in usage vaimo/ecommerce</t>
  </si>
  <si>
    <t xml:space="preserve">Gagan </t>
  </si>
  <si>
    <t>Includign UTF. According to actuals</t>
  </si>
  <si>
    <t>Websites</t>
  </si>
  <si>
    <t>Increase in websites expected but did not materialize. Websites epected 275 in 2023 (300k)</t>
  </si>
  <si>
    <t>User Management</t>
  </si>
  <si>
    <t>User management decreased because this is moved to enhancements. Based on actuals</t>
  </si>
  <si>
    <t>Decrease accordign to contract negotiations</t>
  </si>
  <si>
    <t xml:space="preserve">Succesfactors support </t>
  </si>
  <si>
    <t>Additional support</t>
  </si>
  <si>
    <t>Service support 24x5</t>
  </si>
  <si>
    <t>Accordign to contract</t>
  </si>
  <si>
    <t>SPSS  upgrade</t>
  </si>
  <si>
    <t>100k According to actuals</t>
  </si>
  <si>
    <t>Accoridng to actuals</t>
  </si>
  <si>
    <t>CANCELLED</t>
  </si>
  <si>
    <t>Change name of Network services BT to Network services</t>
  </si>
  <si>
    <t>Not rolled out to all countries</t>
  </si>
  <si>
    <t>Pedro</t>
  </si>
  <si>
    <t>To be decomissioned, expires june 2023</t>
  </si>
  <si>
    <t>Contracto</t>
  </si>
  <si>
    <t>Amber road</t>
  </si>
  <si>
    <t>To be paid by Global Legal directly</t>
  </si>
  <si>
    <t>According tot actuals</t>
  </si>
  <si>
    <t>Adding ~50k for fixing security related findings like email hardening</t>
  </si>
  <si>
    <t>Oscar</t>
  </si>
  <si>
    <t>Additional 30k licensing needed for factories</t>
  </si>
  <si>
    <t>Additional costs for RDS - Ukraine and Russia</t>
  </si>
  <si>
    <t>Microsoft Azure: Websites</t>
  </si>
  <si>
    <t>Microsoft Azure: CTS_IOT</t>
  </si>
  <si>
    <t>Forecasted was 89k</t>
  </si>
  <si>
    <t>Microsoft Azure: Professional Websites</t>
  </si>
  <si>
    <t>Based on reservations and forecast of 153k by Azure for 2022</t>
  </si>
  <si>
    <t>Based on a forecast of 140K by Azure</t>
  </si>
  <si>
    <t>Microsoft Enterprise Services (Unified/Premier support)</t>
  </si>
  <si>
    <t>Premier support is no longer available from June 2023 and we need to move to Unified support, which is much more expensive.</t>
  </si>
  <si>
    <t>Based on Additional true up  for SQL server usage + Additional licenses for MDE for server (420)</t>
  </si>
  <si>
    <t>Based on a forecast of 28,5K by Azure</t>
  </si>
  <si>
    <t>Based on a forecast of 108K by Azure</t>
  </si>
  <si>
    <t>Based on a forecast of 161K by Azure</t>
  </si>
  <si>
    <t>This budget includes factory firewall support (45k) + factory firewall cobranded maintenance costs (85k )</t>
  </si>
  <si>
    <t>Service integration in the present form is not needed</t>
  </si>
  <si>
    <t>WAN-OBS</t>
  </si>
  <si>
    <t>MPLS=700k; SDWAN=2,6mln; upgrade=185k; gateways=30k;VMS MRC=37k; managed internet access = 270k</t>
  </si>
  <si>
    <t>Please change Vendor to OBS</t>
  </si>
  <si>
    <t>Flex NSSR</t>
  </si>
  <si>
    <t>No more engagement with BT in this area</t>
  </si>
  <si>
    <t>Is Euro 517k; APs and Sw=6k; Ipam=28k; 3P VM = 17k</t>
  </si>
  <si>
    <t>WAN-BT</t>
  </si>
  <si>
    <t>Teams direct routing</t>
  </si>
  <si>
    <t>Non-SAP Operations, Storage, VoC Hotel &amp; Service Management</t>
  </si>
  <si>
    <t>Avg. spend is about 97k per month and is expected to go down</t>
  </si>
  <si>
    <t>divided over applications as infra costs</t>
  </si>
  <si>
    <t>T&amp;M hours, based on RFCs (Infra)</t>
  </si>
  <si>
    <t>Flexera Adminstudio</t>
  </si>
  <si>
    <t>Mekko</t>
  </si>
  <si>
    <t>License costs currently are Euro 80 per license and are expected to increase to Euro 100 per license</t>
  </si>
  <si>
    <t>New costs for Java (6k for laptops and 69k for servers)</t>
  </si>
  <si>
    <t>Ripe NCC</t>
  </si>
  <si>
    <t>Costs for our internet registry</t>
  </si>
  <si>
    <t>PC and Connectivity</t>
  </si>
  <si>
    <t>ClarOTy support at various factories</t>
  </si>
  <si>
    <t>New line item for supporting the ClarOTy installations at various factories</t>
  </si>
  <si>
    <t>Factory Security</t>
  </si>
  <si>
    <t>iPPM</t>
  </si>
  <si>
    <t>Contract negotiations</t>
  </si>
  <si>
    <t>SAP APO Dedicated capacity</t>
  </si>
  <si>
    <t>Open text</t>
  </si>
  <si>
    <t>Managed services + connections set up accoriding to contract</t>
  </si>
  <si>
    <t>Traffic reduced to 50%, to be decomissioned eventually</t>
  </si>
  <si>
    <t>End to end monitoring</t>
  </si>
  <si>
    <t>API Management tool</t>
  </si>
  <si>
    <t>Dell boomi support</t>
  </si>
  <si>
    <t>Moved from ticket to capacity based</t>
  </si>
  <si>
    <t>Incident management</t>
  </si>
  <si>
    <t>Incidents reduced and minus 50000 for Dell boomi</t>
  </si>
  <si>
    <t>Admin changes, to be in line with contract</t>
  </si>
  <si>
    <t>Core AMS - Enhancement Services – AM – SAP/NSA</t>
  </si>
  <si>
    <t>Digital MOS SHE Module</t>
  </si>
  <si>
    <t>Create CMDB app + update OpCos</t>
  </si>
  <si>
    <t>Increase due to MaaS license number increase + Strippenkaart</t>
  </si>
  <si>
    <t>Actemium - Strippenkaart</t>
  </si>
  <si>
    <t>Thinkstep - Sofi</t>
  </si>
  <si>
    <t>Increase due to broadening of scope to JDE ESG fixed reporting. It is currently charged to all Mus, but for next year, it should be charged to all OpCos (Global). Should we reflect that already in CMDB?</t>
  </si>
  <si>
    <t>SUMI Business SLA SIX-MIX</t>
  </si>
  <si>
    <t>Syncforce support</t>
  </si>
  <si>
    <t>Waiting on BO to confirm if there is additional support costs.</t>
  </si>
  <si>
    <t>Change to named licenses did not happen.</t>
  </si>
  <si>
    <t>Check contract.Discuss with Stefan how it should be charged. Only Russia is using it, but it is not clear if the contract has been adjusted</t>
  </si>
  <si>
    <t>EyeQuestion SAAS</t>
  </si>
  <si>
    <t>Safefood 360</t>
  </si>
  <si>
    <t>DTC contract has been terminated. Decomissioned</t>
  </si>
  <si>
    <t>Check the contract</t>
  </si>
  <si>
    <t xml:space="preserve">Value might change if # of licenses is increased. </t>
  </si>
  <si>
    <t>Autocad</t>
  </si>
  <si>
    <t>Increase due to new licensing model + settlement of audit</t>
  </si>
  <si>
    <t>James</t>
  </si>
  <si>
    <t>End of Change log 2022</t>
  </si>
  <si>
    <t>Open Text Archiving</t>
  </si>
  <si>
    <t>Increased annual cost</t>
  </si>
  <si>
    <t>OpenText</t>
  </si>
  <si>
    <t>Nintex workflow Licenses</t>
  </si>
  <si>
    <t>Inflation uplift based on new contract</t>
  </si>
  <si>
    <t>CX SOCIAL</t>
  </si>
  <si>
    <t>Actuals</t>
  </si>
  <si>
    <t>Epi-Use Labs</t>
  </si>
  <si>
    <t>RunMyJobs  (Redwood)</t>
  </si>
  <si>
    <t xml:space="preserve">Replacing SAP CPS </t>
  </si>
  <si>
    <t>RunMyJobs</t>
  </si>
  <si>
    <t>CPS will be out of support and will be replaced with cloud solution</t>
  </si>
  <si>
    <t>Atos Bonus</t>
  </si>
  <si>
    <t>They will likely not reach this bonus so taking it out of AOP</t>
  </si>
  <si>
    <t>Partially Decommissioned</t>
  </si>
  <si>
    <t>Succesfactors Support LMS (new module)</t>
  </si>
  <si>
    <t>C4C support (move to dedicated resource)</t>
  </si>
  <si>
    <t>Bas</t>
  </si>
  <si>
    <t>Increase of 80k and decrease of 120k results in decrease of 40k</t>
  </si>
  <si>
    <t>80K for TAS</t>
  </si>
  <si>
    <t>Developer will not be extended in 2024. agreement based for MT costs savings</t>
  </si>
  <si>
    <t>Azure cloud monitoring &amp; support</t>
  </si>
  <si>
    <t>Not materialized</t>
  </si>
  <si>
    <t>Compliance support</t>
  </si>
  <si>
    <t>Additional support moved to AMS</t>
  </si>
  <si>
    <t>Test resource</t>
  </si>
  <si>
    <t>Testing resource</t>
  </si>
  <si>
    <t>Gagan</t>
  </si>
  <si>
    <t>Decrease in enhancement hours. Moet dit nog hoger?</t>
  </si>
  <si>
    <t>decrease?</t>
  </si>
  <si>
    <t xml:space="preserve">Jira </t>
  </si>
  <si>
    <t>Jira Increase in licences</t>
  </si>
  <si>
    <t>Own back up</t>
  </si>
  <si>
    <t>Increase to 100k because we are adding back up and archiving</t>
  </si>
  <si>
    <t>Sudish</t>
  </si>
  <si>
    <t>To check with Oscar</t>
  </si>
  <si>
    <t>Cost center change, charged to professional</t>
  </si>
  <si>
    <t>Increase in licences</t>
  </si>
  <si>
    <t>Licence negotiation</t>
  </si>
  <si>
    <t>SIAM</t>
  </si>
  <si>
    <t>SIAM recontracting, building servicenow capabilities. Change name to: Service Management, servicenow and platform</t>
  </si>
  <si>
    <t>90k increase reduced, mt decision</t>
  </si>
  <si>
    <t>ITSM SIAMS / EUC</t>
  </si>
  <si>
    <t>Onboarding costs + change name</t>
  </si>
  <si>
    <t>IT2 - Retail price increase</t>
  </si>
  <si>
    <t>Rabish</t>
  </si>
  <si>
    <t>AG5</t>
  </si>
  <si>
    <t>Not contracted globally, but locally hence take this out of AOP</t>
  </si>
  <si>
    <t>No longer needed after COVID. Decomissioned</t>
  </si>
  <si>
    <t>Replaced by SF Learning</t>
  </si>
  <si>
    <t>Support cornerstone</t>
  </si>
  <si>
    <t>Will be done by Accenture</t>
  </si>
  <si>
    <t>Visier</t>
  </si>
  <si>
    <t>New HR analytics tooling, licences and support</t>
  </si>
  <si>
    <t>Will be replaced by Visier</t>
  </si>
  <si>
    <t>Qualtrics licences</t>
  </si>
  <si>
    <t>New survey tooling in HR</t>
  </si>
  <si>
    <t>Qualtrics Support</t>
  </si>
  <si>
    <t>Increase in licences because of new learning module</t>
  </si>
  <si>
    <t>Salesforce annual subscription</t>
  </si>
  <si>
    <t>Getfeedback</t>
  </si>
  <si>
    <t>NEW tool</t>
  </si>
  <si>
    <t>Contract negotiation savings</t>
  </si>
  <si>
    <t>Included in Salesforce contract</t>
  </si>
  <si>
    <t>Professional S&amp;M</t>
  </si>
  <si>
    <t>Professional S&amp;M. Change vendor to Emakina</t>
  </si>
  <si>
    <t>Professional QTC</t>
  </si>
  <si>
    <t>Prossional DevOps QTC Support. Change vendor to Globant</t>
  </si>
  <si>
    <t>Professional TS</t>
  </si>
  <si>
    <t>Porfessional devops TS. Change vendor to Emakina</t>
  </si>
  <si>
    <t>New contract and native connector</t>
  </si>
  <si>
    <t>Amber road rps</t>
  </si>
  <si>
    <t>Contract will be decomissioned April 2024</t>
  </si>
  <si>
    <t>Aravo</t>
  </si>
  <si>
    <t>refinitiv conection</t>
  </si>
  <si>
    <t>Refinitiv - NEW</t>
  </si>
  <si>
    <t>vendor code: 117547. APP003162</t>
  </si>
  <si>
    <t>Plat4mation Hospitality App - NEW</t>
  </si>
  <si>
    <t>Workplace licences</t>
  </si>
  <si>
    <t>Growth expecated</t>
  </si>
  <si>
    <t>Sharegate</t>
  </si>
  <si>
    <t>New 3 year contract</t>
  </si>
  <si>
    <t>Martijn Smeitink</t>
  </si>
  <si>
    <t>Microsoft Power Platform</t>
  </si>
  <si>
    <t>New licences</t>
  </si>
  <si>
    <t>Support costs retail (40+ projects moving to support)</t>
  </si>
  <si>
    <t>260k increase removed, MT decision</t>
  </si>
  <si>
    <t>Microsoft azure start Brazil</t>
  </si>
  <si>
    <t>Microsoft Power Bi</t>
  </si>
  <si>
    <t>Premium capacity + future growth (increasen 2 capacities at a cost of 26,5k each</t>
  </si>
  <si>
    <t>Forecast &amp; inventory module for spare parts</t>
  </si>
  <si>
    <t xml:space="preserve">Sharath </t>
  </si>
  <si>
    <t>Contract until December 2025. OpCos updated. 313k (10 sites)+128.5k (5 sites)+40k(BAU strippenkaart)</t>
  </si>
  <si>
    <t>She module</t>
  </si>
  <si>
    <t>12k for strippenkaart</t>
  </si>
  <si>
    <t>Inflation</t>
  </si>
  <si>
    <t>IQS now excluded because this is a local contract (only used in UK). GWF contract until December 2025, termination at any time with notice period of 90 days.</t>
  </si>
  <si>
    <t>179k + 20k provisioned for new licenses</t>
  </si>
  <si>
    <t>PLM Hamilton Grant</t>
  </si>
  <si>
    <t>350k for retail, affiliates 20k, aditional enviroment 8k, Strippenkaart 30k</t>
  </si>
  <si>
    <t>Coffee Care licenses</t>
  </si>
  <si>
    <t>Contract renewal in Q1 2024. 5% potential increase included</t>
  </si>
  <si>
    <t>Project Link (Pega) + BIX - Central R&amp;D</t>
  </si>
  <si>
    <t>5% potential increase included. 1/3 charged to R&amp;D; 2/3 to the markets</t>
  </si>
  <si>
    <t>Project Link (Pega) + BIX - Markets</t>
  </si>
  <si>
    <t>Risk management (90k) addded</t>
  </si>
  <si>
    <t>Accolade was an on-prem solution and has been migrated to cloud. The SaaS subscription costs became 235k.</t>
  </si>
  <si>
    <t>Annual SaaS subscription: €38.400 + Annual licenses: €40.157</t>
  </si>
  <si>
    <t>To be decomissioned this year</t>
  </si>
  <si>
    <t>Microsoft Azure: ecommerce Magento hosting</t>
  </si>
  <si>
    <t>Moved to adobe</t>
  </si>
  <si>
    <t>Platform.sh (Magento Hosting)</t>
  </si>
  <si>
    <t>Moved to Adobe</t>
  </si>
  <si>
    <t>Vaimo Application support</t>
  </si>
  <si>
    <t>According to vendor Management (actuals)</t>
  </si>
  <si>
    <t>Decomissioned, move to Cloud</t>
  </si>
  <si>
    <t>Magento Commerce Cloud</t>
  </si>
  <si>
    <t>NEW. Vendor Adobe</t>
  </si>
  <si>
    <t>Magento Order Management</t>
  </si>
  <si>
    <t>Decomissioned. Move to Salesforce</t>
  </si>
  <si>
    <t>Decomissioned. Included in the cloud licences</t>
  </si>
  <si>
    <t>Metapack for Pudo services (Pick up points)</t>
  </si>
  <si>
    <t>Additional service</t>
  </si>
  <si>
    <t>Ecommerce Application Support</t>
  </si>
  <si>
    <t>WeGrow licences + upgrade</t>
  </si>
  <si>
    <t>Less usage than anticipated</t>
  </si>
  <si>
    <t>Salesforce OMS</t>
  </si>
  <si>
    <t>NEW, Cental charge to DTC</t>
  </si>
  <si>
    <t>OneTrust</t>
  </si>
  <si>
    <t>NEW - Moved from central budget to GIS, charged to PC users</t>
  </si>
  <si>
    <t>Artefact support (GA/GTM/OT) Digital</t>
  </si>
  <si>
    <t>NEW - Moved from central budget to GIS. Charge to PC users, APP003153</t>
  </si>
  <si>
    <t>Artefact support (GA/GTM/OT) eCommerce</t>
  </si>
  <si>
    <t>NEW - Moved from central budget to GIS, charged to DTC</t>
  </si>
  <si>
    <t>GA/GTM contract</t>
  </si>
  <si>
    <t>NEW - APP003153, Charge to PC users</t>
  </si>
  <si>
    <t xml:space="preserve"> GetFeedback RTL</t>
  </si>
  <si>
    <t>NEW - CHECK, Charge to DTC</t>
  </si>
  <si>
    <t>Microsoft Azure: ecommerce Hypgraph hosting</t>
  </si>
  <si>
    <t>charge to DTC</t>
  </si>
  <si>
    <t>15189452 Oracle Database Standard Edition 2 - Processor Perpetual</t>
  </si>
  <si>
    <t>Oracle inflation increase</t>
  </si>
  <si>
    <t>10615492 Oracle Database Enterprise Edition - Processor Perpetual</t>
  </si>
  <si>
    <t>5850883 Oracle Database Enterprise Edition - Named user Plus</t>
  </si>
  <si>
    <t>5950219 Oracle Database Enterprise Edition - Processor Perpetual</t>
  </si>
  <si>
    <t>8308059 Oracle EBS Transportation Management</t>
  </si>
  <si>
    <t>5829345 Oracle Database Enterprise Edtiion - Named User Plus Perpetual</t>
  </si>
  <si>
    <t>Salesforce Marketing / Sales Cloud licenses Retail</t>
  </si>
  <si>
    <t>Dev team digital</t>
  </si>
  <si>
    <t>Additional capacity for migration</t>
  </si>
  <si>
    <t>iPaaS Dellboomi DevOps Support</t>
  </si>
  <si>
    <t>1 additional senior resource for upcoming projects</t>
  </si>
  <si>
    <t>Resource will be part of project budget</t>
  </si>
  <si>
    <t>iPaaS DellBoomi Licenses</t>
  </si>
  <si>
    <t>10 new licenses added</t>
  </si>
  <si>
    <t>Open Text Business Network (VAN)</t>
  </si>
  <si>
    <t>Real cost based on contract + 3% yearly increase</t>
  </si>
  <si>
    <t>All mappings for customers to be kept in Seeburger</t>
  </si>
  <si>
    <t>Azure API Management tool</t>
  </si>
  <si>
    <t>Additional license costs</t>
  </si>
  <si>
    <t>These are the costs for supporting Beyond Trust in 2024 for 50% of the factotries + half of RDS support costs (ramp down of RDS is assumed to be at 50%)</t>
  </si>
  <si>
    <t>Local Application Hosting Central Servers &amp; Storage</t>
  </si>
  <si>
    <t>Based on the information provided by Accenture's proposal. Is subject to change based on EUS contract renewal rates.</t>
  </si>
  <si>
    <t>Adjusted on 24th of July. EUS contract not finalized</t>
  </si>
  <si>
    <t>Local Application Hosting Central Servers</t>
  </si>
  <si>
    <t>Factory costs removed, this line item is only for IT</t>
  </si>
  <si>
    <t>End User Computing Central RDS</t>
  </si>
  <si>
    <t>Reduced because of move from RDS to AVD</t>
  </si>
  <si>
    <t>Accenture SOC services</t>
  </si>
  <si>
    <t>These estimates are as per the new Accenture proposal (yet to be finalized at the time of creating this 09 June)
Includes :
AD, AAD, PKI support = 505k
SOC = 512k
Qualys scanning = 438k
Symantec, Avecto, MDE = 113k
Security integration = 288k</t>
  </si>
  <si>
    <t>E5 Support contract (EUC)</t>
  </si>
  <si>
    <t>Reduced and is needed to cover for Symantec only until April 2024</t>
  </si>
  <si>
    <t>Non-SAP Operations SSR's &amp; NSSR's</t>
  </si>
  <si>
    <t>Uplift of 2% for paying SCF charges</t>
  </si>
  <si>
    <t>Microsoft Azure : Data &amp; Analytics</t>
  </si>
  <si>
    <t>Based on actual Azure costs for May 22 to April 23 of Euro 225k</t>
  </si>
  <si>
    <t>Based on actual Azure costs for May 22 to April 23 of Euro 104k</t>
  </si>
  <si>
    <t>As per MS contract + price increases starting in 2023 +  200 new licenses for Campos (50K)</t>
  </si>
  <si>
    <t>Microsoft Enterprise Services [Microsoft Enterprise Services - Unified support]</t>
  </si>
  <si>
    <t>Increase in costs as we are moving from Premier support to Unified support and costs change to a percentage of our total MS spend</t>
  </si>
  <si>
    <t>Based on actual Azure costs for May 22 to April 23 of Euro 83k</t>
  </si>
  <si>
    <t>Based on actual Azure costs for May 22 to April 23 of Euro 120k</t>
  </si>
  <si>
    <t>Based on actual Azure costs for May 22 to April 23 of Euro 171k</t>
  </si>
  <si>
    <t>Microsoft True-up</t>
  </si>
  <si>
    <t>Additional costs for MS Team Rooms Pro licenses + Powerapps licenses (for nintex migration too)</t>
  </si>
  <si>
    <t>Security (+Zscaler / Security + IPAM)</t>
  </si>
  <si>
    <t>Reduced, including uplift of 2% for paying SCF charges</t>
  </si>
  <si>
    <t>ClarOTy support for the factories</t>
  </si>
  <si>
    <t>Increase in costs to accommodate 12 months of line costs for Campos (3 new sites) + increase for DDoS + 50k bandwidth upgrades+ addition of new sites in MY, US etc. + Uplift of 2% for paying SCF charges</t>
  </si>
  <si>
    <t xml:space="preserve">144k WAN Campos costs deleted, will be part of the project </t>
  </si>
  <si>
    <t>TelcoView</t>
  </si>
  <si>
    <t>Reduced due to reduced scope</t>
  </si>
  <si>
    <t>Added 32k based on the true  up</t>
  </si>
  <si>
    <t>This will be paid for by the SLR III project</t>
  </si>
  <si>
    <t>Although this line is decomissioned, we still need this to pay for hosting core infra.</t>
  </si>
  <si>
    <t>CCoE platfrom support (Azure WAF Landing Zone support, other LZ support, tennant support etc.)</t>
  </si>
  <si>
    <t>Added for supporting our CCoE core infrastructure</t>
  </si>
  <si>
    <t>Azure connectivity hub</t>
  </si>
  <si>
    <t>Added for supporting the network part of our CCoE core infrastructure</t>
  </si>
  <si>
    <t>AVD Support</t>
  </si>
  <si>
    <t>AVD support costs based on the latest Accenture proposal</t>
  </si>
  <si>
    <t>MU only - These are the MU backup licensing costs and need to be cross charged to the factory</t>
  </si>
  <si>
    <t>Non-Standard Services (StoreOnce or another backup solution )</t>
  </si>
  <si>
    <t>MU only - These are for the MU backup solution (non standard requests)</t>
  </si>
  <si>
    <t>Software assurance (StoreOnce or another backup solution)</t>
  </si>
  <si>
    <t>MU only - These are the MU backup solution maintenance costs to the backup solution vendor</t>
  </si>
  <si>
    <t xml:space="preserve">AVEVA </t>
  </si>
  <si>
    <t>Support fee for template maintain processes</t>
  </si>
  <si>
    <t>Jelmder de Jong</t>
  </si>
  <si>
    <t>Support fee for 24/7 support for the plants using</t>
  </si>
  <si>
    <t>Licence related fee for software maintenance &amp; support</t>
  </si>
  <si>
    <t>Jira support</t>
  </si>
  <si>
    <t>Jira support resource</t>
  </si>
  <si>
    <t>Additional budget outsourcing requests core functions</t>
  </si>
  <si>
    <t>Incident maangement</t>
  </si>
  <si>
    <t>SAP C4C moved to dedicate resource</t>
  </si>
  <si>
    <t>260 websites live</t>
  </si>
  <si>
    <t>Azure costs decrease</t>
  </si>
  <si>
    <t>T&amp;M Infrastructure changes; AVD, adding DNS records, modifying volumes (Infra)</t>
  </si>
  <si>
    <t>Additional budget to accommodate small changes</t>
  </si>
  <si>
    <t>Pro.File</t>
  </si>
  <si>
    <t>GE Light Decide4Action</t>
  </si>
  <si>
    <t>Planisware</t>
  </si>
  <si>
    <t>Apttio decom</t>
  </si>
  <si>
    <t>Tamara</t>
  </si>
  <si>
    <t>Xtel Application AMS Support</t>
  </si>
  <si>
    <t xml:space="preserve">Xtel Application RFQ / Change budget </t>
  </si>
  <si>
    <t>Xtel Maintenance Fee</t>
  </si>
  <si>
    <t>SAP 5% maintenance increase</t>
  </si>
  <si>
    <t>END OF CHANGE LOG 2024</t>
  </si>
  <si>
    <t>HYGRAPH</t>
  </si>
  <si>
    <t>New app, charge to central DTC APP003154</t>
  </si>
  <si>
    <t xml:space="preserve">IT2 </t>
  </si>
  <si>
    <t>Cost increase</t>
  </si>
  <si>
    <t>Oracle contract termination</t>
  </si>
  <si>
    <t>5829345 Oracle Database Enterprise Edition - Named User Plus Perpetual</t>
  </si>
  <si>
    <t>Saving on ops services</t>
  </si>
  <si>
    <t>Canceled</t>
  </si>
  <si>
    <t>Suppport</t>
  </si>
  <si>
    <t>changed charging key to PC users for a better charge out</t>
  </si>
  <si>
    <t>Infra cost QlikView</t>
  </si>
  <si>
    <t>To be decommisisoned in Atos DC</t>
  </si>
  <si>
    <t>Infra cost Kevox</t>
  </si>
  <si>
    <t>Has been decommissioned</t>
  </si>
  <si>
    <t>Infra cost PDM</t>
  </si>
  <si>
    <t>Moved to Saas in 2024</t>
  </si>
  <si>
    <t>Garvis Roll out</t>
  </si>
  <si>
    <t>Extending to other Professional markets</t>
  </si>
  <si>
    <t>Sharath</t>
  </si>
  <si>
    <t>Pending input Sharath</t>
  </si>
  <si>
    <t>Billtrust E-Invoicing</t>
  </si>
  <si>
    <t>New Solution</t>
  </si>
  <si>
    <t>Decommissioning</t>
  </si>
  <si>
    <t>Insta Punch out</t>
  </si>
  <si>
    <t>Replacing Shopspray</t>
  </si>
  <si>
    <t>Conga increase</t>
  </si>
  <si>
    <t>Due to Fast forward</t>
  </si>
  <si>
    <t>Fast Forward</t>
  </si>
  <si>
    <t>New entiries to be added in CMDB end of 2024</t>
  </si>
  <si>
    <t>Salesforce license increase</t>
  </si>
  <si>
    <t>Decrease due to move Salesforce</t>
  </si>
  <si>
    <t>Leonie Ham</t>
  </si>
  <si>
    <t>EPI Server licenses</t>
  </si>
  <si>
    <t>Double check end of July</t>
  </si>
  <si>
    <t>Change cost center for Ownbackup</t>
  </si>
  <si>
    <t>Move to Ops</t>
  </si>
  <si>
    <t>Change cost center for Gearset</t>
  </si>
  <si>
    <t>Change cost center for Kendis</t>
  </si>
  <si>
    <t>Increase in support due to Fast forward</t>
  </si>
  <si>
    <t>Increase in scope NZ, AU, BE + inflation</t>
  </si>
  <si>
    <t>Contract change</t>
  </si>
  <si>
    <t>New module</t>
  </si>
  <si>
    <t>Contract extension</t>
  </si>
  <si>
    <t>Pending input VM, likely less cost</t>
  </si>
  <si>
    <t>Define charging Key in SAP L_AIC_USERS</t>
  </si>
  <si>
    <t>Charging Key</t>
  </si>
  <si>
    <t>Decomissioned due to migration to Optimizely</t>
  </si>
  <si>
    <t>Cognizant business services support</t>
  </si>
  <si>
    <t>Robin, you can mark this as non IT costs as these are pure marketing services. Exact costs to be confirmed by Bas</t>
  </si>
  <si>
    <t>New Charging Key to be used based on marketing users</t>
  </si>
  <si>
    <t>Bas offshore reduction. All BAS offshore in 2025</t>
  </si>
  <si>
    <t>Core AMS - Incident Management Services</t>
  </si>
  <si>
    <t>Reduction in monthly incident inflow (350 per month)</t>
  </si>
  <si>
    <t>Moved to Optimizely and Dev team digital</t>
  </si>
  <si>
    <t>Core AMS - Websites</t>
  </si>
  <si>
    <t>Moved to Optimizely. Domain and certificate management remains with Accenture (70k)</t>
  </si>
  <si>
    <t xml:space="preserve">Additional core functions budget </t>
  </si>
  <si>
    <t>Budget utilized for: Tas developer + SME support (CCN114 and 114a incidetns and enhancements added to those lines) &amp; r&amp;d resource. Total costs of 153k</t>
  </si>
  <si>
    <t>Based on actuals (junior resource)</t>
  </si>
  <si>
    <t>DevOps engineer SF PMT Team</t>
  </si>
  <si>
    <t>Rate confirmed, under foundational services</t>
  </si>
  <si>
    <t>Apptio Licence</t>
  </si>
  <si>
    <t>Decomissioning Apttio</t>
  </si>
  <si>
    <t>Apttio Support</t>
  </si>
  <si>
    <t>Optimizely</t>
  </si>
  <si>
    <t>Licences &amp; support</t>
  </si>
  <si>
    <t>number is from Eelke</t>
  </si>
  <si>
    <t>Restricted Party Screening (RPS)</t>
  </si>
  <si>
    <t>Kostya</t>
  </si>
  <si>
    <t>Reducing licenses ahead of Sunsetting Workplace by Meta</t>
  </si>
  <si>
    <t>Final Amount to be confirmed</t>
  </si>
  <si>
    <t>GeONE Excellent Support Bundle (NINTEX)</t>
  </si>
  <si>
    <t>Nintex Workflow Complete Pack</t>
  </si>
  <si>
    <t>Decommissioning Q1 2025</t>
  </si>
  <si>
    <t>Microsoft Power Automate</t>
  </si>
  <si>
    <t>License increase from IA Program</t>
  </si>
  <si>
    <t xml:space="preserve">AG5 </t>
  </si>
  <si>
    <t>Budget moves to central now application is rolled out</t>
  </si>
  <si>
    <t>HURIS Doc management</t>
  </si>
  <si>
    <t>New implementation</t>
  </si>
  <si>
    <t>Legal Privacy management tool</t>
  </si>
  <si>
    <t>Mandatory new implementation</t>
  </si>
  <si>
    <t>Legal COI tool</t>
  </si>
  <si>
    <t>Decommission</t>
  </si>
  <si>
    <t>Bruna</t>
  </si>
  <si>
    <t>D&amp;A Support Just-bi DevOps</t>
  </si>
  <si>
    <t>Increase in support</t>
  </si>
  <si>
    <t>Linda</t>
  </si>
  <si>
    <t>November 2024: Professional AOP needs to remain flat so the increase has been adjused</t>
  </si>
  <si>
    <t>Increase in users, additional server capacity</t>
  </si>
  <si>
    <t>Pending contract renegotiation</t>
  </si>
  <si>
    <t>Power-Bi</t>
  </si>
  <si>
    <t>Slight increase in users</t>
  </si>
  <si>
    <t>Bruna / Oscar</t>
  </si>
  <si>
    <t>Pending Microsoft contract</t>
  </si>
  <si>
    <t>Azure - Canari Insourcing</t>
  </si>
  <si>
    <t xml:space="preserve">Due to Nielsen data no longer available in Canari as per 1-1-2025 </t>
  </si>
  <si>
    <t>Bruna / Timur</t>
  </si>
  <si>
    <t>To be discussed with Sales team, budget to transfer from business to IT</t>
  </si>
  <si>
    <t>OT Data foundation</t>
  </si>
  <si>
    <t>Project go live</t>
  </si>
  <si>
    <t>To be check with Murat</t>
  </si>
  <si>
    <t>Getfeedback - DTC</t>
  </si>
  <si>
    <t>WeGrow licenses + upgrade</t>
  </si>
  <si>
    <t>Replacement Sprinklr</t>
  </si>
  <si>
    <t>Sprinklr</t>
  </si>
  <si>
    <t xml:space="preserve">New Solution </t>
  </si>
  <si>
    <t>Decommission, use functionality is Salesforce</t>
  </si>
  <si>
    <t>Sitecore Support</t>
  </si>
  <si>
    <t>Lowered effort</t>
  </si>
  <si>
    <t>Sitecore Licenses</t>
  </si>
  <si>
    <t>Contract renegotiation</t>
  </si>
  <si>
    <t>Confirmed by Eelke</t>
  </si>
  <si>
    <t>Vaimo Support</t>
  </si>
  <si>
    <t>Change allocation key to PC users</t>
  </si>
  <si>
    <t>Salesforce Service Cloud Increase</t>
  </si>
  <si>
    <t>Adding Coffee Care users due to Pega replacement</t>
  </si>
  <si>
    <t>DevOps SFDC - DTC</t>
  </si>
  <si>
    <t>One additional FTE to support Service Cloud - CANCELLED by Bas</t>
  </si>
  <si>
    <t>Coffee Care Support (Pega) Upgrade budget</t>
  </si>
  <si>
    <t>Decommissioned due to pega Replacement</t>
  </si>
  <si>
    <t>BICS License</t>
  </si>
  <si>
    <t>pending</t>
  </si>
  <si>
    <t>Assuming no additional resourced needed for AMS SF support compared to Pega</t>
  </si>
  <si>
    <t>check with BAS/Stefan</t>
  </si>
  <si>
    <t>-</t>
  </si>
  <si>
    <t>Pending confirmation</t>
  </si>
  <si>
    <t>Memory increase on shared service</t>
  </si>
  <si>
    <t>Introduction MFT</t>
  </si>
  <si>
    <t>New E-invoicing scope + Inflation</t>
  </si>
  <si>
    <t>Diego</t>
  </si>
  <si>
    <t>Reduction of effort</t>
  </si>
  <si>
    <t>Avecto</t>
  </si>
  <si>
    <t>Increase volume PWC</t>
  </si>
  <si>
    <t>Qualys RUN support</t>
  </si>
  <si>
    <t>CIS secure suite</t>
  </si>
  <si>
    <t>SOW 11 WebApp scanning</t>
  </si>
  <si>
    <t>ICS (AMS) position)</t>
  </si>
  <si>
    <t>Internal Control Supervisor which is mandatory and now outsourced</t>
  </si>
  <si>
    <t>Stellawr ICS</t>
  </si>
  <si>
    <t>RDD Service</t>
  </si>
  <si>
    <t>PAM managed (Cyberark Grabowski)</t>
  </si>
  <si>
    <t>OT Cyber Manager (consultant)</t>
  </si>
  <si>
    <t>Check if this needs to be Ops AOP</t>
  </si>
  <si>
    <t>Defender for servers</t>
  </si>
  <si>
    <t>SAP GRC 12 upgrade</t>
  </si>
  <si>
    <t>WO for it compliance</t>
  </si>
  <si>
    <t>If this is PWC, should this contract be on business side?</t>
  </si>
  <si>
    <t>UiPath Licenses</t>
  </si>
  <si>
    <t>Increase in # of modules due to IA program</t>
  </si>
  <si>
    <t>IA Program</t>
  </si>
  <si>
    <t>Ahmet</t>
  </si>
  <si>
    <t>Ai program</t>
  </si>
  <si>
    <t>Robotics Team Increase</t>
  </si>
  <si>
    <t>Support 26 Additional automations from IA program</t>
  </si>
  <si>
    <t>Redwood</t>
  </si>
  <si>
    <t>RunMyJobs Licenses</t>
  </si>
  <si>
    <t>Robin</t>
  </si>
  <si>
    <t>higher workload</t>
  </si>
  <si>
    <t>SAP Operations Atos</t>
  </si>
  <si>
    <t>Decomm Fiori Instance, CPS</t>
  </si>
  <si>
    <t>Taken out as costs are included in server charges</t>
  </si>
  <si>
    <t>313k (10 sites)+128.5k (5 sites)+ 60K (2 sites) + 50k(BAU strippenkaart)</t>
  </si>
  <si>
    <t>New contract as of August 2024 to be negotiated with ServiceNow (include Vendor Management)</t>
  </si>
  <si>
    <t>12k for strippenkaart. 20% for the memory topic</t>
  </si>
  <si>
    <t>No longer needed due to Pega Decommissioning</t>
  </si>
  <si>
    <t>Inflation ( 3%) + new factories (covered by licenses from Russia)</t>
  </si>
  <si>
    <t>Inflation + new factories</t>
  </si>
  <si>
    <t>5% increase in May 2025. Expected growth, 10k added</t>
  </si>
  <si>
    <t>No reference of increase form the vendor. We assumed 10% increase as the licenses expire at the end of November</t>
  </si>
  <si>
    <t>Manufacturing Dashboard Coffee en Tea</t>
  </si>
  <si>
    <t>403k for retail and affiliates + 3% expected increase (12k) + 40k for data director + 30k strippenkaart</t>
  </si>
  <si>
    <t>Goldfire Application</t>
  </si>
  <si>
    <t>10 % uplift requested by them</t>
  </si>
  <si>
    <t>5% increase in the agreement</t>
  </si>
  <si>
    <t>Will be replaced by SalesForce by Jan 2025. Bas V will add the increase on SF side on his AOP.</t>
  </si>
  <si>
    <t>Project Link (Pega) + BIX</t>
  </si>
  <si>
    <t>No change in amount. Contract goes until 2026. Key changed to PC users as it is also used in the markets.</t>
  </si>
  <si>
    <t>Increase due to change in license model. The extra costs are already in the Accolade cost included. the extra 60 K is included in the 290k) after check with Stefan Dijs)</t>
  </si>
  <si>
    <t>[Added 10k for extra the licenses + 5% inflation: Annual SaaS subscription: €40k + Annual licenses: €68k] + 7k for Disclosure module</t>
  </si>
  <si>
    <t>Plat4mation Hospitality App</t>
  </si>
  <si>
    <t>Aveva - 24/7 support</t>
  </si>
  <si>
    <t>This amount is the same as expected actual for 2024</t>
  </si>
  <si>
    <t>Aveva- Licenses</t>
  </si>
  <si>
    <t>St Pete will be out of scope, Berlin included, Elmshorn 50%</t>
  </si>
  <si>
    <t>Maintainance fee. Licenses are bought as part of the project and it is one-off cost</t>
  </si>
  <si>
    <t>7K for maintenance &amp; support of current lines in scope. 8K for scope extension to 2 new lines</t>
  </si>
  <si>
    <t>320K licenses, 40K small changes + support</t>
  </si>
  <si>
    <t>FACTS Platform (OT Data Foundation)</t>
  </si>
  <si>
    <t>Base fee for all = 18k + 6k proactive service for Sula + 6k reactive service for Sula</t>
  </si>
  <si>
    <t>Music3</t>
  </si>
  <si>
    <t>Jmp Statistical Discovery Llc</t>
  </si>
  <si>
    <t>Application moving from Local to Global. Used only by R&amp;D, hence charged to Central R&amp;D. 90 day notice there is no mention to fixed increase</t>
  </si>
  <si>
    <t>Charging Key changes L-FACTORIES-SIZE</t>
  </si>
  <si>
    <t>APP000054 RFGEN, APP000065 TraceIT, APP001908 Point X, APP002760 Error Proof Loading, APP003158 Pro.File, APP003053 Digital MOS SHE Module</t>
  </si>
  <si>
    <t>Charging Key changes L-PC-USERS</t>
  </si>
  <si>
    <t>APP002880 Pega Link</t>
  </si>
  <si>
    <t>Charging Key changes Central</t>
  </si>
  <si>
    <t>APP002944 Google Translate, APP000051 Goldfire Application, APP000354 EyeQuestion SAAS</t>
  </si>
  <si>
    <t>Oracle Direct Application charging</t>
  </si>
  <si>
    <t>Loading Oracle DB Licenses fees onto applications still using Oracle</t>
  </si>
  <si>
    <t>APP000671</t>
  </si>
  <si>
    <t>Splitting Oracle Fees</t>
  </si>
  <si>
    <t>Xtel Support Kantar</t>
  </si>
  <si>
    <t>Increase due to roll out APAC region</t>
  </si>
  <si>
    <t>Ceasare</t>
  </si>
  <si>
    <t>Xtel Maintenance fee</t>
  </si>
  <si>
    <t>Correction on 2024 fee</t>
  </si>
  <si>
    <t xml:space="preserve">C4C Fee </t>
  </si>
  <si>
    <t>Decrease due to FR &amp; Poland moving to new solution</t>
  </si>
  <si>
    <t>Tellus</t>
  </si>
  <si>
    <t>New SFA tooling retail to replace C4C, PL &amp; FR Only</t>
  </si>
  <si>
    <t>Infrastructure services: Servers</t>
  </si>
  <si>
    <t>Other EUC Infra Changes (packaging, service catalog)</t>
  </si>
  <si>
    <t>T&amp;M Infrastructure changes; VDI, adding DNS records, modifying volumes (Infra)</t>
  </si>
  <si>
    <t>T&amp;M Maintenance Projects, interfacing (Infra)</t>
  </si>
  <si>
    <t>Genesys PureConnect SSRs &amp; NSSRs</t>
  </si>
  <si>
    <t>Decommissioned, moves to Vonage</t>
  </si>
  <si>
    <t>Genesys PureConnect support</t>
  </si>
  <si>
    <t>Non-Standard Services (StoreOnce )</t>
  </si>
  <si>
    <t>Metrix Subscription</t>
  </si>
  <si>
    <t>Decrease in users based on actuals</t>
  </si>
  <si>
    <t>Data Lake</t>
  </si>
  <si>
    <t>Microsoft renegotiation</t>
  </si>
  <si>
    <t>Optimizing Azure tenant</t>
  </si>
  <si>
    <t>Microsoft Azure : OT Data Foundation</t>
  </si>
  <si>
    <t>Only for 1 plant confirmed by Murat</t>
  </si>
  <si>
    <t>No longer needed due to risk mitigation</t>
  </si>
  <si>
    <t>Security (+Zscaler / Security)</t>
  </si>
  <si>
    <t>Check 1</t>
  </si>
  <si>
    <t>Microsoft Power Automate &amp; Power Apps</t>
  </si>
  <si>
    <t>double entry</t>
  </si>
  <si>
    <t>Microsoft Copilot licenses</t>
  </si>
  <si>
    <t>CoPilot</t>
  </si>
  <si>
    <t>Initially Cancelled and re-entered on 25-7-2025 on behalf of Carolyn. Adjusted to 25k inNovember by Lieke and agreed with finance, since this is the charge for R&amp;d only</t>
  </si>
  <si>
    <t>SharePoint archiving solution</t>
  </si>
  <si>
    <t>Microsoft Azure: OT DMZ</t>
  </si>
  <si>
    <t>ISE support for factories (central and local)</t>
  </si>
  <si>
    <t>Checkpoint APPSEC support for factories</t>
  </si>
  <si>
    <t>Checkpoint firewall (Cloudguard) on OT DMZ support</t>
  </si>
  <si>
    <t xml:space="preserve">WLC support for factories </t>
  </si>
  <si>
    <t>Cloud network elements support</t>
  </si>
  <si>
    <t>Network operations improvement</t>
  </si>
  <si>
    <t>OT Governance &amp; Service Delivery</t>
  </si>
  <si>
    <t>Microsoft Azure: ACN_SOC-OT</t>
  </si>
  <si>
    <t>OT SOC support</t>
  </si>
  <si>
    <t>Microsoft Hybrid Server, Cloud Enrollment, Basic user license - For OT</t>
  </si>
  <si>
    <t>PKI service</t>
  </si>
  <si>
    <t>Managed OT RAS Service</t>
  </si>
  <si>
    <t>ICAP File scanning Managed Service</t>
  </si>
  <si>
    <t>Redhat Enterprise linux licenses (per MU)</t>
  </si>
  <si>
    <t>Redhat Enterprise linux licenses (DMZ)</t>
  </si>
  <si>
    <t>Redhat Enterprise linux satellite licenses (DMZ)</t>
  </si>
  <si>
    <t>OT Azure Tennant support</t>
  </si>
  <si>
    <t>Veeam Licenses (Advanced)</t>
  </si>
  <si>
    <t>OT file share service</t>
  </si>
  <si>
    <t>RDS service (Beyond Trust)</t>
  </si>
  <si>
    <t>VMWare licenses</t>
  </si>
  <si>
    <t>SAP hosting in India</t>
  </si>
  <si>
    <t>SAP Carve Out Russia</t>
  </si>
  <si>
    <t>Russia Carveout</t>
  </si>
  <si>
    <t>Line costs for SAP hosting in India</t>
  </si>
  <si>
    <t>Hygraph</t>
  </si>
  <si>
    <t>Additional Webshops</t>
  </si>
  <si>
    <t>Adobe cloud Magento</t>
  </si>
  <si>
    <t>Contract renewal</t>
  </si>
  <si>
    <t>OT RAS - BeyondTrust licenses Privileged Remote Access (PRA)</t>
  </si>
  <si>
    <t>Estimate 1825, to be checked end 2024)</t>
  </si>
  <si>
    <t>OT RAS - BeyondTrust Appliance B Series-VM Subscription</t>
  </si>
  <si>
    <t>OT RAS - SIEM Tool Integration Subscription (PRA) &amp; Advanced Web Access Subscription</t>
  </si>
  <si>
    <t>other license costs - SIEM &amp; Advanced Web access</t>
  </si>
  <si>
    <t>OT RAS - (Tech. Account Man.)</t>
  </si>
  <si>
    <t>Renewal Term: August 1, 2024 - January 31, 2025</t>
  </si>
  <si>
    <t>SoftwareOne</t>
  </si>
  <si>
    <t>EDR Licenses (Stellar ICS)</t>
  </si>
  <si>
    <t>Avensus</t>
  </si>
  <si>
    <t>Entrust Edge F2 HSM with one year of Avensus</t>
  </si>
  <si>
    <t>Opswat</t>
  </si>
  <si>
    <t>ICAP File scanning (DMZ)</t>
  </si>
  <si>
    <t>Snow Platform support</t>
  </si>
  <si>
    <t>Move to SaaS Environment</t>
  </si>
  <si>
    <t>Rohan</t>
  </si>
  <si>
    <t>License management</t>
  </si>
  <si>
    <t>Van Sambeek support inflation</t>
  </si>
  <si>
    <t>AMS Dell Boomi Support</t>
  </si>
  <si>
    <t>Additional resource</t>
  </si>
  <si>
    <t>D7A DevOps</t>
  </si>
  <si>
    <t>Additional scope ESG reporting</t>
  </si>
  <si>
    <t>Dar</t>
  </si>
  <si>
    <t>Charging Key L-FACTORIES replacement</t>
  </si>
  <si>
    <t>Visier licenses &amp; support</t>
  </si>
  <si>
    <t>Cyberark</t>
  </si>
  <si>
    <t>ServiceNow Licenses &amp; support</t>
  </si>
  <si>
    <t>Increase userbase</t>
  </si>
  <si>
    <t>Change Data Lake Application ID to PowerBI</t>
  </si>
  <si>
    <t>Websites Azure costs redutiom</t>
  </si>
  <si>
    <t>Move to Optimizely</t>
  </si>
  <si>
    <t>processed</t>
  </si>
  <si>
    <t>annual</t>
  </si>
  <si>
    <t>diving into two rows, 1 for DTC and 1 for R&amp;D both 185k</t>
  </si>
  <si>
    <t>X-center Managed service</t>
  </si>
  <si>
    <t>BCC Support take from the scope</t>
  </si>
  <si>
    <t>Rob</t>
  </si>
  <si>
    <t>HP ALM / UFT</t>
  </si>
  <si>
    <t>Decommission in Favor of UIPath</t>
  </si>
  <si>
    <t>UiPath Licencese</t>
  </si>
  <si>
    <t>PIMS Solution</t>
  </si>
  <si>
    <t>New solution Introduced in France / Global Sales</t>
  </si>
  <si>
    <t>Dominique</t>
  </si>
  <si>
    <t>HCL</t>
  </si>
  <si>
    <t>Russia Hosting and Basis Services</t>
  </si>
  <si>
    <t>Hamilton grand</t>
  </si>
  <si>
    <t>split line item in 2 (1 for R&amp;d and 1 for Operations) this was apprently done by finance for the last years therefore changing this as well in the aop file</t>
  </si>
  <si>
    <t>Lieke</t>
  </si>
  <si>
    <t>Decommission as this solution is no longer needed</t>
  </si>
  <si>
    <t>Active Embedded Support</t>
  </si>
  <si>
    <t>Renewal against new terms</t>
  </si>
  <si>
    <t>SAP CDP Support</t>
  </si>
  <si>
    <t>No longer supported by SAP</t>
  </si>
  <si>
    <t>Figma Solution</t>
  </si>
  <si>
    <t>Required next to running Optimizely</t>
  </si>
  <si>
    <t>Decommission due to move 2 cloud</t>
  </si>
  <si>
    <t>Splunk Subscription</t>
  </si>
  <si>
    <t>Move 2 cloud</t>
  </si>
  <si>
    <t>docusign CLM contract lifecycle management tool</t>
  </si>
  <si>
    <t>Trace it</t>
  </si>
  <si>
    <t>add 3 locations</t>
  </si>
  <si>
    <t>Marco/Stefan</t>
  </si>
  <si>
    <t>SAM Pro</t>
  </si>
  <si>
    <t>divide between licences service now and Itam support</t>
  </si>
  <si>
    <t xml:space="preserve">Double check </t>
  </si>
  <si>
    <t>Decomission snow support</t>
  </si>
  <si>
    <t>Replaced by Sam Pro</t>
  </si>
  <si>
    <t>Decomission snow licences</t>
  </si>
  <si>
    <t xml:space="preserve">IT2 inflation </t>
  </si>
  <si>
    <t xml:space="preserve">Trace IT / Novexx </t>
  </si>
  <si>
    <t>Saviynt annual run costs</t>
  </si>
  <si>
    <t>Actuals lower than AOP</t>
  </si>
  <si>
    <t>Boomi licences</t>
  </si>
  <si>
    <t xml:space="preserve">Pega </t>
  </si>
  <si>
    <t>decomissioning and replaced by Salesforce service Cloud</t>
  </si>
  <si>
    <t>Connector4U Pro Licenses</t>
  </si>
  <si>
    <t>Inflation correction over 3 years</t>
  </si>
  <si>
    <t xml:space="preserve">Replaced with </t>
  </si>
  <si>
    <t>Infra Cost Proxxes</t>
  </si>
  <si>
    <t>Replaced with Service Now SAPPro</t>
  </si>
  <si>
    <t>Plat4mation Enhancement budget</t>
  </si>
  <si>
    <t>Replaced with Plat4mation ServiceNow Support</t>
  </si>
  <si>
    <t>Platform fee &amp; managed service Giarte</t>
  </si>
  <si>
    <t>Additional storage &amp; licenses</t>
  </si>
  <si>
    <t>ServiceNow, service management and platform</t>
  </si>
  <si>
    <t>Consolidated service Plat4mation</t>
  </si>
  <si>
    <t>SPSS Upgrade</t>
  </si>
  <si>
    <t>Check if we want to scrap this Fully</t>
  </si>
  <si>
    <t>SPSS Upgrade landscape</t>
  </si>
  <si>
    <t>Renamed to new product</t>
  </si>
  <si>
    <t>Trend</t>
  </si>
  <si>
    <t>Contract ID</t>
  </si>
  <si>
    <t>Category</t>
  </si>
  <si>
    <t>Line in AOP template</t>
  </si>
  <si>
    <t>Service1</t>
  </si>
  <si>
    <t>Service2</t>
  </si>
  <si>
    <t>Vendor Code</t>
  </si>
  <si>
    <t>Vendor</t>
  </si>
  <si>
    <t>PO</t>
  </si>
  <si>
    <t>Line</t>
  </si>
  <si>
    <t>Owner</t>
  </si>
  <si>
    <t>Consulted</t>
  </si>
  <si>
    <t>Charging Basis</t>
  </si>
  <si>
    <t>FUNCTION</t>
  </si>
  <si>
    <t>AOP 2023</t>
  </si>
  <si>
    <t>AOP 2024</t>
  </si>
  <si>
    <t>AOP 2025</t>
  </si>
  <si>
    <t>Variance</t>
  </si>
  <si>
    <t>% Change</t>
  </si>
  <si>
    <t>Comments</t>
  </si>
  <si>
    <t>% spent</t>
  </si>
  <si>
    <t>Invoice Schedule</t>
  </si>
  <si>
    <t>Method</t>
  </si>
  <si>
    <t>Timing</t>
  </si>
  <si>
    <t>Comments PMO / FIN</t>
  </si>
  <si>
    <t>Active</t>
  </si>
  <si>
    <t>CW9748</t>
  </si>
  <si>
    <t>SAP suite</t>
  </si>
  <si>
    <t>L-XTEL-USERS</t>
  </si>
  <si>
    <t>Shared Platforms</t>
  </si>
  <si>
    <t>Yearly</t>
  </si>
  <si>
    <t>GR</t>
  </si>
  <si>
    <t>Pre</t>
  </si>
  <si>
    <t>CW9746</t>
  </si>
  <si>
    <t>APP000744</t>
  </si>
  <si>
    <t>L-SAP-USERS</t>
  </si>
  <si>
    <t>CW9769</t>
  </si>
  <si>
    <t>Inactive</t>
  </si>
  <si>
    <t>CW9750</t>
  </si>
  <si>
    <t>Pre Paid</t>
  </si>
  <si>
    <t>CW9754</t>
  </si>
  <si>
    <t>Quarterly</t>
  </si>
  <si>
    <t>CW9756</t>
  </si>
  <si>
    <t>CW9766</t>
  </si>
  <si>
    <t>APP000398</t>
  </si>
  <si>
    <t>L-PC-USERS</t>
  </si>
  <si>
    <t>CW11420</t>
  </si>
  <si>
    <t>PCConnectivity</t>
  </si>
  <si>
    <t>Accenture B.V</t>
  </si>
  <si>
    <t>Spot</t>
  </si>
  <si>
    <t>CW14716</t>
  </si>
  <si>
    <t>R&amp;D</t>
  </si>
  <si>
    <t>CW7648</t>
  </si>
  <si>
    <t>Actemium</t>
  </si>
  <si>
    <t>Albert</t>
  </si>
  <si>
    <t>L-FACTORIES-SIZE</t>
  </si>
  <si>
    <t>Manufacturing</t>
  </si>
  <si>
    <t>CW4737</t>
  </si>
  <si>
    <t>CW14359</t>
  </si>
  <si>
    <t>APP000018</t>
  </si>
  <si>
    <t>Ad hoc support compliance (AMS)</t>
  </si>
  <si>
    <t>CW7983</t>
  </si>
  <si>
    <t>APP000011</t>
  </si>
  <si>
    <t>Jeroen</t>
  </si>
  <si>
    <t>Infra/EUS</t>
  </si>
  <si>
    <t>CW63586</t>
  </si>
  <si>
    <t>APP002669</t>
  </si>
  <si>
    <t>HR/Legal</t>
  </si>
  <si>
    <t>CW13896</t>
  </si>
  <si>
    <t>APP002809</t>
  </si>
  <si>
    <t>Aico Group Oy</t>
  </si>
  <si>
    <t>L_AIC_USERS</t>
  </si>
  <si>
    <t>Finance</t>
  </si>
  <si>
    <t>ALM Octane</t>
  </si>
  <si>
    <t>CW5498</t>
  </si>
  <si>
    <t>IT4IT</t>
  </si>
  <si>
    <t>APP002758</t>
  </si>
  <si>
    <t xml:space="preserve">AlteryX </t>
  </si>
  <si>
    <t>CW4729</t>
  </si>
  <si>
    <t>5401084788 / 5401084789</t>
  </si>
  <si>
    <t>Patrick</t>
  </si>
  <si>
    <t>L-ALTERYX-USERS</t>
  </si>
  <si>
    <t>CW10785</t>
  </si>
  <si>
    <t>SAPAPPS</t>
  </si>
  <si>
    <t>APP001010</t>
  </si>
  <si>
    <t>Descoped from AMS</t>
  </si>
  <si>
    <t>CW5510</t>
  </si>
  <si>
    <t>APP002309</t>
  </si>
  <si>
    <t>Apptio Inc</t>
  </si>
  <si>
    <t>Ashish</t>
  </si>
  <si>
    <t>CW9512</t>
  </si>
  <si>
    <t>ITs Value Consultancy</t>
  </si>
  <si>
    <t>Marek</t>
  </si>
  <si>
    <t>GR without inv</t>
  </si>
  <si>
    <t>Post</t>
  </si>
  <si>
    <t>CW14775</t>
  </si>
  <si>
    <t>APP003015</t>
  </si>
  <si>
    <t>Aravo Solutions, Inc.</t>
  </si>
  <si>
    <t>CW5923</t>
  </si>
  <si>
    <t>APP001804</t>
  </si>
  <si>
    <t>Stanislav Stoyanov</t>
  </si>
  <si>
    <t>Central</t>
  </si>
  <si>
    <t>PROC</t>
  </si>
  <si>
    <t>3-Year</t>
  </si>
  <si>
    <t>CW63379</t>
  </si>
  <si>
    <t>APP003153</t>
  </si>
  <si>
    <t>Digital</t>
  </si>
  <si>
    <t>CW12537</t>
  </si>
  <si>
    <t>Infrastructure Cost Non-SAP applications</t>
  </si>
  <si>
    <t>InfraNonSAP</t>
  </si>
  <si>
    <t>Eviden (ATOS)</t>
  </si>
  <si>
    <t>Atos SAP Operations, Storage &amp; Batch Management</t>
  </si>
  <si>
    <t>CW13829</t>
  </si>
  <si>
    <t>APP000167</t>
  </si>
  <si>
    <t>Vasco</t>
  </si>
  <si>
    <t>New Key</t>
  </si>
  <si>
    <t>CW10007</t>
  </si>
  <si>
    <t>APP001977</t>
  </si>
  <si>
    <t>Professional Developm Systems B.V.</t>
  </si>
  <si>
    <t>CW60578</t>
  </si>
  <si>
    <t>FactorySec</t>
  </si>
  <si>
    <t>Avensus Nederland B.V.</t>
  </si>
  <si>
    <t>CW64000</t>
  </si>
  <si>
    <t>APP002146</t>
  </si>
  <si>
    <t>Aveva - template maintenance</t>
  </si>
  <si>
    <t>CW62269</t>
  </si>
  <si>
    <t>Marco</t>
  </si>
  <si>
    <t>Aveva- Licences</t>
  </si>
  <si>
    <t>CW63114</t>
  </si>
  <si>
    <t>5401084018 / 5401094870</t>
  </si>
  <si>
    <t>CW11529</t>
  </si>
  <si>
    <t>Azure Cloud Monitoring &amp; Support</t>
  </si>
  <si>
    <t>Offshoring Bas</t>
  </si>
  <si>
    <t>CW56635</t>
  </si>
  <si>
    <t>APP003261</t>
  </si>
  <si>
    <t>Billtrust</t>
  </si>
  <si>
    <t>Koen</t>
  </si>
  <si>
    <t>L-SF-USERS</t>
  </si>
  <si>
    <t>Professional DevOps</t>
  </si>
  <si>
    <t>CW12936</t>
  </si>
  <si>
    <t>CW12290</t>
  </si>
  <si>
    <t>APP002946</t>
  </si>
  <si>
    <t>Boost AI AS</t>
  </si>
  <si>
    <t>BPC Support</t>
  </si>
  <si>
    <t>CW9648</t>
  </si>
  <si>
    <t>APP000020</t>
  </si>
  <si>
    <t>CW5898</t>
  </si>
  <si>
    <t>APP002535</t>
  </si>
  <si>
    <t>Broweerstack Inc.</t>
  </si>
  <si>
    <t>CW7152</t>
  </si>
  <si>
    <t>Cape systems Esko</t>
  </si>
  <si>
    <t>CCoE platfrom support (Azure WAF Landing Zone support)</t>
  </si>
  <si>
    <t>CW62031</t>
  </si>
  <si>
    <t>CW56953</t>
  </si>
  <si>
    <t>APP001725</t>
  </si>
  <si>
    <t>SalesForce</t>
  </si>
  <si>
    <t>L-CLICK-USERS</t>
  </si>
  <si>
    <t>CW14991</t>
  </si>
  <si>
    <t>n/a</t>
  </si>
  <si>
    <t>APP002825</t>
  </si>
  <si>
    <t>Cargoo AG</t>
  </si>
  <si>
    <t>C&amp;T</t>
  </si>
  <si>
    <t>CW7633</t>
  </si>
  <si>
    <t>APP002609</t>
  </si>
  <si>
    <t>Pegasystems</t>
  </si>
  <si>
    <t>Moves to Salesforce</t>
  </si>
  <si>
    <t>CW63049</t>
  </si>
  <si>
    <t>APP003255</t>
  </si>
  <si>
    <t>CW11966</t>
  </si>
  <si>
    <t>APP002318</t>
  </si>
  <si>
    <t>Concur T&amp;E Tool</t>
  </si>
  <si>
    <t>CW5181</t>
  </si>
  <si>
    <t>Concur Holdings</t>
  </si>
  <si>
    <t>CW11957</t>
  </si>
  <si>
    <t>APP002884</t>
  </si>
  <si>
    <t>Martijn</t>
  </si>
  <si>
    <t>Conga Annual Subscription + Support</t>
  </si>
  <si>
    <t>CW4286</t>
  </si>
  <si>
    <t>APP001951</t>
  </si>
  <si>
    <t>Conga Corporation</t>
  </si>
  <si>
    <t>L-APT-USERS</t>
  </si>
  <si>
    <t>Connected Coffee Machine Support</t>
  </si>
  <si>
    <t>CW62108</t>
  </si>
  <si>
    <t>APP002668</t>
  </si>
  <si>
    <t>CW7941</t>
  </si>
  <si>
    <t>APP000007</t>
  </si>
  <si>
    <t>CW13688</t>
  </si>
  <si>
    <t>Convercent, Inc.</t>
  </si>
  <si>
    <t>Core AMS - Foundation Services</t>
  </si>
  <si>
    <t>PMT Devops Engineer</t>
  </si>
  <si>
    <t>Reduction through automation</t>
  </si>
  <si>
    <t>Core AMS - User Management Services</t>
  </si>
  <si>
    <t>Reduction due to moce cognizant</t>
  </si>
  <si>
    <t>Cornerstone Performance and Talent</t>
  </si>
  <si>
    <t>CW5523</t>
  </si>
  <si>
    <t>APP000043</t>
  </si>
  <si>
    <t>Cornerstone OnDemand Ltd</t>
  </si>
  <si>
    <t>Crunchr Licenses + Support</t>
  </si>
  <si>
    <t>CW4379</t>
  </si>
  <si>
    <t>APP002476</t>
  </si>
  <si>
    <t>Focus Orange Technology B.V.</t>
  </si>
  <si>
    <t>CW13194</t>
  </si>
  <si>
    <t>CW7631</t>
  </si>
  <si>
    <t>APP000255</t>
  </si>
  <si>
    <t>Engagor NV</t>
  </si>
  <si>
    <t>CW60827</t>
  </si>
  <si>
    <t>APP003224</t>
  </si>
  <si>
    <t>D&amp;A Prof Support</t>
  </si>
  <si>
    <t>CW9446</t>
  </si>
  <si>
    <t>APP001760</t>
  </si>
  <si>
    <t>EPAM Systems Netherlands B.V. (Just BI B.V.)</t>
  </si>
  <si>
    <t>D&amp;A Retail Support</t>
  </si>
  <si>
    <t>CW7618</t>
  </si>
  <si>
    <t>APP002101</t>
  </si>
  <si>
    <t>Boomi BeNeLux B.V</t>
  </si>
  <si>
    <t>Tech Integration</t>
  </si>
  <si>
    <t>APP001874</t>
  </si>
  <si>
    <t>70/200</t>
  </si>
  <si>
    <t>CW56871</t>
  </si>
  <si>
    <t>APP002863</t>
  </si>
  <si>
    <t>4Industry b.v.</t>
  </si>
  <si>
    <t>Pre paid</t>
  </si>
  <si>
    <t>APP003053</t>
  </si>
  <si>
    <t>4Industry B.V.</t>
  </si>
  <si>
    <t>CW67903</t>
  </si>
  <si>
    <t>APP002655</t>
  </si>
  <si>
    <t>CW13771</t>
  </si>
  <si>
    <t>APP002415</t>
  </si>
  <si>
    <t>EDI: Comarch</t>
  </si>
  <si>
    <t>CW8581</t>
  </si>
  <si>
    <t>APP002928</t>
  </si>
  <si>
    <t>Comarch AG Belgian branch</t>
  </si>
  <si>
    <t>Effacts | Legisway</t>
  </si>
  <si>
    <t>CW6670</t>
  </si>
  <si>
    <t>APP001834</t>
  </si>
  <si>
    <t>Wolters Kluwer</t>
  </si>
  <si>
    <t>Email Protection</t>
  </si>
  <si>
    <t>CW13839</t>
  </si>
  <si>
    <t>CW4271</t>
  </si>
  <si>
    <t>Unified Communication</t>
  </si>
  <si>
    <t>UniComm</t>
  </si>
  <si>
    <t>CW5940</t>
  </si>
  <si>
    <t>EPiServer</t>
  </si>
  <si>
    <t>CW4333</t>
  </si>
  <si>
    <t>APP002733</t>
  </si>
  <si>
    <t>EPI-Use Maintenance</t>
  </si>
  <si>
    <t>CW4382</t>
  </si>
  <si>
    <t>APP001036</t>
  </si>
  <si>
    <t>Half-Year</t>
  </si>
  <si>
    <t>CW9144</t>
  </si>
  <si>
    <t>Error Proof Loading (EPL)</t>
  </si>
  <si>
    <t>CW62267</t>
  </si>
  <si>
    <t>APP002760</t>
  </si>
  <si>
    <t>AVEVA Software Netherlands</t>
  </si>
  <si>
    <t>CW5195</t>
  </si>
  <si>
    <t>APP000354</t>
  </si>
  <si>
    <t>Logic8</t>
  </si>
  <si>
    <t>APP003236</t>
  </si>
  <si>
    <t>Inimco Bv</t>
  </si>
  <si>
    <t>CW5502</t>
  </si>
  <si>
    <t>APP001975</t>
  </si>
  <si>
    <t>CW14689</t>
  </si>
  <si>
    <t>APP003046</t>
  </si>
  <si>
    <t>Garvis B.V.</t>
  </si>
  <si>
    <t>Supply Chain</t>
  </si>
  <si>
    <t>GE Light OEE Toolkit</t>
  </si>
  <si>
    <t>APP003159</t>
  </si>
  <si>
    <t xml:space="preserve">Gearset </t>
  </si>
  <si>
    <t>CW10435</t>
  </si>
  <si>
    <t>APP002662</t>
  </si>
  <si>
    <t>Bright Market LLC dba FastSpring</t>
  </si>
  <si>
    <t>CW5716</t>
  </si>
  <si>
    <t>Frontline</t>
  </si>
  <si>
    <t>CW61739</t>
  </si>
  <si>
    <t>APP000997</t>
  </si>
  <si>
    <t>Nintex UK</t>
  </si>
  <si>
    <t>CW57696</t>
  </si>
  <si>
    <t>APP003157</t>
  </si>
  <si>
    <t>SurveyMonkey Europe</t>
  </si>
  <si>
    <t>GetFeedback - DTC</t>
  </si>
  <si>
    <t>APP003177</t>
  </si>
  <si>
    <t>Github Annual Subscription + Support</t>
  </si>
  <si>
    <t>CW9827</t>
  </si>
  <si>
    <t>APP002314</t>
  </si>
  <si>
    <t>Global Efax tool</t>
  </si>
  <si>
    <t>CW6681</t>
  </si>
  <si>
    <t>APP000114</t>
  </si>
  <si>
    <t>J2 Global Ireland Limited (Consensus)</t>
  </si>
  <si>
    <t>CW7049</t>
  </si>
  <si>
    <t>APP000069</t>
  </si>
  <si>
    <t>Alizent Canada Inc.</t>
  </si>
  <si>
    <t>CW9780</t>
  </si>
  <si>
    <t>Allium Uk Holdings Ltd.</t>
  </si>
  <si>
    <t>R&amp;d</t>
  </si>
  <si>
    <t>Google Analytics /GTM contract</t>
  </si>
  <si>
    <t>CW64615</t>
  </si>
  <si>
    <t>Google Translate</t>
  </si>
  <si>
    <t>APP002944</t>
  </si>
  <si>
    <t>GRC Access Controls</t>
  </si>
  <si>
    <t>CW9851</t>
  </si>
  <si>
    <t>APP000026</t>
  </si>
  <si>
    <t>GRC Process Control Support</t>
  </si>
  <si>
    <t>CW7158</t>
  </si>
  <si>
    <t>APP001896</t>
  </si>
  <si>
    <t>APP001185</t>
  </si>
  <si>
    <t>HURIS Doc managemnt</t>
  </si>
  <si>
    <t>CW64322</t>
  </si>
  <si>
    <t>APP003275</t>
  </si>
  <si>
    <t>Hygraph Licencing</t>
  </si>
  <si>
    <t>CW58186</t>
  </si>
  <si>
    <t>APP003191</t>
  </si>
  <si>
    <t>i21 Maintenance</t>
  </si>
  <si>
    <t>CW4322</t>
  </si>
  <si>
    <t>IBM API Management tool</t>
  </si>
  <si>
    <t>CW57235</t>
  </si>
  <si>
    <t>APP003057</t>
  </si>
  <si>
    <t>CW13655</t>
  </si>
  <si>
    <t>APP003006</t>
  </si>
  <si>
    <t>CW10840</t>
  </si>
  <si>
    <t>APP002649</t>
  </si>
  <si>
    <t>Saviynt Europe Ltd</t>
  </si>
  <si>
    <t>Influe / EWR</t>
  </si>
  <si>
    <t>CW13489</t>
  </si>
  <si>
    <t>APP000394</t>
  </si>
  <si>
    <t>GENERIX</t>
  </si>
  <si>
    <t>Infrastructure services: Servers &amp; Storage</t>
  </si>
  <si>
    <t>Infrastructureservices: Servers</t>
  </si>
  <si>
    <t>CW60880</t>
  </si>
  <si>
    <t>APP003277</t>
  </si>
  <si>
    <t>Galexia Tech OÜ</t>
  </si>
  <si>
    <t>90/100</t>
  </si>
  <si>
    <t>CW5676</t>
  </si>
  <si>
    <t>CW7975</t>
  </si>
  <si>
    <t>APP000463</t>
  </si>
  <si>
    <t>Rabish Shaunak</t>
  </si>
  <si>
    <t xml:space="preserve">IXOS Support </t>
  </si>
  <si>
    <t>CW6679</t>
  </si>
  <si>
    <t>X-center</t>
  </si>
  <si>
    <t>CW15013</t>
  </si>
  <si>
    <t>APP003064</t>
  </si>
  <si>
    <t>Jira Licenses</t>
  </si>
  <si>
    <t>CW9789</t>
  </si>
  <si>
    <t>APP000150</t>
  </si>
  <si>
    <t>Atlassian</t>
  </si>
  <si>
    <t>Jira Support</t>
  </si>
  <si>
    <t>APP000376</t>
  </si>
  <si>
    <t>CW12623</t>
  </si>
  <si>
    <t>APP002937</t>
  </si>
  <si>
    <t>CW67269</t>
  </si>
  <si>
    <t>APP003287</t>
  </si>
  <si>
    <t>GAN Integrity</t>
  </si>
  <si>
    <t>CW67899</t>
  </si>
  <si>
    <t>APP003288</t>
  </si>
  <si>
    <t>CW67390</t>
  </si>
  <si>
    <t>CW35589</t>
  </si>
  <si>
    <t>APP002951</t>
  </si>
  <si>
    <t>Litmus Software Inc.</t>
  </si>
  <si>
    <t>Loqate</t>
  </si>
  <si>
    <t>CW7848</t>
  </si>
  <si>
    <t>APP002674</t>
  </si>
  <si>
    <t>GB Group plc</t>
  </si>
  <si>
    <t>CW5969</t>
  </si>
  <si>
    <t>Magento Commerce Cloud (Adobe)</t>
  </si>
  <si>
    <t>CW58468</t>
  </si>
  <si>
    <t>CW5971</t>
  </si>
  <si>
    <t>APP002450</t>
  </si>
  <si>
    <t>CW61529</t>
  </si>
  <si>
    <t>CW14704</t>
  </si>
  <si>
    <t>Google Cloud Emea Limited</t>
  </si>
  <si>
    <t>APP001588</t>
  </si>
  <si>
    <t>CW13795</t>
  </si>
  <si>
    <t>APP000838</t>
  </si>
  <si>
    <t>Meridian VAT Application</t>
  </si>
  <si>
    <t>CW7140</t>
  </si>
  <si>
    <t>APP000005</t>
  </si>
  <si>
    <t>Meridian VAT processing</t>
  </si>
  <si>
    <t>CW12933</t>
  </si>
  <si>
    <t>APP002947</t>
  </si>
  <si>
    <t>Metapack LtD</t>
  </si>
  <si>
    <t>CW5500</t>
  </si>
  <si>
    <t>SoftwareONE Netherlands B.V.</t>
  </si>
  <si>
    <t>CW65424</t>
  </si>
  <si>
    <t>APP002619</t>
  </si>
  <si>
    <t>Microsoft Azure : Hygraph Hosting</t>
  </si>
  <si>
    <t>Microsoft Azure: ecommerce Hygraph hosting</t>
  </si>
  <si>
    <t>APP003154</t>
  </si>
  <si>
    <t>APP002599</t>
  </si>
  <si>
    <t>Microsoft Co-Pilot</t>
  </si>
  <si>
    <t>CW65691</t>
  </si>
  <si>
    <t>APP003289</t>
  </si>
  <si>
    <t>CW59313</t>
  </si>
  <si>
    <t>Microsoft Ireland Operations Ltd</t>
  </si>
  <si>
    <t>APP003176</t>
  </si>
  <si>
    <t>Microsoft PowerBI</t>
  </si>
  <si>
    <t>CW7800</t>
  </si>
  <si>
    <t>APP000827</t>
  </si>
  <si>
    <t>Minitab Ltd.</t>
  </si>
  <si>
    <t>CW13955</t>
  </si>
  <si>
    <t>APP003010</t>
  </si>
  <si>
    <t>Mural Tactivos</t>
  </si>
  <si>
    <t>CW7162</t>
  </si>
  <si>
    <t>APP002631</t>
  </si>
  <si>
    <t>CW13499</t>
  </si>
  <si>
    <t>APP002769</t>
  </si>
  <si>
    <t>New Relic inc.</t>
  </si>
  <si>
    <t>CW4879</t>
  </si>
  <si>
    <t>Eviden?</t>
  </si>
  <si>
    <t>Onetrust</t>
  </si>
  <si>
    <t>APP003168</t>
  </si>
  <si>
    <t>CW56637</t>
  </si>
  <si>
    <t>APP002550</t>
  </si>
  <si>
    <t>5400963483 / 5401032940</t>
  </si>
  <si>
    <t>OpenText Maintenance Fee</t>
  </si>
  <si>
    <t>CW10842</t>
  </si>
  <si>
    <t>Open Text</t>
  </si>
  <si>
    <t>CW59952</t>
  </si>
  <si>
    <t>CW59585</t>
  </si>
  <si>
    <t>OT RAS - BeyondTrust licenses Priviledged Remote Access (PRA)</t>
  </si>
  <si>
    <t>Other services/ bonus</t>
  </si>
  <si>
    <t>CW4564</t>
  </si>
  <si>
    <t>APP002647</t>
  </si>
  <si>
    <t>OwnBackup, Inc</t>
  </si>
  <si>
    <t>CW58273</t>
  </si>
  <si>
    <t>APP000867</t>
  </si>
  <si>
    <t>Tallon Graphic Solutions NV</t>
  </si>
  <si>
    <t>Penetration Testing SAP / Sales Force /Web</t>
  </si>
  <si>
    <t>CW6296</t>
  </si>
  <si>
    <t>5400868906 / 5401093321</t>
  </si>
  <si>
    <t>CW59578</t>
  </si>
  <si>
    <t>APP003164</t>
  </si>
  <si>
    <t>PlanView (iPPM)</t>
  </si>
  <si>
    <t>CW7965</t>
  </si>
  <si>
    <t>APP002666</t>
  </si>
  <si>
    <t>Planview International AB</t>
  </si>
  <si>
    <t>Henk</t>
  </si>
  <si>
    <t>S&amp;P</t>
  </si>
  <si>
    <t>CW10503</t>
  </si>
  <si>
    <t>APP002785</t>
  </si>
  <si>
    <t>CW56869</t>
  </si>
  <si>
    <t>APP003167</t>
  </si>
  <si>
    <t>CW6157</t>
  </si>
  <si>
    <t>APP002310</t>
  </si>
  <si>
    <t>CW13196</t>
  </si>
  <si>
    <t>CW13826</t>
  </si>
  <si>
    <t>APP002882</t>
  </si>
  <si>
    <t>Point.X Licenses</t>
  </si>
  <si>
    <t>CW4721</t>
  </si>
  <si>
    <t>CW11106</t>
  </si>
  <si>
    <t>APP002759</t>
  </si>
  <si>
    <t>CW64983</t>
  </si>
  <si>
    <t>APP003158</t>
  </si>
  <si>
    <t>CW9370</t>
  </si>
  <si>
    <t>Globant</t>
  </si>
  <si>
    <t>CW59308</t>
  </si>
  <si>
    <t>APP002132</t>
  </si>
  <si>
    <t>Emakina</t>
  </si>
  <si>
    <t>5401093599 / 5401093601 / 5401093602 / 5401093603 / 5401093605</t>
  </si>
  <si>
    <t>CW11326</t>
  </si>
  <si>
    <t>APP002880</t>
  </si>
  <si>
    <t>Stefan jochems</t>
  </si>
  <si>
    <t>CW13797</t>
  </si>
  <si>
    <t>APP002949</t>
  </si>
  <si>
    <t>Erp Security B.V.</t>
  </si>
  <si>
    <t>PS Support (Zylab)</t>
  </si>
  <si>
    <t>CW5538</t>
  </si>
  <si>
    <t>CW57238</t>
  </si>
  <si>
    <t>APP003151</t>
  </si>
  <si>
    <t>Qualtrics support</t>
  </si>
  <si>
    <t>CW67963</t>
  </si>
  <si>
    <t>CW63996</t>
  </si>
  <si>
    <t>CW8572</t>
  </si>
  <si>
    <t>Refinitiv</t>
  </si>
  <si>
    <t>CW56877</t>
  </si>
  <si>
    <t>APP003162</t>
  </si>
  <si>
    <t>CW7056</t>
  </si>
  <si>
    <t>APP000047</t>
  </si>
  <si>
    <t>CW6662</t>
  </si>
  <si>
    <t>RIPE</t>
  </si>
  <si>
    <t>APP002104</t>
  </si>
  <si>
    <t>ROJO Middleware Monitoring Tool</t>
  </si>
  <si>
    <t>CW13818</t>
  </si>
  <si>
    <t>APP003056</t>
  </si>
  <si>
    <t>CW11503</t>
  </si>
  <si>
    <t>APP002877</t>
  </si>
  <si>
    <t>Innovapeak Ltd</t>
  </si>
  <si>
    <t>Salesforce Adapters SDS / Salesforce</t>
  </si>
  <si>
    <t>CW5905</t>
  </si>
  <si>
    <t>APP001035</t>
  </si>
  <si>
    <t>Simba Technologies Inc.</t>
  </si>
  <si>
    <t>CW56941</t>
  </si>
  <si>
    <t>Salesforce Order Management</t>
  </si>
  <si>
    <t>CW56943</t>
  </si>
  <si>
    <t>Salesforce Service Cloud Retail - R&amp;D</t>
  </si>
  <si>
    <t>CW56951</t>
  </si>
  <si>
    <t>APP003294</t>
  </si>
  <si>
    <t>Salesforce Service Cloud Retail -DTC</t>
  </si>
  <si>
    <t>CW56955</t>
  </si>
  <si>
    <t>CW5684</t>
  </si>
  <si>
    <t>APP000023</t>
  </si>
  <si>
    <t>SAP Appendix 23: Oracle/Hana fees</t>
  </si>
  <si>
    <t>CW7745</t>
  </si>
  <si>
    <t>SAP Archiving solution (OpenText)</t>
  </si>
  <si>
    <t>Sap C4C Licenses</t>
  </si>
  <si>
    <t>CW11389</t>
  </si>
  <si>
    <t>APP000029</t>
  </si>
  <si>
    <t>Retail Sales</t>
  </si>
  <si>
    <t>SAP C4C Support</t>
  </si>
  <si>
    <t>CW5465</t>
  </si>
  <si>
    <t>Sap Ent. Support Appendix 1 : Initial Scope</t>
  </si>
  <si>
    <t>Sap Ent. Support Appendix 10 : OCR OpenText</t>
  </si>
  <si>
    <t>Sap Ent. Support Appendix 11 : Sequoia Extension</t>
  </si>
  <si>
    <t>Sap Ent. Support Appendix 12 : CPS (Redwood) - changed to: Run my Jobs</t>
  </si>
  <si>
    <t>Sap Ent. Support Appendix 13 : Sequoia + HANA</t>
  </si>
  <si>
    <t>Sap Ent. Support Appendix 14 : SAP TAO SDS</t>
  </si>
  <si>
    <t>Sap Ent. Support Appendix 15 : Cypress License Acquisition</t>
  </si>
  <si>
    <t>Sap Ent. Support Appendix 16 : Native HANA + PO + AIF</t>
  </si>
  <si>
    <t>Sap Ent. Support Appendix 17 : License audit</t>
  </si>
  <si>
    <t>Sap Ent. Support Appendix 18 : Lumira Licenses</t>
  </si>
  <si>
    <t>Sap Ent. Support Appendix 2 : Identity Management (IDM)</t>
  </si>
  <si>
    <t>APP000025</t>
  </si>
  <si>
    <t>Sap Ent. Support Appendix 20 : Audit find LAE, BI</t>
  </si>
  <si>
    <t>APP002552</t>
  </si>
  <si>
    <t>Sap Ent. Support Appendix 21 : SAP SSO 3.0</t>
  </si>
  <si>
    <t>Sap Ent. Support Appendix 3 : GRC</t>
  </si>
  <si>
    <t>Sap Ent. Support Appendix 4 : BPC, HANA, BO BI</t>
  </si>
  <si>
    <t>Sap Ent. Support Appendix 5 : APO</t>
  </si>
  <si>
    <t>APP000022</t>
  </si>
  <si>
    <t>Sap Ent. Support Appendix 6 : APO</t>
  </si>
  <si>
    <t xml:space="preserve">Sap Ent. Support Appendix 7 : Sales orders </t>
  </si>
  <si>
    <t>Sap Ent. Support Appendix 8 : Lease accounting Tickets (LAE)</t>
  </si>
  <si>
    <t>Sap Ent. Support Appendix 9 : Open Text</t>
  </si>
  <si>
    <t>HCL Technologies B.V.</t>
  </si>
  <si>
    <t>5401088262</t>
  </si>
  <si>
    <t>SAP Lifecycle Management</t>
  </si>
  <si>
    <t>SAP Suite</t>
  </si>
  <si>
    <t>InfraSAP</t>
  </si>
  <si>
    <t>Saviynt dedicated support team (EUC)</t>
  </si>
  <si>
    <t>CW62675</t>
  </si>
  <si>
    <t>CW4251</t>
  </si>
  <si>
    <t>APP002805</t>
  </si>
  <si>
    <t>5401087924 / 5401077845</t>
  </si>
  <si>
    <t>Seeburger (EDI Connection)</t>
  </si>
  <si>
    <t>CW11186</t>
  </si>
  <si>
    <t>APP000063</t>
  </si>
  <si>
    <t xml:space="preserve">Sendgrid </t>
  </si>
  <si>
    <t>APP002571</t>
  </si>
  <si>
    <t>Service Reliability Engineers (SRE)</t>
  </si>
  <si>
    <t>Service Support 24 X 5 APAC &amp; ANZ</t>
  </si>
  <si>
    <t>CW35386</t>
  </si>
  <si>
    <t>Service now</t>
  </si>
  <si>
    <t>CW9322</t>
  </si>
  <si>
    <t>APP001403</t>
  </si>
  <si>
    <t>Workleap Platform Inc.</t>
  </si>
  <si>
    <t>Sharepoint archiving solution</t>
  </si>
  <si>
    <t>APP002478</t>
  </si>
  <si>
    <t>CW7787</t>
  </si>
  <si>
    <t>APP002786</t>
  </si>
  <si>
    <t>CW12606</t>
  </si>
  <si>
    <t>APP002952</t>
  </si>
  <si>
    <t>Sitecore</t>
  </si>
  <si>
    <t>Accenture/Avenade</t>
  </si>
  <si>
    <t>Small projects funding (support)</t>
  </si>
  <si>
    <t>SmartRecruiters</t>
  </si>
  <si>
    <t>CW5692</t>
  </si>
  <si>
    <t>APP002268</t>
  </si>
  <si>
    <t>Snow Licenses</t>
  </si>
  <si>
    <t>CW9121</t>
  </si>
  <si>
    <t>5401090107 / 5400904915</t>
  </si>
  <si>
    <t>CW12846</t>
  </si>
  <si>
    <t>APP002945</t>
  </si>
  <si>
    <t>Solarwinds Maintenance</t>
  </si>
  <si>
    <t>CW7235</t>
  </si>
  <si>
    <t>APP000900</t>
  </si>
  <si>
    <t>Splunk Monitoring</t>
  </si>
  <si>
    <t>CW14009</t>
  </si>
  <si>
    <t>APP002856</t>
  </si>
  <si>
    <t>Sposea Brightprice</t>
  </si>
  <si>
    <t>CW9691</t>
  </si>
  <si>
    <t>APP001100</t>
  </si>
  <si>
    <t>CW63673</t>
  </si>
  <si>
    <t>APP003293</t>
  </si>
  <si>
    <t>SRC (PDM) Contribution 1Sync</t>
  </si>
  <si>
    <t>CW3310</t>
  </si>
  <si>
    <t>APP000057</t>
  </si>
  <si>
    <t>1SYNC Inc.</t>
  </si>
  <si>
    <t>CW4537</t>
  </si>
  <si>
    <t>APP002398</t>
  </si>
  <si>
    <t>Abbott Informatics Netherlands B.V.</t>
  </si>
  <si>
    <t>Successfactors</t>
  </si>
  <si>
    <t>CW13822</t>
  </si>
  <si>
    <t>APP002642</t>
  </si>
  <si>
    <t>SuccessFactors Support</t>
  </si>
  <si>
    <t>CW9775</t>
  </si>
  <si>
    <t>APP000560</t>
  </si>
  <si>
    <t>Intelligent Solutions</t>
  </si>
  <si>
    <t>SUMI Technical SLA</t>
  </si>
  <si>
    <t>Support Cornerstone</t>
  </si>
  <si>
    <t>CW9111</t>
  </si>
  <si>
    <t>DXC Technology B.V.</t>
  </si>
  <si>
    <t>CW9402</t>
  </si>
  <si>
    <t>APP002630</t>
  </si>
  <si>
    <t>CW7757</t>
  </si>
  <si>
    <t>CW65600</t>
  </si>
  <si>
    <t>APP002793</t>
  </si>
  <si>
    <t>Teams direct routing NSSRS</t>
  </si>
  <si>
    <t>CW4723</t>
  </si>
  <si>
    <t>APP000957</t>
  </si>
  <si>
    <t>Telus</t>
  </si>
  <si>
    <t>CW63504</t>
  </si>
  <si>
    <t>New APP ID</t>
  </si>
  <si>
    <t>Replacing C4C</t>
  </si>
  <si>
    <t>Test Factory Services</t>
  </si>
  <si>
    <t>APP001861</t>
  </si>
  <si>
    <t>Sphera Solutions Gmbh</t>
  </si>
  <si>
    <t>TraceIT</t>
  </si>
  <si>
    <t>CW4360</t>
  </si>
  <si>
    <t>APP000065</t>
  </si>
  <si>
    <t>Novexx</t>
  </si>
  <si>
    <t>CW35336</t>
  </si>
  <si>
    <t>APP002834</t>
  </si>
  <si>
    <t>CW64394</t>
  </si>
  <si>
    <t>Visier licences &amp; support</t>
  </si>
  <si>
    <t>CW56786</t>
  </si>
  <si>
    <t>APP003152</t>
  </si>
  <si>
    <t>CW13485</t>
  </si>
  <si>
    <t>APP003042</t>
  </si>
  <si>
    <t>Egon</t>
  </si>
  <si>
    <t>Vulnerability scanning: Qualys Run Support</t>
  </si>
  <si>
    <t>CW57246</t>
  </si>
  <si>
    <t>APP003051</t>
  </si>
  <si>
    <t>SAS Fastmarketing Cloud Software</t>
  </si>
  <si>
    <t>Winshuttle Maintenance + Support</t>
  </si>
  <si>
    <t>CW6000</t>
  </si>
  <si>
    <t>CW6955</t>
  </si>
  <si>
    <t>APP002274</t>
  </si>
  <si>
    <t>CW5395</t>
  </si>
  <si>
    <t>XTEL SRL (Kantar Retail)</t>
  </si>
  <si>
    <t>CW4442</t>
  </si>
  <si>
    <t>CW11538</t>
  </si>
  <si>
    <t>APP002784</t>
  </si>
  <si>
    <t>Zoovu Limited</t>
  </si>
  <si>
    <t>Changelog</t>
  </si>
  <si>
    <t xml:space="preserve"> </t>
  </si>
  <si>
    <t>Booking method</t>
  </si>
  <si>
    <t>MacroRange</t>
  </si>
  <si>
    <t>Sheet</t>
  </si>
  <si>
    <t>Range</t>
  </si>
  <si>
    <t>Function</t>
  </si>
  <si>
    <t>PONumbers</t>
  </si>
  <si>
    <t>BIAnalysis</t>
  </si>
  <si>
    <t>C4:C200</t>
  </si>
  <si>
    <t>Infra / EUS</t>
  </si>
  <si>
    <t>Marcel</t>
  </si>
  <si>
    <t>Accrual</t>
  </si>
  <si>
    <t>DevOps</t>
  </si>
  <si>
    <t>Nizaar</t>
  </si>
  <si>
    <t>MTD &amp; R&amp;D</t>
  </si>
  <si>
    <t>E-Commerce</t>
  </si>
  <si>
    <t>Gaurav</t>
  </si>
  <si>
    <t>HR, Legal</t>
  </si>
  <si>
    <t>STP</t>
  </si>
  <si>
    <t>Milou</t>
  </si>
  <si>
    <t>Remco</t>
  </si>
  <si>
    <t>Jaap</t>
  </si>
  <si>
    <t>Johan</t>
  </si>
  <si>
    <t>Prateek</t>
  </si>
  <si>
    <t>Anna</t>
  </si>
  <si>
    <t>Cost center</t>
  </si>
  <si>
    <t>Allocation Number</t>
  </si>
  <si>
    <t>Purchase Order #</t>
  </si>
  <si>
    <t>Purchase Order Item</t>
  </si>
  <si>
    <t>Item Text</t>
  </si>
  <si>
    <t>2000/68427709</t>
  </si>
  <si>
    <t>Service &amp; Operations</t>
  </si>
  <si>
    <t>48000004962026</t>
  </si>
  <si>
    <t>MP_0125_CCN2 TO SOW 11</t>
  </si>
  <si>
    <t>48000007482026</t>
  </si>
  <si>
    <t>10</t>
  </si>
  <si>
    <t>3900353992</t>
  </si>
  <si>
    <t>48000007792026</t>
  </si>
  <si>
    <t>MP_1224_RON VAN SCHAIK</t>
  </si>
  <si>
    <t>48000007812026</t>
  </si>
  <si>
    <t>48000011032026</t>
  </si>
  <si>
    <t>MP_0225_CCN2 TO SOW 11</t>
  </si>
  <si>
    <t>48000016482026</t>
  </si>
  <si>
    <t>MP_0225_ONGOING RDS</t>
  </si>
  <si>
    <t>48000017422026</t>
  </si>
  <si>
    <t>MP_0125-0325_SMALL CHANGES PROJECT</t>
  </si>
  <si>
    <t>48000021412026</t>
  </si>
  <si>
    <t>MP_0325_CCN2 TO SOW 11</t>
  </si>
  <si>
    <t>48000027512026</t>
  </si>
  <si>
    <t>MP_0325_ONGOING RDS</t>
  </si>
  <si>
    <t>48000031122026</t>
  </si>
  <si>
    <t>MP_0124_SMALL CHANGES PROJECTS</t>
  </si>
  <si>
    <t>48000031132026</t>
  </si>
  <si>
    <t>MP_0424_SMALL CHANGES PROJECTS</t>
  </si>
  <si>
    <t>48000031142026</t>
  </si>
  <si>
    <t>MP_0724_SMALL CHANGES PROJECTS</t>
  </si>
  <si>
    <t>48000039082026</t>
  </si>
  <si>
    <t>MP_0425_ONGOING RDS</t>
  </si>
  <si>
    <t>48000042632026</t>
  </si>
  <si>
    <t>MP_0425_CCN2 TO SOW 11</t>
  </si>
  <si>
    <t>48000042642026</t>
  </si>
  <si>
    <t>MP_0525_CCN2 TO SOW 11</t>
  </si>
  <si>
    <t>48000045242026</t>
  </si>
  <si>
    <t>MP_0525_ONGOING RDS</t>
  </si>
  <si>
    <t>48000000112026</t>
  </si>
  <si>
    <t>SD_1224_AZURE PEETS</t>
  </si>
  <si>
    <t>48000000122026</t>
  </si>
  <si>
    <t>48000000132026</t>
  </si>
  <si>
    <t>SD_0125_AZURE PEETS</t>
  </si>
  <si>
    <t>48000000142026</t>
  </si>
  <si>
    <t>SD_1224_AZURE OT</t>
  </si>
  <si>
    <t>48000000152026</t>
  </si>
  <si>
    <t>48000000162026</t>
  </si>
  <si>
    <t>SD_0125_AZURE OT</t>
  </si>
  <si>
    <t>48000000172026</t>
  </si>
  <si>
    <t>SD_1224_AZURE IT</t>
  </si>
  <si>
    <t>48000000182026</t>
  </si>
  <si>
    <t>48000000192026</t>
  </si>
  <si>
    <t>SD_0125_AZURE IT</t>
  </si>
  <si>
    <t>48000009672026</t>
  </si>
  <si>
    <t>SD_0225-0625_40 COPILOT LICENSES</t>
  </si>
  <si>
    <t>48000010322026</t>
  </si>
  <si>
    <t>SD_0225_AZURE OT</t>
  </si>
  <si>
    <t>48000010332026</t>
  </si>
  <si>
    <t>48000010342026</t>
  </si>
  <si>
    <t>48000010352026</t>
  </si>
  <si>
    <t>48000010362026</t>
  </si>
  <si>
    <t>48000010372026</t>
  </si>
  <si>
    <t>SD_0225_AZURE PEETS</t>
  </si>
  <si>
    <t>48000010382026</t>
  </si>
  <si>
    <t>48000010392026</t>
  </si>
  <si>
    <t>48000010402026</t>
  </si>
  <si>
    <t>48000010412026</t>
  </si>
  <si>
    <t>48000010422026</t>
  </si>
  <si>
    <t>SD_0225_AZURE IT</t>
  </si>
  <si>
    <t>48000019362026</t>
  </si>
  <si>
    <t>48000019372026</t>
  </si>
  <si>
    <t>48000019382026</t>
  </si>
  <si>
    <t>SD_0325_AZURE PEETS</t>
  </si>
  <si>
    <t>48000019392026</t>
  </si>
  <si>
    <t>48000019402026</t>
  </si>
  <si>
    <t>48000019412026</t>
  </si>
  <si>
    <t>SD_0325_AZURE OT</t>
  </si>
  <si>
    <t>48000019422026</t>
  </si>
  <si>
    <t>48000019432026</t>
  </si>
  <si>
    <t>48000019442026</t>
  </si>
  <si>
    <t>48000019802026</t>
  </si>
  <si>
    <t>48000019812026</t>
  </si>
  <si>
    <t>SD_0325_AZURE IT</t>
  </si>
  <si>
    <t>48000019822026</t>
  </si>
  <si>
    <t>48000019832026</t>
  </si>
  <si>
    <t>48000020132026</t>
  </si>
  <si>
    <t>48000029712026</t>
  </si>
  <si>
    <t>48000029722026</t>
  </si>
  <si>
    <t>48000029732026</t>
  </si>
  <si>
    <t>SD_0425_AZURE OT</t>
  </si>
  <si>
    <t>48000029742026</t>
  </si>
  <si>
    <t>48000029752026</t>
  </si>
  <si>
    <t>48000029762026</t>
  </si>
  <si>
    <t>SD_0425_AZURE IT</t>
  </si>
  <si>
    <t>48000031662026</t>
  </si>
  <si>
    <t>SD_0425-0625_MS TEAMS PRO</t>
  </si>
  <si>
    <t>48000033282026</t>
  </si>
  <si>
    <t>SD_0425-0625_COPILOT M365</t>
  </si>
  <si>
    <t>48000035312026</t>
  </si>
  <si>
    <t>SD_0425-0625_TEAM PRO LICENSE</t>
  </si>
  <si>
    <t>48000038922026</t>
  </si>
  <si>
    <t>48000038932026</t>
  </si>
  <si>
    <t>48000038942026</t>
  </si>
  <si>
    <t>48000038952026</t>
  </si>
  <si>
    <t>48000038962026</t>
  </si>
  <si>
    <t>SD_0525_AZURE IT</t>
  </si>
  <si>
    <t>48000038972026</t>
  </si>
  <si>
    <t>SD_0525_AZURE OT</t>
  </si>
  <si>
    <t>48000039042026</t>
  </si>
  <si>
    <t>48000039052026</t>
  </si>
  <si>
    <t>14000001052026</t>
  </si>
  <si>
    <t>AUG TO DEC AZURE PEETS</t>
  </si>
  <si>
    <t>Q4 2024 UNIFIED SUPPORT PEETS</t>
  </si>
  <si>
    <t>Q4 EA MICROSOFT PEETS</t>
  </si>
  <si>
    <t>Q4 SALESFORCE LICENSES PEETS</t>
  </si>
  <si>
    <t>Q4 SCE MICROSOFT PEETS</t>
  </si>
  <si>
    <t>14000003222026</t>
  </si>
  <si>
    <t>CY24_07_MICROSOFT</t>
  </si>
  <si>
    <t>MP_0724-0625_EA PEETS</t>
  </si>
  <si>
    <t>MP_0724-0625_ENTERPRISE AGREEMENT</t>
  </si>
  <si>
    <t>MP_0724-0625_SCE</t>
  </si>
  <si>
    <t>MP_0724-0725_SCE PEETS</t>
  </si>
  <si>
    <t>SD_0724-0625_MS UNIFIED SUPPORT</t>
  </si>
  <si>
    <t>SD_5401060702_0724-0625_VS/SCCM/WINDOWS</t>
  </si>
  <si>
    <t>CY24_08_MICROSOFT</t>
  </si>
  <si>
    <t>MP_5401060704_0724-0725_SCE PEETS</t>
  </si>
  <si>
    <t>CY24_PEETS MICR&amp;SF</t>
  </si>
  <si>
    <t>CY_25_PEETS</t>
  </si>
  <si>
    <t>48000005832026</t>
  </si>
  <si>
    <t>MP_0125_ONGOING FACTORY RDS</t>
  </si>
  <si>
    <t>48000007702026</t>
  </si>
  <si>
    <t>MP_0125_CLAROTY SUPPORT</t>
  </si>
  <si>
    <t>48000015442026</t>
  </si>
  <si>
    <t>MP_0225_ONGOING FACTORY RDS</t>
  </si>
  <si>
    <t>48000017432026</t>
  </si>
  <si>
    <t>MP_0225_CLAROTY SUPPORT</t>
  </si>
  <si>
    <t>48000019592026</t>
  </si>
  <si>
    <t>MP_0325_CLAROTY SUPPORT</t>
  </si>
  <si>
    <t>48000023362026</t>
  </si>
  <si>
    <t>MP_0325_ONGOING FACTORY RDS</t>
  </si>
  <si>
    <t>48000034562026</t>
  </si>
  <si>
    <t>MP_0425_ONGOING FACTORY RDS</t>
  </si>
  <si>
    <t>48000037432026</t>
  </si>
  <si>
    <t>MP_0425_CLAROTY SUPPORT</t>
  </si>
  <si>
    <t>48000042372026</t>
  </si>
  <si>
    <t>MP_0525_ONGOING FACTORY RDS</t>
  </si>
  <si>
    <t>48000043992026</t>
  </si>
  <si>
    <t>MP_0525_CLAROTY SUPPORT</t>
  </si>
  <si>
    <t>48000002782026</t>
  </si>
  <si>
    <t>MP_0125_SD WAN</t>
  </si>
  <si>
    <t>48000002792026</t>
  </si>
  <si>
    <t>MP_0125_SD WAN 0%</t>
  </si>
  <si>
    <t>48000002812026</t>
  </si>
  <si>
    <t>MP_0125_BVPN</t>
  </si>
  <si>
    <t>48000002822026</t>
  </si>
  <si>
    <t>MP_0125_BVPN 0%</t>
  </si>
  <si>
    <t>48000002842026</t>
  </si>
  <si>
    <t>MP_0125_GATEWAY</t>
  </si>
  <si>
    <t>48000002862026</t>
  </si>
  <si>
    <t>MP_0125_GATEWAY 0%</t>
  </si>
  <si>
    <t>48000002872026</t>
  </si>
  <si>
    <t>MP_0125_LAN 21%</t>
  </si>
  <si>
    <t>48000002882026</t>
  </si>
  <si>
    <t>MP_0125_LAN 0%</t>
  </si>
  <si>
    <t>48000002902026</t>
  </si>
  <si>
    <t>MP_0125_ONBOARDING</t>
  </si>
  <si>
    <t>48000002912026</t>
  </si>
  <si>
    <t>MP_0125_SECURITY MNSS</t>
  </si>
  <si>
    <t>48000002922026</t>
  </si>
  <si>
    <t>MP_0125_SECURITY MNSS 0%</t>
  </si>
  <si>
    <t>48000002932026</t>
  </si>
  <si>
    <t>MP_0125_SECURITY DDOS</t>
  </si>
  <si>
    <t>48000002942026</t>
  </si>
  <si>
    <t>MP_0125_SECURITY DDOS 0%</t>
  </si>
  <si>
    <t>48000002952026</t>
  </si>
  <si>
    <t>MP_0125_SECURITY ZSCALER</t>
  </si>
  <si>
    <t>48000002962026</t>
  </si>
  <si>
    <t>MP_0125_SECURITY ZSCALER 0%</t>
  </si>
  <si>
    <t>48000003562026</t>
  </si>
  <si>
    <t>MP_0125_IPAM 21%</t>
  </si>
  <si>
    <t>48000003572026</t>
  </si>
  <si>
    <t>MP_0125_IPAM 0%%</t>
  </si>
  <si>
    <t>48000003582026</t>
  </si>
  <si>
    <t>MP_0125_EQUINIX MANAGED 21%</t>
  </si>
  <si>
    <t>48000003592026</t>
  </si>
  <si>
    <t>MP_0125_EQUINIX MANAGED 0%</t>
  </si>
  <si>
    <t>48000003602026</t>
  </si>
  <si>
    <t>MP_0125_EQUINIX SUPPORT 21%</t>
  </si>
  <si>
    <t>48000003612026</t>
  </si>
  <si>
    <t>MP_0125_EQUINIX SUPPORT 0%</t>
  </si>
  <si>
    <t>48000003622026</t>
  </si>
  <si>
    <t>MP_0125_VMS DEDICATED 21%</t>
  </si>
  <si>
    <t>48000003632026</t>
  </si>
  <si>
    <t>MP_0125_VMS DEDICATED 0%</t>
  </si>
  <si>
    <t>48000008522026</t>
  </si>
  <si>
    <t>MP_1224_10-1624145 0%</t>
  </si>
  <si>
    <t>48000013022026</t>
  </si>
  <si>
    <t>MP_0125_OF 712289 PACKAGED SERVICE</t>
  </si>
  <si>
    <t>48000013032026</t>
  </si>
  <si>
    <t>48000013042026</t>
  </si>
  <si>
    <t>MP_0225-1025_FIREWALL SUPP</t>
  </si>
  <si>
    <t>48000014232026</t>
  </si>
  <si>
    <t>MP_0225_SD WAN 21%</t>
  </si>
  <si>
    <t>48000014242026</t>
  </si>
  <si>
    <t>MP_0225_SD WAN 0%</t>
  </si>
  <si>
    <t>48000014252026</t>
  </si>
  <si>
    <t>MP_0225_BVPN 21%</t>
  </si>
  <si>
    <t>48000014262026</t>
  </si>
  <si>
    <t>MP_0225_BVPN 0%</t>
  </si>
  <si>
    <t>48000014272026</t>
  </si>
  <si>
    <t>MP_0225_GATEWAY 21%</t>
  </si>
  <si>
    <t>48000014282026</t>
  </si>
  <si>
    <t>MP_0225_GATEWAY 0%</t>
  </si>
  <si>
    <t>48000014292026</t>
  </si>
  <si>
    <t>MP_0225_LAN 21%</t>
  </si>
  <si>
    <t>48000014302026</t>
  </si>
  <si>
    <t>MP_0225_LAN 0%</t>
  </si>
  <si>
    <t>48000014312026</t>
  </si>
  <si>
    <t>MP_0225_ONBOARDING</t>
  </si>
  <si>
    <t>48000014322026</t>
  </si>
  <si>
    <t>MP_0225_SECURITY MNSS</t>
  </si>
  <si>
    <t>48000014332026</t>
  </si>
  <si>
    <t>MP_0225_SECURITY MNSS 0%</t>
  </si>
  <si>
    <t>48000014342026</t>
  </si>
  <si>
    <t>MP_0225_SECURITY DDOS 21%</t>
  </si>
  <si>
    <t>48000014352026</t>
  </si>
  <si>
    <t>MP_0225_SECURITY DDOS 0%</t>
  </si>
  <si>
    <t>48000014362026</t>
  </si>
  <si>
    <t>MP_0225_SECURITY ZSCALER 21%</t>
  </si>
  <si>
    <t>48000014372026</t>
  </si>
  <si>
    <t>MP_0225_SECURITY ZSCALER 0%</t>
  </si>
  <si>
    <t>48000014382026</t>
  </si>
  <si>
    <t>MP_0225_EQUINIX MANAGED 21%</t>
  </si>
  <si>
    <t>48000014392026</t>
  </si>
  <si>
    <t>MP_0225_EQUINIX MANAGED 0%</t>
  </si>
  <si>
    <t>48000014402026</t>
  </si>
  <si>
    <t>MP_0225_EQUINIX SUPPORT 21%</t>
  </si>
  <si>
    <t>48000014412026</t>
  </si>
  <si>
    <t>MP_0225_EQUINIX SUPPORT 0%</t>
  </si>
  <si>
    <t>48000014422026</t>
  </si>
  <si>
    <t>MP_0225_IPAM 21%</t>
  </si>
  <si>
    <t>48000014432026</t>
  </si>
  <si>
    <t>MP_0225_IPAM 0%</t>
  </si>
  <si>
    <t>48000014442026</t>
  </si>
  <si>
    <t>MP_0225_VMS DEDICATED 21%</t>
  </si>
  <si>
    <t>48000014452026</t>
  </si>
  <si>
    <t>MP_0225_VMS DEDICATED 0%</t>
  </si>
  <si>
    <t>48000016342026</t>
  </si>
  <si>
    <t>MP_0225_SURCHARGE</t>
  </si>
  <si>
    <t>48000022412026</t>
  </si>
  <si>
    <t>48000023372026</t>
  </si>
  <si>
    <t>SD_0325_GATEWAY 21%</t>
  </si>
  <si>
    <t>48000023382026</t>
  </si>
  <si>
    <t>SD_0325_GATEWAY 0%</t>
  </si>
  <si>
    <t>48000023402026</t>
  </si>
  <si>
    <t>SD_0325_SECURITY MNSS 21%</t>
  </si>
  <si>
    <t>48000023412026</t>
  </si>
  <si>
    <t>SD_0325_SECURITY MNSS 0%</t>
  </si>
  <si>
    <t>48000023432026</t>
  </si>
  <si>
    <t>SD_0325_LAN 21%</t>
  </si>
  <si>
    <t>48000023442026</t>
  </si>
  <si>
    <t>SD_0325_LAN 0%</t>
  </si>
  <si>
    <t>48000023452026</t>
  </si>
  <si>
    <t>SD_0325_IPAM 21%</t>
  </si>
  <si>
    <t>48000023462026</t>
  </si>
  <si>
    <t>SD_0325_IPAM 0%</t>
  </si>
  <si>
    <t>48000023482026</t>
  </si>
  <si>
    <t>SD_0325_ONBOARDING</t>
  </si>
  <si>
    <t>48000023492026</t>
  </si>
  <si>
    <t>SD_0325_MNSS-FACTORY 21%</t>
  </si>
  <si>
    <t>48000023522026</t>
  </si>
  <si>
    <t>SD_0325_MNSS-FACTORY 0%</t>
  </si>
  <si>
    <t>48000023532026</t>
  </si>
  <si>
    <t>SD_0325_EQUINIX SUPPORT 21%</t>
  </si>
  <si>
    <t>48000023542026</t>
  </si>
  <si>
    <t>SD_0325_EQUINIX SUPPORT 0%</t>
  </si>
  <si>
    <t>48000023592026</t>
  </si>
  <si>
    <t>SD_0325_SECURITY ZSCALER 21%</t>
  </si>
  <si>
    <t>48000023602026</t>
  </si>
  <si>
    <t>SD_0325_SECURITY ZSCALER 0%</t>
  </si>
  <si>
    <t>48000023612026</t>
  </si>
  <si>
    <t>SD_0325_SECURITY DDOS 21%</t>
  </si>
  <si>
    <t>48000023622026</t>
  </si>
  <si>
    <t>SD_0325_SECURITY DDOS 0%</t>
  </si>
  <si>
    <t>48000023652026</t>
  </si>
  <si>
    <t>SD_0325_EQUINIX MANAGED 21%</t>
  </si>
  <si>
    <t>48000023662026</t>
  </si>
  <si>
    <t>SD_0325_EQUINIX MANAGED 0%</t>
  </si>
  <si>
    <t>48000023672026</t>
  </si>
  <si>
    <t>SD_0325_BVPN 21%</t>
  </si>
  <si>
    <t>48000023682026</t>
  </si>
  <si>
    <t>SD_0325_BVPN 0%</t>
  </si>
  <si>
    <t>48000023702026</t>
  </si>
  <si>
    <t>SD_0325_SD WAN 21%</t>
  </si>
  <si>
    <t>48000023712026</t>
  </si>
  <si>
    <t>SD_0325_SD WAN 0%</t>
  </si>
  <si>
    <t>48000023742026</t>
  </si>
  <si>
    <t>SD_0325_VMS DEDICATED 21%</t>
  </si>
  <si>
    <t>48000023752026</t>
  </si>
  <si>
    <t>SD_0325_VMS DEDICATED 0%</t>
  </si>
  <si>
    <t>48000024162026</t>
  </si>
  <si>
    <t>SD_0325_OF 728971 &amp; 728987</t>
  </si>
  <si>
    <t>48000037242026</t>
  </si>
  <si>
    <t>MP_0425_SD WAN 21%</t>
  </si>
  <si>
    <t>48000037262026</t>
  </si>
  <si>
    <t>MP_0425_BVPN 21%</t>
  </si>
  <si>
    <t>48000037272026</t>
  </si>
  <si>
    <t>MP_0425_GATEWAY 21%</t>
  </si>
  <si>
    <t>48000037292026</t>
  </si>
  <si>
    <t>MP_0425_LAN 21%</t>
  </si>
  <si>
    <t>48000037302026</t>
  </si>
  <si>
    <t>MP_0425_ONBOARDING</t>
  </si>
  <si>
    <t>48000037322026</t>
  </si>
  <si>
    <t>MP_0425_SECURITY MNSS 21%</t>
  </si>
  <si>
    <t>48000037332026</t>
  </si>
  <si>
    <t>MP_0425_SECURITY DDOS 21%</t>
  </si>
  <si>
    <t>48000037342026</t>
  </si>
  <si>
    <t>MP_0425_SECURITY ZSCALER 21%</t>
  </si>
  <si>
    <t>48000037362026</t>
  </si>
  <si>
    <t>MP_0425_MNSS-FACTORY 21%</t>
  </si>
  <si>
    <t>48000037372026</t>
  </si>
  <si>
    <t>MP-0425_IPAM 21%</t>
  </si>
  <si>
    <t>48000037382026</t>
  </si>
  <si>
    <t>MP_0425_EQUINIX MANAGED 21%</t>
  </si>
  <si>
    <t>48000037392026</t>
  </si>
  <si>
    <t>MP-0425_EQUINIX SUPPORT 21%</t>
  </si>
  <si>
    <t>48000037402026</t>
  </si>
  <si>
    <t>MP_0425_VMS DEDICATED 21%</t>
  </si>
  <si>
    <t>48000043672026</t>
  </si>
  <si>
    <t>MP_0525_SD WAN 21%</t>
  </si>
  <si>
    <t>48000043682026</t>
  </si>
  <si>
    <t>MP_0525_BVPN 21%</t>
  </si>
  <si>
    <t>48000043692026</t>
  </si>
  <si>
    <t>MP_0525_GATEWAY 21%</t>
  </si>
  <si>
    <t>48000043702026</t>
  </si>
  <si>
    <t>MP_0525_LAN 21%</t>
  </si>
  <si>
    <t>48000043712026</t>
  </si>
  <si>
    <t>MP_0525_ONBOARDING</t>
  </si>
  <si>
    <t>48000043722026</t>
  </si>
  <si>
    <t>MP_0525_SECURITY MNSS 21%</t>
  </si>
  <si>
    <t>48000043732026</t>
  </si>
  <si>
    <t>MP_0525_SECURITY DDOS 21%</t>
  </si>
  <si>
    <t>48000043742026</t>
  </si>
  <si>
    <t>MP_0525_SECURITY ZSCALER 21%</t>
  </si>
  <si>
    <t>48000043752026</t>
  </si>
  <si>
    <t>MP_0525_MNSS-FACTORY 21%</t>
  </si>
  <si>
    <t>48000043762026</t>
  </si>
  <si>
    <t>MP-0525_IPAM 21%</t>
  </si>
  <si>
    <t>48000043772026</t>
  </si>
  <si>
    <t>MP_0525_EQUINIX MANAGED 21%</t>
  </si>
  <si>
    <t>48000043782026</t>
  </si>
  <si>
    <t>MP_0525_EQUINIX SUPPORT 21%</t>
  </si>
  <si>
    <t>48000043802026</t>
  </si>
  <si>
    <t>MP_0525_VMS DEDICATED 21%</t>
  </si>
  <si>
    <t>48000043812026</t>
  </si>
  <si>
    <t>MP_0525_OF 728971 &amp; 728987</t>
  </si>
  <si>
    <t>48000043852026</t>
  </si>
  <si>
    <t>MP_0525_CW9144 SRR/NSSR</t>
  </si>
  <si>
    <t>48000045102026</t>
  </si>
  <si>
    <t>48000045112026</t>
  </si>
  <si>
    <t>86000013102026</t>
  </si>
  <si>
    <t>86000013772026</t>
  </si>
  <si>
    <t>86000014522026</t>
  </si>
  <si>
    <t>86000015422026</t>
  </si>
  <si>
    <t>86000015482026</t>
  </si>
  <si>
    <t>86000017812026</t>
  </si>
  <si>
    <t>87000000402026</t>
  </si>
  <si>
    <t>48000000982026</t>
  </si>
  <si>
    <t>SD_0125-1225_RIPE</t>
  </si>
  <si>
    <t>48000002552026</t>
  </si>
  <si>
    <t>MP_0125_MONTHLY CHARGES AM4</t>
  </si>
  <si>
    <t>48000002562026</t>
  </si>
  <si>
    <t>MP_0125_MONTHLY CHARGES AM6</t>
  </si>
  <si>
    <t>48000010992026</t>
  </si>
  <si>
    <t>MP_0225_MONTHLY CHARGES AM4</t>
  </si>
  <si>
    <t>48000011002026</t>
  </si>
  <si>
    <t>MP_0225_MONTHLY CHARGES AM6</t>
  </si>
  <si>
    <t>48000014732026</t>
  </si>
  <si>
    <t>MP_0225_NRC AM4</t>
  </si>
  <si>
    <t>48000023502026</t>
  </si>
  <si>
    <t>MP_0325_MONTHLY CHARGES AM4</t>
  </si>
  <si>
    <t>48000023512026</t>
  </si>
  <si>
    <t>MP_0325_MONTHLY CHARGES AM6</t>
  </si>
  <si>
    <t>48000032132026</t>
  </si>
  <si>
    <t>MP_0425_MONTHLY CHARGES AM4</t>
  </si>
  <si>
    <t>48000032142026</t>
  </si>
  <si>
    <t>MP_0425_MONTHLY CHARGES AM6</t>
  </si>
  <si>
    <t>48000042472026</t>
  </si>
  <si>
    <t>MP_0525_MONTHLY CHARGES AM6</t>
  </si>
  <si>
    <t>48000042482026</t>
  </si>
  <si>
    <t>MP_0525_MONTHLY CHARGES AM4</t>
  </si>
  <si>
    <t>48000001742026</t>
  </si>
  <si>
    <t>MP_0125_NONPRODUCTION INTERNET</t>
  </si>
  <si>
    <t>48000010982026</t>
  </si>
  <si>
    <t>MP_0225_NONPRODUCTION INTERNET</t>
  </si>
  <si>
    <t>48000021132026</t>
  </si>
  <si>
    <t>MP_0325_NONPRODUCTION INTERNET</t>
  </si>
  <si>
    <t>87000000712026</t>
  </si>
  <si>
    <t>SD_0924-0825_PARK PLACE</t>
  </si>
  <si>
    <t>CY_25_PIL</t>
  </si>
  <si>
    <t>CY25_PIL_P4_NETWORK SERVICES</t>
  </si>
  <si>
    <t>48000043632026</t>
  </si>
  <si>
    <t>MP_0425_OF NONPRODUCTION INTERNET</t>
  </si>
  <si>
    <t>48000043642026</t>
  </si>
  <si>
    <t>MP_0525_OF NONPRODUCTION INTER</t>
  </si>
  <si>
    <t>48000005652026</t>
  </si>
  <si>
    <t>MP_0125_ON DEMAND &amp; SUBSCRIPTI</t>
  </si>
  <si>
    <t>48000005662026</t>
  </si>
  <si>
    <t>48000007862026</t>
  </si>
  <si>
    <t>MP_1224_ON DEMAND &amp; SUBSCRIPTION</t>
  </si>
  <si>
    <t>48000017372026</t>
  </si>
  <si>
    <t>MP_0225_ON DEMAND &amp; SUBSCRIPTI</t>
  </si>
  <si>
    <t>48000017382026</t>
  </si>
  <si>
    <t>48000026242026</t>
  </si>
  <si>
    <t>MP_0325_ON DEMAND &amp; SUBSCRIPTI</t>
  </si>
  <si>
    <t>48000026252026</t>
  </si>
  <si>
    <t>48000030672026</t>
  </si>
  <si>
    <t>48000030682026</t>
  </si>
  <si>
    <t>MP_0125_ON DEMAND &amp; SUBSCRIPTION</t>
  </si>
  <si>
    <t>48000030692026</t>
  </si>
  <si>
    <t>48000030702026</t>
  </si>
  <si>
    <t>48000030712026</t>
  </si>
  <si>
    <t>48000030722026</t>
  </si>
  <si>
    <t>48000030732026</t>
  </si>
  <si>
    <t>48000030742026</t>
  </si>
  <si>
    <t>48000030752026</t>
  </si>
  <si>
    <t>MP_0425_ON DEMAND &amp; SUBSCRIPTI</t>
  </si>
  <si>
    <t>48000030762026</t>
  </si>
  <si>
    <t>48000036372026</t>
  </si>
  <si>
    <t>MP_0425_ON DEMAND &amp; SUBSCRIPTION</t>
  </si>
  <si>
    <t>48000036382026</t>
  </si>
  <si>
    <t>48000043932026</t>
  </si>
  <si>
    <t>MP_0525_ON DEMAND &amp; SUBSCRIPTI</t>
  </si>
  <si>
    <t>48000043942026</t>
  </si>
  <si>
    <t>86000024362026</t>
  </si>
  <si>
    <t>48000003932026</t>
  </si>
  <si>
    <t>SD_0125-0325_RELEASETMS</t>
  </si>
  <si>
    <t>48000032422026</t>
  </si>
  <si>
    <t>48000001542026</t>
  </si>
  <si>
    <t>MP_0125_EUS VOICE MONTHLY FEE</t>
  </si>
  <si>
    <t>48000010602026</t>
  </si>
  <si>
    <t>MP_0225_EUS VOICE MONTHLY FEE</t>
  </si>
  <si>
    <t>48000019602026</t>
  </si>
  <si>
    <t>MP_0325_EUS VOICE MONTHLY FEE</t>
  </si>
  <si>
    <t>48000030352026</t>
  </si>
  <si>
    <t>MP_0425_EUS VOICE MONTHLY FEE</t>
  </si>
  <si>
    <t>48000042512026</t>
  </si>
  <si>
    <t>MP_0525_EUS VOICE MONTHLY FEE</t>
  </si>
  <si>
    <t>48000002572026</t>
  </si>
  <si>
    <t>MP_1124_RECURRING CHARGES SAP</t>
  </si>
  <si>
    <t>48000002602026</t>
  </si>
  <si>
    <t>MP_0125_RECURRING CHARGES SAP</t>
  </si>
  <si>
    <t>48000002622026</t>
  </si>
  <si>
    <t>MP_1224_SLA SAP</t>
  </si>
  <si>
    <t>48000002632026</t>
  </si>
  <si>
    <t>48000002642026</t>
  </si>
  <si>
    <t>48000002702026</t>
  </si>
  <si>
    <t>48000005102026</t>
  </si>
  <si>
    <t>MP_1224_RECURRING CHARGES SAP</t>
  </si>
  <si>
    <t>48000005172026</t>
  </si>
  <si>
    <t>48000005182026</t>
  </si>
  <si>
    <t>48000005192026</t>
  </si>
  <si>
    <t>48000011252026</t>
  </si>
  <si>
    <t>MP_0225_RECURRING CHARGES SAP</t>
  </si>
  <si>
    <t>48000011272026</t>
  </si>
  <si>
    <t>MP_0225_SSR SLA SAP</t>
  </si>
  <si>
    <t>48000014162026</t>
  </si>
  <si>
    <t>48000014182026</t>
  </si>
  <si>
    <t>MP_0125_SSR SLA SAP</t>
  </si>
  <si>
    <t>48000014192026</t>
  </si>
  <si>
    <t>48000023122026</t>
  </si>
  <si>
    <t>48000023132026</t>
  </si>
  <si>
    <t>MP_0325_RECURRING CHARGES SAP</t>
  </si>
  <si>
    <t>48000023152026</t>
  </si>
  <si>
    <t>48000023162026</t>
  </si>
  <si>
    <t>48000023172026</t>
  </si>
  <si>
    <t>48000029342026</t>
  </si>
  <si>
    <t>MHV_0325_SLA RECURRING CHARGES SAP</t>
  </si>
  <si>
    <t>48000035572026</t>
  </si>
  <si>
    <t>48000035582026</t>
  </si>
  <si>
    <t>48000036102026</t>
  </si>
  <si>
    <t>48000036132026</t>
  </si>
  <si>
    <t>MP_0325_SSR SLA SAP</t>
  </si>
  <si>
    <t>48000036142026</t>
  </si>
  <si>
    <t>48000037982026</t>
  </si>
  <si>
    <t>MP_0425_RECURRING CHARGES SAP</t>
  </si>
  <si>
    <t>48000044192026</t>
  </si>
  <si>
    <t>MP_0525_RECURRING CHARGES SAP</t>
  </si>
  <si>
    <t>86000018662026</t>
  </si>
  <si>
    <t>48000006462026</t>
  </si>
  <si>
    <t>MP_1225_CO 50 NORDCLOUD AZURE</t>
  </si>
  <si>
    <t>48000006472026</t>
  </si>
  <si>
    <t>MP_1224_CO 50 NORDCLOUD AZURE</t>
  </si>
  <si>
    <t>48000011222026</t>
  </si>
  <si>
    <t>MP_0125_CO 53 NORDCLOUD</t>
  </si>
  <si>
    <t>48000011232026</t>
  </si>
  <si>
    <t>MP_0225_CO 53 NORDCLOUD</t>
  </si>
  <si>
    <t>48000022162026</t>
  </si>
  <si>
    <t>MP_0325_CO 53 NORDCLOUD</t>
  </si>
  <si>
    <t>48000024762026</t>
  </si>
  <si>
    <t>48000024772026</t>
  </si>
  <si>
    <t>48000024782026</t>
  </si>
  <si>
    <t>48000002582026</t>
  </si>
  <si>
    <t>MP_1123_SLA RECURRING CHARGES</t>
  </si>
  <si>
    <t>48000002592026</t>
  </si>
  <si>
    <t>MP_0125_SLA RECURRING CHARGES NON-SAP</t>
  </si>
  <si>
    <t>48000002612026</t>
  </si>
  <si>
    <t>MP_1124_CYBERARP PERP</t>
  </si>
  <si>
    <t>48000002652026</t>
  </si>
  <si>
    <t>MP_1124_SLA NON-SAP</t>
  </si>
  <si>
    <t>48000002662026</t>
  </si>
  <si>
    <t>48000005092026</t>
  </si>
  <si>
    <t>MP_0123_SLA RECURRING CHARGES</t>
  </si>
  <si>
    <t>48000005112026</t>
  </si>
  <si>
    <t>MP_1224_SLA NON-SAP</t>
  </si>
  <si>
    <t>48000005122026</t>
  </si>
  <si>
    <t>48000011242026</t>
  </si>
  <si>
    <t>MP_0225_SLA RECURRING CHARGES</t>
  </si>
  <si>
    <t>48000011262026</t>
  </si>
  <si>
    <t>MP_0225_SSR SLA NON-SAP</t>
  </si>
  <si>
    <t>48000014172026</t>
  </si>
  <si>
    <t>48000014202026</t>
  </si>
  <si>
    <t>MP_0125_SSR SLA NON-SAP</t>
  </si>
  <si>
    <t>48000014222026</t>
  </si>
  <si>
    <t>48000023142026</t>
  </si>
  <si>
    <t>MP_0225_SLA RECURRING CHARGES NON-SAP</t>
  </si>
  <si>
    <t>48000023182026</t>
  </si>
  <si>
    <t>MP_0225_CYBERARP PERP</t>
  </si>
  <si>
    <t>48000023192026</t>
  </si>
  <si>
    <t>48000028922026</t>
  </si>
  <si>
    <t>MP_0325_SLA RECURRING CHARGES NON-SAP</t>
  </si>
  <si>
    <t>48000028932026</t>
  </si>
  <si>
    <t>48000028942026</t>
  </si>
  <si>
    <t>48000036112026</t>
  </si>
  <si>
    <t>MP_0325_SLA RECURRING CHARGES</t>
  </si>
  <si>
    <t>48000036122026</t>
  </si>
  <si>
    <t>MP_0425_SLA RECURRING CHARGES NON-SAP</t>
  </si>
  <si>
    <t>48000036152026</t>
  </si>
  <si>
    <t>MP_0325_SSR SLA NON-SAP</t>
  </si>
  <si>
    <t>48000036162026</t>
  </si>
  <si>
    <t>48000036692026</t>
  </si>
  <si>
    <t>MP_0425_CYBERARP PERP</t>
  </si>
  <si>
    <t>48000044182026</t>
  </si>
  <si>
    <t>MP_0525_SLA RECURRING CHARGES</t>
  </si>
  <si>
    <t>48000045572026</t>
  </si>
  <si>
    <t>MP_0525_SSR SLA NON-SAP QUALYS</t>
  </si>
  <si>
    <t>CY_25_P02_PIL</t>
  </si>
  <si>
    <t>CY_25_P02_PIL_5401098584</t>
  </si>
  <si>
    <t>CY25_PIL_P4_SERVERS</t>
  </si>
  <si>
    <t>48000002162026</t>
  </si>
  <si>
    <t>MP_1224_CCN94 EUS MSA EXTENSION</t>
  </si>
  <si>
    <t>48000002172026</t>
  </si>
  <si>
    <t>48000017202026</t>
  </si>
  <si>
    <t>MP_0125_CCN 95 EUS 4%</t>
  </si>
  <si>
    <t>48000017212026</t>
  </si>
  <si>
    <t>MP_0225_CCN 95 EUS 4%</t>
  </si>
  <si>
    <t>48000027862026</t>
  </si>
  <si>
    <t>MP_0325_CCN 95 EUS 4%</t>
  </si>
  <si>
    <t>48000031812026</t>
  </si>
  <si>
    <t>48000031822026</t>
  </si>
  <si>
    <t>48000031832026</t>
  </si>
  <si>
    <t>48000031842026</t>
  </si>
  <si>
    <t>48000031852026</t>
  </si>
  <si>
    <t>MP_0425_CCN 95 EUS 4%</t>
  </si>
  <si>
    <t>48000042852026</t>
  </si>
  <si>
    <t>48000042862026</t>
  </si>
  <si>
    <t>48000042872026</t>
  </si>
  <si>
    <t>MP_0525_CCN 95 EUS 4%</t>
  </si>
  <si>
    <t>86000014142026</t>
  </si>
  <si>
    <t>48000005692026</t>
  </si>
  <si>
    <t>MP_0125_MS SUPP</t>
  </si>
  <si>
    <t>48000017502026</t>
  </si>
  <si>
    <t>MP_0225_MS SUPP</t>
  </si>
  <si>
    <t>48000022092026</t>
  </si>
  <si>
    <t>MP_0325_MS SUPP</t>
  </si>
  <si>
    <t>48000032252026</t>
  </si>
  <si>
    <t>MP_0425_MS SUPP</t>
  </si>
  <si>
    <t>48000044162026</t>
  </si>
  <si>
    <t>MP_0525_MS SUPP</t>
  </si>
  <si>
    <t>48000018552026</t>
  </si>
  <si>
    <t>MP_0225-0228_CIS SECURESUITE</t>
  </si>
  <si>
    <t>48000003652026</t>
  </si>
  <si>
    <t>SD_NIS2 CYBERSECURITY_1224</t>
  </si>
  <si>
    <t>48000001442026</t>
  </si>
  <si>
    <t>MP_1224_CCN 1 TO SOW 23 AZURE</t>
  </si>
  <si>
    <t>48000001452026</t>
  </si>
  <si>
    <t>48000001462026</t>
  </si>
  <si>
    <t>48000004972026</t>
  </si>
  <si>
    <t>MP_0125_SOW 45 RUNN</t>
  </si>
  <si>
    <t>48000005052026</t>
  </si>
  <si>
    <t>MP_0125_CCN 89 QUALYS</t>
  </si>
  <si>
    <t>48000005062026</t>
  </si>
  <si>
    <t>MP_0125_CCN089 EUS QUALYS</t>
  </si>
  <si>
    <t>48000005592026</t>
  </si>
  <si>
    <t>MP_0125_SOW 23 AZURE</t>
  </si>
  <si>
    <t>48000005742026</t>
  </si>
  <si>
    <t>MP_0125_OT RUN SYMANTEC AV</t>
  </si>
  <si>
    <t>48000008572026</t>
  </si>
  <si>
    <t>MP_0125_CCN 1 TO SOW 23 AZURE</t>
  </si>
  <si>
    <t>48000008582026</t>
  </si>
  <si>
    <t>48000011042026</t>
  </si>
  <si>
    <t>MP_0225_SOW 45 RUNN</t>
  </si>
  <si>
    <t>48000011082026</t>
  </si>
  <si>
    <t>MP_0225_CCN 89 QUALYS</t>
  </si>
  <si>
    <t>48000011092026</t>
  </si>
  <si>
    <t>MP_0225_CCN089 EUS QUALYS</t>
  </si>
  <si>
    <t>48000013992026</t>
  </si>
  <si>
    <t>MP_0225_SOW 23 AZURE</t>
  </si>
  <si>
    <t>48000014052026</t>
  </si>
  <si>
    <t>MP_0225_CCN 1 TO SOW 23 AZURE</t>
  </si>
  <si>
    <t>48000014062026</t>
  </si>
  <si>
    <t>48000014582026</t>
  </si>
  <si>
    <t>MP_0225_OT RUN SYMANTEC AV</t>
  </si>
  <si>
    <t>48000021422026</t>
  </si>
  <si>
    <t>MP_0325_SOW 45 RUNN</t>
  </si>
  <si>
    <t>48000021432026</t>
  </si>
  <si>
    <t>MP_0325_CCN 89 QUALYS</t>
  </si>
  <si>
    <t>48000021442026</t>
  </si>
  <si>
    <t>MP_0325_CCN089 EUS QUALYS</t>
  </si>
  <si>
    <t>48000022102026</t>
  </si>
  <si>
    <t>MP_0325_SOW 23 AZURE</t>
  </si>
  <si>
    <t>48000022112026</t>
  </si>
  <si>
    <t>MP_0325_CCN 1 TO SOW 23 AZURE</t>
  </si>
  <si>
    <t>48000022822026</t>
  </si>
  <si>
    <t>MP_1024_CCN 89 QUALYS</t>
  </si>
  <si>
    <t>48000031862026</t>
  </si>
  <si>
    <t>48000031872026</t>
  </si>
  <si>
    <t>MP_0425_CCN 1 TO SOW 23 AZURE</t>
  </si>
  <si>
    <t>48000031882026</t>
  </si>
  <si>
    <t>48000031892026</t>
  </si>
  <si>
    <t>MP_0425_SOW 23 AZURE</t>
  </si>
  <si>
    <t>48000032412026</t>
  </si>
  <si>
    <t>MP_0425_SOW 45 RUNN</t>
  </si>
  <si>
    <t>48000032442026</t>
  </si>
  <si>
    <t>MP_0425_CCN 89 QUALYS</t>
  </si>
  <si>
    <t>48000032452026</t>
  </si>
  <si>
    <t>MP_0425_CCN089 EUS QUALYS</t>
  </si>
  <si>
    <t>48000042612026</t>
  </si>
  <si>
    <t>MP_0525_CCN 89 QUALYS</t>
  </si>
  <si>
    <t>48000042622026</t>
  </si>
  <si>
    <t>MP_0525_CCN089 EUS QUALYS</t>
  </si>
  <si>
    <t>48000042652026</t>
  </si>
  <si>
    <t>MP_0525_SOW 45 RUNN</t>
  </si>
  <si>
    <t>48000044012026</t>
  </si>
  <si>
    <t>MP_0525_CCN 1 TO SOW 23 AZURE</t>
  </si>
  <si>
    <t>48000044022026</t>
  </si>
  <si>
    <t>48000044032026</t>
  </si>
  <si>
    <t>MP_0525_SOW 23 AZURE</t>
  </si>
  <si>
    <t>48000044082026</t>
  </si>
  <si>
    <t>MP_0525_OT RUN SYMANTEC AV</t>
  </si>
  <si>
    <t>48000044092026</t>
  </si>
  <si>
    <t>MP_0425_OT RUN SYMANTEC AV</t>
  </si>
  <si>
    <t>48000044102026</t>
  </si>
  <si>
    <t>MP_0325_OT RUN SYMANTEC AV</t>
  </si>
  <si>
    <t>86000001132026</t>
  </si>
  <si>
    <t>MP_1224_SOW 45 RUNN</t>
  </si>
  <si>
    <t>86000009662026</t>
  </si>
  <si>
    <t>86000011242026</t>
  </si>
  <si>
    <t>86000025202026</t>
  </si>
  <si>
    <t>86000032922026</t>
  </si>
  <si>
    <t>48000024432026</t>
  </si>
  <si>
    <t>SD_0125-1225_SANS VOUCHER</t>
  </si>
  <si>
    <t>48000013002026</t>
  </si>
  <si>
    <t>MP_0125_SERVICE DESK ONBOARDING</t>
  </si>
  <si>
    <t>48000013012026</t>
  </si>
  <si>
    <t>MP_0125_SERVICE DESK ONBOARDING 0%</t>
  </si>
  <si>
    <t>48000023552026</t>
  </si>
  <si>
    <t>SD_0325_SERVICE DESK ONBOARDING 21%</t>
  </si>
  <si>
    <t>48000023562026</t>
  </si>
  <si>
    <t>SD_0325_SERVICE DESK ONBOARDING 0%</t>
  </si>
  <si>
    <t>48000037412026</t>
  </si>
  <si>
    <t>MP_0425_SERVICE DESK ONBOARDIN</t>
  </si>
  <si>
    <t>48000043792026</t>
  </si>
  <si>
    <t>MP_0525_SERVICE DESK ONBOARDING</t>
  </si>
  <si>
    <t>48000008512026</t>
  </si>
  <si>
    <t>MP_0125-0225_KDE232199 PRIVCLOUD</t>
  </si>
  <si>
    <t>48000027612026</t>
  </si>
  <si>
    <t>MP_0325-0226_EMAIL PROTECTL ICENSE</t>
  </si>
  <si>
    <t>CY23_05 ACCENTURE</t>
  </si>
  <si>
    <t>MP_5400983311_0523-0426_OF_QUALYS</t>
  </si>
  <si>
    <t>CY24_01_SANS INSTI</t>
  </si>
  <si>
    <t>MP_5401030717_0124-0125_SANS VOUCHER</t>
  </si>
  <si>
    <t>CY24_02_BOOMI</t>
  </si>
  <si>
    <t>MP_5400912153_0224-0125_RENEWAL ORDER PREMIER SUPP</t>
  </si>
  <si>
    <t>MP_5400917805_0224-0125_RENEWAL SOLACE</t>
  </si>
  <si>
    <t>CY24_03_IRONSCALES</t>
  </si>
  <si>
    <t>MP_5400913325_0324-0225_LICENSE MALWARE URL</t>
  </si>
  <si>
    <t>CY25_P03_IRONSCALE</t>
  </si>
  <si>
    <t>MP_0325-0226_EMAIL PROTECTL ICENSE_5401087958</t>
  </si>
  <si>
    <t>CY25_P03_SANS</t>
  </si>
  <si>
    <t>SD_0125-1225_SANS VOUCHER_5401102234</t>
  </si>
  <si>
    <t>CY25_PPM_CHARGE</t>
  </si>
  <si>
    <t>230566 - API MANAGEMENT &amp; SAP INTEGRATION</t>
  </si>
  <si>
    <t>CY25_PIL_P3_IT SECURITY</t>
  </si>
  <si>
    <t>CY25_PIL_P4_SECURITY</t>
  </si>
  <si>
    <t>48000001482026</t>
  </si>
  <si>
    <t>MP_1124_RO JINESH</t>
  </si>
  <si>
    <t>48000001502026</t>
  </si>
  <si>
    <t>48000001522026</t>
  </si>
  <si>
    <t>MP_0125_SIAM RUN CHARGES</t>
  </si>
  <si>
    <t>48000002532026</t>
  </si>
  <si>
    <t>MP_1224_CCN 24 ADD PMT</t>
  </si>
  <si>
    <t>48000003532026</t>
  </si>
  <si>
    <t>MP_1224_CCN 27 DIGITAL WEBSITE</t>
  </si>
  <si>
    <t>48000003542026</t>
  </si>
  <si>
    <t>48000004952026</t>
  </si>
  <si>
    <t>MP_0125_PREBILL AMS ADDITIONAL</t>
  </si>
  <si>
    <t>48000004982026</t>
  </si>
  <si>
    <t>MP_1124-1224_SOW 191 AMS</t>
  </si>
  <si>
    <t>48000004992026</t>
  </si>
  <si>
    <t>MP_1224_RO JINESH</t>
  </si>
  <si>
    <t>48000005002026</t>
  </si>
  <si>
    <t>48000005012026</t>
  </si>
  <si>
    <t>MP_0125_RO JINESH</t>
  </si>
  <si>
    <t>48000005022026</t>
  </si>
  <si>
    <t>MP_1224_RO MALIBY</t>
  </si>
  <si>
    <t>48000005032026</t>
  </si>
  <si>
    <t>48000005042026</t>
  </si>
  <si>
    <t>48000006032026</t>
  </si>
  <si>
    <t>MP_0125_INCIDENT MANAGEMENT SER</t>
  </si>
  <si>
    <t>48000006042026</t>
  </si>
  <si>
    <t>MP_0125_USER MANAGEMENT</t>
  </si>
  <si>
    <t>48000006052026</t>
  </si>
  <si>
    <t>MP_0125_FOUNDATION SERVICES</t>
  </si>
  <si>
    <t>48000006062026</t>
  </si>
  <si>
    <t>MP_0125_ENHANCE SEER AM SAP/NSA</t>
  </si>
  <si>
    <t>48000006072026</t>
  </si>
  <si>
    <t>MP_0125_ENHANCE SERV AD SAP/NSA</t>
  </si>
  <si>
    <t>48000006082026</t>
  </si>
  <si>
    <t>MP_0125_TEST FACTORY SERVICE</t>
  </si>
  <si>
    <t>48000006092026</t>
  </si>
  <si>
    <t>MP_0125_DEVOPS SFDC DTC</t>
  </si>
  <si>
    <t>48000006112026</t>
  </si>
  <si>
    <t>MP_0125_BAS SERV 7FTE LANDED</t>
  </si>
  <si>
    <t>48000006122026</t>
  </si>
  <si>
    <t>MP_0125_CCN 21 BOOMI TEAM</t>
  </si>
  <si>
    <t>48000006142026</t>
  </si>
  <si>
    <t>MP_0125_RPA SUPPORT</t>
  </si>
  <si>
    <t>48000006152026</t>
  </si>
  <si>
    <t>MP_0125_SRE TEAM</t>
  </si>
  <si>
    <t>48000006162026</t>
  </si>
  <si>
    <t>MP_0125_SERV SUPPORT 24X5</t>
  </si>
  <si>
    <t>48000006172026</t>
  </si>
  <si>
    <t>MP_0125_LINK SUPPORT</t>
  </si>
  <si>
    <t>48000006182026</t>
  </si>
  <si>
    <t>MP_0125_TAS ADD SUPPORT</t>
  </si>
  <si>
    <t>48000006192026</t>
  </si>
  <si>
    <t>MP_0125_CCN 17 COMPLIANCE</t>
  </si>
  <si>
    <t>48000006202026</t>
  </si>
  <si>
    <t>MP_0125_CCN 18 EMS R&amp;D SUPPORT</t>
  </si>
  <si>
    <t>48000006212026</t>
  </si>
  <si>
    <t>MP_0125_CCN 20 JIRA, C4C, TAS</t>
  </si>
  <si>
    <t>48000006222026</t>
  </si>
  <si>
    <t>MP_0125_CCN 22 DEVOPS DEVELOPER</t>
  </si>
  <si>
    <t>48000006232026</t>
  </si>
  <si>
    <t>MP_0125_CCN 23 DIGITAL TEAM</t>
  </si>
  <si>
    <t>48000006242026</t>
  </si>
  <si>
    <t>MP_0125_CCN 27 DIGITAL WEBSITE SUPP</t>
  </si>
  <si>
    <t>48000006252026</t>
  </si>
  <si>
    <t>MP_0125_RPA RESOURCE CIPHIX</t>
  </si>
  <si>
    <t>48000006262026</t>
  </si>
  <si>
    <t>MP_0125_POWER PLATFROM</t>
  </si>
  <si>
    <t>48000006272026</t>
  </si>
  <si>
    <t>MP_0125_BONUS</t>
  </si>
  <si>
    <t>48000006442026</t>
  </si>
  <si>
    <t>MP_0125_CCN3 TO SOW 211</t>
  </si>
  <si>
    <t>48000006872026</t>
  </si>
  <si>
    <t>IL_1224_SYMANTEC OPS</t>
  </si>
  <si>
    <t>48000007682026</t>
  </si>
  <si>
    <t>MP_0125_SOW 243 SAVYINT AUTOPR</t>
  </si>
  <si>
    <t>48000007692026</t>
  </si>
  <si>
    <t>MP_0125_RO KEVIN</t>
  </si>
  <si>
    <t>48000011012026</t>
  </si>
  <si>
    <t>MP_0225_PREBILL AMS ADDITIONAL</t>
  </si>
  <si>
    <t>48000011022026</t>
  </si>
  <si>
    <t>MP_0225_SIAM RUN CHARGES</t>
  </si>
  <si>
    <t>48000011062026</t>
  </si>
  <si>
    <t>MP_0125_SOW 191</t>
  </si>
  <si>
    <t>48000011202026</t>
  </si>
  <si>
    <t>MP_0225_CCN3 TO SOW 211</t>
  </si>
  <si>
    <t>48000011872026</t>
  </si>
  <si>
    <t>MP_0125_SERVICENOW RUN</t>
  </si>
  <si>
    <t>48000011882026</t>
  </si>
  <si>
    <t>MP_0225_SERVICENOW RUN</t>
  </si>
  <si>
    <t>48000014022026</t>
  </si>
  <si>
    <t>48000014042026</t>
  </si>
  <si>
    <t>MP_0225_RO JINESH</t>
  </si>
  <si>
    <t>48000014072026</t>
  </si>
  <si>
    <t>MP_0125_SOW 29 CCN4 RPA DEVEOP</t>
  </si>
  <si>
    <t>48000014742026</t>
  </si>
  <si>
    <t>MP_0125_RO MAIBY K</t>
  </si>
  <si>
    <t>48000015482026</t>
  </si>
  <si>
    <t>MP_0225_INCIDENT MANAGEMENT SE</t>
  </si>
  <si>
    <t>48000015492026</t>
  </si>
  <si>
    <t>MP_0225_USER MANAGEMENT</t>
  </si>
  <si>
    <t>48000015502026</t>
  </si>
  <si>
    <t>MP_0225_FOUNDATION SERVICES</t>
  </si>
  <si>
    <t>48000015512026</t>
  </si>
  <si>
    <t>MP_0225_ENHANCE SEER AM SAP/NS</t>
  </si>
  <si>
    <t>48000015522026</t>
  </si>
  <si>
    <t>MP_0225_ENHANCE SERV AD SAP/NS</t>
  </si>
  <si>
    <t>48000015532026</t>
  </si>
  <si>
    <t>MP_0225_TEST FACTORY SERVICE</t>
  </si>
  <si>
    <t>48000015542026</t>
  </si>
  <si>
    <t>MP_0225_DEVOPS SFDC DTC</t>
  </si>
  <si>
    <t>48000015552026</t>
  </si>
  <si>
    <t>MP_0225_BAS SERV 7FTE LANDED</t>
  </si>
  <si>
    <t>48000015562026</t>
  </si>
  <si>
    <t>MP_0225_CCN 21 BOOMI TEAM</t>
  </si>
  <si>
    <t>48000015582026</t>
  </si>
  <si>
    <t>MP_0225_RPA SUPPORT</t>
  </si>
  <si>
    <t>48000015592026</t>
  </si>
  <si>
    <t>MP_0225_SRE TEAM</t>
  </si>
  <si>
    <t>48000015602026</t>
  </si>
  <si>
    <t>MP_0225_SERV SUPPORT 24X5</t>
  </si>
  <si>
    <t>48000015612026</t>
  </si>
  <si>
    <t>MP_0225_LINK SUPPORT</t>
  </si>
  <si>
    <t>48000015622026</t>
  </si>
  <si>
    <t>MP_0225_TAS ADD SUPPORT</t>
  </si>
  <si>
    <t>48000015632026</t>
  </si>
  <si>
    <t>MP_0225_CCN 17 COMPLIANCE</t>
  </si>
  <si>
    <t>48000015642026</t>
  </si>
  <si>
    <t>MP_0225_CCN 18 EMS R&amp;D SUPPORT</t>
  </si>
  <si>
    <t>48000015652026</t>
  </si>
  <si>
    <t>MP_0225_CCN 20 JIRA, C4C, TAS</t>
  </si>
  <si>
    <t>48000015662026</t>
  </si>
  <si>
    <t>MP_0225_CCN 22 DEVOPS DEVELOPE</t>
  </si>
  <si>
    <t>48000015672026</t>
  </si>
  <si>
    <t>MP_0225_CCN 23 DIGITAL TEAM</t>
  </si>
  <si>
    <t>48000015682026</t>
  </si>
  <si>
    <t>MP_0225_CCN 27 DIGITAL WEBSITE</t>
  </si>
  <si>
    <t>48000015692026</t>
  </si>
  <si>
    <t>MP_0225_RPA RESOURCE CIPHIX</t>
  </si>
  <si>
    <t>48000015702026</t>
  </si>
  <si>
    <t>MP_0125-0225_PMT FY25 EXTENSION CCN24A</t>
  </si>
  <si>
    <t>48000015712026</t>
  </si>
  <si>
    <t>MP_0225_POWER PLATFROM</t>
  </si>
  <si>
    <t>48000015722026</t>
  </si>
  <si>
    <t>MP_0225_BONUS</t>
  </si>
  <si>
    <t>48000015732026</t>
  </si>
  <si>
    <t>MP_0225_SPS UPGRADE</t>
  </si>
  <si>
    <t>48000016032026</t>
  </si>
  <si>
    <t>48000016042026</t>
  </si>
  <si>
    <t>MP_0225_SOW 191</t>
  </si>
  <si>
    <t>48000017392026</t>
  </si>
  <si>
    <t>MP_0225_SOW 243 SAVYINT AUTOPR</t>
  </si>
  <si>
    <t>48000017412026</t>
  </si>
  <si>
    <t>MP_0225_RO KEVIN</t>
  </si>
  <si>
    <t>48000018942026</t>
  </si>
  <si>
    <t>MHV_0924_SOW 229 AMS RPA</t>
  </si>
  <si>
    <t>48000018952026</t>
  </si>
  <si>
    <t>MHV_1124_SOW 229 AMS RPA</t>
  </si>
  <si>
    <t>48000018962026</t>
  </si>
  <si>
    <t>MHV_1224_SOW 229 AMS RPA</t>
  </si>
  <si>
    <t>48000019652026</t>
  </si>
  <si>
    <t>MP_0325_SOW 243 SAVYINT</t>
  </si>
  <si>
    <t>48000021152026</t>
  </si>
  <si>
    <t>48000021162026</t>
  </si>
  <si>
    <t>48000021172026</t>
  </si>
  <si>
    <t>MP_0325_RO KEVIN</t>
  </si>
  <si>
    <t>48000021182026</t>
  </si>
  <si>
    <t>MP_0225_SOW 250 AMS</t>
  </si>
  <si>
    <t>48000021392026</t>
  </si>
  <si>
    <t>MP_0325_PREBILL AMS ADDITIONAL</t>
  </si>
  <si>
    <t>48000021402026</t>
  </si>
  <si>
    <t>MP_0325_SIAM RUN CHARGES</t>
  </si>
  <si>
    <t>48000022152026</t>
  </si>
  <si>
    <t>MP_0325_CCN3 TO SOW 211</t>
  </si>
  <si>
    <t>48000023332026</t>
  </si>
  <si>
    <t>48000023352026</t>
  </si>
  <si>
    <t>MP_0225_SOW 29 CCN4 RPA DEVEOP</t>
  </si>
  <si>
    <t>48000023782026</t>
  </si>
  <si>
    <t>SD_0325_INCIDENT MANAGEMENT SERVICES</t>
  </si>
  <si>
    <t>48000023792026</t>
  </si>
  <si>
    <t>SD_0325_USER MANAGEMENT</t>
  </si>
  <si>
    <t>48000023802026</t>
  </si>
  <si>
    <t>SD_0325_FOUNDATION SERVICE</t>
  </si>
  <si>
    <t>48000023812026</t>
  </si>
  <si>
    <t>SD_0325_ENHANCE SEER AM SAP/NSA</t>
  </si>
  <si>
    <t>48000023822026</t>
  </si>
  <si>
    <t>SD_0325_ENHANCE SERV AD SAP/NSA</t>
  </si>
  <si>
    <t>48000023832026</t>
  </si>
  <si>
    <t>SD_0325_TEST FACTORY SERVICE</t>
  </si>
  <si>
    <t>48000023842026</t>
  </si>
  <si>
    <t>SD_0325_DEVOPS SFDC DTC</t>
  </si>
  <si>
    <t>48000023852026</t>
  </si>
  <si>
    <t>SD_0325_BAS SERV 7FTE LANDED</t>
  </si>
  <si>
    <t>48000023862026</t>
  </si>
  <si>
    <t>SD_0325_CCN 21 BOOMI TEAM</t>
  </si>
  <si>
    <t>48000023882026</t>
  </si>
  <si>
    <t>SD_0325_RPA SUPPORT</t>
  </si>
  <si>
    <t>48000023902026</t>
  </si>
  <si>
    <t>SD_0325_SRE TEAM</t>
  </si>
  <si>
    <t>48000023922026</t>
  </si>
  <si>
    <t>SD_0325_SER SUPPORT 24X5</t>
  </si>
  <si>
    <t>48000023932026</t>
  </si>
  <si>
    <t>SD_0325_LINK SUPPORT</t>
  </si>
  <si>
    <t>48000023942026</t>
  </si>
  <si>
    <t>SD_0325_TAS ADD SUPPORT</t>
  </si>
  <si>
    <t>48000023952026</t>
  </si>
  <si>
    <t>SD_0325_CCN 17 COMPLIANCE</t>
  </si>
  <si>
    <t>48000023962026</t>
  </si>
  <si>
    <t>SD_0325_CCN 18 EMS R&amp;D SUPPORT</t>
  </si>
  <si>
    <t>48000023972026</t>
  </si>
  <si>
    <t>SD_0325_CCN 20 JIRA, C4C, TAS</t>
  </si>
  <si>
    <t>48000023982026</t>
  </si>
  <si>
    <t>SD_0325_CCN 22 DEVOPS DEVELOPER</t>
  </si>
  <si>
    <t>48000024002026</t>
  </si>
  <si>
    <t>SD_0325_CCN 23 DIGITAL TEAM</t>
  </si>
  <si>
    <t>48000024012026</t>
  </si>
  <si>
    <t>SD_0325_CCN 27 DIGITAL WEBSITE SUPP</t>
  </si>
  <si>
    <t>48000024022026</t>
  </si>
  <si>
    <t>SD_0325_RPA RESOURCE CIPHIX</t>
  </si>
  <si>
    <t>48000024032026</t>
  </si>
  <si>
    <t>SD_0325_PMT FY25 EXTENSION CCN24A</t>
  </si>
  <si>
    <t>48000024042026</t>
  </si>
  <si>
    <t>SD_0325_POWER PLATFORM</t>
  </si>
  <si>
    <t>48000024052026</t>
  </si>
  <si>
    <t>SD_0325_CCN 24 ADD PMT RESOURCE</t>
  </si>
  <si>
    <t>48000024062026</t>
  </si>
  <si>
    <t>SD_0325_BONUS</t>
  </si>
  <si>
    <t>48000024742026</t>
  </si>
  <si>
    <t>MP_0225_RO MAIBY K</t>
  </si>
  <si>
    <t>48000027292026</t>
  </si>
  <si>
    <t>48000027302026</t>
  </si>
  <si>
    <t>48000027852026</t>
  </si>
  <si>
    <t>MP_0325_SPS UPGRADE</t>
  </si>
  <si>
    <t>48000027962026</t>
  </si>
  <si>
    <t>MP_0325_SERVICENOW RUN</t>
  </si>
  <si>
    <t>48000027992026</t>
  </si>
  <si>
    <t>MP_0724_WEBSITES</t>
  </si>
  <si>
    <t>48000028002026</t>
  </si>
  <si>
    <t>MP_1024_WEBSITES</t>
  </si>
  <si>
    <t>48000028022026</t>
  </si>
  <si>
    <t>MP_0624_CCN22A ADD DEVOPS</t>
  </si>
  <si>
    <t>48000028032026</t>
  </si>
  <si>
    <t>MP_0124_CCN 24 ADD PMT</t>
  </si>
  <si>
    <t>48000028062026</t>
  </si>
  <si>
    <t>MP_0724_CCN 26 POWER PLATFORM</t>
  </si>
  <si>
    <t>48000031112026</t>
  </si>
  <si>
    <t>MP_0224_CCN23A FRONTEND DEVELO</t>
  </si>
  <si>
    <t>48000031182026</t>
  </si>
  <si>
    <t>48000032392026</t>
  </si>
  <si>
    <t>MP_0425_PREBILL AMS ADDITIONAL</t>
  </si>
  <si>
    <t>48000032402026</t>
  </si>
  <si>
    <t>MP_0425_SIAM RUN CHARGES</t>
  </si>
  <si>
    <t>48000032432026</t>
  </si>
  <si>
    <t>MP_0425_SOW 191</t>
  </si>
  <si>
    <t>48000033522026</t>
  </si>
  <si>
    <t>MP_0425_CCN3 TO SOW 211</t>
  </si>
  <si>
    <t>48000033922026</t>
  </si>
  <si>
    <t>48000033932026</t>
  </si>
  <si>
    <t>MP_0425_RO KEVIN</t>
  </si>
  <si>
    <t>48000036732026</t>
  </si>
  <si>
    <t>48000036912026</t>
  </si>
  <si>
    <t>MP_0425_INCIDENT MANAGEMENT SE</t>
  </si>
  <si>
    <t>48000036932026</t>
  </si>
  <si>
    <t>MP_0425_USER MANAGEMENT</t>
  </si>
  <si>
    <t>48000036942026</t>
  </si>
  <si>
    <t>MP_0425_FOUNDATION SERVICE</t>
  </si>
  <si>
    <t>48000036952026</t>
  </si>
  <si>
    <t>MP_0425_ENHANCE SEER AM SAP/NS</t>
  </si>
  <si>
    <t>48000036962026</t>
  </si>
  <si>
    <t>MP_0425_ENHANCE SERV AD SAP/NS</t>
  </si>
  <si>
    <t>48000036972026</t>
  </si>
  <si>
    <t>MP_0425_TEST FACTORY SERVICE</t>
  </si>
  <si>
    <t>48000036982026</t>
  </si>
  <si>
    <t>MP_0425_DEVOPS SFDC DTC</t>
  </si>
  <si>
    <t>48000036992026</t>
  </si>
  <si>
    <t>MP_0425_BAS SERV 7FTE LANDED</t>
  </si>
  <si>
    <t>48000037002026</t>
  </si>
  <si>
    <t>MP_0425_CCN 21 BOOMI TEAM</t>
  </si>
  <si>
    <t>48000037022026</t>
  </si>
  <si>
    <t>MP_0425_RPA SUPPORT</t>
  </si>
  <si>
    <t>48000037032026</t>
  </si>
  <si>
    <t>MP_0425_SRE TEAM</t>
  </si>
  <si>
    <t>48000037042026</t>
  </si>
  <si>
    <t>MP_0425_SER SUPPORT 24X5</t>
  </si>
  <si>
    <t>48000037052026</t>
  </si>
  <si>
    <t>MP_0425_LINK SUPPORT</t>
  </si>
  <si>
    <t>48000037062026</t>
  </si>
  <si>
    <t>MP_0425_TAS ADD SUPPORT</t>
  </si>
  <si>
    <t>48000037072026</t>
  </si>
  <si>
    <t>MP_0425_CCN 17 COMPLIANCE</t>
  </si>
  <si>
    <t>48000037082026</t>
  </si>
  <si>
    <t>MP_0425_CCN 18 EMS R&amp;D SUPPORT</t>
  </si>
  <si>
    <t>48000037092026</t>
  </si>
  <si>
    <t>MP_0425_CCN 20 JIRA, C4C, TAS</t>
  </si>
  <si>
    <t>48000037102026</t>
  </si>
  <si>
    <t>MP_0425_CCN 22 DEVOPS DEVELOPE</t>
  </si>
  <si>
    <t>48000037112026</t>
  </si>
  <si>
    <t>MP_0425_CCN 23 DIGITAL TEAM</t>
  </si>
  <si>
    <t>48000037122026</t>
  </si>
  <si>
    <t>MP_0425_CCN 27 DIGITAL WEBSITE</t>
  </si>
  <si>
    <t>48000037132026</t>
  </si>
  <si>
    <t>MP_0425_RPA RESOURCE CIPHIX</t>
  </si>
  <si>
    <t>48000037142026</t>
  </si>
  <si>
    <t>MP_0425_PMT FY25 EXTENSION CCN</t>
  </si>
  <si>
    <t>48000037152026</t>
  </si>
  <si>
    <t>MP_0325_BONUS</t>
  </si>
  <si>
    <t>48000037162026</t>
  </si>
  <si>
    <t>MP_0425_SPS UPGRADE</t>
  </si>
  <si>
    <t>48000037422026</t>
  </si>
  <si>
    <t>MP_0425_SERVICENOW RUN</t>
  </si>
  <si>
    <t>48000037452026</t>
  </si>
  <si>
    <t>MP_0325_SOW 250 AMS</t>
  </si>
  <si>
    <t>48000037462026</t>
  </si>
  <si>
    <t>MP_0325-0525_PWO 28</t>
  </si>
  <si>
    <t>48000039102026</t>
  </si>
  <si>
    <t>MP_0225-0325_RO JINISH</t>
  </si>
  <si>
    <t>48000042492026</t>
  </si>
  <si>
    <t>MP_0525_PREBILL AMS ADDITIONAL</t>
  </si>
  <si>
    <t>48000042502026</t>
  </si>
  <si>
    <t>MP_0525_SIAM RUN CHARGES</t>
  </si>
  <si>
    <t>48000042532026</t>
  </si>
  <si>
    <t>MP_0525_SERVICENOW RUN</t>
  </si>
  <si>
    <t>48000042562026</t>
  </si>
  <si>
    <t>MP_0525-0125_SERVICENOW RUN</t>
  </si>
  <si>
    <t>48000042582026</t>
  </si>
  <si>
    <t>48000042592026</t>
  </si>
  <si>
    <t>48000043972026</t>
  </si>
  <si>
    <t>MP_0525_CCN3 TO SOW 211</t>
  </si>
  <si>
    <t>48000044002026</t>
  </si>
  <si>
    <t>MP_0325_SOW 29 CCN4 RPA DEVEOP</t>
  </si>
  <si>
    <t>48000044132026</t>
  </si>
  <si>
    <t>MP_0525_SOW 191</t>
  </si>
  <si>
    <t>48000044202026</t>
  </si>
  <si>
    <t>MP_0325-0625_PWO 29 TO SOW 191</t>
  </si>
  <si>
    <t>48000045262026</t>
  </si>
  <si>
    <t>MP_0525_INCIDENT MANAGEMENT SE</t>
  </si>
  <si>
    <t>48000045272026</t>
  </si>
  <si>
    <t>MP_0525_USER MANAGEMENT</t>
  </si>
  <si>
    <t>48000045282026</t>
  </si>
  <si>
    <t>MP_0525_FOUNDATION SERVICE</t>
  </si>
  <si>
    <t>48000045292026</t>
  </si>
  <si>
    <t>MP_0525_ENHANCE SEER AM SAP/NS</t>
  </si>
  <si>
    <t>48000045312026</t>
  </si>
  <si>
    <t>MP_0525_ENHANCE SERV AD SAP/NS</t>
  </si>
  <si>
    <t>48000045322026</t>
  </si>
  <si>
    <t>MP_0525_TEST FACTORY SERVICE</t>
  </si>
  <si>
    <t>48000045332026</t>
  </si>
  <si>
    <t>MP_0525_DEVOPS SFDC DTC</t>
  </si>
  <si>
    <t>48000045342026</t>
  </si>
  <si>
    <t>MP_0525_BAS SERV 7FTE LANDED</t>
  </si>
  <si>
    <t>48000045352026</t>
  </si>
  <si>
    <t>MP_0525_CCN 21 BOOMI TEAM</t>
  </si>
  <si>
    <t>48000045372026</t>
  </si>
  <si>
    <t>MP_0525_RPA SUPPORT</t>
  </si>
  <si>
    <t>48000045382026</t>
  </si>
  <si>
    <t>MP_0525_SRE TEAM</t>
  </si>
  <si>
    <t>48000045392026</t>
  </si>
  <si>
    <t>MP_0525_SER SUPPORT 24X5</t>
  </si>
  <si>
    <t>48000045402026</t>
  </si>
  <si>
    <t>MP_0525_LINK SUPPORT</t>
  </si>
  <si>
    <t>48000045412026</t>
  </si>
  <si>
    <t>MP_0525_TAS ADD SUPPORT</t>
  </si>
  <si>
    <t>48000045422026</t>
  </si>
  <si>
    <t>MP_0525_CCN 17 COMPLIANCE</t>
  </si>
  <si>
    <t>48000045432026</t>
  </si>
  <si>
    <t>MP_0525_CCN 18 EMS R&amp;D SUPPORT</t>
  </si>
  <si>
    <t>48000045442026</t>
  </si>
  <si>
    <t>MP_0525_CCN 20 JIRA, C4C, TAS</t>
  </si>
  <si>
    <t>48000045452026</t>
  </si>
  <si>
    <t>MP_0525_CCN 22 DEVOPS DEVELOPE</t>
  </si>
  <si>
    <t>48000045462026</t>
  </si>
  <si>
    <t>MP_0525_CCN 23 DIGITAL TEAM</t>
  </si>
  <si>
    <t>48000045472026</t>
  </si>
  <si>
    <t>MP_0525_CCN 27 DIGITAL WEBSITE</t>
  </si>
  <si>
    <t>48000045482026</t>
  </si>
  <si>
    <t>MP_0525_RPA RESOURCE CIPHIX</t>
  </si>
  <si>
    <t>48000045492026</t>
  </si>
  <si>
    <t>MP_0525_PMT FY25 EXTENSION CCN</t>
  </si>
  <si>
    <t>48000045502026</t>
  </si>
  <si>
    <t>MP_0525_BONUS</t>
  </si>
  <si>
    <t>48000045512026</t>
  </si>
  <si>
    <t>MP_0525_SPS UPGRADE</t>
  </si>
  <si>
    <t>48000045772026</t>
  </si>
  <si>
    <t>MP_1124_WEBSITES</t>
  </si>
  <si>
    <t>86000000532026</t>
  </si>
  <si>
    <t>MP_1224_SIAM RUN CHARGES</t>
  </si>
  <si>
    <t>86000002082026</t>
  </si>
  <si>
    <t>86000002092026</t>
  </si>
  <si>
    <t>86000003102026</t>
  </si>
  <si>
    <t>86000003112026</t>
  </si>
  <si>
    <t>86000005202026</t>
  </si>
  <si>
    <t>86000009602026</t>
  </si>
  <si>
    <t>86000009612026</t>
  </si>
  <si>
    <t>86000010392026</t>
  </si>
  <si>
    <t>86000016062026</t>
  </si>
  <si>
    <t>87000000522026</t>
  </si>
  <si>
    <t>MP_1124_BAS SERV 7FTE</t>
  </si>
  <si>
    <t>MP_1224_BAS SERV 7FTE</t>
  </si>
  <si>
    <t>14000005902026</t>
  </si>
  <si>
    <t>5401019020 (COGNIZANT , SOW CBB RENEWAL 0124-1224)</t>
  </si>
  <si>
    <t>14000005922026</t>
  </si>
  <si>
    <t>CY25_PIL_P3_5401091853</t>
  </si>
  <si>
    <t>48000005272026</t>
  </si>
  <si>
    <t>4510023338</t>
  </si>
  <si>
    <t>48000005972026</t>
  </si>
  <si>
    <t>IL_1224_100 ADDITIONAL HOURS</t>
  </si>
  <si>
    <t>48000014752026</t>
  </si>
  <si>
    <t>MP_0125_STRIPPENKAART BAU</t>
  </si>
  <si>
    <t>48000033062026</t>
  </si>
  <si>
    <t>MP_0425_STRIPPENKAART BAU</t>
  </si>
  <si>
    <t>48000002672026</t>
  </si>
  <si>
    <t>MP_1224_GOOGLE TRANSLATE API</t>
  </si>
  <si>
    <t>48000002692026</t>
  </si>
  <si>
    <t>48000005212026</t>
  </si>
  <si>
    <t>48000011282026</t>
  </si>
  <si>
    <t>MP_0125_GOOGLE TRANSLATE API</t>
  </si>
  <si>
    <t>48000011292026</t>
  </si>
  <si>
    <t>MP_0225_GOOGLE TRANSLATE API</t>
  </si>
  <si>
    <t>48000014212026</t>
  </si>
  <si>
    <t>48000023202026</t>
  </si>
  <si>
    <t>48000023212026</t>
  </si>
  <si>
    <t>48000036702026</t>
  </si>
  <si>
    <t>MP_0325_GOOGLE TRANSLATE API</t>
  </si>
  <si>
    <t>48000006422026</t>
  </si>
  <si>
    <t>MP_0125-0325_SAP GRC SUPPORT</t>
  </si>
  <si>
    <t>48000036722026</t>
  </si>
  <si>
    <t>MP_0425-0625_SAP GRC SUPPORT</t>
  </si>
  <si>
    <t>48000043862026</t>
  </si>
  <si>
    <t>48000043872026</t>
  </si>
  <si>
    <t>48000003102026</t>
  </si>
  <si>
    <t>MP_1224_AMS OPS CONTRACT</t>
  </si>
  <si>
    <t>48000031102026</t>
  </si>
  <si>
    <t>MP_1024-1224_EURIBOR</t>
  </si>
  <si>
    <t>48000005872026</t>
  </si>
  <si>
    <t>MP_0125-1225_SOW MANGED SERVICES</t>
  </si>
  <si>
    <t>48000003192026</t>
  </si>
  <si>
    <t>MP_1224_BPC SUPPORT</t>
  </si>
  <si>
    <t>48000003212026</t>
  </si>
  <si>
    <t>86000000012026</t>
  </si>
  <si>
    <t>48000002772026</t>
  </si>
  <si>
    <t>MP_0125_VAN SERVICE FEE</t>
  </si>
  <si>
    <t>48000005982026</t>
  </si>
  <si>
    <t>48000010292026</t>
  </si>
  <si>
    <t>IL_0125_CCN TO GLOBAL VAN SERVICE</t>
  </si>
  <si>
    <t>48000011052026</t>
  </si>
  <si>
    <t>MP_0225_VAN SERVICE FEE</t>
  </si>
  <si>
    <t>48000011742026</t>
  </si>
  <si>
    <t>IL_0225_CCN TO GLOBAL VAN SERVICE</t>
  </si>
  <si>
    <t>48000012802026</t>
  </si>
  <si>
    <t>48000019702026</t>
  </si>
  <si>
    <t>MP_0325_VAN SERVICE FEE</t>
  </si>
  <si>
    <t>48000020002026</t>
  </si>
  <si>
    <t>IL_0325_CCN TO GLOBAL VAN SERVICE</t>
  </si>
  <si>
    <t>48000023892026</t>
  </si>
  <si>
    <t>MP_0225_CCN TO GLOBAL VAN SERVICE</t>
  </si>
  <si>
    <t>48000026602026</t>
  </si>
  <si>
    <t>48000032292026</t>
  </si>
  <si>
    <t>MP_0425_VAN SERVICE FEE</t>
  </si>
  <si>
    <t>48000033132026</t>
  </si>
  <si>
    <t>MP_0425_CCN TO GLOBAL VAN SERV</t>
  </si>
  <si>
    <t>48000042682026</t>
  </si>
  <si>
    <t>MP_0525_VAN SERVICE FEE</t>
  </si>
  <si>
    <t>48000043592026</t>
  </si>
  <si>
    <t>MP_0525_CCN TO GLOBAL VAN SERV</t>
  </si>
  <si>
    <t>86000010472026</t>
  </si>
  <si>
    <t>86000025702026</t>
  </si>
  <si>
    <t>48000005082026</t>
  </si>
  <si>
    <t>MP_0125_SOW 176 DAM SUPPORT</t>
  </si>
  <si>
    <t>48000011132026</t>
  </si>
  <si>
    <t>MP_0225_SOW 176 DAM SUPPORT</t>
  </si>
  <si>
    <t>48000021452026</t>
  </si>
  <si>
    <t>MP_0325_SOW 176 DAM SUPPORT</t>
  </si>
  <si>
    <t>48000032472026</t>
  </si>
  <si>
    <t>MP_0425_SOW 176 DAM SUPPORT</t>
  </si>
  <si>
    <t>48000043982026</t>
  </si>
  <si>
    <t>MP_0525_SOW 176 DAM SUPPORT</t>
  </si>
  <si>
    <t>48000006482026</t>
  </si>
  <si>
    <t>MP_0125-0325_IRELY MAINTENANCE</t>
  </si>
  <si>
    <t>48000017332026</t>
  </si>
  <si>
    <t>MP_0225-1225_IRELY MAINTENANCE</t>
  </si>
  <si>
    <t>48000024102026</t>
  </si>
  <si>
    <t>MP_0624-1224_ADD MANAGED SERVICES</t>
  </si>
  <si>
    <t>48000024112026</t>
  </si>
  <si>
    <t>48000002492026</t>
  </si>
  <si>
    <t>MP_0125-1225_AUTOMATE SUTDIO SOFTWARE</t>
  </si>
  <si>
    <t>48000003842026</t>
  </si>
  <si>
    <t>MP_0125-0324_XTEL AMS SUPPORT</t>
  </si>
  <si>
    <t>48000003852026</t>
  </si>
  <si>
    <t>MP_0125-1225_XTEL MAINTENANCE</t>
  </si>
  <si>
    <t>48000006342026</t>
  </si>
  <si>
    <t>MP_0125_APP 444/ 445/ 434</t>
  </si>
  <si>
    <t>48000032482026</t>
  </si>
  <si>
    <t>48000041772026</t>
  </si>
  <si>
    <t>MP_0525-0426_LICENSE MAIN/ SUPP SYNCFORC</t>
  </si>
  <si>
    <t>48000041782026</t>
  </si>
  <si>
    <t>48000008532026</t>
  </si>
  <si>
    <t>MP_0125_OPP 524665 CUSTOMER FIRST</t>
  </si>
  <si>
    <t>48000017452026</t>
  </si>
  <si>
    <t>MP_0225_OPP 524665 CUSTOMER FI</t>
  </si>
  <si>
    <t>48000023392026</t>
  </si>
  <si>
    <t>MP_0325-1225_OPP 524665 CUSTOMER FIRST</t>
  </si>
  <si>
    <t>48000001652026</t>
  </si>
  <si>
    <t>MP_1224_SOW DMS</t>
  </si>
  <si>
    <t>48000001662026</t>
  </si>
  <si>
    <t>48000001672026</t>
  </si>
  <si>
    <t>48000005252026</t>
  </si>
  <si>
    <t>MP_0125_SOW DIGITAL MKT SERVICES</t>
  </si>
  <si>
    <t>48000010922026</t>
  </si>
  <si>
    <t>48000010932026</t>
  </si>
  <si>
    <t>MP_0225_SOW DIGITAL MKT SERVIC</t>
  </si>
  <si>
    <t>48000019562026</t>
  </si>
  <si>
    <t>MP_0225_SOW DIGITAL MKT SERVICE</t>
  </si>
  <si>
    <t>48000019572026</t>
  </si>
  <si>
    <t>MP_0325_SOW DIGITAL MKT SERVIC</t>
  </si>
  <si>
    <t>48000031982026</t>
  </si>
  <si>
    <t>48000032462026</t>
  </si>
  <si>
    <t>MP_0425_SOW DIGITAL MKT SERVIC</t>
  </si>
  <si>
    <t>48000039862026</t>
  </si>
  <si>
    <t>48000039872026</t>
  </si>
  <si>
    <t>MP_0525_SOW DIGITAL MKT SERVIC</t>
  </si>
  <si>
    <t>86000008722026</t>
  </si>
  <si>
    <t>48000008542026</t>
  </si>
  <si>
    <t>MP_0724-0924_EURIBOR</t>
  </si>
  <si>
    <t>48000008552026</t>
  </si>
  <si>
    <t>48000008562026</t>
  </si>
  <si>
    <t>48000026582026</t>
  </si>
  <si>
    <t>MP_1024-1224_EURIBOR 0%</t>
  </si>
  <si>
    <t>48000026592026</t>
  </si>
  <si>
    <t>MP_0724-0924_EURIBOR 0%</t>
  </si>
  <si>
    <t>48000003772026</t>
  </si>
  <si>
    <t>MP_0125_LINE ENGINEERING SUPPO</t>
  </si>
  <si>
    <t>48000003782026</t>
  </si>
  <si>
    <t>MP_0125_LINE SUPPORT 1ST</t>
  </si>
  <si>
    <t>48000003792026</t>
  </si>
  <si>
    <t>MP_0125_SUPPORT CORDINATION</t>
  </si>
  <si>
    <t>48000003802026</t>
  </si>
  <si>
    <t>MP_0125_READ ACCESS</t>
  </si>
  <si>
    <t>48000011152026</t>
  </si>
  <si>
    <t>MP_0225_LINE ENGINEERING SUPPO</t>
  </si>
  <si>
    <t>48000011162026</t>
  </si>
  <si>
    <t>MP_0225_LINE SUPPORT 1ST</t>
  </si>
  <si>
    <t>48000011172026</t>
  </si>
  <si>
    <t>MP_0225_READ ACCESS</t>
  </si>
  <si>
    <t>48000011182026</t>
  </si>
  <si>
    <t>MP_0225_SUPPORT CORDINATION</t>
  </si>
  <si>
    <t>48000019662026</t>
  </si>
  <si>
    <t>MP_0325_LINE ENGINEERING SUPPO</t>
  </si>
  <si>
    <t>48000019672026</t>
  </si>
  <si>
    <t>MP_0325_LINE SUPPORT 1ST</t>
  </si>
  <si>
    <t>48000019682026</t>
  </si>
  <si>
    <t>MP_0325_READ ACCESS</t>
  </si>
  <si>
    <t>48000019692026</t>
  </si>
  <si>
    <t>MP_0325_SUPPORT CORDINATION</t>
  </si>
  <si>
    <t>48000033142026</t>
  </si>
  <si>
    <t>MP_0425_LINE ENGINEERING SUPPO</t>
  </si>
  <si>
    <t>48000033152026</t>
  </si>
  <si>
    <t>MP_0425_LINE SUPPORT 1ST</t>
  </si>
  <si>
    <t>48000033162026</t>
  </si>
  <si>
    <t>MP_0425_SUPPORT CORDINATION</t>
  </si>
  <si>
    <t>48000033862026</t>
  </si>
  <si>
    <t>MP_0425_2ND LINE SUPPORT</t>
  </si>
  <si>
    <t>48000043602026</t>
  </si>
  <si>
    <t>MP_0525_LINE ENGINEERING SUPPO</t>
  </si>
  <si>
    <t>48000043612026</t>
  </si>
  <si>
    <t>MP_0525_LINE SUPPORT 1ST</t>
  </si>
  <si>
    <t>48000043622026</t>
  </si>
  <si>
    <t>MP_0525_SUPPORT CORDINATION</t>
  </si>
  <si>
    <t>48000006452026</t>
  </si>
  <si>
    <t>MP_0125-0325_SOW DATA MEASUREMENT</t>
  </si>
  <si>
    <t>48000032242026</t>
  </si>
  <si>
    <t>MP_0425-0625_SOW DATA MEASUREM</t>
  </si>
  <si>
    <t>48000036332026</t>
  </si>
  <si>
    <t>MP_0425_SERVICE ITSM MRC</t>
  </si>
  <si>
    <t>48000036342026</t>
  </si>
  <si>
    <t>MP-0425_0326_LICENSE ITSM</t>
  </si>
  <si>
    <t>48000043222026</t>
  </si>
  <si>
    <t>MHV_0425_SOW SERVICE ITSM</t>
  </si>
  <si>
    <t>48000002192026</t>
  </si>
  <si>
    <t>MP_0125-1225_TECH CONSULTING SUPP</t>
  </si>
  <si>
    <t>86000007752026</t>
  </si>
  <si>
    <t>48000045882026</t>
  </si>
  <si>
    <t>MP_0525_EURIBOR 2024</t>
  </si>
  <si>
    <t>48000000482026</t>
  </si>
  <si>
    <t>SD_1224_GLOBAL EFAX</t>
  </si>
  <si>
    <t>48000000492026</t>
  </si>
  <si>
    <t>48000000502026</t>
  </si>
  <si>
    <t>SD_0125_GLOBAL EFAX</t>
  </si>
  <si>
    <t>48000010852026</t>
  </si>
  <si>
    <t>48000010862026</t>
  </si>
  <si>
    <t>48000010872026</t>
  </si>
  <si>
    <t>SD_0225_GLOBAL EFAX</t>
  </si>
  <si>
    <t>48000020072026</t>
  </si>
  <si>
    <t>48000020082026</t>
  </si>
  <si>
    <t>48000020092026</t>
  </si>
  <si>
    <t>SD_0325_GLOBAL EFAX</t>
  </si>
  <si>
    <t>48000031332026</t>
  </si>
  <si>
    <t>48000031342026</t>
  </si>
  <si>
    <t>48000031352026</t>
  </si>
  <si>
    <t>SD_0425_GLOBAL EFAX</t>
  </si>
  <si>
    <t>48000040002026</t>
  </si>
  <si>
    <t>48000040012026</t>
  </si>
  <si>
    <t>48000040022026</t>
  </si>
  <si>
    <t>SD_0525_GLOBAL EFAX</t>
  </si>
  <si>
    <t>48000017472026</t>
  </si>
  <si>
    <t>MP_0225_MIGRATE SPLUNK TO CLOUD</t>
  </si>
  <si>
    <t>48000019612026</t>
  </si>
  <si>
    <t>MP_0325-0425_MIGRATE SPLUNK TO CLOUD</t>
  </si>
  <si>
    <t>86000013402026</t>
  </si>
  <si>
    <t>86000014732026</t>
  </si>
  <si>
    <t>86000014752026</t>
  </si>
  <si>
    <t>86000015472026</t>
  </si>
  <si>
    <t>48000029592026</t>
  </si>
  <si>
    <t>MHV_0125_SUPPORT TRANSITION 2025</t>
  </si>
  <si>
    <t>48000005232026</t>
  </si>
  <si>
    <t>MP_0125_COMARCH MAIN &amp; SUPP</t>
  </si>
  <si>
    <t>48000011142026</t>
  </si>
  <si>
    <t>MP_0225_COMARCH MAIN &amp; SUPP</t>
  </si>
  <si>
    <t>48000012772026</t>
  </si>
  <si>
    <t>48000012792026</t>
  </si>
  <si>
    <t>48000021192026</t>
  </si>
  <si>
    <t>48000021202026</t>
  </si>
  <si>
    <t>MP_0325_COMARCH MAIN &amp; SUPP</t>
  </si>
  <si>
    <t>48000023472026</t>
  </si>
  <si>
    <t>48000043922026</t>
  </si>
  <si>
    <t>MP_0425_COMARCH MAIN &amp; SUPP</t>
  </si>
  <si>
    <t>48000003072026</t>
  </si>
  <si>
    <t>48000008502026</t>
  </si>
  <si>
    <t>MP_0125_SUCCESS FEE 2024</t>
  </si>
  <si>
    <t>48000011952026</t>
  </si>
  <si>
    <t>MP_0125_AMS OPS CONTRACT</t>
  </si>
  <si>
    <t>48000011962026</t>
  </si>
  <si>
    <t>MP_0225_AMS OPS CONTRACT</t>
  </si>
  <si>
    <t>48000016982026</t>
  </si>
  <si>
    <t>MP_0324-0424_LOCAL AU REPORTING</t>
  </si>
  <si>
    <t>48000024822026</t>
  </si>
  <si>
    <t>48000027832026</t>
  </si>
  <si>
    <t>MP_0325_AMS OPS CONTRACT</t>
  </si>
  <si>
    <t>48000033562026</t>
  </si>
  <si>
    <t>MP_0425_AMS OPS CONTRACT</t>
  </si>
  <si>
    <t>48000036042026</t>
  </si>
  <si>
    <t>MP_0125-0325_EURIBOR COMPENSATION</t>
  </si>
  <si>
    <t>48000045582026</t>
  </si>
  <si>
    <t>MP_0525_AMS OPS CONTRACT</t>
  </si>
  <si>
    <t>14000002232026</t>
  </si>
  <si>
    <t>MP_0125-0825_IT2 LICENSE_5401088257</t>
  </si>
  <si>
    <t>33000002702026</t>
  </si>
  <si>
    <t>D&amp;A PROFESSIONAL DEV</t>
  </si>
  <si>
    <t>D&amp;A PROFESSIONAL OPS</t>
  </si>
  <si>
    <t>33000003092026</t>
  </si>
  <si>
    <t>33000004822026</t>
  </si>
  <si>
    <t>33000007132026</t>
  </si>
  <si>
    <t>CY24_05_SYNCFORCE</t>
  </si>
  <si>
    <t>MP_5401040711_0524-0425_LICENSE AND MAINTENANCE</t>
  </si>
  <si>
    <t>CY24_07_METHEC B.V</t>
  </si>
  <si>
    <t>MP_0724-0625_ACTEMIUM RENEWAL SUPPORT</t>
  </si>
  <si>
    <t>CY24_12_SAVIYNT EU</t>
  </si>
  <si>
    <t>MP_5400958294_1224-1125_EU LICENSE AGREEMENT</t>
  </si>
  <si>
    <t>CY24_PND_PIL</t>
  </si>
  <si>
    <t>IT_1124_PIL__5401023517</t>
  </si>
  <si>
    <t>CY25_IT2</t>
  </si>
  <si>
    <t>CY25_P02_BOOMI</t>
  </si>
  <si>
    <t>MP_0225-0126_BOOMI LICENSE_5400912153</t>
  </si>
  <si>
    <t>CY25_P02_IRELY</t>
  </si>
  <si>
    <t>MP_0225-1225_IRELY MAINTENANCE_5401087948</t>
  </si>
  <si>
    <t>CY25_P02_SPLUNK</t>
  </si>
  <si>
    <t>MP_0125-1225_SPLUNK LICENSE_5401094872</t>
  </si>
  <si>
    <t>CY25_P03_CUSTFIRST</t>
  </si>
  <si>
    <t>MP_0325-1225_OPP 524665 CUSTOMER FIRST_5401091700</t>
  </si>
  <si>
    <t>CY25_P04_XTEL AMS</t>
  </si>
  <si>
    <t>CY25_PPM_PRO</t>
  </si>
  <si>
    <t>CC: COGNIZANT 5401035617</t>
  </si>
  <si>
    <t>CY25_X-CENTER</t>
  </si>
  <si>
    <t>MP_0125-1225_SOW MANGED SERVICES_5401070323</t>
  </si>
  <si>
    <t>CY25_X-CENTER BENE</t>
  </si>
  <si>
    <t>CY25_XTEL</t>
  </si>
  <si>
    <t>MP_0125-0324_XTEL AMS SUPPORT_5401023517</t>
  </si>
  <si>
    <t>MP_0125-1225_XTEL MAINTENANCE_5401087935</t>
  </si>
  <si>
    <t>CY_25_P02_PIL_5401097345</t>
  </si>
  <si>
    <t>CY25_PIL_P3_IT SUPPORT</t>
  </si>
  <si>
    <t>CY_TW</t>
  </si>
  <si>
    <t>RECLASS TW - SUPPORT</t>
  </si>
  <si>
    <t>48000007322026</t>
  </si>
  <si>
    <t>MP_0125-1225_1000001787</t>
  </si>
  <si>
    <t>48000007332026</t>
  </si>
  <si>
    <t>MP_0125-1225_1000001798</t>
  </si>
  <si>
    <t>48000007342026</t>
  </si>
  <si>
    <t>MP_0125-1225_1000001802</t>
  </si>
  <si>
    <t>48000007352026</t>
  </si>
  <si>
    <t>MP_0125-1225_1000009113</t>
  </si>
  <si>
    <t>48000007362026</t>
  </si>
  <si>
    <t>MP_0125-1225_1000020285</t>
  </si>
  <si>
    <t>48000007372026</t>
  </si>
  <si>
    <t>MP_0125-1225_1000071763 APP 16</t>
  </si>
  <si>
    <t>48000007382026</t>
  </si>
  <si>
    <t>MP_0125-1225_1000070678 APP 2</t>
  </si>
  <si>
    <t>48000007392026</t>
  </si>
  <si>
    <t>MP_0125-1225_1000070717 APP 3</t>
  </si>
  <si>
    <t>48000007402026</t>
  </si>
  <si>
    <t>MP_0125-1225_1000070781</t>
  </si>
  <si>
    <t>48000007412026</t>
  </si>
  <si>
    <t>MP_0125-1225_1000070829</t>
  </si>
  <si>
    <t>48000007422026</t>
  </si>
  <si>
    <t>MP_0125-1225_1000070879</t>
  </si>
  <si>
    <t>48000007432026</t>
  </si>
  <si>
    <t>MP_0125-1225_1000070905</t>
  </si>
  <si>
    <t>48000007442026</t>
  </si>
  <si>
    <t>MP_0125-1225_1000070982</t>
  </si>
  <si>
    <t>48000007452026</t>
  </si>
  <si>
    <t>MP_0125-1225_1000071024</t>
  </si>
  <si>
    <t>48000007462026</t>
  </si>
  <si>
    <t>MP_0125-1225_1000071152</t>
  </si>
  <si>
    <t>48000007472026</t>
  </si>
  <si>
    <t>MP_0125-1225_1000071253 APP 13</t>
  </si>
  <si>
    <t>48000007492026</t>
  </si>
  <si>
    <t>MP_0125-1225_1000071375</t>
  </si>
  <si>
    <t>48000007502026</t>
  </si>
  <si>
    <t>MP_0125-1225_1000071647 RETAIL WAVE II</t>
  </si>
  <si>
    <t>48000007512026</t>
  </si>
  <si>
    <t>MP_0125-1225_1000071936</t>
  </si>
  <si>
    <t>48000007522026</t>
  </si>
  <si>
    <t>MP_0125-1225_1000072137</t>
  </si>
  <si>
    <t>48000007532026</t>
  </si>
  <si>
    <t>MP_0125-1225_1000072295</t>
  </si>
  <si>
    <t>48000007542026</t>
  </si>
  <si>
    <t>MP_0125-1225_1000072549 LICENSE SWAP</t>
  </si>
  <si>
    <t>48000007552026</t>
  </si>
  <si>
    <t>MP_0125-1225_1000072866</t>
  </si>
  <si>
    <t>48000007562026</t>
  </si>
  <si>
    <t>MP_0125-1225_1000073094</t>
  </si>
  <si>
    <t>48000007642026</t>
  </si>
  <si>
    <t>MP_0125-0325_CLOUD4CUSTOMER</t>
  </si>
  <si>
    <t>48000007902026</t>
  </si>
  <si>
    <t>MP_0125-1225_SAP ACTIVE ATTENTION SERVIC</t>
  </si>
  <si>
    <t>48000034432026</t>
  </si>
  <si>
    <t>MP_0425-0625_CLOUD4CUSTOMER</t>
  </si>
  <si>
    <t>48000043652026</t>
  </si>
  <si>
    <t>MP_0525-0526_CLOUD PLATFORM EN</t>
  </si>
  <si>
    <t>86000006042026</t>
  </si>
  <si>
    <t>86000007692026</t>
  </si>
  <si>
    <t>86000011812026</t>
  </si>
  <si>
    <t>87000000082026</t>
  </si>
  <si>
    <t>SD_0124-1223_SAP ACTIVE ATTENTION</t>
  </si>
  <si>
    <t>48000005902026</t>
  </si>
  <si>
    <t>MP_0125_SEEBURGER RFC</t>
  </si>
  <si>
    <t>48000005912026</t>
  </si>
  <si>
    <t>48000016392026</t>
  </si>
  <si>
    <t>MP_0225_SEEBURGER RFC</t>
  </si>
  <si>
    <t>48000016402026</t>
  </si>
  <si>
    <t>MP_0125-1225_BIS MFT</t>
  </si>
  <si>
    <t>48000016412026</t>
  </si>
  <si>
    <t>MP_0125-1225_BIS FILEEXCHANGE</t>
  </si>
  <si>
    <t>48000016422026</t>
  </si>
  <si>
    <t>MP_0125-1225_BIS AZURE FILE STORAGE</t>
  </si>
  <si>
    <t>48000016432026</t>
  </si>
  <si>
    <t>MP_0125-1225_BIS ICAP</t>
  </si>
  <si>
    <t>48000016452026</t>
  </si>
  <si>
    <t>MP_0125_ALERTING SERVICE BIS6</t>
  </si>
  <si>
    <t>48000016462026</t>
  </si>
  <si>
    <t>MP_0225_ALERTING SERVICE BIS6</t>
  </si>
  <si>
    <t>48000016472026</t>
  </si>
  <si>
    <t>48000026432026</t>
  </si>
  <si>
    <t>MP_0325_SEEBURGER RFC</t>
  </si>
  <si>
    <t>48000026572026</t>
  </si>
  <si>
    <t>MP_0325_ALERTING SERVICE BIS6</t>
  </si>
  <si>
    <t>48000027582026</t>
  </si>
  <si>
    <t>48000031152026</t>
  </si>
  <si>
    <t>MP_0924_SEEBURGER RFC</t>
  </si>
  <si>
    <t>48000031162026</t>
  </si>
  <si>
    <t>MP_1024_SEEBURGER RFC</t>
  </si>
  <si>
    <t>48000031172026</t>
  </si>
  <si>
    <t>MP_1124_SEEBURGER RFC</t>
  </si>
  <si>
    <t>48000033262026</t>
  </si>
  <si>
    <t>48000033272026</t>
  </si>
  <si>
    <t>48000033412026</t>
  </si>
  <si>
    <t>48000033542026</t>
  </si>
  <si>
    <t>MP_0425_SEEBURGER RFC</t>
  </si>
  <si>
    <t>48000033552026</t>
  </si>
  <si>
    <t>48000034422026</t>
  </si>
  <si>
    <t>48000041812026</t>
  </si>
  <si>
    <t>MP_0525_SEEBURGER RFC</t>
  </si>
  <si>
    <t>48000041822026</t>
  </si>
  <si>
    <t>86000005352026</t>
  </si>
  <si>
    <t>48000006512026</t>
  </si>
  <si>
    <t>MP_1024-1224_GCI ON DEMAND SERVICES</t>
  </si>
  <si>
    <t>48000007672026</t>
  </si>
  <si>
    <t>MP_0125_GCS ON DEMAND SERVICE</t>
  </si>
  <si>
    <t>48000016302026</t>
  </si>
  <si>
    <t>MP_0225_GCS ON DEMAND SERVICES</t>
  </si>
  <si>
    <t>48000017492026</t>
  </si>
  <si>
    <t>MP_0225_GCS ON DEMAND SERVICE</t>
  </si>
  <si>
    <t>48000022072026</t>
  </si>
  <si>
    <t>MP_0325_GCS ON DEMAND SERVICE</t>
  </si>
  <si>
    <t>48000032172026</t>
  </si>
  <si>
    <t>MP_0325_GCS ON DEMAND SERVICES</t>
  </si>
  <si>
    <t>48000032192026</t>
  </si>
  <si>
    <t>MP_0125-0325_GCI ON DEMAND</t>
  </si>
  <si>
    <t>48000032202026</t>
  </si>
  <si>
    <t>48000033472026</t>
  </si>
  <si>
    <t>MP_0425_GCS ON DEMAND SERVICE</t>
  </si>
  <si>
    <t>48000044152026</t>
  </si>
  <si>
    <t>MP_0525_GCS ON DEMAND SERVICE</t>
  </si>
  <si>
    <t>48000001732026</t>
  </si>
  <si>
    <t>MP_0125-1225_SAP ARCHIVING</t>
  </si>
  <si>
    <t>48000041852026</t>
  </si>
  <si>
    <t>MP_0525-0526_RUNMYJOBS</t>
  </si>
  <si>
    <t>48000038722026</t>
  </si>
  <si>
    <t>MP_0425-0426_EULABS BUNDLE</t>
  </si>
  <si>
    <t>48000003752026</t>
  </si>
  <si>
    <t>MP_0125_EDI SERVICES</t>
  </si>
  <si>
    <t>48000003762026</t>
  </si>
  <si>
    <t>MP_0125_EDI PARTNER CERTIFICATE</t>
  </si>
  <si>
    <t>48000005922026</t>
  </si>
  <si>
    <t>MP_1024_EDI PARTNER</t>
  </si>
  <si>
    <t>48000005932026</t>
  </si>
  <si>
    <t>MP_1124_EDI PARTNER</t>
  </si>
  <si>
    <t>48000005942026</t>
  </si>
  <si>
    <t>MP_1224_EDI PARTNER</t>
  </si>
  <si>
    <t>48000016442026</t>
  </si>
  <si>
    <t>MP_0225_EDI SERVICES</t>
  </si>
  <si>
    <t>48000017442026</t>
  </si>
  <si>
    <t>MP_0225_EDI PARTNER CERTIFICAT</t>
  </si>
  <si>
    <t>48000026522026</t>
  </si>
  <si>
    <t>48000026532026</t>
  </si>
  <si>
    <t>MP_0125_EDI PARTNER CERTIFICAT</t>
  </si>
  <si>
    <t>48000026552026</t>
  </si>
  <si>
    <t>MP_0325_EDI SERVICES</t>
  </si>
  <si>
    <t>48000033222026</t>
  </si>
  <si>
    <t>48000033232026</t>
  </si>
  <si>
    <t>48000033242026</t>
  </si>
  <si>
    <t>MP_0425_ALERTING SERVICE BIS6</t>
  </si>
  <si>
    <t>48000033422026</t>
  </si>
  <si>
    <t>48000033602026</t>
  </si>
  <si>
    <t>MP_0425_EDI SERVICES</t>
  </si>
  <si>
    <t>48000041792026</t>
  </si>
  <si>
    <t>MP_0525_EDI SERVICES</t>
  </si>
  <si>
    <t>48000041802026</t>
  </si>
  <si>
    <t>MP_0425_EDI PARTNER CERTIFICAT</t>
  </si>
  <si>
    <t>48000041832026</t>
  </si>
  <si>
    <t>MP_0525_ALERTING SERVICE BIS6</t>
  </si>
  <si>
    <t>CY24_05_REDWOOD SO</t>
  </si>
  <si>
    <t>MP_5400983219_0524-0525_RUNMYJOBS SUBSCRIPTION</t>
  </si>
  <si>
    <t>CY24_07_ORACLE NED</t>
  </si>
  <si>
    <t>MP_0724-0625_SERVICE CONTRACT 106154921</t>
  </si>
  <si>
    <t>CY24_07_SAP NEDERL</t>
  </si>
  <si>
    <t>SD_0724-0625_ARIBA STRATEGIC SOURCING</t>
  </si>
  <si>
    <t>CY24_10_1SYNC INC.</t>
  </si>
  <si>
    <t>MP_1024-0925_RENEWAL NETSUITE</t>
  </si>
  <si>
    <t>CY25_01_SAP</t>
  </si>
  <si>
    <t>MP_0125-0325_CLOUD4CUSTOMER_5401019012</t>
  </si>
  <si>
    <t>MP_0125-1225_1000001787_5401082136</t>
  </si>
  <si>
    <t>MP_0125-1225_1000001798_5401082136</t>
  </si>
  <si>
    <t>MP_0125-1225_1000070717 APP 3_5401082136</t>
  </si>
  <si>
    <t>MP_0125-1225_1000070781_5401082136</t>
  </si>
  <si>
    <t>MP_0125-1225_1000070879_5401082136</t>
  </si>
  <si>
    <t>MP_0125-1225_1000071152_5401082136</t>
  </si>
  <si>
    <t>MP_0125-1225_1000071253 APP 13_5401082136</t>
  </si>
  <si>
    <t>MP_0125-1225_1000071375_5401082136</t>
  </si>
  <si>
    <t>MP_0125-1225_1000071647 RETAIL WAVE II_5401082136</t>
  </si>
  <si>
    <t>MP_0125-1225_1000071763 APP 16_5401082136</t>
  </si>
  <si>
    <t>MP_0125-1225_1000071936_5401082136</t>
  </si>
  <si>
    <t>MP_0125-1225_1000072295_5401082136</t>
  </si>
  <si>
    <t>MP_0125-1225_1000072549 LICENSE SWAP_5401082136</t>
  </si>
  <si>
    <t>MP_0125-1225_SAP ACTIVE ATTENTION_5401084786</t>
  </si>
  <si>
    <t>MP_0125-1225_SAP ACTIVE SERVIC_5401084786</t>
  </si>
  <si>
    <t>CY25_01_VISIER</t>
  </si>
  <si>
    <t>MP_0225-0126_VISIER SUBSCRIPTION_5400975278</t>
  </si>
  <si>
    <t>CY25_P02_PREMIER</t>
  </si>
  <si>
    <t>MP_0225-0126_RENEWAL PREMIER SUPPORT_5400912153</t>
  </si>
  <si>
    <t>CY25_P04_CLOUD4</t>
  </si>
  <si>
    <t>MP_0425-0625_CLOUD4CUSTOMER_5401019012</t>
  </si>
  <si>
    <t>CY25_SAP</t>
  </si>
  <si>
    <t>MP_0125-1225_SAP ARCHIVING_5401084021</t>
  </si>
  <si>
    <t>CY_25_P02_PIL_5401019012</t>
  </si>
  <si>
    <t>48000027972026</t>
  </si>
  <si>
    <t>MP_0125-0325_SUMI TECHNICAL</t>
  </si>
  <si>
    <t>48000035252026</t>
  </si>
  <si>
    <t>MP_0425_SUMI TECHNICAL</t>
  </si>
  <si>
    <t>48000035262026</t>
  </si>
  <si>
    <t>MP_0425_SUMI SLA</t>
  </si>
  <si>
    <t>48000035272026</t>
  </si>
  <si>
    <t>48000043892026</t>
  </si>
  <si>
    <t>MP_0425-0625_SUMI TECHNICAL</t>
  </si>
  <si>
    <t>48000005892026</t>
  </si>
  <si>
    <t>MP_01225-1225_ACCOLADE SAAS</t>
  </si>
  <si>
    <t>48000016992026</t>
  </si>
  <si>
    <t>48000027552026</t>
  </si>
  <si>
    <t>MP_0325-0326_BROADCOM SYMANTEC LICENSE</t>
  </si>
  <si>
    <t>48000028482026</t>
  </si>
  <si>
    <t>48000028492026</t>
  </si>
  <si>
    <t>48000027352026</t>
  </si>
  <si>
    <t>MP_0325-0326_SOLARWINDS</t>
  </si>
  <si>
    <t>48000034442026</t>
  </si>
  <si>
    <t>MP_1024-1224_API &amp; OGS</t>
  </si>
  <si>
    <t>48000036862026</t>
  </si>
  <si>
    <t>MP_0425_OF 03451358</t>
  </si>
  <si>
    <t>87000000722026</t>
  </si>
  <si>
    <t>87000000732026</t>
  </si>
  <si>
    <t>MP_1024-0925_OF 03451358 RENEWAL</t>
  </si>
  <si>
    <t>48000006012026</t>
  </si>
  <si>
    <t>MP_0125_OPTIMIZELY</t>
  </si>
  <si>
    <t>48000011212026</t>
  </si>
  <si>
    <t>MP_0225_OPTIMIZELY</t>
  </si>
  <si>
    <t>48000021222026</t>
  </si>
  <si>
    <t>MP_0325_OPTIMIZELY</t>
  </si>
  <si>
    <t>48000031992026</t>
  </si>
  <si>
    <t>MP_0425_OPTIMIZELY</t>
  </si>
  <si>
    <t>48000043912026</t>
  </si>
  <si>
    <t>MP_0525_OPTIMIZELY</t>
  </si>
  <si>
    <t>48000005992026</t>
  </si>
  <si>
    <t>MP_0125-1225_OF 30 GITHUB LICENSE</t>
  </si>
  <si>
    <t>48000021372026</t>
  </si>
  <si>
    <t>SD_0325-0625_COPILOT SUSTAINABILITY</t>
  </si>
  <si>
    <t>48000024072026</t>
  </si>
  <si>
    <t>SD_0325-0625_12 COPILOT LIC CENTRAL PLAN</t>
  </si>
  <si>
    <t>48000024082026</t>
  </si>
  <si>
    <t>SD_0325-0625_12 COPILOT LIC TAX DEPT</t>
  </si>
  <si>
    <t>48000001642026</t>
  </si>
  <si>
    <t>MP_0125-0126_CAPE PACK</t>
  </si>
  <si>
    <t>48000003202026</t>
  </si>
  <si>
    <t>MP_0125_BPC SUPPORT</t>
  </si>
  <si>
    <t>48000012002026</t>
  </si>
  <si>
    <t>MP_0225_BPC SUPPORT</t>
  </si>
  <si>
    <t>48000033192026</t>
  </si>
  <si>
    <t>MP_0325_BPC SUPPORT</t>
  </si>
  <si>
    <t>48000016322026</t>
  </si>
  <si>
    <t>MP_0225-0226_MEKKO LICENSE</t>
  </si>
  <si>
    <t>48000027532026</t>
  </si>
  <si>
    <t>MP_0325-0525_MAINTENANCE &amp; SUP</t>
  </si>
  <si>
    <t>48000001702026</t>
  </si>
  <si>
    <t>MP_1224_PACKFLOW MAIN AND SUPP</t>
  </si>
  <si>
    <t>48000005242026</t>
  </si>
  <si>
    <t>MP_0125_PACKFLOW MAIN AND SUPP</t>
  </si>
  <si>
    <t>48000017342026</t>
  </si>
  <si>
    <t>48000023632026</t>
  </si>
  <si>
    <t>MP_0225_PACKFLOW MAIN AND SUPP</t>
  </si>
  <si>
    <t>48000023642026</t>
  </si>
  <si>
    <t>48000032222026</t>
  </si>
  <si>
    <t>MP_0325_PACKFLOW MAIN AND SUPP</t>
  </si>
  <si>
    <t>48000036352026</t>
  </si>
  <si>
    <t>MP_0425_PACKFLOW MAIN AND SUPP</t>
  </si>
  <si>
    <t>48000006652026</t>
  </si>
  <si>
    <t>MP_0125-0325_SERVICE FEE</t>
  </si>
  <si>
    <t>48000033502026</t>
  </si>
  <si>
    <t>MP_0425-0625_SERVICE FEE</t>
  </si>
  <si>
    <t>48000033212026</t>
  </si>
  <si>
    <t>MP_0425-0326_THINKSTEP SOFI LICENSE</t>
  </si>
  <si>
    <t>48000036362026</t>
  </si>
  <si>
    <t>MP_0425_CS MANAGED CONTENT</t>
  </si>
  <si>
    <t>48000005702026</t>
  </si>
  <si>
    <t>MP_0125_RUN PKI SERVICE</t>
  </si>
  <si>
    <t>48000005712026</t>
  </si>
  <si>
    <t>MP_0125_OT DMZ</t>
  </si>
  <si>
    <t>48000005722026</t>
  </si>
  <si>
    <t>MP_0125_RUN BT RAS</t>
  </si>
  <si>
    <t>48000005732026</t>
  </si>
  <si>
    <t>MP_0125_OT RUN GOVERNANCE</t>
  </si>
  <si>
    <t>48000006132026</t>
  </si>
  <si>
    <t>MP_0125_DELL BOOMI 2FTE</t>
  </si>
  <si>
    <t>48000014542026</t>
  </si>
  <si>
    <t>MP_0225_RUN PKI SERVICE</t>
  </si>
  <si>
    <t>48000014552026</t>
  </si>
  <si>
    <t>MP_0225_OT DMZ</t>
  </si>
  <si>
    <t>48000014562026</t>
  </si>
  <si>
    <t>MP_0225_RUN BT RAS</t>
  </si>
  <si>
    <t>48000014572026</t>
  </si>
  <si>
    <t>MP_0225_OT RUN GOVERNANCE</t>
  </si>
  <si>
    <t>48000015572026</t>
  </si>
  <si>
    <t>MP_0225_DELL BOOMI 2FTE</t>
  </si>
  <si>
    <t>48000016182026</t>
  </si>
  <si>
    <t>48000016192026</t>
  </si>
  <si>
    <t>48000016202026</t>
  </si>
  <si>
    <t>48000016212026</t>
  </si>
  <si>
    <t>48000016222026</t>
  </si>
  <si>
    <t>48000016232026</t>
  </si>
  <si>
    <t>48000016242026</t>
  </si>
  <si>
    <t>48000016252026</t>
  </si>
  <si>
    <t>48000016262026</t>
  </si>
  <si>
    <t>48000016272026</t>
  </si>
  <si>
    <t>48000016282026</t>
  </si>
  <si>
    <t>48000016292026</t>
  </si>
  <si>
    <t>48000022232026</t>
  </si>
  <si>
    <t>MP_0325_RUN PKI SERVICE</t>
  </si>
  <si>
    <t>48000022242026</t>
  </si>
  <si>
    <t>MP_0325_OT DMZ</t>
  </si>
  <si>
    <t>48000022252026</t>
  </si>
  <si>
    <t>MP_0325_RUN BT RAS</t>
  </si>
  <si>
    <t>48000022262026</t>
  </si>
  <si>
    <t>MP_0325_OT RUN GOVERNANCE</t>
  </si>
  <si>
    <t>48000023342026</t>
  </si>
  <si>
    <t>MP_0125-1225_CLAROTY LICENSE ELMSHORN</t>
  </si>
  <si>
    <t>48000023872026</t>
  </si>
  <si>
    <t>SD_0325_DELL BOOMI 2FTE</t>
  </si>
  <si>
    <t>48000027432026</t>
  </si>
  <si>
    <t>48000027442026</t>
  </si>
  <si>
    <t>48000027452026</t>
  </si>
  <si>
    <t>48000027462026</t>
  </si>
  <si>
    <t>48000027472026</t>
  </si>
  <si>
    <t>48000037012026</t>
  </si>
  <si>
    <t>MP_0425_DELL BOOMI 2FTE</t>
  </si>
  <si>
    <t>48000037492026</t>
  </si>
  <si>
    <t>MP_0425_OT RUN GOVERNANCE</t>
  </si>
  <si>
    <t>48000037502026</t>
  </si>
  <si>
    <t>48000037512026</t>
  </si>
  <si>
    <t>MP_0425_OT DMZ</t>
  </si>
  <si>
    <t>48000037522026</t>
  </si>
  <si>
    <t>48000037532026</t>
  </si>
  <si>
    <t>MP_0425_RUN PKI SERVICE</t>
  </si>
  <si>
    <t>48000044042026</t>
  </si>
  <si>
    <t>MP_0525_RUN PKI SERVICE</t>
  </si>
  <si>
    <t>48000044052026</t>
  </si>
  <si>
    <t>MP_0525_OT DMZ</t>
  </si>
  <si>
    <t>48000044062026</t>
  </si>
  <si>
    <t>MP_0525_RUN BT RAS</t>
  </si>
  <si>
    <t>48000044072026</t>
  </si>
  <si>
    <t>MP_0525_OT RUN GOVERNANCE</t>
  </si>
  <si>
    <t>48000044112026</t>
  </si>
  <si>
    <t>48000044122026</t>
  </si>
  <si>
    <t>48000045362026</t>
  </si>
  <si>
    <t>MP_0525_DELL BOOMI 2FTE</t>
  </si>
  <si>
    <t>86000035482026</t>
  </si>
  <si>
    <t>48000024092026</t>
  </si>
  <si>
    <t>MP_0125-0825_SAM SUBSCRIPTION</t>
  </si>
  <si>
    <t>48000006492026</t>
  </si>
  <si>
    <t>MP_0125-0825_IT2 LICENSE</t>
  </si>
  <si>
    <t>48000021142026</t>
  </si>
  <si>
    <t>MP_0925-1225_IT2 LICENSE</t>
  </si>
  <si>
    <t>48000042842026</t>
  </si>
  <si>
    <t>MP_0525_ADD MANAGED SERVICES</t>
  </si>
  <si>
    <t>48000000212026</t>
  </si>
  <si>
    <t>SD_0125-0325_REPORTS JIRA DASHBOARD</t>
  </si>
  <si>
    <t>48000031922026</t>
  </si>
  <si>
    <t>MP_0425-0426_JIRO/CONFL</t>
  </si>
  <si>
    <t>86000025292026</t>
  </si>
  <si>
    <t>48000011532026</t>
  </si>
  <si>
    <t>8025322</t>
  </si>
  <si>
    <t>48000002542026</t>
  </si>
  <si>
    <t>MP_0125-1225_EPL GLOBAL APP</t>
  </si>
  <si>
    <t>48000016492026</t>
  </si>
  <si>
    <t>MP_0125-1225_AVEVA MES BLUEPRINT</t>
  </si>
  <si>
    <t>48000001562026</t>
  </si>
  <si>
    <t>MP_0125-1225_POWERBI API RENEWAL</t>
  </si>
  <si>
    <t>48000001572026</t>
  </si>
  <si>
    <t>MP_0125-1225_GLOBAL MES CUSTOMER</t>
  </si>
  <si>
    <t>48000001382026</t>
  </si>
  <si>
    <t>MP_0924_WORKPLACE FB</t>
  </si>
  <si>
    <t>48000001722026</t>
  </si>
  <si>
    <t>48000006432026</t>
  </si>
  <si>
    <t>MP_0125_WORKPLACE FB</t>
  </si>
  <si>
    <t>48000011192026</t>
  </si>
  <si>
    <t>MP_0225_WORKPLACE FB</t>
  </si>
  <si>
    <t>48000022142026</t>
  </si>
  <si>
    <t>MP_0325_WORKPLACE FB</t>
  </si>
  <si>
    <t>48000036742026</t>
  </si>
  <si>
    <t>MP_0425_WORKPLACE FB</t>
  </si>
  <si>
    <t>48000044172026</t>
  </si>
  <si>
    <t>MP_0525_WORKPLACE FB</t>
  </si>
  <si>
    <t>86000008002026</t>
  </si>
  <si>
    <t>86000014892026</t>
  </si>
  <si>
    <t>86000023202026</t>
  </si>
  <si>
    <t>86000030912026</t>
  </si>
  <si>
    <t>48000042322026</t>
  </si>
  <si>
    <t>MP_0525-0526_CLOUD SUBSCRIPTIO</t>
  </si>
  <si>
    <t>48000007082026</t>
  </si>
  <si>
    <t>MP_0125_DMOS DATA PRIVACY</t>
  </si>
  <si>
    <t>48000007092026</t>
  </si>
  <si>
    <t>MP_0125_DMOS COMES</t>
  </si>
  <si>
    <t>48000018982026</t>
  </si>
  <si>
    <t>MHV_1224_SOW DMOS SCORECARD DASHBOARD</t>
  </si>
  <si>
    <t>48000019002026</t>
  </si>
  <si>
    <t>48000043232026</t>
  </si>
  <si>
    <t>MHV_0425_SOW DMOS PRODUCT NON-CONFORMITY</t>
  </si>
  <si>
    <t>48000001752026</t>
  </si>
  <si>
    <t>MP_0125-1225_ZYLAB ONE RENEWAL</t>
  </si>
  <si>
    <t>48000002182026</t>
  </si>
  <si>
    <t>MP_0824_DOC BASEFEE</t>
  </si>
  <si>
    <t>48000042332026</t>
  </si>
  <si>
    <t>MP_1224_OF UPGRADE M1/ MIGRATION</t>
  </si>
  <si>
    <t>48000042342026</t>
  </si>
  <si>
    <t>48000042352026</t>
  </si>
  <si>
    <t>48000033872026</t>
  </si>
  <si>
    <t>MP_0425-0326_OWNDATA ARCHIVING SF</t>
  </si>
  <si>
    <t>48000033882026</t>
  </si>
  <si>
    <t>MP_0425-0326_OF SANDBOX</t>
  </si>
  <si>
    <t>48000033892026</t>
  </si>
  <si>
    <t>MP_0325-0326_OF SF PLATFORM</t>
  </si>
  <si>
    <t>86000027072026</t>
  </si>
  <si>
    <t>48000004942026</t>
  </si>
  <si>
    <t>MP_0125-1225_SOW LICENSE DATA DIRECTOR</t>
  </si>
  <si>
    <t>48000007832026</t>
  </si>
  <si>
    <t>MP_0424-0625_PIV LICENSE</t>
  </si>
  <si>
    <t>48000007842026</t>
  </si>
  <si>
    <t>MP_0524-0625_TEST ENVIR LICENSE</t>
  </si>
  <si>
    <t>48000002712026</t>
  </si>
  <si>
    <t>MP_0125-1225_ENTERPRISE LICENSE</t>
  </si>
  <si>
    <t>48000034512026</t>
  </si>
  <si>
    <t>MP_0425-0525_ENTERPRISE LICENSE</t>
  </si>
  <si>
    <t>86000003132026</t>
  </si>
  <si>
    <t>48000024952026</t>
  </si>
  <si>
    <t>MP_0225-0126_Q-08826806 CONSUMER CARE</t>
  </si>
  <si>
    <t>48000026312026</t>
  </si>
  <si>
    <t>MP_0225-0126_Q-09568513 ADVERTISING STUD</t>
  </si>
  <si>
    <t>48000006022026</t>
  </si>
  <si>
    <t>MP_1224_AICO ARCHIVING</t>
  </si>
  <si>
    <t>48000031912026</t>
  </si>
  <si>
    <t>MP_0425-0326_AICO REQUESTS</t>
  </si>
  <si>
    <t>48000043962026</t>
  </si>
  <si>
    <t>MP_0525-0426_ANNUAL SUBSCRIPTION</t>
  </si>
  <si>
    <t>48000042392026</t>
  </si>
  <si>
    <t>MP_1224_OF CLD581707 SZ/AU</t>
  </si>
  <si>
    <t>48000042402026</t>
  </si>
  <si>
    <t>48000042412026</t>
  </si>
  <si>
    <t>48000002752026</t>
  </si>
  <si>
    <t>MP_0125_DELIVERY TRACKER</t>
  </si>
  <si>
    <t>48000002762026</t>
  </si>
  <si>
    <t>MP_0125_DM SUBSCRIPTION</t>
  </si>
  <si>
    <t>48000011102026</t>
  </si>
  <si>
    <t>MP_0225_DM SUBSCRIPTION</t>
  </si>
  <si>
    <t>48000011112026</t>
  </si>
  <si>
    <t>MP_0225_DELIVERY TRACKER</t>
  </si>
  <si>
    <t>48000011982026</t>
  </si>
  <si>
    <t>MP_0125_ADDITIONAL CARRIERS</t>
  </si>
  <si>
    <t>48000011992026</t>
  </si>
  <si>
    <t>MP_0225_ADDITIONAL CARRIERS</t>
  </si>
  <si>
    <t>48000021082026</t>
  </si>
  <si>
    <t>MP_0325_DM SUBSCRIPTION</t>
  </si>
  <si>
    <t>48000021092026</t>
  </si>
  <si>
    <t>MP_0325_DELIVERY TRACKER</t>
  </si>
  <si>
    <t>48000032262026</t>
  </si>
  <si>
    <t>MP_0425_DM SUBSCRIPTION</t>
  </si>
  <si>
    <t>48000032272026</t>
  </si>
  <si>
    <t>MP_0425_DELIVERY TRACKER</t>
  </si>
  <si>
    <t>48000032282026</t>
  </si>
  <si>
    <t>MP_0425_ADDITIONAL CARRIERS</t>
  </si>
  <si>
    <t>48000043822026</t>
  </si>
  <si>
    <t>MP_0525_DM SUBSCRIPTION</t>
  </si>
  <si>
    <t>48000043832026</t>
  </si>
  <si>
    <t>MP_0525_DELIVERY TRACKER</t>
  </si>
  <si>
    <t>48000043842026</t>
  </si>
  <si>
    <t>MP_0525_ADDITIONAL CARRIERS</t>
  </si>
  <si>
    <t>48000034542026</t>
  </si>
  <si>
    <t>MP_0225-0226_ROJO SOFTWARE</t>
  </si>
  <si>
    <t>48000001712026</t>
  </si>
  <si>
    <t>MP_0125-1225_SOW OPTIMIZATION BLEND</t>
  </si>
  <si>
    <t>48000010972026</t>
  </si>
  <si>
    <t>MP_0225-0126_ADD MCS LICENSE</t>
  </si>
  <si>
    <t>48000011892026</t>
  </si>
  <si>
    <t>MP_0225-0126_BOOMI LICENSE</t>
  </si>
  <si>
    <t>48000011902026</t>
  </si>
  <si>
    <t>MP_0225-0126_RENEWAL PREMIER SUPPORT</t>
  </si>
  <si>
    <t>48000011912026</t>
  </si>
  <si>
    <t>MP_0225-0126_SOLACE LICENSE</t>
  </si>
  <si>
    <t>48000011922026</t>
  </si>
  <si>
    <t>MP_0225-0226_MCS FOR VIRTUAL MACHINES</t>
  </si>
  <si>
    <t>48000011932026</t>
  </si>
  <si>
    <t>MP_0225-0126_OF Q-83173 TRADING</t>
  </si>
  <si>
    <t>48000011942026</t>
  </si>
  <si>
    <t>MP_0125-0226_SOLACE EVENT BROKER</t>
  </si>
  <si>
    <t>48000019642026</t>
  </si>
  <si>
    <t>MP_0325-0328_BRIGHPRICE</t>
  </si>
  <si>
    <t>48000010962026</t>
  </si>
  <si>
    <t>MP_0125-1225_SPLUNK LICENSE</t>
  </si>
  <si>
    <t>48000003832026</t>
  </si>
  <si>
    <t>MP_0125-0126_VISIER SUBSCRIPTION</t>
  </si>
  <si>
    <t>48000007162026</t>
  </si>
  <si>
    <t>MP_0225-0126_VISIER SUBSCRIPTION</t>
  </si>
  <si>
    <t>86000003492026</t>
  </si>
  <si>
    <t>86000005982026</t>
  </si>
  <si>
    <t>48000017512026</t>
  </si>
  <si>
    <t>MP_0225-0226_API CONNECT SOLUTION</t>
  </si>
  <si>
    <t>48000037212026</t>
  </si>
  <si>
    <t>MP_0425-0426_OF NLC QUO 222610</t>
  </si>
  <si>
    <t>48000018002026</t>
  </si>
  <si>
    <t>MP_0225_HEADLESS CMS RENEWAL</t>
  </si>
  <si>
    <t>48000040992026</t>
  </si>
  <si>
    <t>MP_0325-0226_HEADLESS CMS RENEWAL</t>
  </si>
  <si>
    <t>48000017482026</t>
  </si>
  <si>
    <t>MP_0125-1225_OF SAAS TM LICENSE</t>
  </si>
  <si>
    <t>48000019552026</t>
  </si>
  <si>
    <t>86000013392026</t>
  </si>
  <si>
    <t>86000014652026</t>
  </si>
  <si>
    <t>86000014682026</t>
  </si>
  <si>
    <t>86000015412026</t>
  </si>
  <si>
    <t>48000004332026</t>
  </si>
  <si>
    <t>IL_0125_OF TECH ACCOUNT MANAGER</t>
  </si>
  <si>
    <t>48000031942026</t>
  </si>
  <si>
    <t>MP_0425-0326_RAS LICENSE</t>
  </si>
  <si>
    <t>48000003552026</t>
  </si>
  <si>
    <t>MP_0724-0924_CT SOURCING TOOL</t>
  </si>
  <si>
    <t>48000006502026</t>
  </si>
  <si>
    <t>MP_0125-0325_CT SOURCING TOOL</t>
  </si>
  <si>
    <t>48000037442026</t>
  </si>
  <si>
    <t>MP_0425-0625_CT SOURCING TOOL</t>
  </si>
  <si>
    <t>86000003322026</t>
  </si>
  <si>
    <t>48000006312026</t>
  </si>
  <si>
    <t>MP_0125-1227_SSO ADVANCED IMPLEMT</t>
  </si>
  <si>
    <t>48000006322026</t>
  </si>
  <si>
    <t>MP_0125-1225_PREMIER SUPPORT E-SIGN</t>
  </si>
  <si>
    <t>48000006332026</t>
  </si>
  <si>
    <t>MP_0125-1225_E-SIGN ENTERPRISE PRO</t>
  </si>
  <si>
    <t>48000034532026</t>
  </si>
  <si>
    <t>MP_0425_LICNESE FIGMA</t>
  </si>
  <si>
    <t>86000028602026</t>
  </si>
  <si>
    <t>MP_1224-1225_LICENSE FIGMA</t>
  </si>
  <si>
    <t>48000035642026</t>
  </si>
  <si>
    <t>MP_0325-1225_COOKIE COMPLIANCE</t>
  </si>
  <si>
    <t>48000027952026</t>
  </si>
  <si>
    <t>MP_0325_TELUS LICENSE</t>
  </si>
  <si>
    <t>48000036712026</t>
  </si>
  <si>
    <t>MP_0425_TELUS LICENSE</t>
  </si>
  <si>
    <t>48000044142026</t>
  </si>
  <si>
    <t>MP_0525_TELUS LICENSE</t>
  </si>
  <si>
    <t>48000045732026</t>
  </si>
  <si>
    <t>IL_0525_TELUS LICENSES 0325-0226</t>
  </si>
  <si>
    <t>48000005882026</t>
  </si>
  <si>
    <t>MP_0125-1225_OF SOCIAL MEDIA SPRINKLR</t>
  </si>
  <si>
    <t>48000019582026</t>
  </si>
  <si>
    <t>MP_0125-0326_SOW EDM LICENSE</t>
  </si>
  <si>
    <t>48000006982026</t>
  </si>
  <si>
    <t>MP_0125-1225_PROFILE MAINT &amp; SUPP</t>
  </si>
  <si>
    <t>48000028632026</t>
  </si>
  <si>
    <t>MP_0325_MRC HOSTING HCL</t>
  </si>
  <si>
    <t>48000028642026</t>
  </si>
  <si>
    <t>MP_0325_MRC OPEATION</t>
  </si>
  <si>
    <t>48000037472026</t>
  </si>
  <si>
    <t>MP_0425_MRC HOSTING HCL</t>
  </si>
  <si>
    <t>48000037482026</t>
  </si>
  <si>
    <t>MP_0425_MRC OPEATION</t>
  </si>
  <si>
    <t>48000044212026</t>
  </si>
  <si>
    <t>MP_0525_MRC HOSTING HCL</t>
  </si>
  <si>
    <t>48000044222026</t>
  </si>
  <si>
    <t>MP_0525_MRC OPEATION</t>
  </si>
  <si>
    <t>48000012152026</t>
  </si>
  <si>
    <t>MP_0125-1225_AUTOCAD PRODUCT DESIGN</t>
  </si>
  <si>
    <t>48000012162026</t>
  </si>
  <si>
    <t>MP_0125-1225_AUTOCAD MFG COLLECTION</t>
  </si>
  <si>
    <t>48000024792026</t>
  </si>
  <si>
    <t>MP_0225_OF GROWTH PLAN 10 SEATS</t>
  </si>
  <si>
    <t>MP_5400970737_0624-0824_MAINTENANCE &amp; SUPP</t>
  </si>
  <si>
    <t>MP_5401028889_MP_0224-0125_OF Q-06865606 CAMPOS</t>
  </si>
  <si>
    <t>MP_5401028889_MP_0224-0125_OF Q-06919313 DTC&amp;CPG</t>
  </si>
  <si>
    <t>MP_5401028889_OF Q-06881944 OMS 0224-0125</t>
  </si>
  <si>
    <t>CY22_08_CADAC</t>
  </si>
  <si>
    <t>MP_5400912389_0822-0725_AUTOCAD RENEWAL</t>
  </si>
  <si>
    <t>CY23_04 ERP SECU.</t>
  </si>
  <si>
    <t>MP_5400978265_0423-0326_P4S LICENSE RENEWAL VM/ TD</t>
  </si>
  <si>
    <t>CY23_04 SFDC NL BV</t>
  </si>
  <si>
    <t>MP_5400982309_0423-0126_OF Q-07085857 SF PEETS</t>
  </si>
  <si>
    <t>CY24_02_BOOMI BENE</t>
  </si>
  <si>
    <t>MP_5400912153_0224-0125_BOOMI</t>
  </si>
  <si>
    <t>CY24_02_EPISERVER</t>
  </si>
  <si>
    <t>SD_5401024378_0224-0125_EPI SUBSCR_CN</t>
  </si>
  <si>
    <t>CY24_02_SALSFORCE</t>
  </si>
  <si>
    <t>CY24_02_SOFTWARE1</t>
  </si>
  <si>
    <t>MP_5400976828_0224-0225_API CONNECT SOLUTION</t>
  </si>
  <si>
    <t>CY24_04_ATLASSIAN</t>
  </si>
  <si>
    <t>SD_5401041462_0424-0325_JIRA/CONFL/ADDONS</t>
  </si>
  <si>
    <t>CY24_04_PEGASYSTEM</t>
  </si>
  <si>
    <t>MP_5401032935_0424-0125_COFFEECARE BIX LICENSE</t>
  </si>
  <si>
    <t>CY24_05_HEWLETT-PA</t>
  </si>
  <si>
    <t>MP_5400924888_0524-0425_MICROFOCUS LICENSES</t>
  </si>
  <si>
    <t>CY24_05_HYGRAPH GM</t>
  </si>
  <si>
    <t>MP_5401037901_0524-0225_HEADLES CMS</t>
  </si>
  <si>
    <t>CY24_05_STARLIMS N</t>
  </si>
  <si>
    <t>MP_5401050600_0524-0525_CLOUD SUBSCRIPTION</t>
  </si>
  <si>
    <t>CY24_06_CONCUR HOL</t>
  </si>
  <si>
    <t>CY24_06_SAP NEDERL</t>
  </si>
  <si>
    <t>MP_5401052874_0624-0625_SF OF 0221087589</t>
  </si>
  <si>
    <t>MP_5401052874_0624-0625_SF OF 3061894362</t>
  </si>
  <si>
    <t>MP_5401052874_0624-0625_SF OF 3062274384</t>
  </si>
  <si>
    <t>MP_5401052874_0624-0625_SF OF 3062293393</t>
  </si>
  <si>
    <t>MP_5401052874_0624-0625_SF OF SAP WEB</t>
  </si>
  <si>
    <t>MP_5401052874_0624-0625_SF OF221251072</t>
  </si>
  <si>
    <t>CY24_06_SMARTRECRU</t>
  </si>
  <si>
    <t>MP_5401056435_0624-0625_RENEWAL SMART RECRUITERS</t>
  </si>
  <si>
    <t>CY24_06_SOPHEON N.</t>
  </si>
  <si>
    <t>SD_5400963575_0624-1224_ACCOLADE SAAS</t>
  </si>
  <si>
    <t>CY24_07_HAMILTON G</t>
  </si>
  <si>
    <t>MP_0724-0625_HG ENTERPRISE PACKAGE</t>
  </si>
  <si>
    <t>CY24_08_SITECORE N</t>
  </si>
  <si>
    <t>MP_5401056511_0824-0825_CONTENT HUB LICENSE</t>
  </si>
  <si>
    <t>CY24_08_VONAGE BUS</t>
  </si>
  <si>
    <t>MP_5401071920_0824-0725_CCASS MULTIPLE OF</t>
  </si>
  <si>
    <t>CY24_09_MICROSOFT</t>
  </si>
  <si>
    <t>SD_0924-0825_MAGENTO CLOUD</t>
  </si>
  <si>
    <t>SD_5401064310_0924-0625_M365 LICENSES</t>
  </si>
  <si>
    <t>CY24_09_PLANVIEW I</t>
  </si>
  <si>
    <t>MP_5400940618_0924-0825_PPM GIS OPERATIONS</t>
  </si>
  <si>
    <t>CY24_09_SERVICENOW</t>
  </si>
  <si>
    <t>MP_5400941303_0924-0825_SERVICENOW SUBSCRIPTION</t>
  </si>
  <si>
    <t>CY24_10_ACCENTURE</t>
  </si>
  <si>
    <t>MP_1024-0925_CLAROTY SUBSCRIPTION</t>
  </si>
  <si>
    <t>CY24_10_INSIGHT EN</t>
  </si>
  <si>
    <t>SD_1024-0925_ADOBE BASELINE</t>
  </si>
  <si>
    <t>CY24_11_ARAVO SOLU</t>
  </si>
  <si>
    <t>MP_5401075371_1124-1025_OF4 RENEWAL</t>
  </si>
  <si>
    <t>CY24_11_PEGASYSTEM</t>
  </si>
  <si>
    <t>MP_5400910728_1124-1025_CLOUD SUBSCRIPTION</t>
  </si>
  <si>
    <t>CY24_11_UIPATH SRL</t>
  </si>
  <si>
    <t>MP_5401074856_1124-1225_UIPATH LICENSE</t>
  </si>
  <si>
    <t>CY24_12_4INDUSTRY</t>
  </si>
  <si>
    <t>MP_5400949579_1224-1125_SOW DIGITAL MOS PHASE</t>
  </si>
  <si>
    <t>MP_5401000410_1224-1125_DMOS EXPANSION SUBSCRIP</t>
  </si>
  <si>
    <t>CY24_12_ACCENTURE</t>
  </si>
  <si>
    <t>MP_5401017899_1224-1125_OF NEXTHINK LICENSE</t>
  </si>
  <si>
    <t>CY24_12_ALTERYX UK</t>
  </si>
  <si>
    <t>MP_5401084788_1224-1125_LMA RENEWAL Q-504340</t>
  </si>
  <si>
    <t>CY24_12_CONCUR HOL</t>
  </si>
  <si>
    <t>MP_5400970737_1224-0225_MAINTENANCE &amp; SUP</t>
  </si>
  <si>
    <t>CY24_12_DE VILLIER</t>
  </si>
  <si>
    <t>MP_5401084789_1224-1125_SLA ALTERYX CONNECTOR</t>
  </si>
  <si>
    <t>IT_1124_PIL__5401065459</t>
  </si>
  <si>
    <t>CY25_ACCOLADE</t>
  </si>
  <si>
    <t>MP_01225-1225_ACCOLADE SAAS_5400963575</t>
  </si>
  <si>
    <t>CY25_GLOBAL MES</t>
  </si>
  <si>
    <t>MP_0125-1225_GLOBAL MES CUSTOMER_5401084018</t>
  </si>
  <si>
    <t>CY25_H.S.</t>
  </si>
  <si>
    <t>MP_0125-1225_ENTERPRISE LICENSE_5401075346</t>
  </si>
  <si>
    <t>CY25_H.S. PRACTITE</t>
  </si>
  <si>
    <t>CY25_ICRON</t>
  </si>
  <si>
    <t>MP_0125-1225_SOW OPTIMIZATION BLEND_5400909342</t>
  </si>
  <si>
    <t>CY25_P02_API</t>
  </si>
  <si>
    <t>MP_0225-0226_API CONNECT SOLUTION_5400976828</t>
  </si>
  <si>
    <t>CY25_P02_SAAS TM</t>
  </si>
  <si>
    <t>MP_0125-1225_OF SAAS TM LICENSE_5401023562</t>
  </si>
  <si>
    <t>CY25_P02_SOLACE</t>
  </si>
  <si>
    <t>MP_0225-0126_SOLACE LICENSE_5400917805</t>
  </si>
  <si>
    <t>CY25_P03_CONCUR</t>
  </si>
  <si>
    <t>MP_0325-0525_MAINTENANCE &amp; SUP_5400970737</t>
  </si>
  <si>
    <t>CY25_P03_SERVNOW</t>
  </si>
  <si>
    <t>MP_0125-0825_SAM SUBSCRIPTION_5401090107</t>
  </si>
  <si>
    <t>CY25_P03_SF_OTHER</t>
  </si>
  <si>
    <t>MP_0225-0126_Q-08826806 CONSUMER CARE_5401095527</t>
  </si>
  <si>
    <t>CY25_P04_JIROCONFL</t>
  </si>
  <si>
    <t>MP_0425-0426_JIRO/CONFL_5401102235</t>
  </si>
  <si>
    <t>CY25_P04_THINKSTEP</t>
  </si>
  <si>
    <t>MP_0425-0326_THINKSTEP SOFI LICENSE_5401102224</t>
  </si>
  <si>
    <t>CY25_POWERBI</t>
  </si>
  <si>
    <t>MP_0125-1225_POWERBI API RENEWAL_5401084017</t>
  </si>
  <si>
    <t>CY25_SPRINKLR</t>
  </si>
  <si>
    <t>MP_0125-1225_OF SOCIAL MEDIA SPRINKLR_5401039684</t>
  </si>
  <si>
    <t>CY25_ZYLAB</t>
  </si>
  <si>
    <t>MP_0125-1225_ZYLAB ONE RENEWAL_5401084023</t>
  </si>
  <si>
    <t>CY_25_CROSS CHARGE</t>
  </si>
  <si>
    <t>CO-PILOT LICENCES</t>
  </si>
  <si>
    <t>DEVOPS ABAP RESOURCE 0.5 FTE CREZEL</t>
  </si>
  <si>
    <t>DEVOPS TESTER 0.5 FTE</t>
  </si>
  <si>
    <t>SALESFORECE ADV. STUDIO 5401095527</t>
  </si>
  <si>
    <t>CY_25_P01_PIL</t>
  </si>
  <si>
    <t>CY_25_P01_PIL_5400904915</t>
  </si>
  <si>
    <t>CY_25_P02_PIL_5401046457</t>
  </si>
  <si>
    <t>CY_25_P02_PIL_5401095527</t>
  </si>
  <si>
    <t>CY_25_P02_PIL_5401099794</t>
  </si>
  <si>
    <t>CY25_PIL_P4_5401050600</t>
  </si>
  <si>
    <t>Vendor name</t>
  </si>
  <si>
    <t>Item</t>
  </si>
  <si>
    <t>Value</t>
  </si>
  <si>
    <t>PO in AOP</t>
  </si>
  <si>
    <t>Checked</t>
  </si>
  <si>
    <t>Last Updated</t>
  </si>
  <si>
    <t>Summary</t>
  </si>
  <si>
    <t>Delta</t>
  </si>
  <si>
    <t>Decrease</t>
  </si>
  <si>
    <t>Increase</t>
  </si>
  <si>
    <t>No Change</t>
  </si>
  <si>
    <t># Users</t>
  </si>
  <si>
    <t>Charge</t>
  </si>
  <si>
    <t>Delta # Users</t>
  </si>
  <si>
    <t>Delta €</t>
  </si>
  <si>
    <t>Delta Charge%</t>
  </si>
  <si>
    <t>Check</t>
  </si>
  <si>
    <t>L-FACTORIES</t>
  </si>
  <si>
    <t>L-AUTOCAD-USERS</t>
  </si>
  <si>
    <t>Dept</t>
  </si>
  <si>
    <t>Core Functions</t>
  </si>
  <si>
    <t>CPG</t>
  </si>
  <si>
    <t>HQ</t>
  </si>
  <si>
    <t>Infra &amp; Shared Platforms</t>
  </si>
  <si>
    <t>Professional</t>
  </si>
  <si>
    <t>Strategy &amp; Planning</t>
  </si>
  <si>
    <t>Number</t>
  </si>
  <si>
    <t>Requester</t>
  </si>
  <si>
    <t xml:space="preserve">Item </t>
  </si>
  <si>
    <t>Amount</t>
  </si>
  <si>
    <t xml:space="preserve">Agreed with </t>
  </si>
  <si>
    <t>Recurrence</t>
  </si>
  <si>
    <t xml:space="preserve">Name Charged coct center </t>
  </si>
  <si>
    <t>Charged cost center</t>
  </si>
  <si>
    <t>Name benefitted cost center</t>
  </si>
  <si>
    <t>Beniffeted cost center</t>
  </si>
  <si>
    <t>Comment</t>
  </si>
  <si>
    <t>Cross charge completed yes/no (to be completed by central finance)</t>
  </si>
  <si>
    <t>DevOps testers 2023 2 FTE</t>
  </si>
  <si>
    <t>IT OPS</t>
  </si>
  <si>
    <t>Completed</t>
  </si>
  <si>
    <t>Devops ABAP resource 0.5 FTE</t>
  </si>
  <si>
    <t>D&amp;A professional Ops</t>
  </si>
  <si>
    <t>Kelvin Diependal</t>
  </si>
  <si>
    <t>D&amp;A Professional Dev</t>
  </si>
  <si>
    <t>Frans Verheij</t>
  </si>
  <si>
    <t>Ecommerce total costs 2023</t>
  </si>
  <si>
    <t>Aprox 800k</t>
  </si>
  <si>
    <t>BAS Vredenburg</t>
  </si>
  <si>
    <t xml:space="preserve">Actual costs to be checked end Q2 and cross charge accordingly
Adding OMS costs for € 24369 - MP </t>
  </si>
  <si>
    <t>Not completed</t>
  </si>
  <si>
    <t xml:space="preserve">Ariba support </t>
  </si>
  <si>
    <t>Stanislav</t>
  </si>
  <si>
    <t>When it materializes</t>
  </si>
  <si>
    <t>Mathilde</t>
  </si>
  <si>
    <t>OBS OF 10-1501349 - Belarus</t>
  </si>
  <si>
    <t>Albert Setiawan</t>
  </si>
  <si>
    <t>Once</t>
  </si>
  <si>
    <t>5400977254: Tamara is informed</t>
  </si>
  <si>
    <t>Accenture SoW 70 Malaysia</t>
  </si>
  <si>
    <t>Sharon Leong</t>
  </si>
  <si>
    <t>SoW A57 Exemption report</t>
  </si>
  <si>
    <t>€20000</t>
  </si>
  <si>
    <t>Gagan Sharma/ 
Tamara Hryv</t>
  </si>
  <si>
    <t>HQ Budget</t>
  </si>
  <si>
    <t>Tamara is already caught up
Will be x-charged to Apac after GR</t>
  </si>
  <si>
    <t>Last update : 18-5-2018</t>
  </si>
  <si>
    <t>MAIN ANALYSIS COMPONENTS</t>
  </si>
  <si>
    <t>The Summary tab provides insight in actual cost developments against AOP</t>
  </si>
  <si>
    <t>The tab shows actual values Year to Date based on parameters in BW summary tab</t>
  </si>
  <si>
    <t>The AOP year value is divided by 12 and then multiplied with the number of months past in the year</t>
  </si>
  <si>
    <t>The Reporting Month value needs to be updated each month to correctly calculate and display AOP YtD value</t>
  </si>
  <si>
    <t>To ease analysis on GL account, any cell holding a GL account number can be selected and…</t>
  </si>
  <si>
    <t>… by clicking on the 'Detail button', you will jump to BW summary page starting with the first matching line item</t>
  </si>
  <si>
    <t>This is the main analysis table within the file which lists all relevant AOP items against the GL account and where possible, the vendor / supplier</t>
  </si>
  <si>
    <t>To be as detailed as possible in terms of tracking and operational follow up, each line item is tagged with a corresponding PO and PO item number</t>
  </si>
  <si>
    <t>This will allow better tracking of actuals and allows budget responsibles to quickly find the right PO number in case of changes and adjustments</t>
  </si>
  <si>
    <r>
      <t xml:space="preserve">As actuals populate the Bidetails tab, </t>
    </r>
    <r>
      <rPr>
        <b/>
        <sz val="11"/>
        <color theme="1"/>
        <rFont val="Calibri"/>
        <family val="2"/>
        <scheme val="minor"/>
      </rPr>
      <t>it is key to keep track of new PO's receiving actuals</t>
    </r>
    <r>
      <rPr>
        <sz val="11"/>
        <color theme="1"/>
        <rFont val="Calibri"/>
        <family val="2"/>
        <scheme val="minor"/>
      </rPr>
      <t xml:space="preserve"> to ensure they properly roll up into the AOP file</t>
    </r>
  </si>
  <si>
    <t>Ideally, the sum of actuals in the Bidetails tab should match with what is in the summary</t>
  </si>
  <si>
    <t xml:space="preserve">Due to credit notes and financial adjustments not tied to a PO there will be deviations between all individual AOP values and PO items </t>
  </si>
  <si>
    <t>Objective however is to track status for each line item from logistics perspective to ensure we have PO in place and that we are aware of (potential) cost overruns for each line item</t>
  </si>
  <si>
    <t>SUPPORTING COMPONENTS</t>
  </si>
  <si>
    <t>BW Summary, BW Details</t>
  </si>
  <si>
    <t>Filter Criteria</t>
  </si>
  <si>
    <t>Company Code: 0002</t>
  </si>
  <si>
    <t>Cost Center : 68427709 Ops &amp; Compl</t>
  </si>
  <si>
    <r>
      <t xml:space="preserve">Fiscal Period : 1 -12 of desired fiscal year. Note that fiscal year is </t>
    </r>
    <r>
      <rPr>
        <b/>
        <sz val="11"/>
        <color theme="1"/>
        <rFont val="Calibri"/>
        <family val="2"/>
        <scheme val="minor"/>
      </rPr>
      <t>one year ahead</t>
    </r>
    <r>
      <rPr>
        <sz val="11"/>
        <color theme="1"/>
        <rFont val="Calibri"/>
        <family val="2"/>
        <scheme val="minor"/>
      </rPr>
      <t xml:space="preserve"> of calendar year!</t>
    </r>
  </si>
  <si>
    <t>GL Accounts (Last updated 1-2-2018)</t>
  </si>
  <si>
    <t>Important!</t>
  </si>
  <si>
    <t>As BW typically will show numbers as text fields, both PO number and PO item will need to be converted to properly match BW actual data with AOP values</t>
  </si>
  <si>
    <t xml:space="preserve">After each refresh of the BW query, the numbers need to be converted by clicking the 'Convert PO NR' button </t>
  </si>
  <si>
    <t>Note that for being able to refresh BW querys you will need:</t>
  </si>
  <si>
    <t>Installation of Business Objects Analysis for office which can be downloaded from Software Center</t>
  </si>
  <si>
    <t>Proper authorizations to be assigned to your user in BW, minimum roles required are:</t>
  </si>
  <si>
    <t xml:space="preserve">ZOB-2-NL-ALLXXX-R-FIN-GL </t>
  </si>
  <si>
    <t>ZCB-0-YY-XXXXXX-R-FIN-GL</t>
  </si>
  <si>
    <t>PO's not in AOP</t>
  </si>
  <si>
    <t>In order check if AOP items are matching with PO lines, a check table is setup comparing which PO's are listed in BI details Tab</t>
  </si>
  <si>
    <t>In case a PO is found which is not tied to an AOP item the check column will show 'Not Found'</t>
  </si>
  <si>
    <t xml:space="preserve">To ease analysis on PO matching, any cell holding a PO number can be selected and </t>
  </si>
  <si>
    <t>… by clicking on the 'Find PO' button, you will jump to BIdetails page starting with the first matching line item found</t>
  </si>
  <si>
    <t>Throughout the year, many different drivers will impact the Central IT Operations budget in the upcoming year</t>
  </si>
  <si>
    <t>To be able to keep track of these changes, a change log is incorporated within this file to list all items representing a delta (both upward and downward) for the following year</t>
  </si>
  <si>
    <t>It is absolutely key that on each occasion (Project / program go live, contract renewal / change, omission or errors) an entry is made in the change log by relevant budget holder!</t>
  </si>
  <si>
    <t>Step</t>
  </si>
  <si>
    <t>Save a new version of the file and Rename AOP and AOP summary tab to new year (eg: AOP22 to AOP23)</t>
  </si>
  <si>
    <t>Mark the end of the change log for the file in the current year so stakeholders know the latest change log is in the newly created file</t>
  </si>
  <si>
    <t>In Summary Tab, change the year in cell F7 and set reporting month to 12 in Cell D3</t>
  </si>
  <si>
    <t>Refresh both BW summary and BI details tab with next fiscal year data, this will clear all actual results from current year to avoid any confusion</t>
  </si>
  <si>
    <t>Make sure that columns holding this year and previous years AOP numbers (Column S,T,U) do not contain any formulas! Best to copy and paste the contents as numbers only.</t>
  </si>
  <si>
    <t>Next, copy last years aop to AOP-2 column (T --&gt; S). Copy this years AOP data to last years AOP column ((U--&gt; T)). Rename current year to next years AOP but keep the aop numbers in</t>
  </si>
  <si>
    <t>Filter on '0' (zero) values for all 3 AOP columns. This will show items having 0 AOP for 3 year, please remove / clear contents of these lines</t>
  </si>
  <si>
    <t>Incorporate all the delta's from the change log. Once completed, set the status for each item in the change log to 'Processed'</t>
  </si>
  <si>
    <t>Clear all previous comments in AOP tab where there is no Delta</t>
  </si>
  <si>
    <t>Add comments for all lines showing a delta</t>
  </si>
  <si>
    <t>Check for consistency between the variance column and processed changes in the change log</t>
  </si>
  <si>
    <t>Make sure the all items under Service 1 'SAP Suite' have charging key 'L-SAP-USER'</t>
  </si>
  <si>
    <t>Mare sure that all items having charging key 'Central' have function filled in</t>
  </si>
  <si>
    <t>Mare sure Service2 column has and application ID and or general service filled in, no blanks are allowed!</t>
  </si>
  <si>
    <t>Improvement</t>
  </si>
  <si>
    <t>Start training on how charging works and what to do for new applications</t>
  </si>
  <si>
    <t>Add prereuiqisits for charging/adding items to AOP (Creation in the CMDB, APP IDD, Countries etc).</t>
  </si>
  <si>
    <t>Charging key for alterryx</t>
  </si>
  <si>
    <t>Year 1 costs part of project</t>
  </si>
  <si>
    <t>Make a country code global instead of 0002</t>
  </si>
  <si>
    <t>Separate Infra Structure cost per Application</t>
  </si>
  <si>
    <t>Separate retail from Professional -Epi</t>
  </si>
  <si>
    <t>Moved connected coffee machines to Professional</t>
  </si>
  <si>
    <t>Last Update</t>
  </si>
  <si>
    <t>a) Annual Non-Sap Spend Atos</t>
  </si>
  <si>
    <t>b) Non-Sap Assets</t>
  </si>
  <si>
    <t>c) Avg. cost per Asset (a/b)</t>
  </si>
  <si>
    <t>Non-sap &amp; operational only!</t>
  </si>
  <si>
    <t>GL Code</t>
  </si>
  <si>
    <t>APPID</t>
  </si>
  <si>
    <t>App Name</t>
  </si>
  <si>
    <t>SAP?</t>
  </si>
  <si>
    <t>Operational Status</t>
  </si>
  <si>
    <t>Cost Ownership</t>
  </si>
  <si>
    <t>L1 Bus Process</t>
  </si>
  <si>
    <t>IT Application Owner</t>
  </si>
  <si>
    <t>Current Hosting State</t>
  </si>
  <si>
    <t>Future Hosting State</t>
  </si>
  <si>
    <t>Counter</t>
  </si>
  <si>
    <t># Assets</t>
  </si>
  <si>
    <t>Charge p asset</t>
  </si>
  <si>
    <t>Total Charge</t>
  </si>
  <si>
    <t>Total Charge LY</t>
  </si>
  <si>
    <t>Charge Method</t>
  </si>
  <si>
    <t>SAP ECC</t>
  </si>
  <si>
    <t>Operational</t>
  </si>
  <si>
    <t>Central IT</t>
  </si>
  <si>
    <t>IT4BUS</t>
  </si>
  <si>
    <t>Managed Hosting (Private Cloud)</t>
  </si>
  <si>
    <t>Infrastructure as a Service (IaaS)</t>
  </si>
  <si>
    <t>SAP BPC</t>
  </si>
  <si>
    <t>APP000021</t>
  </si>
  <si>
    <t>SAP CRM</t>
  </si>
  <si>
    <t>Archived</t>
  </si>
  <si>
    <t>PRF</t>
  </si>
  <si>
    <t>SAP SCM (APO)</t>
  </si>
  <si>
    <t>SCP</t>
  </si>
  <si>
    <t>Evgeniya Shabalina</t>
  </si>
  <si>
    <t>SAP BW</t>
  </si>
  <si>
    <t>APP000024</t>
  </si>
  <si>
    <t>SAP DWM</t>
  </si>
  <si>
    <t>OTC</t>
  </si>
  <si>
    <t>Albert Codina Altafaja</t>
  </si>
  <si>
    <t>Decommission / Archive</t>
  </si>
  <si>
    <t>SAP IDM</t>
  </si>
  <si>
    <t>Marcel Leent</t>
  </si>
  <si>
    <t>SAP GRC</t>
  </si>
  <si>
    <t>Software as a Service (SaaS)</t>
  </si>
  <si>
    <t>APP000027</t>
  </si>
  <si>
    <t>SAP CPS</t>
  </si>
  <si>
    <t>Will be replaced with RunMyJobs, SaaS</t>
  </si>
  <si>
    <t>APP000028</t>
  </si>
  <si>
    <t>SAP Solution manager</t>
  </si>
  <si>
    <t>BCC</t>
  </si>
  <si>
    <t>Non-SAP</t>
  </si>
  <si>
    <t>PTP</t>
  </si>
  <si>
    <t>Used icw VIM only</t>
  </si>
  <si>
    <t>Accolade (R&amp;D)</t>
  </si>
  <si>
    <t>IRD</t>
  </si>
  <si>
    <t>Private Cloud - DHC</t>
  </si>
  <si>
    <t>Application ID</t>
  </si>
  <si>
    <t>Only remaining legacy + any oracle fee</t>
  </si>
  <si>
    <t>PLM4Process (Kalypso)</t>
  </si>
  <si>
    <t>Concur Expense</t>
  </si>
  <si>
    <t>Zylab ONE</t>
  </si>
  <si>
    <t>HRM</t>
  </si>
  <si>
    <t>As long as on premise instance remains</t>
  </si>
  <si>
    <t>Goldfire</t>
  </si>
  <si>
    <t>TAS</t>
  </si>
  <si>
    <t>Rory O Loughlin</t>
  </si>
  <si>
    <t>Asumption is only remaining legacy + Oracle licences</t>
  </si>
  <si>
    <t>RFGEN Global Instance 1</t>
  </si>
  <si>
    <t>QIS Utrecht - NL</t>
  </si>
  <si>
    <t>Local Business</t>
  </si>
  <si>
    <t>MTD</t>
  </si>
  <si>
    <t>Rene van Eijk</t>
  </si>
  <si>
    <t>APP000078</t>
  </si>
  <si>
    <t>SAP ECC APAC Container (MDLZ)</t>
  </si>
  <si>
    <t>Rantsoen</t>
  </si>
  <si>
    <t>Cluster/Regional IT</t>
  </si>
  <si>
    <t>Veerle Kestens</t>
  </si>
  <si>
    <t>APP000333</t>
  </si>
  <si>
    <t>CPI brandinfo</t>
  </si>
  <si>
    <t>PROXESS</t>
  </si>
  <si>
    <t>Ines Memenga</t>
  </si>
  <si>
    <t>APP000367</t>
  </si>
  <si>
    <t>ProTime Belgium</t>
  </si>
  <si>
    <t>CAPEPACK</t>
  </si>
  <si>
    <t>SAFIR (Romania)</t>
  </si>
  <si>
    <t>LEG</t>
  </si>
  <si>
    <t>Ognian Petrov</t>
  </si>
  <si>
    <t>Solidworks (UK)</t>
  </si>
  <si>
    <t>Kathryn Turner</t>
  </si>
  <si>
    <t>XLSTAT</t>
  </si>
  <si>
    <t>!mpuls</t>
  </si>
  <si>
    <t>Gustavo Queiroz</t>
  </si>
  <si>
    <t>APP000391</t>
  </si>
  <si>
    <t>EDP (TIMBRATURE) (Italy)</t>
  </si>
  <si>
    <t>Jorge Galve</t>
  </si>
  <si>
    <t>Moved to SaaS</t>
  </si>
  <si>
    <t>Janus - SQL DB AFH-MDP EU-3021</t>
  </si>
  <si>
    <t>Interflex (Germany)</t>
  </si>
  <si>
    <t>AIS</t>
  </si>
  <si>
    <t>Bonsai</t>
  </si>
  <si>
    <t>Karsten Pedersen</t>
  </si>
  <si>
    <t>APP000752</t>
  </si>
  <si>
    <t>SIMATIC IT ANDEZENO</t>
  </si>
  <si>
    <t>APP000819</t>
  </si>
  <si>
    <t>Helpmaster Pro</t>
  </si>
  <si>
    <t>Honeywell EBI</t>
  </si>
  <si>
    <t>PDM</t>
  </si>
  <si>
    <t>CRD</t>
  </si>
  <si>
    <t>Manual Master</t>
  </si>
  <si>
    <t>RTR</t>
  </si>
  <si>
    <t>APP000932</t>
  </si>
  <si>
    <t>Kofax</t>
  </si>
  <si>
    <t>Andrzej Zytko</t>
  </si>
  <si>
    <t>Proxsafe</t>
  </si>
  <si>
    <t>DEP CRM - Obrazovka</t>
  </si>
  <si>
    <t>Martin Knor</t>
  </si>
  <si>
    <t>APP000988</t>
  </si>
  <si>
    <t>Negoce (vax)</t>
  </si>
  <si>
    <t>Romuald Zouzou</t>
  </si>
  <si>
    <t>BOARD</t>
  </si>
  <si>
    <t>SAP SDS</t>
  </si>
  <si>
    <t>Honeywell</t>
  </si>
  <si>
    <t>Tax(VAT) reporting application</t>
  </si>
  <si>
    <t>Kostyantyn Herasymov</t>
  </si>
  <si>
    <t>RFGEN/ NiceLabel Coffee Utrecht</t>
  </si>
  <si>
    <t>IXOS</t>
  </si>
  <si>
    <t>APP001438</t>
  </si>
  <si>
    <t>SAP ADS</t>
  </si>
  <si>
    <t>APP001510</t>
  </si>
  <si>
    <t>SAP SAPRouter</t>
  </si>
  <si>
    <t>APP001511</t>
  </si>
  <si>
    <t>SAP Business Objects</t>
  </si>
  <si>
    <t>i21(iRely)</t>
  </si>
  <si>
    <t>Konstantin Vasilyev</t>
  </si>
  <si>
    <t>APP001669</t>
  </si>
  <si>
    <t>APP001723</t>
  </si>
  <si>
    <t>KeyWin</t>
  </si>
  <si>
    <t>Salesforce Sales Cloud Retail</t>
  </si>
  <si>
    <t>APP001752</t>
  </si>
  <si>
    <t>SAP SLT</t>
  </si>
  <si>
    <t>SNOW Software Asset Management</t>
  </si>
  <si>
    <t>Jana Kapustova</t>
  </si>
  <si>
    <t>APP001799</t>
  </si>
  <si>
    <t>Audit Analytics (Thuja)</t>
  </si>
  <si>
    <t>CAT</t>
  </si>
  <si>
    <t>Genesys PureConnect</t>
  </si>
  <si>
    <t>XTEL</t>
  </si>
  <si>
    <t>Juliana Acchar</t>
  </si>
  <si>
    <t>Private Cloud - VoC Hotel</t>
  </si>
  <si>
    <t>Will include Oracle licenses as well</t>
  </si>
  <si>
    <t>Baylo AGV UK</t>
  </si>
  <si>
    <t>APP001872</t>
  </si>
  <si>
    <t>R Shiny</t>
  </si>
  <si>
    <t>Martijn Vijlbrief</t>
  </si>
  <si>
    <t>RFGEN Global Instance 2</t>
  </si>
  <si>
    <t>SAP PO</t>
  </si>
  <si>
    <t>John Carlo Beltran</t>
  </si>
  <si>
    <t>Point.X Global Instance</t>
  </si>
  <si>
    <t>AGVR AGV Joure</t>
  </si>
  <si>
    <t>BluePrism</t>
  </si>
  <si>
    <t>No cost in case Blueprism is migrated to UIPath</t>
  </si>
  <si>
    <t>PwC Invoicing Tool</t>
  </si>
  <si>
    <t>Comscale</t>
  </si>
  <si>
    <t>APP002635</t>
  </si>
  <si>
    <t>SAP Fiori</t>
  </si>
  <si>
    <t>Alteryx Designer</t>
  </si>
  <si>
    <t>SPLUNK</t>
  </si>
  <si>
    <t>Will move to Azure</t>
  </si>
  <si>
    <t>HarvesterStore (Nordics)</t>
  </si>
  <si>
    <t>KEVOX</t>
  </si>
  <si>
    <t>SQL Cluster &amp; Databases</t>
  </si>
  <si>
    <t>General</t>
  </si>
  <si>
    <t>0</t>
  </si>
  <si>
    <t>SAP Assets</t>
  </si>
  <si>
    <t>Non-Sap Assets</t>
  </si>
  <si>
    <t>DevOps tester 0.5 FTE</t>
  </si>
  <si>
    <t>JB, 3/3/2025: Cross charged in full</t>
  </si>
  <si>
    <t>Devops ABAP resource 0.5 FTE CREZEL</t>
  </si>
  <si>
    <t>JB, 3/3/2025: Recurring entry for 11 months started as of Feb</t>
  </si>
  <si>
    <t>Copiloit licences</t>
  </si>
  <si>
    <t xml:space="preserve">13.488,- </t>
  </si>
  <si>
    <t>Martijn / Sharon Leong</t>
  </si>
  <si>
    <t>Charging opco - 6583</t>
  </si>
  <si>
    <t>Salesforce advertising studio</t>
  </si>
  <si>
    <t>A&amp;P Digital Marketing</t>
  </si>
  <si>
    <t>WBS 0002APMDIG</t>
  </si>
  <si>
    <t>Trace-IT</t>
  </si>
  <si>
    <t xml:space="preserve"> tbd </t>
  </si>
  <si>
    <t xml:space="preserve">Lieke </t>
  </si>
  <si>
    <t>MU Turkey project</t>
  </si>
  <si>
    <t>Marco Groenwegen</t>
  </si>
  <si>
    <t>Mu turkey project</t>
  </si>
  <si>
    <r>
      <t>6842-25-0009-31</t>
    </r>
    <r>
      <rPr>
        <sz val="11"/>
        <color rgb="FF000000"/>
        <rFont val="Aptos"/>
        <family val="2"/>
      </rPr>
      <t> </t>
    </r>
  </si>
  <si>
    <t>Updated PO</t>
  </si>
  <si>
    <t>ITMT member</t>
  </si>
  <si>
    <t>AOP 2025 adjusted</t>
  </si>
  <si>
    <t>Carolyn</t>
  </si>
  <si>
    <t>CW7803</t>
  </si>
  <si>
    <t>CW7258</t>
  </si>
  <si>
    <t>Aangepast per 9/9 o.b.v. comments BV (was EUR 430K)</t>
  </si>
  <si>
    <t>CW7798</t>
  </si>
  <si>
    <t>CW9509</t>
  </si>
  <si>
    <t>CW4702</t>
  </si>
  <si>
    <t>Ironscales</t>
  </si>
  <si>
    <t>CW7747</t>
  </si>
  <si>
    <t>Mandiant Ireland Limited</t>
  </si>
  <si>
    <t>CW4346</t>
  </si>
  <si>
    <t>CW4342</t>
  </si>
  <si>
    <t>CW4363</t>
  </si>
  <si>
    <t>Adjusted</t>
  </si>
  <si>
    <t xml:space="preserve">Accenture </t>
  </si>
  <si>
    <t>Aangepast per 9/9 o.b.v. comments BV (Was EUR 206K)</t>
  </si>
  <si>
    <t>CW9430</t>
  </si>
  <si>
    <t>CW10432</t>
  </si>
  <si>
    <t>L-C4C-USERS</t>
  </si>
  <si>
    <t>CW9490</t>
  </si>
  <si>
    <t>Kantar Retail</t>
  </si>
  <si>
    <t>CW7957</t>
  </si>
  <si>
    <t>CW6059</t>
  </si>
  <si>
    <t>CW5966</t>
  </si>
  <si>
    <t>Platform fee &amp; managed service</t>
  </si>
  <si>
    <t>CW9425</t>
  </si>
  <si>
    <t>CW8846</t>
  </si>
  <si>
    <t>CW5686</t>
  </si>
  <si>
    <t>CW5457</t>
  </si>
  <si>
    <t>CW7829</t>
  </si>
  <si>
    <t>CW4405</t>
  </si>
  <si>
    <t>CW13459</t>
  </si>
  <si>
    <t>APP003312</t>
  </si>
  <si>
    <t>CW6061</t>
  </si>
  <si>
    <t>CW10044</t>
  </si>
  <si>
    <t>CW6216</t>
  </si>
  <si>
    <t>Geen aanpassing; betreft allocatie Checken in allocatie sheet</t>
  </si>
  <si>
    <t>Salesforce Service Cloud Retail</t>
  </si>
  <si>
    <t>Aangepast per 9/9 o.b.v. comments BV (was EUR 150K)</t>
  </si>
  <si>
    <t>CW9701</t>
  </si>
  <si>
    <t>Dario</t>
  </si>
  <si>
    <t>CW7058</t>
  </si>
  <si>
    <t>Cadac Group</t>
  </si>
  <si>
    <t>APP003120</t>
  </si>
  <si>
    <t>APP003296</t>
  </si>
  <si>
    <t>L-Telus-USERS</t>
  </si>
  <si>
    <t>Commodity Supplies AG</t>
  </si>
  <si>
    <t>CW7953</t>
  </si>
  <si>
    <t>Groupe Sharegate</t>
  </si>
  <si>
    <t>Sposea Software BV</t>
  </si>
  <si>
    <t>Seeburger service cost</t>
  </si>
  <si>
    <t>197078</t>
  </si>
  <si>
    <t>SmartRecruiters Inc.</t>
  </si>
  <si>
    <t>208176</t>
  </si>
  <si>
    <t>Kendis OY</t>
  </si>
  <si>
    <t>169089</t>
  </si>
  <si>
    <t>Novexx Solutions B.V.</t>
  </si>
  <si>
    <t>48000050902026</t>
  </si>
  <si>
    <t>MP_0625_CCN2 TO SOW 11</t>
  </si>
  <si>
    <t>48000055922026</t>
  </si>
  <si>
    <t>MP_0625_ONGOING RDS</t>
  </si>
  <si>
    <t>48000048742026</t>
  </si>
  <si>
    <t>48000048752026</t>
  </si>
  <si>
    <t>48000048762026</t>
  </si>
  <si>
    <t>SD_0625_AZURE OT</t>
  </si>
  <si>
    <t>48000048772026</t>
  </si>
  <si>
    <t>48000048782026</t>
  </si>
  <si>
    <t>48000048792026</t>
  </si>
  <si>
    <t>SD_0625_AZURE IT</t>
  </si>
  <si>
    <t>48000050662026</t>
  </si>
  <si>
    <t>MP_0625_CLAROTY SUPPORT</t>
  </si>
  <si>
    <t>48000050942026</t>
  </si>
  <si>
    <t>MP_0625_ONGOING FACTORY RDS</t>
  </si>
  <si>
    <t>48000053872026</t>
  </si>
  <si>
    <t>MP_0625_SD WAN 21%</t>
  </si>
  <si>
    <t>48000053882026</t>
  </si>
  <si>
    <t>MP_0625_BVPN 21%</t>
  </si>
  <si>
    <t>48000053892026</t>
  </si>
  <si>
    <t>MP_0625_GATEWAY 21%</t>
  </si>
  <si>
    <t>48000053902026</t>
  </si>
  <si>
    <t>MP_0625_ONBOARDING</t>
  </si>
  <si>
    <t>48000053912026</t>
  </si>
  <si>
    <t>MP_0625_LAN 21%</t>
  </si>
  <si>
    <t>48000053922026</t>
  </si>
  <si>
    <t>MP_0625_SECURITY MNSS 21%</t>
  </si>
  <si>
    <t>48000053932026</t>
  </si>
  <si>
    <t>MP_0625_SECURITY DDOS 21%</t>
  </si>
  <si>
    <t>48000053942026</t>
  </si>
  <si>
    <t>MP_0625_SECURITY ZSCALER 21%</t>
  </si>
  <si>
    <t>48000053952026</t>
  </si>
  <si>
    <t>MP_0625_MNSS-FACTORY 21%</t>
  </si>
  <si>
    <t>48000053972026</t>
  </si>
  <si>
    <t>MP_0625_IPAM 21%</t>
  </si>
  <si>
    <t>48000053982026</t>
  </si>
  <si>
    <t>MP_0625_EQUINIX MANAGED 21%</t>
  </si>
  <si>
    <t>48000053992026</t>
  </si>
  <si>
    <t>MP_0625_EQUINIX SUPPORT 21%</t>
  </si>
  <si>
    <t>48000054002026</t>
  </si>
  <si>
    <t>MP_0625_VMS DEDICATED 21%</t>
  </si>
  <si>
    <t>48000050862026</t>
  </si>
  <si>
    <t>MP_0625_MONTHLY CHARGES AM4</t>
  </si>
  <si>
    <t>48000050872026</t>
  </si>
  <si>
    <t>MP_0625_MONTHLY CHARGES AM6</t>
  </si>
  <si>
    <t>48000050852026</t>
  </si>
  <si>
    <t>MP_0625_OF NONPRODUCTION INTER</t>
  </si>
  <si>
    <t>48000051862026</t>
  </si>
  <si>
    <t>MP_0625_ON DEMAND &amp; SUBSCRIPTI</t>
  </si>
  <si>
    <t>48000051872026</t>
  </si>
  <si>
    <t>48000050682026</t>
  </si>
  <si>
    <t>MP_0625_EUS VOICE MONTHLY FEE</t>
  </si>
  <si>
    <t>48000046132026</t>
  </si>
  <si>
    <t>48000046162026</t>
  </si>
  <si>
    <t>MP_0425_SSR SLA SAP</t>
  </si>
  <si>
    <t>48000046172026</t>
  </si>
  <si>
    <t>48000052012026</t>
  </si>
  <si>
    <t>MP_0625_RECURRING CHARGES SAP</t>
  </si>
  <si>
    <t>48000052022026</t>
  </si>
  <si>
    <t>48000052042026</t>
  </si>
  <si>
    <t>MP_0525_SSR SLA SAP</t>
  </si>
  <si>
    <t>48000052082026</t>
  </si>
  <si>
    <t>48000055802026</t>
  </si>
  <si>
    <t>MP_0625_SSR SLA SAP</t>
  </si>
  <si>
    <t>48000051002026</t>
  </si>
  <si>
    <t>48000051012026</t>
  </si>
  <si>
    <t>MP_0425_CO 53 NORDCLOUD</t>
  </si>
  <si>
    <t>48000051022026</t>
  </si>
  <si>
    <t>MP_0525_CO 53 NORDCLOUD AZURE</t>
  </si>
  <si>
    <t>48000046142026</t>
  </si>
  <si>
    <t>MP_0425_SLA RECURRING CHARGES</t>
  </si>
  <si>
    <t>48000046192026</t>
  </si>
  <si>
    <t>MP_0425_SSR SLA NON-SAP</t>
  </si>
  <si>
    <t>48000051982026</t>
  </si>
  <si>
    <t>48000052002026</t>
  </si>
  <si>
    <t>MP_0625_SLA RECURRING CHARGES</t>
  </si>
  <si>
    <t>48000050712026</t>
  </si>
  <si>
    <t>MP_0625_LAHS</t>
  </si>
  <si>
    <t>CY25_PIL_P5_5401087657</t>
  </si>
  <si>
    <t>CY25_PIL_P5_SERVERS</t>
  </si>
  <si>
    <t>48000051882026</t>
  </si>
  <si>
    <t>MP_0625_MS SUPP</t>
  </si>
  <si>
    <t>48000056212026</t>
  </si>
  <si>
    <t>MP_0425-0426_MICROFOCUS</t>
  </si>
  <si>
    <t>48000051962026</t>
  </si>
  <si>
    <t>MP_0625_WHATSAPP FRAUD</t>
  </si>
  <si>
    <t>48000050622026</t>
  </si>
  <si>
    <t>MP_0625_SOW 23 AZURE</t>
  </si>
  <si>
    <t>48000050632026</t>
  </si>
  <si>
    <t>MP_0625_CCN 1 TO SOW 23 AZURE</t>
  </si>
  <si>
    <t>48000050642026</t>
  </si>
  <si>
    <t>48000050672026</t>
  </si>
  <si>
    <t>MP_0625_SOW 45 RUNN</t>
  </si>
  <si>
    <t>48000050692026</t>
  </si>
  <si>
    <t>MP_0625_CCN 89 QUALYS</t>
  </si>
  <si>
    <t>48000050702026</t>
  </si>
  <si>
    <t>MP_0625_CCN089 EUS QUALYS</t>
  </si>
  <si>
    <t>48000050822026</t>
  </si>
  <si>
    <t>MP_0625_OT RUN SYMANTEC AV</t>
  </si>
  <si>
    <t>86000044352026</t>
  </si>
  <si>
    <t>48000053962026</t>
  </si>
  <si>
    <t>MP_0625_SERVICE DESK ONBOARDIN</t>
  </si>
  <si>
    <t>CY25_PIL_P5_IT SECURITY</t>
  </si>
  <si>
    <t>48000046032026</t>
  </si>
  <si>
    <t>MP_0425_SOW 250</t>
  </si>
  <si>
    <t>48000050652026</t>
  </si>
  <si>
    <t>MP_0425_CCN 32 RPA UIPATH</t>
  </si>
  <si>
    <t>48000050722026</t>
  </si>
  <si>
    <t>MP_0625_PREBILL AMS ADDITIONAL</t>
  </si>
  <si>
    <t>48000050882026</t>
  </si>
  <si>
    <t>MP_0625_SIAM RUN CHARGES</t>
  </si>
  <si>
    <t>48000050952026</t>
  </si>
  <si>
    <t>MP_0625_SOW 191</t>
  </si>
  <si>
    <t>48000051492026</t>
  </si>
  <si>
    <t>48000051502026</t>
  </si>
  <si>
    <t>MP_0525_RO KEVIN</t>
  </si>
  <si>
    <t>48000051512026</t>
  </si>
  <si>
    <t>MP_0625_RO KEVIN</t>
  </si>
  <si>
    <t>48000051572026</t>
  </si>
  <si>
    <t>MP_0625_INCIDENT MANAGEMENT SE</t>
  </si>
  <si>
    <t>48000051582026</t>
  </si>
  <si>
    <t>MP_0625_USER MANAGEMENT</t>
  </si>
  <si>
    <t>48000051592026</t>
  </si>
  <si>
    <t>MP_0625_FOUNDATION SERVICE</t>
  </si>
  <si>
    <t>48000051602026</t>
  </si>
  <si>
    <t>MP_0625_ENHANCE SEER AM SAP/NS</t>
  </si>
  <si>
    <t>48000051612026</t>
  </si>
  <si>
    <t>MP_0625_ENHANCE SERV AD SAP/NS</t>
  </si>
  <si>
    <t>48000051622026</t>
  </si>
  <si>
    <t>MP_0625_TEST FACTORY SERVICE</t>
  </si>
  <si>
    <t>48000051632026</t>
  </si>
  <si>
    <t>MP_0625_DEVOPS SFDC DTC</t>
  </si>
  <si>
    <t>48000051642026</t>
  </si>
  <si>
    <t>MP_0625_BAS SERV 7FTE LANDED</t>
  </si>
  <si>
    <t>48000051652026</t>
  </si>
  <si>
    <t>MP_0625_CCN 21 BOOMI TEAM</t>
  </si>
  <si>
    <t>48000051672026</t>
  </si>
  <si>
    <t>MP_0625_RPA SUPPORT</t>
  </si>
  <si>
    <t>48000051682026</t>
  </si>
  <si>
    <t>MP_0625_SRE TEAM</t>
  </si>
  <si>
    <t>48000051692026</t>
  </si>
  <si>
    <t>MP_0625_SER SUPPORT 24X5</t>
  </si>
  <si>
    <t>48000051702026</t>
  </si>
  <si>
    <t>MP_0625_LINK SUPPORT</t>
  </si>
  <si>
    <t>48000051712026</t>
  </si>
  <si>
    <t>MP_0625_TAS ADD SUPPORT</t>
  </si>
  <si>
    <t>48000051722026</t>
  </si>
  <si>
    <t>MP_0625_CCN 17 COMPLIANCE</t>
  </si>
  <si>
    <t>48000051732026</t>
  </si>
  <si>
    <t>MP_0625_CCN 18 EMS R&amp;D SUPPORT</t>
  </si>
  <si>
    <t>48000051742026</t>
  </si>
  <si>
    <t>MP_0625_CCN 20 JIRA, C4C, TAS</t>
  </si>
  <si>
    <t>48000051752026</t>
  </si>
  <si>
    <t>MP_0625_CCN 22 DEVOPS DEVELOPE</t>
  </si>
  <si>
    <t>48000051762026</t>
  </si>
  <si>
    <t>MP_0625_CCN 23 DIGITAL TEAM</t>
  </si>
  <si>
    <t>48000051772026</t>
  </si>
  <si>
    <t>MP_0625_CCN 27 DIGITAL WEBSITE</t>
  </si>
  <si>
    <t>48000051782026</t>
  </si>
  <si>
    <t>MP_0625_RPA RESOURCE CIPHIX</t>
  </si>
  <si>
    <t>48000051792026</t>
  </si>
  <si>
    <t>MP_0625_PMT FY25 EXTENSION CCN</t>
  </si>
  <si>
    <t>48000051802026</t>
  </si>
  <si>
    <t>MP_0625_BONUS</t>
  </si>
  <si>
    <t>48000051812026</t>
  </si>
  <si>
    <t>MP_0625_SPS UPGRADE</t>
  </si>
  <si>
    <t>48000051822026</t>
  </si>
  <si>
    <t>MP_0625_CCN 31 GENWIZARD</t>
  </si>
  <si>
    <t>48000051832026</t>
  </si>
  <si>
    <t>MP_0625_CCN 32 RPA UIPATH</t>
  </si>
  <si>
    <t>48000051842026</t>
  </si>
  <si>
    <t>MP_0625_CCN 24 ADD PMT RESOURC</t>
  </si>
  <si>
    <t>48000054022026</t>
  </si>
  <si>
    <t>MP_0525_SOW 250</t>
  </si>
  <si>
    <t>86000040602026</t>
  </si>
  <si>
    <t>86000040612026</t>
  </si>
  <si>
    <t>JC BACKFILL (KEVIN DIPLOMO)</t>
  </si>
  <si>
    <t>48000046182026</t>
  </si>
  <si>
    <t>MP_0425_GOOGLE TRANSLATE API</t>
  </si>
  <si>
    <t>48000052062026</t>
  </si>
  <si>
    <t>MP_0525_GOOGLE TRANSLATE API</t>
  </si>
  <si>
    <t>48000050912026</t>
  </si>
  <si>
    <t>MP_0625_VAN SERVICE FEE</t>
  </si>
  <si>
    <t>48000053202026</t>
  </si>
  <si>
    <t>MP_0325_CCN TO GLOBAL VAN SERV</t>
  </si>
  <si>
    <t>48000053212026</t>
  </si>
  <si>
    <t>MP_0625_CCN TO GLOBAL VAN SERV</t>
  </si>
  <si>
    <t>86000038452026</t>
  </si>
  <si>
    <t>86000042182026</t>
  </si>
  <si>
    <t>48000055912026</t>
  </si>
  <si>
    <t>MP_0125-1225_RENEWAL TRACE-IT SLA</t>
  </si>
  <si>
    <t>48000050992026</t>
  </si>
  <si>
    <t>MP_0625_SOW 176 DAM SUPPORT</t>
  </si>
  <si>
    <t>48000046332026</t>
  </si>
  <si>
    <t>MP_0525_AUTOMATE STUDIO</t>
  </si>
  <si>
    <t>48000050762026</t>
  </si>
  <si>
    <t>48000050772026</t>
  </si>
  <si>
    <t>MP_0625_SOW DIGITAL MKT SERVIC</t>
  </si>
  <si>
    <t>48000046312026</t>
  </si>
  <si>
    <t>MP_0125-0325_EURIBOR</t>
  </si>
  <si>
    <t>48000046302026</t>
  </si>
  <si>
    <t>MP_0525_2ND LINE SUPPORT</t>
  </si>
  <si>
    <t>48000051032026</t>
  </si>
  <si>
    <t>MP_0625_LINE ENGINEERING SUPPO</t>
  </si>
  <si>
    <t>48000051042026</t>
  </si>
  <si>
    <t>MP_0625_LINE SUPPORT 1ST</t>
  </si>
  <si>
    <t>48000051052026</t>
  </si>
  <si>
    <t>MP_0625_SUPPORT CORDINATION</t>
  </si>
  <si>
    <t>48000056082026</t>
  </si>
  <si>
    <t>48000056092026</t>
  </si>
  <si>
    <t>MP_0525_SERVICE ITSM MRC</t>
  </si>
  <si>
    <t>48000056102026</t>
  </si>
  <si>
    <t>MP_0625_SERVICE ITSM MRC</t>
  </si>
  <si>
    <t>48000050152026</t>
  </si>
  <si>
    <t>48000050162026</t>
  </si>
  <si>
    <t>48000050172026</t>
  </si>
  <si>
    <t>SD_0625_GLOBAL EFAX</t>
  </si>
  <si>
    <t>48000050782026</t>
  </si>
  <si>
    <t>MP_0525_COMARCH</t>
  </si>
  <si>
    <t>48000053172026</t>
  </si>
  <si>
    <t>MP_0626_GARTNER SUMMIT</t>
  </si>
  <si>
    <t>48000056232026</t>
  </si>
  <si>
    <t>MP_0625_AMS OPS CONTRACT</t>
  </si>
  <si>
    <t>33000008632026</t>
  </si>
  <si>
    <t>CY25_P05_SYNCSUPP</t>
  </si>
  <si>
    <t>MP_0525-0426_SYNCFORC_5401107545</t>
  </si>
  <si>
    <t>CONSUMER CARE INTEGRATION Q1-25</t>
  </si>
  <si>
    <t>INTEGRATIONS FOR DTC SUBSCRIPTION. Q1-25</t>
  </si>
  <si>
    <t>INTEGRATIONS FOR THE DTC LOR NL</t>
  </si>
  <si>
    <t>CY25_PIL_P5_5401112877</t>
  </si>
  <si>
    <t>48000056182026</t>
  </si>
  <si>
    <t>MP_0625_SEEBURGER RFC</t>
  </si>
  <si>
    <t>48000056192026</t>
  </si>
  <si>
    <t>48000051942026</t>
  </si>
  <si>
    <t>48000051952026</t>
  </si>
  <si>
    <t>48000046282026</t>
  </si>
  <si>
    <t>MP_0525_EDI PARTNER CERTIFICAT</t>
  </si>
  <si>
    <t>48000051892026</t>
  </si>
  <si>
    <t>MP_0625_EDI SERVICES</t>
  </si>
  <si>
    <t>48000052112026</t>
  </si>
  <si>
    <t>MP_0625_ALERTING SERVICE BIS6</t>
  </si>
  <si>
    <t>48000056202026</t>
  </si>
  <si>
    <t>MP_0625_EDI PARTNER CERTIFICAT</t>
  </si>
  <si>
    <t>CY25_P05_REDWOOD</t>
  </si>
  <si>
    <t>MP_0525-0526_RUNMYJOBS_5400983219</t>
  </si>
  <si>
    <t>48000054962026</t>
  </si>
  <si>
    <t>SD_0625-0626_SUCCESFACTORS</t>
  </si>
  <si>
    <t>48000048692026</t>
  </si>
  <si>
    <t>SD_0625-1225_ACCOLADE SAAS</t>
  </si>
  <si>
    <t>48000048702026</t>
  </si>
  <si>
    <t>SD_0126-0526_ACCOLADE SAAS</t>
  </si>
  <si>
    <t>48000051972026</t>
  </si>
  <si>
    <t>MP_0625_OPTIMIZELY</t>
  </si>
  <si>
    <t>48000051902026</t>
  </si>
  <si>
    <t>MP_0425_BPC SUPPORT</t>
  </si>
  <si>
    <t>48000051922026</t>
  </si>
  <si>
    <t>MP_0525_BPC SUPPORT</t>
  </si>
  <si>
    <t>48000051932026</t>
  </si>
  <si>
    <t>MP_0625_BPC SUPPORT</t>
  </si>
  <si>
    <t>48000050792026</t>
  </si>
  <si>
    <t>MP_0625-0825_MAINTENANCE &amp;SUPPORT</t>
  </si>
  <si>
    <t>48000051532026</t>
  </si>
  <si>
    <t>MP_0625_DATA MIGRATION</t>
  </si>
  <si>
    <t>48000051542026</t>
  </si>
  <si>
    <t>48000053192026</t>
  </si>
  <si>
    <t>48000050802026</t>
  </si>
  <si>
    <t>MP_0625_RUN BT RAS</t>
  </si>
  <si>
    <t>48000050812026</t>
  </si>
  <si>
    <t>MP_0625_OT RUN GOVERNANCE</t>
  </si>
  <si>
    <t>48000051662026</t>
  </si>
  <si>
    <t>MP_0625_DELL BOOMI 2FTE</t>
  </si>
  <si>
    <t>48000051852026</t>
  </si>
  <si>
    <t>MP_0425_RUN BT RAS</t>
  </si>
  <si>
    <t>48000054902026</t>
  </si>
  <si>
    <t>48000054912026</t>
  </si>
  <si>
    <t>48000055692026</t>
  </si>
  <si>
    <t>MP_0625_RUN PKI SERVICE</t>
  </si>
  <si>
    <t>48000055702026</t>
  </si>
  <si>
    <t>MP_0625_OT DMZ</t>
  </si>
  <si>
    <t>48000054932026</t>
  </si>
  <si>
    <t>MP_0625-0626_RENEWAL SMARTRECRUITERS</t>
  </si>
  <si>
    <t>48000046022026</t>
  </si>
  <si>
    <t>MP_0425-0326_GOOGLE ANALYTICS LICENSE</t>
  </si>
  <si>
    <t>48000051062026</t>
  </si>
  <si>
    <t>MP_0625_WORKPLACE FB</t>
  </si>
  <si>
    <t>48000054042026</t>
  </si>
  <si>
    <t>MP_0625-0626_KENDIS CLOUD</t>
  </si>
  <si>
    <t>48000050962026</t>
  </si>
  <si>
    <t>MP_0625_DM SUBSCRIPTION</t>
  </si>
  <si>
    <t>48000050972026</t>
  </si>
  <si>
    <t>MP_0625_DELIVERY TRACKER</t>
  </si>
  <si>
    <t>48000050982026</t>
  </si>
  <si>
    <t>MP_0625_ADDITIONAL CARRIERS</t>
  </si>
  <si>
    <t>87000001042026</t>
  </si>
  <si>
    <t>MP_0524-0425_JENKSINS SERVICE</t>
  </si>
  <si>
    <t>48000052092026</t>
  </si>
  <si>
    <t>MP_0625_MRC OPEATION</t>
  </si>
  <si>
    <t>48000052102026</t>
  </si>
  <si>
    <t>MP_0625_MRC HOSTING HCL</t>
  </si>
  <si>
    <t>86000042742026</t>
  </si>
  <si>
    <t>48000050732026</t>
  </si>
  <si>
    <t>MP_0625_AUTOCAD</t>
  </si>
  <si>
    <t>14000007082026</t>
  </si>
  <si>
    <t>MP_0225-0126_OF Q-06881944 OMS_5401095527</t>
  </si>
  <si>
    <t>14000007152026</t>
  </si>
  <si>
    <t>14000007592026</t>
  </si>
  <si>
    <t>MP_0125_BASEWARE MONTHLY FEE</t>
  </si>
  <si>
    <t>MP_0125_OF E-INVOICE MF &amp; MFHC</t>
  </si>
  <si>
    <t>MP_0225_BASEWARE MONTHLY FEE</t>
  </si>
  <si>
    <t>MP_0225_OF E-INVOICE MF &amp; MFHC</t>
  </si>
  <si>
    <t>MP_0325_BASEWARE MONTHLY FEE</t>
  </si>
  <si>
    <t>MP_0325_OF E-INVOICE MF &amp; MFHC</t>
  </si>
  <si>
    <t>MP_0425-0425_BASEWARE LICENSES</t>
  </si>
  <si>
    <t>MP_0425_BASEWARE MONTHLY FEE</t>
  </si>
  <si>
    <t>MP_0425_OF E-INVOICE MF &amp; MFHC</t>
  </si>
  <si>
    <t>MP_0525_BASEWARE MONTHLY FEE</t>
  </si>
  <si>
    <t>MP_0525_OF E-INVOICE MF &amp; MFHC</t>
  </si>
  <si>
    <t>MP_1224_CZ PHONE NUMBER</t>
  </si>
  <si>
    <t>MP_1224_CZ PHONE NUMER</t>
  </si>
  <si>
    <t>MP_1224_CZ_PHONE NUMBER</t>
  </si>
  <si>
    <t>VONAGE_LICENCE_FEE</t>
  </si>
  <si>
    <t>33000008942026</t>
  </si>
  <si>
    <t>5401095527_MP_0225-0126_Q-06919313 - DTC</t>
  </si>
  <si>
    <t>ACCENTURE EUC</t>
  </si>
  <si>
    <t>IT ACCENTURE EUC</t>
  </si>
  <si>
    <t>CY25_P03_SF_PROF</t>
  </si>
  <si>
    <t>CY25_P05_AICO</t>
  </si>
  <si>
    <t>MP_0525-0426_ANNUAL SUBSCRIPTION_5401090208</t>
  </si>
  <si>
    <t>CY25_P05_HYGRAPH</t>
  </si>
  <si>
    <t>MP_0325-0226_HEADLESS CMS RENEWAL_5401097354</t>
  </si>
  <si>
    <t>CY25_P05_TELUS</t>
  </si>
  <si>
    <t>IL_0525_TELUS LICENSES 0325-0226_5401049687</t>
  </si>
  <si>
    <t>CY25_P6_SMARTRECR</t>
  </si>
  <si>
    <t>MP_0625-0626_RENEWAL SMARTRECRUITERS_5401056435</t>
  </si>
  <si>
    <t>CY25_P6_SUCCESFACT</t>
  </si>
  <si>
    <t>SD_0625-0626_SUCCESFACTORS_5401106550</t>
  </si>
  <si>
    <t>CY25_PIL_P5_5401100850</t>
  </si>
  <si>
    <t>Period 07 2026</t>
  </si>
  <si>
    <t>5400868906</t>
  </si>
  <si>
    <t>20</t>
  </si>
  <si>
    <t>5401087933</t>
  </si>
  <si>
    <t>5401058468</t>
  </si>
  <si>
    <t>5401087931</t>
  </si>
  <si>
    <t>5401023605</t>
  </si>
  <si>
    <t>5401060729</t>
  </si>
  <si>
    <t>5401060727</t>
  </si>
  <si>
    <t>5401060725</t>
  </si>
  <si>
    <t>5401095571</t>
  </si>
  <si>
    <t>5401105308</t>
  </si>
  <si>
    <t>5401107565</t>
  </si>
  <si>
    <t>5401108482</t>
  </si>
  <si>
    <t>5401087930</t>
  </si>
  <si>
    <t>5401087908</t>
  </si>
  <si>
    <t>5401087922</t>
  </si>
  <si>
    <t>5401087923</t>
  </si>
  <si>
    <t>5401087924</t>
  </si>
  <si>
    <t>5401087927</t>
  </si>
  <si>
    <t>5401087928</t>
  </si>
  <si>
    <t>5401087929</t>
  </si>
  <si>
    <t>5401023597</t>
  </si>
  <si>
    <t>5401059853</t>
  </si>
  <si>
    <t>5401077845</t>
  </si>
  <si>
    <t>5401098578</t>
  </si>
  <si>
    <t>5401087925</t>
  </si>
  <si>
    <t>5401079380</t>
  </si>
  <si>
    <t>5400941603</t>
  </si>
  <si>
    <t>5400918923</t>
  </si>
  <si>
    <t>5401063675</t>
  </si>
  <si>
    <t>5401111762</t>
  </si>
  <si>
    <t>5401058431</t>
  </si>
  <si>
    <t>5400960037</t>
  </si>
  <si>
    <t>5400853131</t>
  </si>
  <si>
    <t>5401023590</t>
  </si>
  <si>
    <t>5401087887</t>
  </si>
  <si>
    <t>5401023592</t>
  </si>
  <si>
    <t>5401087891</t>
  </si>
  <si>
    <t>14000008062026</t>
  </si>
  <si>
    <t>EVIDEN IRIS/APO REPLACEMENT</t>
  </si>
  <si>
    <t>5401047705</t>
  </si>
  <si>
    <t>30</t>
  </si>
  <si>
    <t>5401087657</t>
  </si>
  <si>
    <t>5401023588</t>
  </si>
  <si>
    <t>5401087886</t>
  </si>
  <si>
    <t>5401065646</t>
  </si>
  <si>
    <t>5401023591</t>
  </si>
  <si>
    <t>5401087890</t>
  </si>
  <si>
    <t>5401113577</t>
  </si>
  <si>
    <t>CY25_PIL_P6_SERVERS</t>
  </si>
  <si>
    <t>5401068208</t>
  </si>
  <si>
    <t>5401098602</t>
  </si>
  <si>
    <t>48000056492026</t>
  </si>
  <si>
    <t>MP_0625_CCN 95 EUS 4%</t>
  </si>
  <si>
    <t>48000056502026</t>
  </si>
  <si>
    <t>48000056512026</t>
  </si>
  <si>
    <t>5401070316</t>
  </si>
  <si>
    <t>5401109430</t>
  </si>
  <si>
    <t>5401098805</t>
  </si>
  <si>
    <t>5401116343</t>
  </si>
  <si>
    <t>5401053722</t>
  </si>
  <si>
    <t>5400840950</t>
  </si>
  <si>
    <t>80</t>
  </si>
  <si>
    <t>5400912390</t>
  </si>
  <si>
    <t>5401002572</t>
  </si>
  <si>
    <t>70</t>
  </si>
  <si>
    <t>5401093332</t>
  </si>
  <si>
    <t>50</t>
  </si>
  <si>
    <t>5401102234</t>
  </si>
  <si>
    <t>5401090239</t>
  </si>
  <si>
    <t>5401093321</t>
  </si>
  <si>
    <t>5401087958</t>
  </si>
  <si>
    <t>MP_0325-0326_SYMANTEC LICENSE_5401103113</t>
  </si>
  <si>
    <t>CY25_PIL_P6_5401010109</t>
  </si>
  <si>
    <t>CY25_PIL_P6_IT SECURITY</t>
  </si>
  <si>
    <t>5401045581</t>
  </si>
  <si>
    <t>5400853128</t>
  </si>
  <si>
    <t>5401023508</t>
  </si>
  <si>
    <t>230</t>
  </si>
  <si>
    <t>250</t>
  </si>
  <si>
    <t>5400836551</t>
  </si>
  <si>
    <t>5400980360</t>
  </si>
  <si>
    <t>5401046469</t>
  </si>
  <si>
    <t>5401088459</t>
  </si>
  <si>
    <t>40</t>
  </si>
  <si>
    <t>60</t>
  </si>
  <si>
    <t>90</t>
  </si>
  <si>
    <t>110</t>
  </si>
  <si>
    <t>120</t>
  </si>
  <si>
    <t>130</t>
  </si>
  <si>
    <t>150</t>
  </si>
  <si>
    <t>160</t>
  </si>
  <si>
    <t>170</t>
  </si>
  <si>
    <t>180</t>
  </si>
  <si>
    <t>190</t>
  </si>
  <si>
    <t>200</t>
  </si>
  <si>
    <t>210</t>
  </si>
  <si>
    <t>220</t>
  </si>
  <si>
    <t>260</t>
  </si>
  <si>
    <t>5401001779</t>
  </si>
  <si>
    <t>5401030676</t>
  </si>
  <si>
    <t>5401080603</t>
  </si>
  <si>
    <t>5401082177</t>
  </si>
  <si>
    <t>5400877269</t>
  </si>
  <si>
    <t>5401094857</t>
  </si>
  <si>
    <t>5401094867</t>
  </si>
  <si>
    <t>240</t>
  </si>
  <si>
    <t>270</t>
  </si>
  <si>
    <t>5401034404</t>
  </si>
  <si>
    <t>5401099794</t>
  </si>
  <si>
    <t>280</t>
  </si>
  <si>
    <t>5401102219</t>
  </si>
  <si>
    <t>5401100854</t>
  </si>
  <si>
    <t>5401103107</t>
  </si>
  <si>
    <t>300</t>
  </si>
  <si>
    <t>290</t>
  </si>
  <si>
    <t>48000056572026</t>
  </si>
  <si>
    <t>MP_0625_CCN3 TO SOW 211</t>
  </si>
  <si>
    <t>48000056702026</t>
  </si>
  <si>
    <t>MP_0625_SERVICENOW RUN</t>
  </si>
  <si>
    <t>PWO 29 TO SOW 191 AMS SAP RTR</t>
  </si>
  <si>
    <t>5401062201</t>
  </si>
  <si>
    <t>5401093290</t>
  </si>
  <si>
    <t>48000056882026</t>
  </si>
  <si>
    <t>MP_0625_STRIPPENKAART BAU</t>
  </si>
  <si>
    <t>48000056892026</t>
  </si>
  <si>
    <t>86000045172026</t>
  </si>
  <si>
    <t>5401023593</t>
  </si>
  <si>
    <t>5401087893</t>
  </si>
  <si>
    <t>5401081739</t>
  </si>
  <si>
    <t>5401023799</t>
  </si>
  <si>
    <t>5401046694</t>
  </si>
  <si>
    <t>5401070323</t>
  </si>
  <si>
    <t>5401024330</t>
  </si>
  <si>
    <t>5400963483</t>
  </si>
  <si>
    <t>5401032940</t>
  </si>
  <si>
    <t>5401112877</t>
  </si>
  <si>
    <t>5400948074</t>
  </si>
  <si>
    <t>5401087948</t>
  </si>
  <si>
    <t>5400904915</t>
  </si>
  <si>
    <t>5401065401</t>
  </si>
  <si>
    <t>5401023517</t>
  </si>
  <si>
    <t>5401087935</t>
  </si>
  <si>
    <t>5401107545</t>
  </si>
  <si>
    <t>5401091700</t>
  </si>
  <si>
    <t>5401035617</t>
  </si>
  <si>
    <t>5401046672</t>
  </si>
  <si>
    <t>5401058449</t>
  </si>
  <si>
    <t>5401105571</t>
  </si>
  <si>
    <t>5401076975</t>
  </si>
  <si>
    <t>5401084795</t>
  </si>
  <si>
    <t>5401105561</t>
  </si>
  <si>
    <t>48000056542026</t>
  </si>
  <si>
    <t>5401116335</t>
  </si>
  <si>
    <t>MP_0625_SNOW</t>
  </si>
  <si>
    <t>5401084790</t>
  </si>
  <si>
    <t>5401035816</t>
  </si>
  <si>
    <t>5401024377</t>
  </si>
  <si>
    <t>5401069879</t>
  </si>
  <si>
    <t>5401099954</t>
  </si>
  <si>
    <t>5401094853</t>
  </si>
  <si>
    <t>5401024578</t>
  </si>
  <si>
    <t>5401102205</t>
  </si>
  <si>
    <t>5401106540</t>
  </si>
  <si>
    <t>5401088267</t>
  </si>
  <si>
    <t>5401088277</t>
  </si>
  <si>
    <t>5401097345</t>
  </si>
  <si>
    <t>5401105569</t>
  </si>
  <si>
    <t>5401082136</t>
  </si>
  <si>
    <t>100</t>
  </si>
  <si>
    <t>140</t>
  </si>
  <si>
    <t>5401019012</t>
  </si>
  <si>
    <t>5401084786</t>
  </si>
  <si>
    <t>5401050766</t>
  </si>
  <si>
    <t>48000056992026</t>
  </si>
  <si>
    <t>SD_0525-0526_CLOUD PLATFORM ENTERPRISE</t>
  </si>
  <si>
    <t>5400904056</t>
  </si>
  <si>
    <t>5401087947</t>
  </si>
  <si>
    <t>5401096886</t>
  </si>
  <si>
    <t>5401096889</t>
  </si>
  <si>
    <t>5401096887</t>
  </si>
  <si>
    <t>5401096888</t>
  </si>
  <si>
    <t>5401096890</t>
  </si>
  <si>
    <t>5401024590</t>
  </si>
  <si>
    <t>5401014593</t>
  </si>
  <si>
    <t>5401069722</t>
  </si>
  <si>
    <t>5401084021</t>
  </si>
  <si>
    <t>5400983219</t>
  </si>
  <si>
    <t>5401094871</t>
  </si>
  <si>
    <t>5401081737</t>
  </si>
  <si>
    <t>5401087955</t>
  </si>
  <si>
    <t>5401106038</t>
  </si>
  <si>
    <t>5401106550</t>
  </si>
  <si>
    <t>5401085090</t>
  </si>
  <si>
    <t>5400963575</t>
  </si>
  <si>
    <t>5401084799</t>
  </si>
  <si>
    <t>5401103113</t>
  </si>
  <si>
    <t>5401091693</t>
  </si>
  <si>
    <t>5401066356</t>
  </si>
  <si>
    <t>5401084016</t>
  </si>
  <si>
    <t>5401091862</t>
  </si>
  <si>
    <t>5401100856</t>
  </si>
  <si>
    <t>5401103112</t>
  </si>
  <si>
    <t>5401102208</t>
  </si>
  <si>
    <t>5401084015</t>
  </si>
  <si>
    <t>5401076465</t>
  </si>
  <si>
    <t>5401097355</t>
  </si>
  <si>
    <t>5400970737</t>
  </si>
  <si>
    <t>5401049390</t>
  </si>
  <si>
    <t>5401110208</t>
  </si>
  <si>
    <t>5401081746</t>
  </si>
  <si>
    <t>5401102224</t>
  </si>
  <si>
    <t>5401060518</t>
  </si>
  <si>
    <t>5401087670</t>
  </si>
  <si>
    <t>5401090107</t>
  </si>
  <si>
    <t>5401088257</t>
  </si>
  <si>
    <t>5401041462</t>
  </si>
  <si>
    <t>5401102235</t>
  </si>
  <si>
    <t>5401085514</t>
  </si>
  <si>
    <t>5401084796</t>
  </si>
  <si>
    <t>5401091687</t>
  </si>
  <si>
    <t>5401084017</t>
  </si>
  <si>
    <t>5401056435</t>
  </si>
  <si>
    <t>5401084018</t>
  </si>
  <si>
    <t>5401103111</t>
  </si>
  <si>
    <t>5401018982</t>
  </si>
  <si>
    <t>5401050600</t>
  </si>
  <si>
    <t>5401094866</t>
  </si>
  <si>
    <t>5401043314</t>
  </si>
  <si>
    <t>5401103117</t>
  </si>
  <si>
    <t>5401084023</t>
  </si>
  <si>
    <t>5401023844</t>
  </si>
  <si>
    <t>5401082181</t>
  </si>
  <si>
    <t>5401070319</t>
  </si>
  <si>
    <t>5401006918</t>
  </si>
  <si>
    <t>5400976352</t>
  </si>
  <si>
    <t>5401037891</t>
  </si>
  <si>
    <t>5401053351</t>
  </si>
  <si>
    <t>5401075346</t>
  </si>
  <si>
    <t>5401106441</t>
  </si>
  <si>
    <t>203647</t>
  </si>
  <si>
    <t>48000056872026</t>
  </si>
  <si>
    <t>5400940618</t>
  </si>
  <si>
    <t>5401095527</t>
  </si>
  <si>
    <t>5401050627</t>
  </si>
  <si>
    <t>5401090208</t>
  </si>
  <si>
    <t>5401116132</t>
  </si>
  <si>
    <t>5401076464</t>
  </si>
  <si>
    <t>5401017905</t>
  </si>
  <si>
    <t>5401097362</t>
  </si>
  <si>
    <t>5400909342</t>
  </si>
  <si>
    <t>5401069521</t>
  </si>
  <si>
    <t>5400912153</t>
  </si>
  <si>
    <t>5400917805</t>
  </si>
  <si>
    <t>5400921393</t>
  </si>
  <si>
    <t>5400960770</t>
  </si>
  <si>
    <t>5400921437</t>
  </si>
  <si>
    <t>5401045611</t>
  </si>
  <si>
    <t>5401099785</t>
  </si>
  <si>
    <t>5401094872</t>
  </si>
  <si>
    <t>5401065459</t>
  </si>
  <si>
    <t>5400975278</t>
  </si>
  <si>
    <t>5400976828</t>
  </si>
  <si>
    <t>5401046459</t>
  </si>
  <si>
    <t>5401097354</t>
  </si>
  <si>
    <t>5401023562</t>
  </si>
  <si>
    <t>5401084798</t>
  </si>
  <si>
    <t>5401040892</t>
  </si>
  <si>
    <t>5401017889</t>
  </si>
  <si>
    <t>5401090202</t>
  </si>
  <si>
    <t>5401084226</t>
  </si>
  <si>
    <t>5401084013</t>
  </si>
  <si>
    <t>5401105315</t>
  </si>
  <si>
    <t>5401049687</t>
  </si>
  <si>
    <t>5401039684</t>
  </si>
  <si>
    <t>5401046457</t>
  </si>
  <si>
    <t>5401087725</t>
  </si>
  <si>
    <t>5401096885</t>
  </si>
  <si>
    <t>5401099792</t>
  </si>
  <si>
    <t>14000007802026</t>
  </si>
  <si>
    <t>MP_0225-0125_OF Q-06985040 ADD S&amp;S CLOUD</t>
  </si>
  <si>
    <t>MP_0225-0126_OF Q-06919325 SERVICE CLOUD</t>
  </si>
  <si>
    <t>MP_0225-0126_OF Q-06919325_5401095527</t>
  </si>
  <si>
    <t>MP_0225-0126_OF Q-08645739 SALES &amp; SERVI</t>
  </si>
  <si>
    <t>MP_0225-0126_OF Q-08645739_5401095527</t>
  </si>
  <si>
    <t>MP_0225-0126_Q-06847232 MKT CLOUD</t>
  </si>
  <si>
    <t>MP_0225-0126_Q-06847232 MKT CLOUD_5401095527</t>
  </si>
  <si>
    <t>6842-22-0066-</t>
  </si>
  <si>
    <t>EUC RECLASS</t>
  </si>
  <si>
    <t>HY 2025 - CREDIT- WRONG ACCOUNT</t>
  </si>
  <si>
    <t>CY25_PIL_P6_5400904915</t>
  </si>
  <si>
    <t>AOP 2026 Forecast</t>
  </si>
  <si>
    <t>0 (need to validate contract renewall)</t>
  </si>
  <si>
    <t>Awareness and Campaign</t>
  </si>
  <si>
    <t xml:space="preserve">adding 2000 inboxes </t>
  </si>
  <si>
    <t>AOP25 Reduced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</si>
</sst>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 #,##0.00_ ;_ * \-#,##0.00_ ;_ * &quot;-&quot;??_ ;_ @_ "/>
    <numFmt numFmtId="164" formatCode="_(* #,##0.00_);_(* \(#,##0.00\);_(* &quot;-&quot;??_);_(@_)"/>
    <numFmt numFmtId="165" formatCode="_(&quot;€&quot;* #,##0.00_);_(&quot;€&quot;* \(#,##0.00\);_(&quot;€&quot;* &quot;-&quot;??_);_(@_)"/>
    <numFmt numFmtId="166" formatCode="###,000"/>
    <numFmt numFmtId="167" formatCode="0.0%"/>
    <numFmt numFmtId="168" formatCode="_ * #,##0_ ;_ * \-#,##0_ ;_ * &quot;-&quot;??_ ;_ @_ "/>
    <numFmt numFmtId="169" formatCode="_(* #,##0_);_(* \(#,##0\);_(* &quot;-&quot;??_);_(@_)"/>
    <numFmt numFmtId="170" formatCode="_ [$€-413]\ * #,##0.00_ ;_ [$€-413]\ * \-#,##0.00_ ;_ [$€-413]\ * &quot;-&quot;??_ ;_ @_ "/>
  </numFmts>
  <fonts count="29" x14ac:knownFonts="1">
    <font>
      <sz val="11"/>
      <color theme="1"/>
      <name val="Calibri"/>
      <family val="2"/>
      <scheme val="minor"/>
    </font>
    <font>
      <sz val="11"/>
      <color theme="1"/>
      <name val="Calibri"/>
      <family val="2"/>
      <scheme val="minor"/>
    </font>
    <font>
      <b/>
      <sz val="11"/>
      <color theme="1"/>
      <name val="Calibri"/>
      <family val="2"/>
      <scheme val="minor"/>
    </font>
    <font>
      <sz val="11"/>
      <color rgb="FF006100"/>
      <name val="Calibri"/>
      <family val="2"/>
      <scheme val="minor"/>
    </font>
    <font>
      <sz val="11"/>
      <color rgb="FF9C5700"/>
      <name val="Calibri"/>
      <family val="2"/>
      <scheme val="minor"/>
    </font>
    <font>
      <sz val="11"/>
      <name val="Calibri"/>
      <family val="2"/>
      <scheme val="minor"/>
    </font>
    <font>
      <b/>
      <sz val="8"/>
      <color rgb="FF1F497D"/>
      <name val="Verdana"/>
      <family val="2"/>
    </font>
    <font>
      <sz val="8"/>
      <color rgb="FF1F497D"/>
      <name val="Verdana"/>
      <family val="2"/>
    </font>
    <font>
      <sz val="8"/>
      <color rgb="FF000000"/>
      <name val="Verdana"/>
      <family val="2"/>
    </font>
    <font>
      <b/>
      <sz val="8"/>
      <color rgb="FF00CC00"/>
      <name val="Verdana"/>
      <family val="2"/>
    </font>
    <font>
      <b/>
      <sz val="8"/>
      <color rgb="FF33CC33"/>
      <name val="Verdana"/>
      <family val="2"/>
    </font>
    <font>
      <b/>
      <sz val="8"/>
      <color rgb="FFFF9900"/>
      <name val="Verdana"/>
      <family val="2"/>
    </font>
    <font>
      <b/>
      <sz val="8"/>
      <color rgb="FFFF0000"/>
      <name val="Verdana"/>
      <family val="2"/>
    </font>
    <font>
      <sz val="8"/>
      <color rgb="FF000000"/>
      <name val="Arial"/>
      <family val="2"/>
    </font>
    <font>
      <i/>
      <sz val="8"/>
      <color rgb="FF000000"/>
      <name val="Verdana"/>
      <family val="2"/>
    </font>
    <font>
      <b/>
      <i/>
      <sz val="8"/>
      <color rgb="FF000000"/>
      <name val="Verdana"/>
      <family val="2"/>
    </font>
    <font>
      <b/>
      <i/>
      <sz val="8"/>
      <color rgb="FF1F497D"/>
      <name val="Verdana"/>
      <family val="2"/>
    </font>
    <font>
      <i/>
      <sz val="8"/>
      <color rgb="FF1F497D"/>
      <name val="Verdana"/>
      <family val="2"/>
    </font>
    <font>
      <sz val="11"/>
      <color theme="1"/>
      <name val="Calibri"/>
      <family val="2"/>
    </font>
    <font>
      <sz val="11"/>
      <color rgb="FF000000"/>
      <name val="Calibri"/>
      <family val="2"/>
      <scheme val="minor"/>
    </font>
    <font>
      <sz val="8"/>
      <color rgb="FFDBE5F1"/>
      <name val="Verdana"/>
      <family val="2"/>
    </font>
    <font>
      <sz val="11"/>
      <color theme="0"/>
      <name val="Calibri"/>
      <family val="2"/>
      <scheme val="minor"/>
    </font>
    <font>
      <sz val="11"/>
      <color rgb="FF000000"/>
      <name val="Calibri"/>
      <family val="2"/>
    </font>
    <font>
      <sz val="8"/>
      <name val="Calibri"/>
      <family val="2"/>
      <scheme val="minor"/>
    </font>
    <font>
      <sz val="11"/>
      <color rgb="FFFF0000"/>
      <name val="Calibri"/>
      <family val="2"/>
      <scheme val="minor"/>
    </font>
    <font>
      <sz val="11"/>
      <color indexed="8"/>
      <name val="Calibri"/>
      <family val="2"/>
      <scheme val="minor"/>
    </font>
    <font>
      <sz val="11"/>
      <color rgb="FFC00000"/>
      <name val="Calibri"/>
      <family val="2"/>
      <scheme val="minor"/>
    </font>
    <font>
      <sz val="11"/>
      <color rgb="FF000000"/>
      <name val="Aptos"/>
      <family val="2"/>
    </font>
    <font>
      <b/>
      <sz val="11"/>
      <color rgb="FF000000"/>
      <name val="Aptos"/>
      <family val="2"/>
    </font>
  </fonts>
  <fills count="39">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DBE5F1"/>
        <bgColor rgb="FF000000"/>
      </patternFill>
    </fill>
    <fill>
      <patternFill patternType="solid">
        <fgColor rgb="FFFFFFFF"/>
        <bgColor rgb="FF000000"/>
      </patternFill>
    </fill>
    <fill>
      <patternFill patternType="solid">
        <fgColor rgb="FFF1F5FB"/>
        <bgColor rgb="FF000000"/>
      </patternFill>
    </fill>
    <fill>
      <patternFill patternType="solid">
        <fgColor rgb="FFE9EFF7"/>
        <bgColor rgb="FF000000"/>
      </patternFill>
    </fill>
    <fill>
      <patternFill patternType="solid">
        <fgColor rgb="FFC6F9C1"/>
        <bgColor rgb="FF000000"/>
      </patternFill>
    </fill>
    <fill>
      <patternFill patternType="solid">
        <fgColor rgb="FFABEDA5"/>
        <bgColor rgb="FF000000"/>
      </patternFill>
    </fill>
    <fill>
      <patternFill patternType="solid">
        <fgColor rgb="FF94D88F"/>
        <bgColor rgb="FF000000"/>
      </patternFill>
    </fill>
    <fill>
      <patternFill patternType="solid">
        <fgColor rgb="FFFFFDBF"/>
        <bgColor rgb="FF000000"/>
      </patternFill>
    </fill>
    <fill>
      <patternFill patternType="solid">
        <fgColor rgb="FFFFFB8C"/>
        <bgColor rgb="FF000000"/>
      </patternFill>
    </fill>
    <fill>
      <patternFill patternType="solid">
        <fgColor rgb="FFFFF843"/>
        <bgColor rgb="FF000000"/>
      </patternFill>
    </fill>
    <fill>
      <patternFill patternType="solid">
        <fgColor rgb="FFFFC7CE"/>
        <bgColor rgb="FF000000"/>
      </patternFill>
    </fill>
    <fill>
      <patternFill patternType="solid">
        <fgColor rgb="FFFF988C"/>
        <bgColor rgb="FF000000"/>
      </patternFill>
    </fill>
    <fill>
      <patternFill patternType="solid">
        <fgColor rgb="FFFF6758"/>
        <bgColor rgb="FF000000"/>
      </patternFill>
    </fill>
    <fill>
      <patternFill patternType="solid">
        <fgColor rgb="FFDBE5F1"/>
        <bgColor rgb="FFFFFFFF"/>
      </patternFill>
    </fill>
    <fill>
      <patternFill patternType="solid">
        <fgColor rgb="FFB7CFE8"/>
        <bgColor rgb="FF000000"/>
      </patternFill>
    </fill>
    <fill>
      <patternFill patternType="solid">
        <fgColor rgb="FFC3D6EB"/>
        <bgColor rgb="FF000000"/>
      </patternFill>
    </fill>
    <fill>
      <patternFill patternType="solid">
        <fgColor rgb="FFDBE5F2"/>
        <bgColor rgb="FF000000"/>
      </patternFill>
    </fill>
    <fill>
      <patternFill patternType="solid">
        <fgColor theme="7"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theme="5"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7" tint="0.79998168889431442"/>
        <bgColor indexed="64"/>
      </patternFill>
    </fill>
    <fill>
      <patternFill patternType="solid">
        <fgColor theme="5"/>
        <bgColor indexed="64"/>
      </patternFill>
    </fill>
    <fill>
      <patternFill patternType="solid">
        <fgColor theme="8" tint="0.59999389629810485"/>
        <bgColor indexed="64"/>
      </patternFill>
    </fill>
    <fill>
      <patternFill patternType="solid">
        <fgColor theme="9"/>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auto="1"/>
      </left>
      <right style="thin">
        <color auto="1"/>
      </right>
      <top style="thin">
        <color theme="0"/>
      </top>
      <bottom style="thin">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style="thin">
        <color rgb="FF808080"/>
      </left>
      <right style="thin">
        <color rgb="FF808080"/>
      </right>
      <top style="thin">
        <color rgb="FF808080"/>
      </top>
      <bottom style="thin">
        <color rgb="FF808080"/>
      </bottom>
      <diagonal/>
    </border>
    <border>
      <left style="thin">
        <color rgb="FF000000"/>
      </left>
      <right style="thin">
        <color rgb="FF000000"/>
      </right>
      <top style="thin">
        <color rgb="FF000000"/>
      </top>
      <bottom style="thin">
        <color rgb="FF000000"/>
      </bottom>
      <diagonal/>
    </border>
    <border>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rgb="FFC0C0C0"/>
      </left>
      <right style="thin">
        <color rgb="FFC0C0C0"/>
      </right>
      <top style="thin">
        <color rgb="FF808080"/>
      </top>
      <bottom style="thin">
        <color rgb="FF808080"/>
      </bottom>
      <diagonal/>
    </border>
    <border>
      <left style="thin">
        <color rgb="FFFF0000"/>
      </left>
      <right style="thin">
        <color rgb="FFFF0000"/>
      </right>
      <top style="thin">
        <color rgb="FFFF0000"/>
      </top>
      <bottom style="thin">
        <color rgb="FFFF0000"/>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theme="0"/>
      </bottom>
      <diagonal/>
    </border>
    <border>
      <left/>
      <right/>
      <top style="thin">
        <color indexed="64"/>
      </top>
      <bottom style="thin">
        <color indexed="64"/>
      </bottom>
      <diagonal/>
    </border>
    <border>
      <left/>
      <right/>
      <top style="thin">
        <color indexed="64"/>
      </top>
      <bottom/>
      <diagonal/>
    </border>
    <border>
      <left style="thin">
        <color indexed="64"/>
      </left>
      <right/>
      <top/>
      <bottom/>
      <diagonal/>
    </border>
    <border>
      <left/>
      <right style="thin">
        <color indexed="64"/>
      </right>
      <top/>
      <bottom style="thin">
        <color indexed="64"/>
      </bottom>
      <diagonal/>
    </border>
    <border>
      <left style="thin">
        <color rgb="FF808080"/>
      </left>
      <right style="thin">
        <color rgb="FF808080"/>
      </right>
      <top style="thin">
        <color theme="3" tint="-0.24994659260841701"/>
      </top>
      <bottom style="thin">
        <color rgb="FF808080"/>
      </bottom>
      <diagonal/>
    </border>
    <border>
      <left style="thin">
        <color rgb="FF808080"/>
      </left>
      <right style="thin">
        <color rgb="FF808080"/>
      </right>
      <top style="thin">
        <color rgb="FF808080"/>
      </top>
      <bottom style="thin">
        <color theme="3" tint="-0.24994659260841701"/>
      </bottom>
      <diagonal/>
    </border>
    <border>
      <left style="thin">
        <color theme="3" tint="0.59996337778862885"/>
      </left>
      <right style="thin">
        <color theme="3" tint="0.59996337778862885"/>
      </right>
      <top style="thin">
        <color theme="3" tint="0.59996337778862885"/>
      </top>
      <bottom style="thin">
        <color theme="3" tint="-0.24994659260841701"/>
      </bottom>
      <diagonal/>
    </border>
    <border>
      <left style="thin">
        <color rgb="FF808080"/>
      </left>
      <right style="thin">
        <color theme="3" tint="-0.24994659260841701"/>
      </right>
      <top style="thin">
        <color rgb="FF808080"/>
      </top>
      <bottom style="thin">
        <color rgb="FF808080"/>
      </bottom>
      <diagonal/>
    </border>
    <border>
      <left style="thin">
        <color theme="3" tint="0.59996337778862885"/>
      </left>
      <right style="thin">
        <color theme="3" tint="-0.24994659260841701"/>
      </right>
      <top style="thin">
        <color theme="3" tint="0.59996337778862885"/>
      </top>
      <bottom style="thin">
        <color theme="3" tint="0.59996337778862885"/>
      </bottom>
      <diagonal/>
    </border>
    <border>
      <left style="thin">
        <color theme="3" tint="0.59996337778862885"/>
      </left>
      <right style="thin">
        <color theme="3" tint="-0.24994659260841701"/>
      </right>
      <top style="thin">
        <color theme="3" tint="0.59996337778862885"/>
      </top>
      <bottom style="thin">
        <color theme="3" tint="-0.24994659260841701"/>
      </bottom>
      <diagonal/>
    </border>
    <border>
      <left style="thin">
        <color theme="3" tint="-0.24994659260841701"/>
      </left>
      <right style="thin">
        <color rgb="FF808080"/>
      </right>
      <top style="thin">
        <color rgb="FF808080"/>
      </top>
      <bottom style="thin">
        <color rgb="FF808080"/>
      </bottom>
      <diagonal/>
    </border>
  </borders>
  <cellStyleXfs count="47">
    <xf numFmtId="0" fontId="0" fillId="0" borderId="0"/>
    <xf numFmtId="9" fontId="1" fillId="0" borderId="0" applyFont="0" applyFill="0" applyBorder="0" applyAlignment="0" applyProtection="0"/>
    <xf numFmtId="0" fontId="3" fillId="6" borderId="0" applyNumberFormat="0" applyBorder="0" applyAlignment="0" applyProtection="0"/>
    <xf numFmtId="0" fontId="4" fillId="7" borderId="0" applyNumberFormat="0" applyBorder="0" applyAlignment="0" applyProtection="0"/>
    <xf numFmtId="0" fontId="6" fillId="8" borderId="17" applyNumberFormat="0" applyAlignment="0" applyProtection="0">
      <alignment horizontal="left" vertical="center" indent="1"/>
    </xf>
    <xf numFmtId="166" fontId="7" fillId="0" borderId="18" applyNumberFormat="0" applyProtection="0">
      <alignment horizontal="right" vertical="center"/>
    </xf>
    <xf numFmtId="166" fontId="6" fillId="0" borderId="19" applyNumberFormat="0" applyProtection="0">
      <alignment horizontal="right" vertical="center"/>
    </xf>
    <xf numFmtId="0" fontId="8" fillId="9" borderId="19" applyNumberFormat="0" applyAlignment="0">
      <alignment horizontal="left" vertical="center" indent="1"/>
      <protection locked="0"/>
    </xf>
    <xf numFmtId="0" fontId="8" fillId="10" borderId="19" applyNumberFormat="0" applyAlignment="0" applyProtection="0">
      <alignment horizontal="left" vertical="center" indent="1"/>
    </xf>
    <xf numFmtId="166" fontId="7" fillId="11" borderId="18" applyNumberFormat="0" applyBorder="0">
      <alignment horizontal="right" vertical="center"/>
      <protection locked="0"/>
    </xf>
    <xf numFmtId="0" fontId="8" fillId="9" borderId="19" applyNumberFormat="0" applyAlignment="0">
      <alignment horizontal="left" vertical="center" indent="1"/>
      <protection locked="0"/>
    </xf>
    <xf numFmtId="166" fontId="6" fillId="10" borderId="19" applyNumberFormat="0" applyProtection="0">
      <alignment horizontal="right" vertical="center"/>
    </xf>
    <xf numFmtId="166" fontId="6" fillId="11" borderId="19" applyNumberFormat="0" applyBorder="0">
      <alignment horizontal="right" vertical="center"/>
      <protection locked="0"/>
    </xf>
    <xf numFmtId="166" fontId="9" fillId="12" borderId="34" applyNumberFormat="0" applyBorder="0" applyAlignment="0" applyProtection="0">
      <alignment horizontal="right" vertical="center" indent="1"/>
    </xf>
    <xf numFmtId="166" fontId="10" fillId="13" borderId="34" applyNumberFormat="0" applyBorder="0" applyAlignment="0" applyProtection="0">
      <alignment horizontal="right" vertical="center" indent="1"/>
    </xf>
    <xf numFmtId="166" fontId="10" fillId="14" borderId="34" applyNumberFormat="0" applyBorder="0" applyAlignment="0" applyProtection="0">
      <alignment horizontal="right" vertical="center" indent="1"/>
    </xf>
    <xf numFmtId="166" fontId="11" fillId="15" borderId="34" applyNumberFormat="0" applyBorder="0" applyAlignment="0" applyProtection="0">
      <alignment horizontal="right" vertical="center" indent="1"/>
    </xf>
    <xf numFmtId="166" fontId="11" fillId="16" borderId="34" applyNumberFormat="0" applyBorder="0" applyAlignment="0" applyProtection="0">
      <alignment horizontal="right" vertical="center" indent="1"/>
    </xf>
    <xf numFmtId="166" fontId="11" fillId="17" borderId="34" applyNumberFormat="0" applyBorder="0" applyAlignment="0" applyProtection="0">
      <alignment horizontal="right" vertical="center" indent="1"/>
    </xf>
    <xf numFmtId="166" fontId="12" fillId="18" borderId="34" applyNumberFormat="0" applyBorder="0" applyAlignment="0" applyProtection="0">
      <alignment horizontal="right" vertical="center" indent="1"/>
    </xf>
    <xf numFmtId="166" fontId="12" fillId="19" borderId="34" applyNumberFormat="0" applyBorder="0" applyAlignment="0" applyProtection="0">
      <alignment horizontal="right" vertical="center" indent="1"/>
    </xf>
    <xf numFmtId="166" fontId="12" fillId="20" borderId="34" applyNumberFormat="0" applyBorder="0" applyAlignment="0" applyProtection="0">
      <alignment horizontal="right" vertical="center" indent="1"/>
    </xf>
    <xf numFmtId="0" fontId="13" fillId="0" borderId="17" applyNumberFormat="0" applyFont="0" applyFill="0" applyAlignment="0" applyProtection="0"/>
    <xf numFmtId="166" fontId="7" fillId="21" borderId="17" applyNumberFormat="0" applyAlignment="0" applyProtection="0">
      <alignment horizontal="left" vertical="center" indent="1"/>
    </xf>
    <xf numFmtId="0" fontId="6" fillId="8" borderId="19" applyNumberFormat="0" applyAlignment="0" applyProtection="0">
      <alignment horizontal="left" vertical="center" indent="1"/>
    </xf>
    <xf numFmtId="0" fontId="8" fillId="22" borderId="17" applyNumberFormat="0" applyAlignment="0" applyProtection="0">
      <alignment horizontal="left" vertical="center" indent="1"/>
    </xf>
    <xf numFmtId="0" fontId="8" fillId="23" borderId="17" applyNumberFormat="0" applyAlignment="0" applyProtection="0">
      <alignment horizontal="left" vertical="center" indent="1"/>
    </xf>
    <xf numFmtId="0" fontId="8" fillId="24" borderId="17" applyNumberFormat="0" applyAlignment="0" applyProtection="0">
      <alignment horizontal="left" vertical="center" indent="1"/>
    </xf>
    <xf numFmtId="0" fontId="8" fillId="11" borderId="17" applyNumberFormat="0" applyAlignment="0" applyProtection="0">
      <alignment horizontal="left" vertical="center" indent="1"/>
    </xf>
    <xf numFmtId="0" fontId="8" fillId="10" borderId="19" applyNumberFormat="0" applyAlignment="0" applyProtection="0">
      <alignment horizontal="left" vertical="center" indent="1"/>
    </xf>
    <xf numFmtId="0" fontId="14" fillId="0" borderId="20" applyNumberFormat="0" applyFill="0" applyBorder="0" applyAlignment="0" applyProtection="0"/>
    <xf numFmtId="0" fontId="15" fillId="0" borderId="20" applyNumberFormat="0" applyBorder="0" applyAlignment="0" applyProtection="0"/>
    <xf numFmtId="0" fontId="14" fillId="9" borderId="19" applyNumberFormat="0" applyAlignment="0">
      <alignment horizontal="left" vertical="center" indent="1"/>
      <protection locked="0"/>
    </xf>
    <xf numFmtId="0" fontId="14" fillId="9" borderId="19" applyNumberFormat="0" applyAlignment="0">
      <alignment horizontal="left" vertical="center" indent="1"/>
      <protection locked="0"/>
    </xf>
    <xf numFmtId="0" fontId="14" fillId="10" borderId="19" applyNumberFormat="0" applyAlignment="0" applyProtection="0">
      <alignment horizontal="left" vertical="center" indent="1"/>
    </xf>
    <xf numFmtId="166" fontId="16" fillId="10" borderId="19" applyNumberFormat="0" applyProtection="0">
      <alignment horizontal="right" vertical="center"/>
    </xf>
    <xf numFmtId="166" fontId="17" fillId="11" borderId="18" applyNumberFormat="0" applyBorder="0">
      <alignment horizontal="right" vertical="center"/>
      <protection locked="0"/>
    </xf>
    <xf numFmtId="166" fontId="16" fillId="11" borderId="19" applyNumberFormat="0" applyBorder="0">
      <alignment horizontal="right" vertical="center"/>
      <protection locked="0"/>
    </xf>
    <xf numFmtId="166" fontId="7" fillId="0" borderId="18" applyNumberFormat="0" applyFill="0" applyBorder="0" applyAlignment="0" applyProtection="0">
      <alignment horizontal="right" vertical="center"/>
    </xf>
    <xf numFmtId="166" fontId="7" fillId="0" borderId="18" applyNumberFormat="0" applyFill="0" applyBorder="0" applyAlignment="0" applyProtection="0">
      <alignment horizontal="right" vertical="center"/>
    </xf>
    <xf numFmtId="0" fontId="13" fillId="0" borderId="35" applyNumberFormat="0" applyFont="0" applyFill="0" applyAlignment="0" applyProtection="0"/>
    <xf numFmtId="164" fontId="1" fillId="0" borderId="0" applyFont="0" applyFill="0" applyBorder="0" applyAlignment="0" applyProtection="0"/>
    <xf numFmtId="165" fontId="1" fillId="0" borderId="0" applyFont="0" applyFill="0" applyBorder="0" applyAlignment="0" applyProtection="0"/>
    <xf numFmtId="166" fontId="7" fillId="21" borderId="17" applyNumberFormat="0" applyAlignment="0" applyProtection="0">
      <alignment horizontal="left" vertical="center" indent="1"/>
    </xf>
    <xf numFmtId="166" fontId="20" fillId="21" borderId="0" applyNumberFormat="0" applyAlignment="0" applyProtection="0">
      <alignment horizontal="left" vertical="center" indent="1"/>
    </xf>
    <xf numFmtId="0" fontId="25" fillId="0" borderId="0"/>
    <xf numFmtId="43" fontId="25" fillId="0" borderId="0" applyFont="0" applyFill="0" applyBorder="0" applyAlignment="0" applyProtection="0"/>
  </cellStyleXfs>
  <cellXfs count="333">
    <xf numFmtId="0" fontId="0" fillId="0" borderId="0" xfId="0"/>
    <xf numFmtId="3" fontId="0" fillId="0" borderId="0" xfId="0" applyNumberFormat="1"/>
    <xf numFmtId="0" fontId="2" fillId="2" borderId="1" xfId="0" applyFont="1" applyFill="1" applyBorder="1"/>
    <xf numFmtId="3" fontId="2" fillId="2" borderId="1" xfId="0" applyNumberFormat="1" applyFont="1" applyFill="1" applyBorder="1"/>
    <xf numFmtId="3" fontId="2" fillId="2" borderId="2" xfId="0" applyNumberFormat="1" applyFont="1" applyFill="1" applyBorder="1"/>
    <xf numFmtId="9" fontId="0" fillId="0" borderId="0" xfId="1" applyFont="1"/>
    <xf numFmtId="0" fontId="0" fillId="3" borderId="3" xfId="0" applyFill="1" applyBorder="1"/>
    <xf numFmtId="3" fontId="0" fillId="4" borderId="3" xfId="0" applyNumberFormat="1" applyFill="1" applyBorder="1"/>
    <xf numFmtId="0" fontId="2" fillId="0" borderId="0" xfId="0" applyFont="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2" fillId="0" borderId="14" xfId="0" applyFont="1" applyBorder="1" applyAlignment="1">
      <alignment vertical="distributed"/>
    </xf>
    <xf numFmtId="0" fontId="2" fillId="0" borderId="15" xfId="0" applyFont="1" applyBorder="1" applyAlignment="1">
      <alignment vertical="distributed"/>
    </xf>
    <xf numFmtId="0" fontId="2" fillId="0" borderId="16" xfId="0" applyFont="1" applyBorder="1" applyAlignment="1">
      <alignment vertical="distributed"/>
    </xf>
    <xf numFmtId="0" fontId="0" fillId="0" borderId="0" xfId="0" applyAlignment="1">
      <alignment horizontal="right"/>
    </xf>
    <xf numFmtId="0" fontId="0" fillId="0" borderId="2" xfId="0" applyBorder="1"/>
    <xf numFmtId="0" fontId="5" fillId="0" borderId="0" xfId="3" applyFont="1" applyFill="1" applyBorder="1"/>
    <xf numFmtId="0" fontId="5" fillId="0" borderId="0" xfId="0" applyFont="1"/>
    <xf numFmtId="0" fontId="5" fillId="0" borderId="0" xfId="3" applyFont="1" applyFill="1" applyBorder="1" applyAlignment="1">
      <alignment horizontal="right"/>
    </xf>
    <xf numFmtId="0" fontId="0" fillId="0" borderId="0" xfId="0" applyAlignment="1">
      <alignment vertical="top"/>
    </xf>
    <xf numFmtId="0" fontId="2" fillId="2" borderId="2" xfId="0" applyFont="1" applyFill="1" applyBorder="1"/>
    <xf numFmtId="0" fontId="0" fillId="3" borderId="0" xfId="0" applyFill="1"/>
    <xf numFmtId="0" fontId="5" fillId="3" borderId="3" xfId="3" applyFont="1" applyFill="1" applyBorder="1"/>
    <xf numFmtId="4" fontId="0" fillId="26" borderId="0" xfId="0" applyNumberFormat="1" applyFill="1"/>
    <xf numFmtId="167" fontId="0" fillId="25" borderId="0" xfId="0" applyNumberFormat="1" applyFill="1"/>
    <xf numFmtId="0" fontId="2" fillId="2" borderId="0" xfId="0" applyFont="1" applyFill="1"/>
    <xf numFmtId="0" fontId="5" fillId="0" borderId="0" xfId="2" applyNumberFormat="1" applyFont="1" applyFill="1" applyBorder="1" applyAlignment="1">
      <alignment horizontal="right"/>
    </xf>
    <xf numFmtId="0" fontId="0" fillId="5" borderId="0" xfId="0" applyFill="1"/>
    <xf numFmtId="0" fontId="2" fillId="0" borderId="0" xfId="0" applyFont="1" applyAlignment="1">
      <alignment vertical="distributed"/>
    </xf>
    <xf numFmtId="0" fontId="0" fillId="3" borderId="2" xfId="0" applyFill="1" applyBorder="1"/>
    <xf numFmtId="4" fontId="0" fillId="0" borderId="0" xfId="0" applyNumberFormat="1"/>
    <xf numFmtId="14" fontId="0" fillId="0" borderId="0" xfId="0" applyNumberFormat="1"/>
    <xf numFmtId="0" fontId="2" fillId="0" borderId="14" xfId="0" applyFont="1" applyBorder="1" applyAlignment="1">
      <alignment horizontal="centerContinuous"/>
    </xf>
    <xf numFmtId="0" fontId="2" fillId="0" borderId="15" xfId="0" applyFont="1" applyBorder="1" applyAlignment="1">
      <alignment horizontal="centerContinuous"/>
    </xf>
    <xf numFmtId="0" fontId="2" fillId="0" borderId="16" xfId="0" applyFont="1" applyBorder="1" applyAlignment="1">
      <alignment horizontal="centerContinuous"/>
    </xf>
    <xf numFmtId="0" fontId="2" fillId="0" borderId="6" xfId="0" applyFont="1" applyBorder="1"/>
    <xf numFmtId="0" fontId="2" fillId="0" borderId="7" xfId="0" applyFont="1" applyBorder="1"/>
    <xf numFmtId="0" fontId="2" fillId="0" borderId="7" xfId="0" applyFont="1" applyBorder="1" applyAlignment="1">
      <alignment horizontal="center"/>
    </xf>
    <xf numFmtId="0" fontId="2" fillId="0" borderId="8" xfId="0" applyFont="1" applyBorder="1" applyAlignment="1">
      <alignment horizontal="center"/>
    </xf>
    <xf numFmtId="0" fontId="2" fillId="0" borderId="11" xfId="0" applyFont="1" applyBorder="1"/>
    <xf numFmtId="0" fontId="2" fillId="0" borderId="12" xfId="0" applyFont="1" applyBorder="1"/>
    <xf numFmtId="0" fontId="2" fillId="0" borderId="12" xfId="0" applyFont="1" applyBorder="1" applyAlignment="1">
      <alignment horizontal="center"/>
    </xf>
    <xf numFmtId="0" fontId="2" fillId="0" borderId="13" xfId="0" applyFont="1" applyBorder="1" applyAlignment="1">
      <alignment horizontal="center"/>
    </xf>
    <xf numFmtId="0" fontId="0" fillId="0" borderId="24" xfId="0" applyBorder="1"/>
    <xf numFmtId="0" fontId="2" fillId="0" borderId="14" xfId="0" applyFont="1" applyBorder="1"/>
    <xf numFmtId="0" fontId="2" fillId="0" borderId="15" xfId="0" applyFont="1" applyBorder="1"/>
    <xf numFmtId="168" fontId="2" fillId="0" borderId="15" xfId="41" applyNumberFormat="1" applyFont="1" applyBorder="1"/>
    <xf numFmtId="168" fontId="2" fillId="0" borderId="16" xfId="0" applyNumberFormat="1" applyFont="1" applyBorder="1"/>
    <xf numFmtId="0" fontId="2" fillId="0" borderId="8" xfId="0" applyFont="1" applyBorder="1"/>
    <xf numFmtId="0" fontId="0" fillId="3" borderId="9" xfId="0" quotePrefix="1" applyFill="1" applyBorder="1"/>
    <xf numFmtId="168" fontId="0" fillId="0" borderId="0" xfId="41" quotePrefix="1" applyNumberFormat="1" applyFont="1" applyBorder="1"/>
    <xf numFmtId="168" fontId="1" fillId="0" borderId="0" xfId="41" applyNumberFormat="1" applyFont="1" applyBorder="1"/>
    <xf numFmtId="168" fontId="0" fillId="0" borderId="10" xfId="0" applyNumberFormat="1" applyBorder="1"/>
    <xf numFmtId="0" fontId="0" fillId="0" borderId="23" xfId="0" applyBorder="1"/>
    <xf numFmtId="0" fontId="0" fillId="0" borderId="25" xfId="0" applyBorder="1"/>
    <xf numFmtId="0" fontId="0" fillId="0" borderId="9" xfId="0" quotePrefix="1" applyBorder="1"/>
    <xf numFmtId="0" fontId="5" fillId="3" borderId="9" xfId="2" quotePrefix="1" applyFont="1" applyFill="1" applyBorder="1"/>
    <xf numFmtId="0" fontId="5" fillId="3" borderId="9" xfId="3" quotePrefix="1" applyFont="1" applyFill="1" applyBorder="1"/>
    <xf numFmtId="0" fontId="0" fillId="0" borderId="11" xfId="0" quotePrefix="1" applyBorder="1"/>
    <xf numFmtId="168" fontId="0" fillId="0" borderId="12" xfId="41" quotePrefix="1" applyNumberFormat="1" applyFont="1" applyBorder="1"/>
    <xf numFmtId="168" fontId="1" fillId="0" borderId="12" xfId="41" applyNumberFormat="1" applyFont="1" applyBorder="1"/>
    <xf numFmtId="168" fontId="0" fillId="0" borderId="13" xfId="0" applyNumberFormat="1" applyBorder="1"/>
    <xf numFmtId="0" fontId="2" fillId="0" borderId="26" xfId="0" applyFont="1" applyBorder="1"/>
    <xf numFmtId="0" fontId="2" fillId="0" borderId="27" xfId="0" applyFont="1" applyBorder="1"/>
    <xf numFmtId="0" fontId="2" fillId="0" borderId="28" xfId="0" applyFont="1" applyBorder="1"/>
    <xf numFmtId="14" fontId="0" fillId="0" borderId="29" xfId="0" applyNumberFormat="1" applyBorder="1" applyAlignment="1">
      <alignment wrapText="1"/>
    </xf>
    <xf numFmtId="0" fontId="0" fillId="0" borderId="22" xfId="0" applyBorder="1" applyAlignment="1">
      <alignment wrapText="1"/>
    </xf>
    <xf numFmtId="0" fontId="0" fillId="0" borderId="30" xfId="0" applyBorder="1" applyAlignment="1">
      <alignment wrapText="1"/>
    </xf>
    <xf numFmtId="14" fontId="0" fillId="0" borderId="31" xfId="0" applyNumberFormat="1" applyBorder="1"/>
    <xf numFmtId="0" fontId="0" fillId="0" borderId="1" xfId="0" applyBorder="1"/>
    <xf numFmtId="0" fontId="0" fillId="0" borderId="32" xfId="0" applyBorder="1"/>
    <xf numFmtId="14" fontId="0" fillId="0" borderId="33" xfId="0" applyNumberFormat="1" applyBorder="1"/>
    <xf numFmtId="14" fontId="0" fillId="0" borderId="1" xfId="0" applyNumberFormat="1" applyBorder="1"/>
    <xf numFmtId="14" fontId="0" fillId="27" borderId="1" xfId="0" applyNumberFormat="1" applyFill="1" applyBorder="1"/>
    <xf numFmtId="0" fontId="0" fillId="27" borderId="1" xfId="0" applyFill="1" applyBorder="1"/>
    <xf numFmtId="0" fontId="0" fillId="28" borderId="0" xfId="0" applyFill="1"/>
    <xf numFmtId="0" fontId="2" fillId="28" borderId="0" xfId="0" applyFont="1" applyFill="1"/>
    <xf numFmtId="0" fontId="0" fillId="28" borderId="0" xfId="0" applyFill="1" applyAlignment="1">
      <alignment wrapText="1"/>
    </xf>
    <xf numFmtId="0" fontId="2" fillId="2" borderId="23" xfId="0" applyFont="1" applyFill="1" applyBorder="1"/>
    <xf numFmtId="14" fontId="0" fillId="0" borderId="5" xfId="0" applyNumberFormat="1" applyBorder="1"/>
    <xf numFmtId="0" fontId="0" fillId="0" borderId="4" xfId="0" applyBorder="1"/>
    <xf numFmtId="0" fontId="18" fillId="0" borderId="1" xfId="0" applyFont="1" applyBorder="1"/>
    <xf numFmtId="0" fontId="0" fillId="3" borderId="1" xfId="0" applyFill="1" applyBorder="1"/>
    <xf numFmtId="169" fontId="0" fillId="0" borderId="1" xfId="41" applyNumberFormat="1" applyFont="1" applyFill="1" applyBorder="1"/>
    <xf numFmtId="0" fontId="2" fillId="2" borderId="36" xfId="0" applyFont="1" applyFill="1" applyBorder="1"/>
    <xf numFmtId="0" fontId="0" fillId="0" borderId="0" xfId="0" quotePrefix="1"/>
    <xf numFmtId="0" fontId="5" fillId="0" borderId="0" xfId="2" applyFont="1" applyFill="1" applyBorder="1"/>
    <xf numFmtId="0" fontId="5" fillId="0" borderId="0" xfId="2" applyFont="1" applyFill="1" applyBorder="1" applyAlignment="1">
      <alignment horizontal="right"/>
    </xf>
    <xf numFmtId="49" fontId="5" fillId="0" borderId="0" xfId="2" applyNumberFormat="1" applyFont="1" applyFill="1" applyBorder="1" applyAlignment="1">
      <alignment horizontal="right"/>
    </xf>
    <xf numFmtId="0" fontId="0" fillId="2" borderId="36" xfId="0" applyFill="1" applyBorder="1"/>
    <xf numFmtId="0" fontId="5" fillId="0" borderId="0" xfId="2" quotePrefix="1" applyFont="1" applyFill="1" applyBorder="1"/>
    <xf numFmtId="0" fontId="5" fillId="0" borderId="0" xfId="3" quotePrefix="1" applyFont="1" applyFill="1" applyBorder="1"/>
    <xf numFmtId="0" fontId="2" fillId="0" borderId="16" xfId="0" applyFont="1" applyBorder="1"/>
    <xf numFmtId="169" fontId="0" fillId="0" borderId="7" xfId="41" applyNumberFormat="1" applyFont="1" applyBorder="1"/>
    <xf numFmtId="169" fontId="0" fillId="0" borderId="8" xfId="0" applyNumberFormat="1" applyBorder="1"/>
    <xf numFmtId="169" fontId="0" fillId="0" borderId="0" xfId="41" applyNumberFormat="1" applyFont="1" applyBorder="1"/>
    <xf numFmtId="169" fontId="0" fillId="0" borderId="10" xfId="0" applyNumberFormat="1" applyBorder="1"/>
    <xf numFmtId="169" fontId="0" fillId="0" borderId="12" xfId="41" applyNumberFormat="1" applyFont="1" applyBorder="1"/>
    <xf numFmtId="169" fontId="0" fillId="0" borderId="13" xfId="0" applyNumberFormat="1" applyBorder="1"/>
    <xf numFmtId="0" fontId="2" fillId="0" borderId="37" xfId="0" applyFont="1" applyBorder="1"/>
    <xf numFmtId="169" fontId="0" fillId="0" borderId="6" xfId="41" applyNumberFormat="1" applyFont="1" applyBorder="1"/>
    <xf numFmtId="169" fontId="0" fillId="0" borderId="9" xfId="41" applyNumberFormat="1" applyFont="1" applyBorder="1"/>
    <xf numFmtId="169" fontId="0" fillId="0" borderId="11" xfId="41" applyNumberFormat="1" applyFont="1" applyBorder="1"/>
    <xf numFmtId="0" fontId="0" fillId="0" borderId="37" xfId="0" applyBorder="1"/>
    <xf numFmtId="169" fontId="0" fillId="0" borderId="14" xfId="0" applyNumberFormat="1" applyBorder="1"/>
    <xf numFmtId="169" fontId="0" fillId="0" borderId="15" xfId="0" applyNumberFormat="1" applyBorder="1"/>
    <xf numFmtId="169" fontId="0" fillId="0" borderId="16" xfId="0" applyNumberFormat="1" applyBorder="1"/>
    <xf numFmtId="14" fontId="2" fillId="0" borderId="0" xfId="0" applyNumberFormat="1" applyFont="1"/>
    <xf numFmtId="169" fontId="0" fillId="0" borderId="22" xfId="41" applyNumberFormat="1" applyFont="1" applyFill="1" applyBorder="1" applyAlignment="1">
      <alignment wrapText="1"/>
    </xf>
    <xf numFmtId="169" fontId="0" fillId="27" borderId="1" xfId="41" applyNumberFormat="1" applyFont="1" applyFill="1" applyBorder="1"/>
    <xf numFmtId="0" fontId="5" fillId="0" borderId="1" xfId="3" applyFont="1" applyFill="1" applyBorder="1"/>
    <xf numFmtId="0" fontId="0" fillId="0" borderId="3" xfId="0" applyBorder="1"/>
    <xf numFmtId="169" fontId="0" fillId="0" borderId="0" xfId="41" applyNumberFormat="1" applyFont="1"/>
    <xf numFmtId="165" fontId="0" fillId="0" borderId="0" xfId="42" applyFont="1"/>
    <xf numFmtId="165" fontId="0" fillId="0" borderId="0" xfId="42" applyFont="1" applyBorder="1"/>
    <xf numFmtId="0" fontId="0" fillId="0" borderId="14" xfId="0" applyBorder="1"/>
    <xf numFmtId="0" fontId="0" fillId="0" borderId="15" xfId="0" applyBorder="1"/>
    <xf numFmtId="0" fontId="0" fillId="0" borderId="16" xfId="0" applyBorder="1"/>
    <xf numFmtId="169" fontId="0" fillId="0" borderId="0" xfId="0" applyNumberFormat="1"/>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2" fillId="0" borderId="16" xfId="0" applyFont="1" applyBorder="1" applyAlignment="1">
      <alignment horizontal="center" vertical="center"/>
    </xf>
    <xf numFmtId="0" fontId="2" fillId="0" borderId="37" xfId="0" applyFont="1" applyBorder="1" applyAlignment="1">
      <alignment horizontal="center" vertical="center"/>
    </xf>
    <xf numFmtId="9" fontId="0" fillId="0" borderId="9" xfId="1" applyFont="1" applyBorder="1"/>
    <xf numFmtId="9" fontId="0" fillId="0" borderId="10" xfId="1" applyFont="1" applyBorder="1"/>
    <xf numFmtId="14" fontId="0" fillId="0" borderId="4" xfId="0" applyNumberFormat="1" applyBorder="1"/>
    <xf numFmtId="0" fontId="0" fillId="0" borderId="5" xfId="0" applyBorder="1"/>
    <xf numFmtId="0" fontId="0" fillId="0" borderId="36" xfId="0" applyBorder="1"/>
    <xf numFmtId="169" fontId="0" fillId="0" borderId="36" xfId="41" applyNumberFormat="1" applyFont="1" applyFill="1" applyBorder="1"/>
    <xf numFmtId="0" fontId="0" fillId="0" borderId="21" xfId="0" applyBorder="1"/>
    <xf numFmtId="169" fontId="0" fillId="0" borderId="1" xfId="0" applyNumberFormat="1" applyBorder="1"/>
    <xf numFmtId="14" fontId="0" fillId="27" borderId="0" xfId="0" applyNumberFormat="1" applyFill="1"/>
    <xf numFmtId="0" fontId="2" fillId="0" borderId="13" xfId="0" applyFont="1" applyBorder="1"/>
    <xf numFmtId="169" fontId="2" fillId="0" borderId="14" xfId="41" applyNumberFormat="1" applyFont="1" applyBorder="1"/>
    <xf numFmtId="169" fontId="2" fillId="0" borderId="15" xfId="41" applyNumberFormat="1" applyFont="1" applyBorder="1"/>
    <xf numFmtId="169" fontId="2" fillId="0" borderId="16" xfId="41" applyNumberFormat="1" applyFont="1" applyBorder="1"/>
    <xf numFmtId="169" fontId="0" fillId="0" borderId="10" xfId="41" applyNumberFormat="1" applyFont="1" applyBorder="1"/>
    <xf numFmtId="169" fontId="0" fillId="0" borderId="13" xfId="41" applyNumberFormat="1" applyFont="1" applyBorder="1"/>
    <xf numFmtId="0" fontId="5" fillId="0" borderId="1" xfId="2" applyFont="1" applyFill="1" applyBorder="1"/>
    <xf numFmtId="0" fontId="5" fillId="0" borderId="0" xfId="3" applyNumberFormat="1" applyFont="1" applyFill="1" applyBorder="1"/>
    <xf numFmtId="0" fontId="19" fillId="0" borderId="0" xfId="0" applyFont="1"/>
    <xf numFmtId="0" fontId="5" fillId="0" borderId="0" xfId="2" applyNumberFormat="1" applyFont="1" applyFill="1" applyBorder="1"/>
    <xf numFmtId="0" fontId="0" fillId="0" borderId="22" xfId="0" applyBorder="1"/>
    <xf numFmtId="0" fontId="0" fillId="3" borderId="38" xfId="0" applyFill="1" applyBorder="1"/>
    <xf numFmtId="0" fontId="0" fillId="0" borderId="15" xfId="0" applyBorder="1" applyAlignment="1">
      <alignment horizontal="centerContinuous"/>
    </xf>
    <xf numFmtId="0" fontId="0" fillId="0" borderId="16" xfId="0" applyBorder="1" applyAlignment="1">
      <alignment horizontal="centerContinuous"/>
    </xf>
    <xf numFmtId="169" fontId="0" fillId="0" borderId="6" xfId="0" applyNumberFormat="1" applyBorder="1"/>
    <xf numFmtId="169" fontId="0" fillId="0" borderId="7" xfId="0" applyNumberFormat="1" applyBorder="1"/>
    <xf numFmtId="169" fontId="0" fillId="0" borderId="9" xfId="0" applyNumberFormat="1" applyBorder="1"/>
    <xf numFmtId="169" fontId="0" fillId="0" borderId="11" xfId="0" applyNumberFormat="1" applyBorder="1"/>
    <xf numFmtId="169" fontId="0" fillId="0" borderId="12" xfId="0" applyNumberFormat="1" applyBorder="1"/>
    <xf numFmtId="0" fontId="21" fillId="0" borderId="0" xfId="0" applyFont="1"/>
    <xf numFmtId="39" fontId="0" fillId="0" borderId="0" xfId="0" applyNumberFormat="1"/>
    <xf numFmtId="0" fontId="2" fillId="0" borderId="0" xfId="0" applyFont="1" applyAlignment="1">
      <alignment horizontal="centerContinuous"/>
    </xf>
    <xf numFmtId="0" fontId="2" fillId="0" borderId="0" xfId="0" applyFont="1" applyAlignment="1">
      <alignment horizontal="center"/>
    </xf>
    <xf numFmtId="0" fontId="0" fillId="27" borderId="0" xfId="0" applyFill="1"/>
    <xf numFmtId="169" fontId="0" fillId="0" borderId="9" xfId="41" quotePrefix="1" applyNumberFormat="1" applyFont="1" applyBorder="1"/>
    <xf numFmtId="169" fontId="0" fillId="0" borderId="0" xfId="41" quotePrefix="1" applyNumberFormat="1" applyFont="1" applyBorder="1"/>
    <xf numFmtId="168" fontId="2" fillId="0" borderId="8" xfId="41" applyNumberFormat="1" applyFont="1" applyBorder="1"/>
    <xf numFmtId="0" fontId="0" fillId="0" borderId="1" xfId="0" applyBorder="1" applyAlignment="1">
      <alignment wrapText="1"/>
    </xf>
    <xf numFmtId="3" fontId="0" fillId="0" borderId="1" xfId="0" applyNumberFormat="1" applyBorder="1"/>
    <xf numFmtId="169" fontId="0" fillId="0" borderId="1" xfId="41" applyNumberFormat="1" applyFont="1" applyFill="1" applyBorder="1" applyAlignment="1">
      <alignment horizontal="right"/>
    </xf>
    <xf numFmtId="14" fontId="0" fillId="0" borderId="36" xfId="0" applyNumberFormat="1" applyBorder="1"/>
    <xf numFmtId="169" fontId="0" fillId="0" borderId="36" xfId="41" applyNumberFormat="1" applyFont="1" applyFill="1" applyBorder="1" applyAlignment="1">
      <alignment horizontal="right"/>
    </xf>
    <xf numFmtId="0" fontId="5" fillId="0" borderId="0" xfId="2" applyFont="1" applyFill="1"/>
    <xf numFmtId="0" fontId="2" fillId="28" borderId="0" xfId="0" applyFont="1" applyFill="1" applyAlignment="1">
      <alignment horizontal="center" vertical="center"/>
    </xf>
    <xf numFmtId="168" fontId="1" fillId="0" borderId="0" xfId="41" applyNumberFormat="1" applyFont="1"/>
    <xf numFmtId="0" fontId="22" fillId="0" borderId="1" xfId="0" applyFont="1" applyBorder="1" applyAlignment="1">
      <alignment vertical="center"/>
    </xf>
    <xf numFmtId="0" fontId="19" fillId="0" borderId="1" xfId="0" applyFont="1" applyBorder="1"/>
    <xf numFmtId="3" fontId="0" fillId="27" borderId="1" xfId="0" applyNumberFormat="1" applyFill="1" applyBorder="1"/>
    <xf numFmtId="169" fontId="2" fillId="0" borderId="16" xfId="0" applyNumberFormat="1" applyFont="1" applyBorder="1"/>
    <xf numFmtId="9" fontId="0" fillId="0" borderId="6" xfId="1" applyFont="1" applyBorder="1"/>
    <xf numFmtId="9" fontId="0" fillId="0" borderId="8" xfId="1" applyFont="1" applyBorder="1"/>
    <xf numFmtId="9" fontId="0" fillId="0" borderId="11" xfId="1" applyFont="1" applyBorder="1"/>
    <xf numFmtId="9" fontId="0" fillId="0" borderId="13" xfId="1" applyFont="1" applyBorder="1"/>
    <xf numFmtId="0" fontId="2" fillId="0" borderId="0" xfId="0" applyFont="1" applyAlignment="1">
      <alignment horizontal="center" vertical="center"/>
    </xf>
    <xf numFmtId="1" fontId="0" fillId="0" borderId="10" xfId="0" applyNumberFormat="1" applyBorder="1"/>
    <xf numFmtId="0" fontId="0" fillId="29" borderId="0" xfId="0" applyFill="1"/>
    <xf numFmtId="168" fontId="0" fillId="30" borderId="10" xfId="0" applyNumberFormat="1" applyFill="1" applyBorder="1"/>
    <xf numFmtId="168" fontId="0" fillId="29" borderId="13" xfId="0" applyNumberFormat="1" applyFill="1" applyBorder="1"/>
    <xf numFmtId="9" fontId="0" fillId="0" borderId="25" xfId="1" applyFont="1" applyBorder="1"/>
    <xf numFmtId="168" fontId="0" fillId="31" borderId="10" xfId="0" applyNumberFormat="1" applyFill="1" applyBorder="1"/>
    <xf numFmtId="0" fontId="1" fillId="0" borderId="0" xfId="2" applyFont="1" applyFill="1" applyBorder="1"/>
    <xf numFmtId="9" fontId="0" fillId="0" borderId="24" xfId="1" applyFont="1" applyBorder="1"/>
    <xf numFmtId="168" fontId="0" fillId="0" borderId="0" xfId="41" applyNumberFormat="1" applyFont="1"/>
    <xf numFmtId="168" fontId="0" fillId="29" borderId="0" xfId="0" applyNumberFormat="1" applyFill="1"/>
    <xf numFmtId="168" fontId="2" fillId="0" borderId="0" xfId="0" applyNumberFormat="1" applyFont="1"/>
    <xf numFmtId="0" fontId="2" fillId="0" borderId="4" xfId="0" applyFont="1" applyBorder="1"/>
    <xf numFmtId="0" fontId="2" fillId="0" borderId="39" xfId="0" applyFont="1" applyBorder="1"/>
    <xf numFmtId="0" fontId="2" fillId="0" borderId="5" xfId="0" applyFont="1" applyBorder="1"/>
    <xf numFmtId="0" fontId="2" fillId="0" borderId="40" xfId="0" applyFont="1" applyBorder="1"/>
    <xf numFmtId="0" fontId="0" fillId="0" borderId="41" xfId="0" applyBorder="1"/>
    <xf numFmtId="168" fontId="0" fillId="0" borderId="0" xfId="41" applyNumberFormat="1" applyFont="1" applyBorder="1"/>
    <xf numFmtId="169" fontId="0" fillId="0" borderId="8" xfId="41" applyNumberFormat="1" applyFont="1" applyBorder="1"/>
    <xf numFmtId="170" fontId="0" fillId="0" borderId="0" xfId="0" applyNumberFormat="1"/>
    <xf numFmtId="0" fontId="0" fillId="31" borderId="0" xfId="0" applyFill="1"/>
    <xf numFmtId="1" fontId="0" fillId="0" borderId="13" xfId="0" applyNumberFormat="1" applyBorder="1"/>
    <xf numFmtId="0" fontId="0" fillId="0" borderId="0" xfId="0" quotePrefix="1" applyAlignment="1">
      <alignment horizontal="right"/>
    </xf>
    <xf numFmtId="0" fontId="0" fillId="0" borderId="0" xfId="0" applyAlignment="1">
      <alignment horizontal="right" vertical="top"/>
    </xf>
    <xf numFmtId="0" fontId="5" fillId="0" borderId="0" xfId="0" applyFont="1" applyAlignment="1">
      <alignment horizontal="right"/>
    </xf>
    <xf numFmtId="0" fontId="0" fillId="0" borderId="0" xfId="0" applyAlignment="1">
      <alignment horizontal="left"/>
    </xf>
    <xf numFmtId="170" fontId="0" fillId="0" borderId="2" xfId="0" applyNumberFormat="1" applyBorder="1"/>
    <xf numFmtId="0" fontId="0" fillId="32" borderId="0" xfId="0" applyFill="1"/>
    <xf numFmtId="0" fontId="0" fillId="0" borderId="0" xfId="0" applyAlignment="1">
      <alignment horizontal="left" wrapText="1"/>
    </xf>
    <xf numFmtId="0" fontId="0" fillId="0" borderId="0" xfId="0" applyAlignment="1">
      <alignment wrapText="1"/>
    </xf>
    <xf numFmtId="0" fontId="0" fillId="27" borderId="41" xfId="0" applyFill="1" applyBorder="1"/>
    <xf numFmtId="168" fontId="0" fillId="27" borderId="0" xfId="41" applyNumberFormat="1" applyFont="1" applyFill="1" applyBorder="1"/>
    <xf numFmtId="0" fontId="0" fillId="27" borderId="21" xfId="0" applyFill="1" applyBorder="1"/>
    <xf numFmtId="0" fontId="0" fillId="33" borderId="0" xfId="0" applyFill="1"/>
    <xf numFmtId="0" fontId="5" fillId="0" borderId="1" xfId="0" applyFont="1" applyBorder="1"/>
    <xf numFmtId="3" fontId="0" fillId="0" borderId="2" xfId="0" applyNumberFormat="1" applyBorder="1"/>
    <xf numFmtId="3" fontId="2" fillId="4" borderId="3" xfId="0" applyNumberFormat="1" applyFont="1" applyFill="1" applyBorder="1"/>
    <xf numFmtId="0" fontId="5" fillId="31" borderId="0" xfId="3" applyFont="1" applyFill="1" applyBorder="1"/>
    <xf numFmtId="0" fontId="5" fillId="0" borderId="0" xfId="3" applyFont="1" applyFill="1"/>
    <xf numFmtId="169" fontId="0" fillId="27" borderId="0" xfId="41" applyNumberFormat="1" applyFont="1" applyFill="1" applyBorder="1"/>
    <xf numFmtId="0" fontId="24" fillId="3" borderId="3" xfId="0" applyFont="1" applyFill="1" applyBorder="1"/>
    <xf numFmtId="3" fontId="0" fillId="0" borderId="3" xfId="0" applyNumberFormat="1" applyBorder="1"/>
    <xf numFmtId="168" fontId="0" fillId="27" borderId="0" xfId="41" applyNumberFormat="1" applyFont="1" applyFill="1"/>
    <xf numFmtId="169" fontId="0" fillId="0" borderId="1" xfId="41" applyNumberFormat="1" applyFont="1" applyBorder="1"/>
    <xf numFmtId="169" fontId="0" fillId="0" borderId="36" xfId="41" applyNumberFormat="1" applyFont="1" applyBorder="1"/>
    <xf numFmtId="164" fontId="0" fillId="0" borderId="0" xfId="41" applyFont="1"/>
    <xf numFmtId="164" fontId="0" fillId="0" borderId="1" xfId="41" applyFont="1" applyBorder="1"/>
    <xf numFmtId="0" fontId="0" fillId="0" borderId="0" xfId="0" applyAlignment="1">
      <alignment vertical="top" wrapText="1"/>
    </xf>
    <xf numFmtId="0" fontId="0" fillId="0" borderId="0" xfId="0" applyAlignment="1">
      <alignment vertical="center"/>
    </xf>
    <xf numFmtId="0" fontId="5" fillId="0" borderId="0" xfId="3" applyFont="1" applyFill="1" applyBorder="1" applyAlignment="1">
      <alignment wrapText="1"/>
    </xf>
    <xf numFmtId="14" fontId="0" fillId="0" borderId="22" xfId="0" applyNumberFormat="1" applyBorder="1"/>
    <xf numFmtId="169" fontId="0" fillId="0" borderId="22" xfId="41" applyNumberFormat="1" applyFont="1" applyBorder="1"/>
    <xf numFmtId="164" fontId="0" fillId="0" borderId="22" xfId="41" applyFont="1" applyBorder="1"/>
    <xf numFmtId="169" fontId="0" fillId="0" borderId="37" xfId="0" applyNumberFormat="1" applyBorder="1"/>
    <xf numFmtId="3" fontId="0" fillId="4" borderId="1" xfId="0" applyNumberFormat="1" applyFill="1" applyBorder="1"/>
    <xf numFmtId="9" fontId="0" fillId="0" borderId="4" xfId="1" applyFont="1" applyBorder="1"/>
    <xf numFmtId="4" fontId="0" fillId="26" borderId="1" xfId="0" applyNumberFormat="1" applyFill="1" applyBorder="1"/>
    <xf numFmtId="164" fontId="0" fillId="27" borderId="0" xfId="41" applyFont="1" applyFill="1"/>
    <xf numFmtId="164" fontId="0" fillId="0" borderId="0" xfId="41" applyFont="1" applyBorder="1"/>
    <xf numFmtId="0" fontId="0" fillId="26" borderId="0" xfId="0" applyFill="1"/>
    <xf numFmtId="168" fontId="2" fillId="0" borderId="7" xfId="41" applyNumberFormat="1" applyFont="1" applyBorder="1"/>
    <xf numFmtId="168" fontId="2" fillId="0" borderId="8" xfId="0" applyNumberFormat="1" applyFont="1" applyBorder="1"/>
    <xf numFmtId="0" fontId="25" fillId="0" borderId="0" xfId="45"/>
    <xf numFmtId="0" fontId="25" fillId="0" borderId="0" xfId="45" quotePrefix="1"/>
    <xf numFmtId="0" fontId="1" fillId="0" borderId="0" xfId="45" applyFont="1"/>
    <xf numFmtId="0" fontId="25" fillId="0" borderId="0" xfId="45" applyAlignment="1">
      <alignment horizontal="right"/>
    </xf>
    <xf numFmtId="3" fontId="25" fillId="4" borderId="3" xfId="45" applyNumberFormat="1" applyFill="1" applyBorder="1"/>
    <xf numFmtId="3" fontId="0" fillId="0" borderId="0" xfId="46" applyNumberFormat="1" applyFont="1"/>
    <xf numFmtId="0" fontId="25" fillId="0" borderId="0" xfId="45" quotePrefix="1" applyAlignment="1">
      <alignment horizontal="right"/>
    </xf>
    <xf numFmtId="3" fontId="0" fillId="31" borderId="0" xfId="46" applyNumberFormat="1" applyFont="1" applyFill="1"/>
    <xf numFmtId="0" fontId="26" fillId="0" borderId="0" xfId="45" applyFont="1"/>
    <xf numFmtId="0" fontId="25" fillId="0" borderId="0" xfId="45" applyAlignment="1">
      <alignment vertical="top" wrapText="1"/>
    </xf>
    <xf numFmtId="0" fontId="25" fillId="31" borderId="0" xfId="45" applyFill="1"/>
    <xf numFmtId="0" fontId="25" fillId="27" borderId="0" xfId="45" applyFill="1"/>
    <xf numFmtId="0" fontId="25" fillId="0" borderId="0" xfId="45" applyAlignment="1">
      <alignment vertical="center"/>
    </xf>
    <xf numFmtId="0" fontId="25" fillId="0" borderId="0" xfId="45" quotePrefix="1" applyAlignment="1">
      <alignment vertical="top"/>
    </xf>
    <xf numFmtId="3" fontId="0" fillId="27" borderId="0" xfId="46" applyNumberFormat="1" applyFont="1" applyFill="1"/>
    <xf numFmtId="0" fontId="1" fillId="27" borderId="0" xfId="45" applyFont="1" applyFill="1"/>
    <xf numFmtId="0" fontId="5" fillId="0" borderId="0" xfId="45" applyFont="1" applyAlignment="1">
      <alignment horizontal="right"/>
    </xf>
    <xf numFmtId="0" fontId="1" fillId="0" borderId="0" xfId="3" applyFont="1" applyFill="1" applyBorder="1"/>
    <xf numFmtId="0" fontId="5" fillId="0" borderId="0" xfId="45" applyFont="1"/>
    <xf numFmtId="0" fontId="25" fillId="0" borderId="0" xfId="45" applyAlignment="1">
      <alignment horizontal="right" vertical="top"/>
    </xf>
    <xf numFmtId="0" fontId="22" fillId="0" borderId="0" xfId="45" applyFont="1"/>
    <xf numFmtId="0" fontId="25" fillId="0" borderId="0" xfId="45" applyAlignment="1">
      <alignment vertical="top"/>
    </xf>
    <xf numFmtId="0" fontId="5" fillId="27" borderId="0" xfId="2" applyFont="1" applyFill="1" applyBorder="1"/>
    <xf numFmtId="0" fontId="1" fillId="0" borderId="0" xfId="0" applyFont="1"/>
    <xf numFmtId="0" fontId="5" fillId="29" borderId="0" xfId="2" applyFont="1" applyFill="1" applyBorder="1"/>
    <xf numFmtId="0" fontId="5" fillId="34" borderId="0" xfId="2" applyFont="1" applyFill="1" applyBorder="1"/>
    <xf numFmtId="3" fontId="0" fillId="4" borderId="0" xfId="0" applyNumberFormat="1" applyFill="1"/>
    <xf numFmtId="43" fontId="0" fillId="0" borderId="0" xfId="46" applyFont="1"/>
    <xf numFmtId="3" fontId="25" fillId="0" borderId="0" xfId="45" applyNumberFormat="1"/>
    <xf numFmtId="0" fontId="6" fillId="8" borderId="19" xfId="24" applyNumberFormat="1" applyAlignment="1"/>
    <xf numFmtId="0" fontId="6" fillId="8" borderId="17" xfId="4" quotePrefix="1" applyNumberFormat="1" applyAlignment="1"/>
    <xf numFmtId="0" fontId="7" fillId="21" borderId="17" xfId="23" quotePrefix="1" applyNumberFormat="1" applyAlignment="1"/>
    <xf numFmtId="168" fontId="0" fillId="31" borderId="24" xfId="0" applyNumberFormat="1" applyFill="1" applyBorder="1"/>
    <xf numFmtId="0" fontId="0" fillId="0" borderId="0" xfId="0" applyAlignment="1">
      <alignment horizontal="right" wrapText="1"/>
    </xf>
    <xf numFmtId="0" fontId="0" fillId="0" borderId="0" xfId="0" quotePrefix="1" applyAlignment="1">
      <alignment horizontal="right" wrapText="1"/>
    </xf>
    <xf numFmtId="0" fontId="0" fillId="0" borderId="0" xfId="0" quotePrefix="1" applyAlignment="1">
      <alignment vertical="top"/>
    </xf>
    <xf numFmtId="0" fontId="6" fillId="8" borderId="19" xfId="24" quotePrefix="1" applyNumberFormat="1" applyAlignment="1"/>
    <xf numFmtId="39" fontId="7" fillId="0" borderId="18" xfId="5" applyNumberFormat="1">
      <alignment horizontal="right" vertical="center"/>
    </xf>
    <xf numFmtId="39" fontId="6" fillId="0" borderId="19" xfId="6" applyNumberFormat="1">
      <alignment horizontal="right" vertical="center"/>
    </xf>
    <xf numFmtId="0" fontId="27" fillId="0" borderId="0" xfId="0" applyFont="1" applyAlignment="1">
      <alignment vertical="center"/>
    </xf>
    <xf numFmtId="0" fontId="0" fillId="27" borderId="0" xfId="0" quotePrefix="1" applyFill="1"/>
    <xf numFmtId="9" fontId="0" fillId="0" borderId="37" xfId="1" applyFont="1" applyBorder="1"/>
    <xf numFmtId="0" fontId="28" fillId="0" borderId="0" xfId="0" applyFont="1"/>
    <xf numFmtId="168" fontId="0" fillId="0" borderId="0" xfId="0" applyNumberFormat="1"/>
    <xf numFmtId="0" fontId="24" fillId="3" borderId="2" xfId="0" applyFont="1" applyFill="1" applyBorder="1"/>
    <xf numFmtId="170" fontId="0" fillId="0" borderId="3" xfId="0" applyNumberFormat="1" applyBorder="1"/>
    <xf numFmtId="0" fontId="0" fillId="27" borderId="10" xfId="0" applyFill="1" applyBorder="1" applyAlignment="1">
      <alignment horizontal="center"/>
    </xf>
    <xf numFmtId="0" fontId="0" fillId="0" borderId="42" xfId="0" applyBorder="1"/>
    <xf numFmtId="0" fontId="22" fillId="0" borderId="0" xfId="0" applyFont="1"/>
    <xf numFmtId="0" fontId="22" fillId="0" borderId="0" xfId="0" applyFont="1" applyAlignment="1">
      <alignment wrapText="1"/>
    </xf>
    <xf numFmtId="0" fontId="6" fillId="8" borderId="17" xfId="4" applyNumberFormat="1" applyAlignment="1"/>
    <xf numFmtId="39" fontId="6" fillId="0" borderId="44" xfId="6" applyNumberFormat="1" applyBorder="1">
      <alignment horizontal="right" vertical="center"/>
    </xf>
    <xf numFmtId="39" fontId="7" fillId="0" borderId="45" xfId="5" applyNumberFormat="1" applyBorder="1">
      <alignment horizontal="right" vertical="center"/>
    </xf>
    <xf numFmtId="39" fontId="6" fillId="0" borderId="46" xfId="6" applyNumberFormat="1" applyBorder="1">
      <alignment horizontal="right" vertical="center"/>
    </xf>
    <xf numFmtId="39" fontId="7" fillId="0" borderId="47" xfId="5" applyNumberFormat="1" applyBorder="1">
      <alignment horizontal="right" vertical="center"/>
    </xf>
    <xf numFmtId="39" fontId="7" fillId="0" borderId="48" xfId="5" applyNumberFormat="1" applyBorder="1">
      <alignment horizontal="right" vertical="center"/>
    </xf>
    <xf numFmtId="0" fontId="6" fillId="8" borderId="46" xfId="24" applyNumberFormat="1" applyBorder="1" applyAlignment="1"/>
    <xf numFmtId="0" fontId="6" fillId="8" borderId="43" xfId="24" quotePrefix="1" applyNumberFormat="1" applyBorder="1" applyAlignment="1"/>
    <xf numFmtId="0" fontId="6" fillId="8" borderId="44" xfId="24" quotePrefix="1" applyNumberFormat="1" applyBorder="1" applyAlignment="1">
      <alignment horizontal="right"/>
    </xf>
    <xf numFmtId="0" fontId="7" fillId="21" borderId="17" xfId="23" quotePrefix="1" applyNumberFormat="1" applyAlignment="1">
      <alignment horizontal="right"/>
    </xf>
    <xf numFmtId="0" fontId="6" fillId="8" borderId="49" xfId="24" quotePrefix="1" applyNumberFormat="1" applyBorder="1" applyAlignment="1"/>
    <xf numFmtId="3" fontId="0" fillId="35" borderId="3" xfId="0" applyNumberFormat="1" applyFill="1" applyBorder="1"/>
    <xf numFmtId="3" fontId="0" fillId="36" borderId="3" xfId="0" applyNumberFormat="1" applyFill="1" applyBorder="1"/>
    <xf numFmtId="0" fontId="5" fillId="25" borderId="0" xfId="3" applyFont="1" applyFill="1" applyBorder="1"/>
    <xf numFmtId="3" fontId="0" fillId="37" borderId="3" xfId="0" applyNumberFormat="1" applyFill="1" applyBorder="1"/>
    <xf numFmtId="3" fontId="0" fillId="38" borderId="3" xfId="0" applyNumberFormat="1" applyFill="1" applyBorder="1"/>
    <xf numFmtId="0" fontId="0" fillId="25" borderId="0" xfId="0" applyFill="1"/>
    <xf numFmtId="3" fontId="0" fillId="26" borderId="3" xfId="0" applyNumberFormat="1" applyFill="1" applyBorder="1"/>
    <xf numFmtId="0" fontId="25" fillId="0" borderId="36" xfId="45" applyBorder="1"/>
    <xf numFmtId="0" fontId="2" fillId="2" borderId="0" xfId="45" applyFont="1" applyFill="1"/>
    <xf numFmtId="0" fontId="25" fillId="0" borderId="2" xfId="45" applyBorder="1"/>
    <xf numFmtId="3" fontId="2" fillId="2" borderId="0" xfId="45" applyNumberFormat="1" applyFont="1" applyFill="1"/>
    <xf numFmtId="0" fontId="25" fillId="0" borderId="36" xfId="45" quotePrefix="1" applyBorder="1"/>
    <xf numFmtId="0" fontId="5" fillId="0" borderId="36" xfId="2" applyFont="1" applyFill="1" applyBorder="1"/>
    <xf numFmtId="0" fontId="1" fillId="0" borderId="36" xfId="45" applyFont="1" applyBorder="1"/>
    <xf numFmtId="0" fontId="5" fillId="0" borderId="36" xfId="2" applyFont="1" applyFill="1" applyBorder="1" applyAlignment="1">
      <alignment horizontal="right"/>
    </xf>
    <xf numFmtId="0" fontId="5" fillId="0" borderId="36" xfId="3" applyFont="1" applyFill="1" applyBorder="1"/>
    <xf numFmtId="0" fontId="25" fillId="2" borderId="0" xfId="45" applyFill="1"/>
    <xf numFmtId="3" fontId="25" fillId="4" borderId="1" xfId="45" applyNumberFormat="1" applyFill="1" applyBorder="1"/>
    <xf numFmtId="3" fontId="2" fillId="2" borderId="3" xfId="45" applyNumberFormat="1" applyFont="1" applyFill="1" applyBorder="1"/>
    <xf numFmtId="3" fontId="0" fillId="0" borderId="1" xfId="46" applyNumberFormat="1" applyFont="1" applyBorder="1"/>
    <xf numFmtId="0" fontId="19" fillId="0" borderId="6"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xf>
    <xf numFmtId="0" fontId="19" fillId="0" borderId="0" xfId="0" applyFont="1" applyAlignment="1">
      <alignment horizontal="left" vertical="center"/>
    </xf>
    <xf numFmtId="0" fontId="19" fillId="0" borderId="10" xfId="0" applyFont="1" applyBorder="1" applyAlignment="1">
      <alignment horizontal="left" vertical="center"/>
    </xf>
    <xf numFmtId="0" fontId="19" fillId="0" borderId="9" xfId="0" applyFont="1" applyBorder="1" applyAlignment="1">
      <alignment horizontal="left" vertical="center" wrapText="1"/>
    </xf>
    <xf numFmtId="0" fontId="19" fillId="0" borderId="0" xfId="0" applyFont="1" applyAlignment="1">
      <alignment horizontal="left" vertical="center" wrapText="1"/>
    </xf>
    <xf numFmtId="0" fontId="19" fillId="0" borderId="10" xfId="0" applyFont="1" applyBorder="1" applyAlignment="1">
      <alignment horizontal="left" vertical="center" wrapText="1"/>
    </xf>
  </cellXfs>
  <cellStyles count="47">
    <cellStyle name="Comma" xfId="41" builtinId="3"/>
    <cellStyle name="Comma 3" xfId="46" xr:uid="{CAD40F19-26AD-4707-AF0A-E523486C524A}"/>
    <cellStyle name="Currency" xfId="42" builtinId="4"/>
    <cellStyle name="Good" xfId="2" builtinId="26"/>
    <cellStyle name="Neutral" xfId="3" builtinId="28"/>
    <cellStyle name="Normal" xfId="0" builtinId="0"/>
    <cellStyle name="Normal 5" xfId="45" xr:uid="{EAF1D094-DE4C-4132-8177-794A8A73E725}"/>
    <cellStyle name="Percent" xfId="1" builtinId="5"/>
    <cellStyle name="SAPBorder" xfId="22" xr:uid="{00000000-0005-0000-0000-000006000000}"/>
    <cellStyle name="SAPDataCell" xfId="5" xr:uid="{00000000-0005-0000-0000-000007000000}"/>
    <cellStyle name="SAPDataRemoved" xfId="44" xr:uid="{E5AD5B14-CA45-4179-8D48-BA36DA800640}"/>
    <cellStyle name="SAPDataTotalCell" xfId="6" xr:uid="{00000000-0005-0000-0000-000008000000}"/>
    <cellStyle name="SAPDimensionCell" xfId="4" xr:uid="{00000000-0005-0000-0000-000009000000}"/>
    <cellStyle name="SAPEditableDataCell" xfId="7" xr:uid="{00000000-0005-0000-0000-00000A000000}"/>
    <cellStyle name="SAPEditableDataTotalCell" xfId="10" xr:uid="{00000000-0005-0000-0000-00000B000000}"/>
    <cellStyle name="SAPEmphasized" xfId="30" xr:uid="{00000000-0005-0000-0000-00000C000000}"/>
    <cellStyle name="SAPEmphasizedEditableDataCell" xfId="32" xr:uid="{00000000-0005-0000-0000-00000D000000}"/>
    <cellStyle name="SAPEmphasizedEditableDataTotalCell" xfId="33" xr:uid="{00000000-0005-0000-0000-00000E000000}"/>
    <cellStyle name="SAPEmphasizedLockedDataCell" xfId="36" xr:uid="{00000000-0005-0000-0000-00000F000000}"/>
    <cellStyle name="SAPEmphasizedLockedDataTotalCell" xfId="37" xr:uid="{00000000-0005-0000-0000-000010000000}"/>
    <cellStyle name="SAPEmphasizedReadonlyDataCell" xfId="34" xr:uid="{00000000-0005-0000-0000-000011000000}"/>
    <cellStyle name="SAPEmphasizedReadonlyDataTotalCell" xfId="35" xr:uid="{00000000-0005-0000-0000-000012000000}"/>
    <cellStyle name="SAPEmphasizedTotal" xfId="31" xr:uid="{00000000-0005-0000-0000-000013000000}"/>
    <cellStyle name="SAPError" xfId="40" xr:uid="{00000000-0005-0000-0000-000014000000}"/>
    <cellStyle name="SAPExceptionLevel1" xfId="13" xr:uid="{00000000-0005-0000-0000-000015000000}"/>
    <cellStyle name="SAPExceptionLevel2" xfId="14" xr:uid="{00000000-0005-0000-0000-000016000000}"/>
    <cellStyle name="SAPExceptionLevel3" xfId="15" xr:uid="{00000000-0005-0000-0000-000017000000}"/>
    <cellStyle name="SAPExceptionLevel4" xfId="16" xr:uid="{00000000-0005-0000-0000-000018000000}"/>
    <cellStyle name="SAPExceptionLevel5" xfId="17" xr:uid="{00000000-0005-0000-0000-000019000000}"/>
    <cellStyle name="SAPExceptionLevel6" xfId="18" xr:uid="{00000000-0005-0000-0000-00001A000000}"/>
    <cellStyle name="SAPExceptionLevel7" xfId="19" xr:uid="{00000000-0005-0000-0000-00001B000000}"/>
    <cellStyle name="SAPExceptionLevel8" xfId="20" xr:uid="{00000000-0005-0000-0000-00001C000000}"/>
    <cellStyle name="SAPExceptionLevel9" xfId="21" xr:uid="{00000000-0005-0000-0000-00001D000000}"/>
    <cellStyle name="SAPFormula" xfId="39" xr:uid="{00000000-0005-0000-0000-00001E000000}"/>
    <cellStyle name="SAPGroupingFillCell" xfId="43" xr:uid="{6B51DC53-8934-48E5-966E-05C25797862E}"/>
    <cellStyle name="SAPHierarchyCell0" xfId="25" xr:uid="{00000000-0005-0000-0000-00001F000000}"/>
    <cellStyle name="SAPHierarchyCell1" xfId="26" xr:uid="{00000000-0005-0000-0000-000020000000}"/>
    <cellStyle name="SAPHierarchyCell2" xfId="27" xr:uid="{00000000-0005-0000-0000-000021000000}"/>
    <cellStyle name="SAPHierarchyCell3" xfId="28" xr:uid="{00000000-0005-0000-0000-000022000000}"/>
    <cellStyle name="SAPHierarchyCell4" xfId="29" xr:uid="{00000000-0005-0000-0000-000023000000}"/>
    <cellStyle name="SAPLockedDataCell" xfId="9" xr:uid="{00000000-0005-0000-0000-000024000000}"/>
    <cellStyle name="SAPLockedDataTotalCell" xfId="12" xr:uid="{00000000-0005-0000-0000-000025000000}"/>
    <cellStyle name="SAPMemberCell" xfId="23" xr:uid="{00000000-0005-0000-0000-000026000000}"/>
    <cellStyle name="SAPMemberTotalCell" xfId="24" xr:uid="{00000000-0005-0000-0000-000027000000}"/>
    <cellStyle name="SAPMessageText" xfId="38" xr:uid="{00000000-0005-0000-0000-000028000000}"/>
    <cellStyle name="SAPReadonlyDataCell" xfId="8" xr:uid="{00000000-0005-0000-0000-000029000000}"/>
    <cellStyle name="SAPReadonlyDataTotalCell" xfId="11" xr:uid="{00000000-0005-0000-0000-00002A000000}"/>
  </cellStyles>
  <dxfs count="22">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8</xdr:row>
          <xdr:rowOff>104775</xdr:rowOff>
        </xdr:from>
        <xdr:to>
          <xdr:col>0</xdr:col>
          <xdr:colOff>752475</xdr:colOff>
          <xdr:row>10</xdr:row>
          <xdr:rowOff>104775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Details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8</xdr:row>
          <xdr:rowOff>104775</xdr:rowOff>
        </xdr:from>
        <xdr:to>
          <xdr:col>0</xdr:col>
          <xdr:colOff>752475</xdr:colOff>
          <xdr:row>10</xdr:row>
          <xdr:rowOff>104775</xdr:rowOff>
        </xdr:to>
        <xdr:sp macro="" textlink="">
          <xdr:nvSpPr>
            <xdr:cNvPr id="38913" name="Button 2" hidden="1">
              <a:extLst>
                <a:ext uri="{63B3BB69-23CF-44E3-9099-C40C66FF867C}">
                  <a14:compatExt spid="_x0000_s38913"/>
                </a:ext>
                <a:ext uri="{FF2B5EF4-FFF2-40B4-BE49-F238E27FC236}">
                  <a16:creationId xmlns:a16="http://schemas.microsoft.com/office/drawing/2014/main" id="{00000000-0008-0000-0200-000001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Details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8</xdr:row>
          <xdr:rowOff>104775</xdr:rowOff>
        </xdr:from>
        <xdr:to>
          <xdr:col>0</xdr:col>
          <xdr:colOff>752475</xdr:colOff>
          <xdr:row>10</xdr:row>
          <xdr:rowOff>104775</xdr:rowOff>
        </xdr:to>
        <xdr:sp macro="" textlink="">
          <xdr:nvSpPr>
            <xdr:cNvPr id="21505" name="Button 2" hidden="1">
              <a:extLst>
                <a:ext uri="{63B3BB69-23CF-44E3-9099-C40C66FF867C}">
                  <a14:compatExt spid="_x0000_s21505"/>
                </a:ext>
                <a:ext uri="{FF2B5EF4-FFF2-40B4-BE49-F238E27FC236}">
                  <a16:creationId xmlns:a16="http://schemas.microsoft.com/office/drawing/2014/main" id="{00000000-0008-0000-03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Details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942975</xdr:colOff>
          <xdr:row>0</xdr:row>
          <xdr:rowOff>66675</xdr:rowOff>
        </xdr:from>
        <xdr:to>
          <xdr:col>2</xdr:col>
          <xdr:colOff>638175</xdr:colOff>
          <xdr:row>1</xdr:row>
          <xdr:rowOff>104775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8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Convert PO NR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6</xdr:col>
      <xdr:colOff>330200</xdr:colOff>
      <xdr:row>1</xdr:row>
      <xdr:rowOff>25400</xdr:rowOff>
    </xdr:from>
    <xdr:to>
      <xdr:col>7</xdr:col>
      <xdr:colOff>25400</xdr:colOff>
      <xdr:row>3</xdr:row>
      <xdr:rowOff>88900</xdr:rowOff>
    </xdr:to>
    <xdr:sp macro="" textlink="">
      <xdr:nvSpPr>
        <xdr:cNvPr id="10241" name="CommandButton1" hidden="1">
          <a:extLst>
            <a:ext uri="{63B3BB69-23CF-44E3-9099-C40C66FF867C}">
              <a14:compatExt xmlns:a14="http://schemas.microsoft.com/office/drawing/2010/main"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absolute">
    <xdr:from>
      <xdr:col>6</xdr:col>
      <xdr:colOff>247650</xdr:colOff>
      <xdr:row>1</xdr:row>
      <xdr:rowOff>19050</xdr:rowOff>
    </xdr:from>
    <xdr:to>
      <xdr:col>7</xdr:col>
      <xdr:colOff>19050</xdr:colOff>
      <xdr:row>3</xdr:row>
      <xdr:rowOff>66675</xdr:rowOff>
    </xdr:to>
    <xdr:pic>
      <xdr:nvPicPr>
        <xdr:cNvPr id="2" name="CommandButton1">
          <a:extLst>
            <a:ext uri="{FF2B5EF4-FFF2-40B4-BE49-F238E27FC236}">
              <a16:creationId xmlns:a16="http://schemas.microsoft.com/office/drawing/2014/main" id="{D83ADF49-B493-D564-6225-36F42AA9599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86575" y="209550"/>
          <a:ext cx="866775" cy="4286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0</xdr:col>
      <xdr:colOff>175259</xdr:colOff>
      <xdr:row>33</xdr:row>
      <xdr:rowOff>160020</xdr:rowOff>
    </xdr:from>
    <xdr:to>
      <xdr:col>0</xdr:col>
      <xdr:colOff>2141220</xdr:colOff>
      <xdr:row>47</xdr:row>
      <xdr:rowOff>30710</xdr:rowOff>
    </xdr:to>
    <xdr:pic>
      <xdr:nvPicPr>
        <xdr:cNvPr id="5" name="Picture 4">
          <a:extLst>
            <a:ext uri="{FF2B5EF4-FFF2-40B4-BE49-F238E27FC236}">
              <a16:creationId xmlns:a16="http://schemas.microsoft.com/office/drawing/2014/main" id="{00000000-0008-0000-0C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980" t="8595" r="31847"/>
        <a:stretch/>
      </xdr:blipFill>
      <xdr:spPr>
        <a:xfrm>
          <a:off x="175259" y="4549140"/>
          <a:ext cx="1965961" cy="2431010"/>
        </a:xfrm>
        <a:prstGeom prst="rect">
          <a:avLst/>
        </a:prstGeom>
      </xdr:spPr>
    </xdr:pic>
    <xdr:clientData/>
  </xdr:twoCellAnchor>
  <xdr:twoCellAnchor editAs="oneCell">
    <xdr:from>
      <xdr:col>0</xdr:col>
      <xdr:colOff>6784339</xdr:colOff>
      <xdr:row>51</xdr:row>
      <xdr:rowOff>96519</xdr:rowOff>
    </xdr:from>
    <xdr:to>
      <xdr:col>0</xdr:col>
      <xdr:colOff>7866380</xdr:colOff>
      <xdr:row>53</xdr:row>
      <xdr:rowOff>11430</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333" t="9755"/>
        <a:stretch/>
      </xdr:blipFill>
      <xdr:spPr>
        <a:xfrm>
          <a:off x="6784339" y="9488169"/>
          <a:ext cx="1082041" cy="283211"/>
        </a:xfrm>
        <a:prstGeom prst="rect">
          <a:avLst/>
        </a:prstGeom>
        <a:ln>
          <a:solidFill>
            <a:schemeClr val="tx1"/>
          </a:solidFill>
        </a:ln>
      </xdr:spPr>
    </xdr:pic>
    <xdr:clientData/>
  </xdr:twoCellAnchor>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 Id="rId4" Type="http://schemas.openxmlformats.org/officeDocument/2006/relationships/customProperty" Target="../customProperty3.bin"/></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5.bin"/><Relationship Id="rId2" Type="http://schemas.openxmlformats.org/officeDocument/2006/relationships/customProperty" Target="../customProperty4.bin"/><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6.bin"/><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7.bin"/><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9.bin"/><Relationship Id="rId2" Type="http://schemas.openxmlformats.org/officeDocument/2006/relationships/customProperty" Target="../customProperty8.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10.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1.bin"/><Relationship Id="rId2" Type="http://schemas.openxmlformats.org/officeDocument/2006/relationships/printerSettings" Target="../printerSettings/printerSettings7.bin"/><Relationship Id="rId1" Type="http://schemas.openxmlformats.org/officeDocument/2006/relationships/hyperlink" Target="https://eur03.safelinks.protection.outlook.com/?url=https%3A%2F%2Fjde.service-now.com%2Fcmdb_ci_appl.do%3Fsys_id%3D76ba32c3db53dbc0c83f81cc0b9619e4%26sysparm_record_target%3Dcmdb_ci_appl%26sysparm_record_row%3D1%26sysparm_record_rows%3D48%26sysparm_record_list%3Dsys_class_name%253Dcmdb_ci_appl%255Ename%253E%253Dwebs%255EORDERBYname&amp;data=04%7C01%7CLieke.Koers%40JDEcoffee.com%7Ca721be8a6c204b32a5c208d950fcc16d%7C22d30701ec5e4bdcba4fb9234053b0a9%7C1%7C0%7C637629868765051768%7CUnknown%7CTWFpbGZsb3d8eyJWIjoiMC4wLjAwMDAiLCJQIjoiV2luMzIiLCJBTiI6Ik1haWwiLCJXVCI6Mn0%3D%7C1000&amp;sdata=LcgCp0NdvQSxiuC%2FKSc%2FfT%2Blwm%2FXH2izP40%2FJLxubyk%3D&amp;reserved=0" TargetMode="External"/></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12.bin"/><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 Id="rId6" Type="http://schemas.openxmlformats.org/officeDocument/2006/relationships/ctrlProp" Target="../ctrlProps/ctrlProp4.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18.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customProperty" Target="../customProperty21.bin"/><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customProperty" Target="../customProperty22.bin"/><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19.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ColWidth="8.85546875" defaultRowHeight="15" x14ac:dyDescent="0.25"/>
  <sheetData/>
  <pageMargins left="0.7" right="0.7" top="0.75" bottom="0.75" header="0.3" footer="0.3"/>
  <pageSetup paperSize="9" orientation="portrait" r:id="rId1"/>
  <customProperties>
    <customPr name="_pios_id" r:id="rId2"/>
    <customPr name="CofWorksheetType" r:id="rId3"/>
    <customPr name="serializedData2" r:id="rId4"/>
  </customPropertie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O40"/>
  <sheetViews>
    <sheetView showGridLines="0" topLeftCell="A3" zoomScale="85" zoomScaleNormal="85" workbookViewId="0">
      <selection activeCell="F19" sqref="F19"/>
    </sheetView>
  </sheetViews>
  <sheetFormatPr defaultColWidth="8.85546875" defaultRowHeight="15" x14ac:dyDescent="0.25"/>
  <cols>
    <col min="1" max="1" width="12.42578125" customWidth="1"/>
    <col min="2" max="2" width="21.42578125" customWidth="1"/>
    <col min="3" max="3" width="31.42578125" customWidth="1"/>
    <col min="4" max="4" width="21.42578125" bestFit="1" customWidth="1"/>
    <col min="5" max="5" width="11" hidden="1" customWidth="1"/>
    <col min="6" max="6" width="16.42578125" bestFit="1" customWidth="1"/>
    <col min="7" max="7" width="12.42578125" hidden="1" customWidth="1"/>
    <col min="8" max="9" width="15.42578125" bestFit="1" customWidth="1"/>
    <col min="10" max="10" width="15.42578125" customWidth="1"/>
    <col min="11" max="11" width="15" customWidth="1"/>
    <col min="12" max="12" width="28.28515625" customWidth="1"/>
    <col min="13" max="13" width="10.42578125" bestFit="1" customWidth="1"/>
    <col min="15" max="15" width="10" bestFit="1" customWidth="1"/>
  </cols>
  <sheetData>
    <row r="1" spans="1:15" x14ac:dyDescent="0.25">
      <c r="D1" s="157">
        <v>68427709</v>
      </c>
    </row>
    <row r="2" spans="1:15" x14ac:dyDescent="0.25">
      <c r="B2" t="s">
        <v>0</v>
      </c>
      <c r="D2" s="37">
        <f ca="1">NOW()</f>
        <v>45866.602887384259</v>
      </c>
    </row>
    <row r="3" spans="1:15" x14ac:dyDescent="0.25">
      <c r="B3" t="s">
        <v>1</v>
      </c>
      <c r="D3" s="81">
        <v>6</v>
      </c>
    </row>
    <row r="5" spans="1:15" x14ac:dyDescent="0.25">
      <c r="B5" s="159" t="s">
        <v>2</v>
      </c>
      <c r="C5" s="159"/>
      <c r="D5" s="159"/>
      <c r="E5" s="159"/>
      <c r="F5" s="159"/>
      <c r="G5" s="159"/>
      <c r="H5" s="159"/>
      <c r="I5" s="159"/>
    </row>
    <row r="6" spans="1:15" x14ac:dyDescent="0.25">
      <c r="B6" s="8"/>
      <c r="C6" s="8"/>
      <c r="D6" s="8"/>
      <c r="E6" s="160" t="s">
        <v>3</v>
      </c>
      <c r="F6" s="160" t="s">
        <v>3</v>
      </c>
      <c r="G6" s="160" t="s">
        <v>4</v>
      </c>
      <c r="H6" s="160" t="s">
        <v>5</v>
      </c>
      <c r="I6" s="160" t="s">
        <v>6</v>
      </c>
      <c r="J6" s="160" t="s">
        <v>7</v>
      </c>
      <c r="K6" s="160" t="s">
        <v>8</v>
      </c>
      <c r="L6" s="160" t="s">
        <v>9</v>
      </c>
    </row>
    <row r="7" spans="1:15" x14ac:dyDescent="0.25">
      <c r="B7" s="8" t="s">
        <v>10</v>
      </c>
      <c r="C7" s="8" t="s">
        <v>11</v>
      </c>
      <c r="D7" s="8"/>
      <c r="E7" s="160">
        <f>F7-1</f>
        <v>2024</v>
      </c>
      <c r="F7" s="171">
        <v>2025</v>
      </c>
      <c r="G7" s="160" t="str">
        <f>F7&amp;" vs "&amp;E7</f>
        <v>2025 vs 2024</v>
      </c>
      <c r="H7" s="160" t="str">
        <f>ShowMonthName(D3)</f>
        <v>June</v>
      </c>
      <c r="I7" s="160"/>
      <c r="J7" s="160"/>
      <c r="K7" s="160"/>
    </row>
    <row r="8" spans="1:15" ht="15.75" thickBot="1" x14ac:dyDescent="0.3">
      <c r="B8" s="8"/>
      <c r="C8" s="8"/>
      <c r="D8" s="8"/>
      <c r="F8" s="8"/>
      <c r="G8" s="8"/>
      <c r="H8" s="8"/>
      <c r="I8" s="8"/>
      <c r="J8" s="8"/>
    </row>
    <row r="9" spans="1:15" ht="15.75" thickBot="1" x14ac:dyDescent="0.3">
      <c r="B9" s="41" t="s">
        <v>12</v>
      </c>
      <c r="C9" s="42"/>
      <c r="D9" s="42"/>
      <c r="E9" s="241">
        <f>SUM(E10:E28)</f>
        <v>49950462</v>
      </c>
      <c r="F9" s="241">
        <f>SUM(F10:F28)</f>
        <v>56131906.799999997</v>
      </c>
      <c r="G9" s="241">
        <f>SUM(G10:G28)</f>
        <v>6181444.8000000007</v>
      </c>
      <c r="H9" s="241">
        <f>(F9/12)*$D$3</f>
        <v>28065953.399999999</v>
      </c>
      <c r="I9" s="241">
        <f>SUM(I10:I28)</f>
        <v>25958541.919999998</v>
      </c>
      <c r="J9" s="242">
        <f>H9-I9</f>
        <v>2107411.4800000004</v>
      </c>
      <c r="K9" s="284">
        <f t="shared" ref="K9" si="0">IF(ISERROR(I9/H9),0,I9/H9)</f>
        <v>0.92491217205541287</v>
      </c>
      <c r="L9" s="11" t="s">
        <v>13</v>
      </c>
      <c r="O9" s="286">
        <f>F9/12</f>
        <v>4677658.8999999994</v>
      </c>
    </row>
    <row r="10" spans="1:15" x14ac:dyDescent="0.25">
      <c r="B10" s="41"/>
      <c r="C10" s="42"/>
      <c r="D10" s="42"/>
      <c r="E10" s="10"/>
      <c r="F10" s="42"/>
      <c r="G10" s="42"/>
      <c r="H10" s="42"/>
      <c r="I10" s="42"/>
      <c r="J10" s="54"/>
      <c r="K10" s="186"/>
      <c r="L10" s="11"/>
    </row>
    <row r="11" spans="1:15" x14ac:dyDescent="0.25">
      <c r="B11" s="55" t="s">
        <v>14</v>
      </c>
      <c r="C11" t="s">
        <v>15</v>
      </c>
      <c r="D11" t="s">
        <v>16</v>
      </c>
      <c r="E11" s="101">
        <f>SUMPRODUCT(('AOP25'!$F$2:$F$623=Summary!B11)*('AOP25'!$E$2:$E$623=$D$1)*('AOP25'!$S$2:$S$623))</f>
        <v>265000</v>
      </c>
      <c r="F11" s="56" cm="1">
        <f t="array" ref="F11">SUMPRODUCT(('AOP25'!$F$2:$F$403=Summary!B11)*('AOP25'!$E$2:$E$403=$D$1)*('AOP25'!$U$2:$U$403))</f>
        <v>231000</v>
      </c>
      <c r="G11" s="56">
        <f>F11-E11</f>
        <v>-34000</v>
      </c>
      <c r="H11" s="57">
        <f t="shared" ref="H11:H28" si="1">(F11/12)*$D$3</f>
        <v>115500</v>
      </c>
      <c r="I11" s="56">
        <f>SUMPRODUCT(('BW Summary'!$B$7:$B$237=Summary!B11)*('BW Summary'!$F$7:$F$237))</f>
        <v>55936.03</v>
      </c>
      <c r="J11" s="187">
        <f>H11-I11</f>
        <v>59563.97</v>
      </c>
      <c r="K11" s="186">
        <f>IF(ISERROR(I11/H11),0,I11/H11)</f>
        <v>0.48429463203463202</v>
      </c>
      <c r="L11" s="13"/>
    </row>
    <row r="12" spans="1:15" ht="15" customHeight="1" x14ac:dyDescent="0.25">
      <c r="B12" s="55" t="s">
        <v>17</v>
      </c>
      <c r="C12" t="s">
        <v>18</v>
      </c>
      <c r="D12" t="s">
        <v>16</v>
      </c>
      <c r="E12" s="101">
        <f>SUMPRODUCT(('AOP25'!$F$2:$F$623=Summary!B12)*('AOP25'!$E$2:$E$623=$D$1)*('AOP25'!$S$2:$S$623))</f>
        <v>0</v>
      </c>
      <c r="F12" s="56" cm="1">
        <f t="array" ref="F12">SUMPRODUCT(('AOP25'!$F$2:$F$403=Summary!B12)*('AOP25'!$E$2:$E$403=$D$1)*('AOP25'!$U$2:$U$403))</f>
        <v>0</v>
      </c>
      <c r="G12" s="56">
        <f t="shared" ref="G12:G28" si="2">F12-E12</f>
        <v>0</v>
      </c>
      <c r="H12" s="57">
        <f t="shared" si="1"/>
        <v>0</v>
      </c>
      <c r="I12" s="56">
        <f>SUMPRODUCT(('BW Summary'!$B$7:$B$237=Summary!B12)*('BW Summary'!$F$7:$F$237))</f>
        <v>0</v>
      </c>
      <c r="J12" s="58">
        <f t="shared" ref="J12:J28" si="3">H12-I12</f>
        <v>0</v>
      </c>
      <c r="K12" s="186">
        <f>IF(ISERROR(I12/H12),0,I12/H12)</f>
        <v>0</v>
      </c>
      <c r="L12" s="13"/>
    </row>
    <row r="13" spans="1:15" x14ac:dyDescent="0.25">
      <c r="B13" s="55" t="s">
        <v>19</v>
      </c>
      <c r="C13" t="s">
        <v>20</v>
      </c>
      <c r="D13" t="s">
        <v>16</v>
      </c>
      <c r="E13" s="101">
        <f>SUMPRODUCT(('AOP25'!$F$2:$F$623=Summary!B13)*('AOP25'!$E$2:$E$623=$D$1)*('AOP25'!$S$2:$S$623))</f>
        <v>7571000</v>
      </c>
      <c r="F13" s="56" cm="1">
        <f t="array" ref="F13">SUMPRODUCT(('AOP25'!$F$2:$F$403=Summary!B13)*('AOP25'!$E$2:$E$403=$D$1)*('AOP25'!$U$2:$U$403))</f>
        <v>9765660</v>
      </c>
      <c r="G13" s="56">
        <f t="shared" si="2"/>
        <v>2194660</v>
      </c>
      <c r="H13" s="57">
        <f t="shared" si="1"/>
        <v>4882830</v>
      </c>
      <c r="I13" s="56">
        <f>SUMPRODUCT(('BW Summary'!$B$7:$B$237=Summary!B13)*('BW Summary'!$F$7:$F$237))</f>
        <v>4649984.1099999994</v>
      </c>
      <c r="J13" s="184">
        <f t="shared" si="3"/>
        <v>232845.8900000006</v>
      </c>
      <c r="K13" s="186">
        <f t="shared" ref="K13:K28" si="4">IF(ISERROR(I13/H13),0,I13/H13)</f>
        <v>0.95231333263701567</v>
      </c>
      <c r="L13" s="13" t="s">
        <v>21</v>
      </c>
    </row>
    <row r="14" spans="1:15" x14ac:dyDescent="0.25">
      <c r="A14" s="97"/>
      <c r="B14" s="61" t="s">
        <v>22</v>
      </c>
      <c r="C14" t="s">
        <v>23</v>
      </c>
      <c r="D14" t="s">
        <v>24</v>
      </c>
      <c r="E14" s="101">
        <f>SUMPRODUCT(('AOP25'!$F$2:$F$623=Summary!B14)*('AOP25'!$E$2:$E$623=$D$1)*('AOP25'!$S$2:$S$623))</f>
        <v>6284500</v>
      </c>
      <c r="F14" s="56" cm="1">
        <f t="array" ref="F14">SUMPRODUCT(('AOP25'!$F$2:$F$403=Summary!B14)*('AOP25'!$E$2:$E$403=$D$1)*('AOP25'!$U$2:$U$403))</f>
        <v>6986900</v>
      </c>
      <c r="G14" s="56">
        <f t="shared" si="2"/>
        <v>702400</v>
      </c>
      <c r="H14" s="57">
        <f t="shared" si="1"/>
        <v>3493450</v>
      </c>
      <c r="I14" s="56">
        <f>SUMPRODUCT(('BW Summary'!$B$7:$B$237=Summary!B14)*('BW Summary'!$F$7:$F$237))</f>
        <v>2830081.7399999998</v>
      </c>
      <c r="J14" s="58">
        <f t="shared" si="3"/>
        <v>663368.26000000024</v>
      </c>
      <c r="K14" s="186">
        <f t="shared" si="4"/>
        <v>0.81011084744307194</v>
      </c>
      <c r="L14" s="13" t="s">
        <v>25</v>
      </c>
    </row>
    <row r="15" spans="1:15" ht="15.6" customHeight="1" x14ac:dyDescent="0.25">
      <c r="A15" s="91"/>
      <c r="B15" s="61" t="s">
        <v>26</v>
      </c>
      <c r="C15" t="s">
        <v>27</v>
      </c>
      <c r="D15" t="s">
        <v>24</v>
      </c>
      <c r="E15" s="101">
        <f>SUMPRODUCT(('AOP25'!$F$2:$F$623=Summary!B15)*('AOP25'!$E$2:$E$623=$D$1)*('AOP25'!$S$2:$S$623))</f>
        <v>0</v>
      </c>
      <c r="F15" s="56" cm="1">
        <f t="array" ref="F15">SUMPRODUCT(('AOP25'!$F$2:$F$403=Summary!B15)*('AOP25'!$E$2:$E$403=$D$1)*('AOP25'!$U$2:$U$403))</f>
        <v>0</v>
      </c>
      <c r="G15" s="56">
        <f t="shared" si="2"/>
        <v>0</v>
      </c>
      <c r="H15" s="57">
        <f t="shared" si="1"/>
        <v>0</v>
      </c>
      <c r="I15" s="56">
        <f>SUMPRODUCT(('BW Summary'!$B$7:$B$237=Summary!B15)*('BW Summary'!$F$7:$F$237))</f>
        <v>930</v>
      </c>
      <c r="J15" s="58">
        <f t="shared" si="3"/>
        <v>-930</v>
      </c>
      <c r="K15" s="186">
        <f t="shared" si="4"/>
        <v>0</v>
      </c>
      <c r="L15" s="13"/>
    </row>
    <row r="16" spans="1:15" x14ac:dyDescent="0.25">
      <c r="A16" s="91"/>
      <c r="B16" s="61" t="s">
        <v>28</v>
      </c>
      <c r="C16" t="s">
        <v>29</v>
      </c>
      <c r="D16" t="s">
        <v>30</v>
      </c>
      <c r="E16" s="101">
        <f>SUMPRODUCT(('AOP25'!$F$2:$F$623=Summary!B16)*('AOP25'!$E$2:$E$623=$D$1)*('AOP25'!$S$2:$S$623))</f>
        <v>634960</v>
      </c>
      <c r="F16" s="56" cm="1">
        <f t="array" ref="F16">SUMPRODUCT(('AOP25'!$F$2:$F$403=Summary!B16)*('AOP25'!$E$2:$E$403=$D$1)*('AOP25'!$U$2:$U$403))</f>
        <v>354960</v>
      </c>
      <c r="G16" s="56">
        <f t="shared" si="2"/>
        <v>-280000</v>
      </c>
      <c r="H16" s="57">
        <f t="shared" si="1"/>
        <v>177480</v>
      </c>
      <c r="I16" s="56">
        <f>SUMPRODUCT(('BW Summary'!$B$7:$B$237=Summary!B16)*('BW Summary'!$F$7:$F$237))</f>
        <v>148539.65</v>
      </c>
      <c r="J16" s="58">
        <f t="shared" si="3"/>
        <v>28940.350000000006</v>
      </c>
      <c r="K16" s="186">
        <f t="shared" si="4"/>
        <v>0.83693740139734052</v>
      </c>
      <c r="L16" s="13"/>
    </row>
    <row r="17" spans="1:12" x14ac:dyDescent="0.25">
      <c r="A17" s="91"/>
      <c r="B17" s="62" t="s">
        <v>31</v>
      </c>
      <c r="C17" t="s">
        <v>32</v>
      </c>
      <c r="D17" t="s">
        <v>33</v>
      </c>
      <c r="E17" s="101">
        <f>SUMPRODUCT(('AOP25'!$F$2:$F$623=Summary!B17)*('AOP25'!$E$2:$E$623=$D$1)*('AOP25'!$S$2:$S$623))</f>
        <v>2260000</v>
      </c>
      <c r="F17" s="56" cm="1">
        <f t="array" ref="F17">SUMPRODUCT(('AOP25'!$F$2:$F$403=Summary!B17)*('AOP25'!$E$2:$E$403=$D$1)*('AOP25'!$U$2:$U$403))</f>
        <v>2060000</v>
      </c>
      <c r="G17" s="56">
        <f t="shared" si="2"/>
        <v>-200000</v>
      </c>
      <c r="H17" s="57">
        <f t="shared" si="1"/>
        <v>1030000</v>
      </c>
      <c r="I17" s="56">
        <f>SUMPRODUCT(('BW Summary'!$B$7:$B$237=Summary!B17)*('BW Summary'!$F$7:$F$237))</f>
        <v>977835.23</v>
      </c>
      <c r="J17" s="58">
        <f t="shared" si="3"/>
        <v>52164.770000000019</v>
      </c>
      <c r="K17" s="186">
        <f t="shared" si="4"/>
        <v>0.94935459223300966</v>
      </c>
      <c r="L17" s="13"/>
    </row>
    <row r="18" spans="1:12" x14ac:dyDescent="0.25">
      <c r="A18" s="91"/>
      <c r="B18" s="62" t="s">
        <v>34</v>
      </c>
      <c r="C18" t="s">
        <v>35</v>
      </c>
      <c r="D18" t="s">
        <v>33</v>
      </c>
      <c r="E18" s="101">
        <f>SUMPRODUCT(('AOP25'!$F$2:$F$623=Summary!B18)*('AOP25'!$E$2:$E$623=$D$1)*('AOP25'!$S$2:$S$623))</f>
        <v>0</v>
      </c>
      <c r="F18" s="56" cm="1">
        <f t="array" ref="F18">SUMPRODUCT(('AOP25'!$F$2:$F$403=Summary!B18)*('AOP25'!$E$2:$E$403=$D$1)*('AOP25'!$U$2:$U$403))</f>
        <v>0</v>
      </c>
      <c r="G18" s="56">
        <f t="shared" si="2"/>
        <v>0</v>
      </c>
      <c r="H18" s="57">
        <f t="shared" si="1"/>
        <v>0</v>
      </c>
      <c r="I18" s="56">
        <f>SUMPRODUCT(('BW Summary'!$B$7:$B$237=Summary!B18)*('BW Summary'!$F$7:$F$237))</f>
        <v>0</v>
      </c>
      <c r="J18" s="58">
        <f t="shared" si="3"/>
        <v>0</v>
      </c>
      <c r="K18" s="186">
        <f t="shared" si="4"/>
        <v>0</v>
      </c>
      <c r="L18" s="13"/>
    </row>
    <row r="19" spans="1:12" x14ac:dyDescent="0.25">
      <c r="A19" s="91"/>
      <c r="B19" s="61" t="s">
        <v>36</v>
      </c>
      <c r="C19" t="s">
        <v>37</v>
      </c>
      <c r="D19" t="s">
        <v>33</v>
      </c>
      <c r="E19" s="101">
        <f>SUMPRODUCT(('AOP25'!$F$2:$F$623=Summary!B19)*('AOP25'!$E$2:$E$623=$D$1)*('AOP25'!$S$2:$S$623))</f>
        <v>1499144</v>
      </c>
      <c r="F19" s="56" cm="1">
        <f t="array" ref="F19">SUMPRODUCT(('AOP25'!$F$2:$F$403=Summary!B19)*('AOP25'!$E$2:$E$403=$D$1)*('AOP25'!$U$2:$U$403))</f>
        <v>1322700</v>
      </c>
      <c r="G19" s="56">
        <f t="shared" si="2"/>
        <v>-176444</v>
      </c>
      <c r="H19" s="57">
        <f t="shared" si="1"/>
        <v>661350</v>
      </c>
      <c r="I19" s="56">
        <f>SUMPRODUCT(('BW Summary'!$B$7:$B$237=Summary!B19)*('BW Summary'!$F$7:$F$237))</f>
        <v>622759.87</v>
      </c>
      <c r="J19" s="58">
        <f t="shared" si="3"/>
        <v>38590.130000000005</v>
      </c>
      <c r="K19" s="186">
        <f t="shared" si="4"/>
        <v>0.94164945943902623</v>
      </c>
      <c r="L19" s="13"/>
    </row>
    <row r="20" spans="1:12" x14ac:dyDescent="0.25">
      <c r="A20" s="91"/>
      <c r="B20" s="62" t="s">
        <v>38</v>
      </c>
      <c r="C20" t="s">
        <v>39</v>
      </c>
      <c r="D20" t="s">
        <v>33</v>
      </c>
      <c r="E20" s="101">
        <f>SUMPRODUCT(('AOP25'!$F$2:$F$623=Summary!B20)*('AOP25'!$E$2:$E$623=$D$1)*('AOP25'!$S$2:$S$623))</f>
        <v>122920</v>
      </c>
      <c r="F20" s="56" cm="1">
        <f t="array" ref="F20">SUMPRODUCT(('AOP25'!$F$2:$F$403=Summary!B20)*('AOP25'!$E$2:$E$403=$D$1)*('AOP25'!$U$2:$U$403))</f>
        <v>157500</v>
      </c>
      <c r="G20" s="56">
        <f t="shared" si="2"/>
        <v>34580</v>
      </c>
      <c r="H20" s="57">
        <f t="shared" si="1"/>
        <v>78750</v>
      </c>
      <c r="I20" s="56">
        <f>SUMPRODUCT(('BW Summary'!$B$7:$B$237=Summary!B20)*('BW Summary'!$F$7:$F$237))</f>
        <v>199809.45</v>
      </c>
      <c r="J20" s="58">
        <f t="shared" si="3"/>
        <v>-121059.45000000001</v>
      </c>
      <c r="K20" s="186">
        <f t="shared" si="4"/>
        <v>2.5372628571428573</v>
      </c>
      <c r="L20" s="13"/>
    </row>
    <row r="21" spans="1:12" x14ac:dyDescent="0.25">
      <c r="A21" s="91"/>
      <c r="B21" s="62" t="s">
        <v>40</v>
      </c>
      <c r="C21" t="s">
        <v>41</v>
      </c>
      <c r="D21" t="s">
        <v>42</v>
      </c>
      <c r="E21" s="101">
        <f>SUMPRODUCT(('AOP25'!$F$2:$F$623=Summary!B21)*('AOP25'!$E$2:$E$623=$D$1)*('AOP25'!$S$2:$S$623))</f>
        <v>1394000</v>
      </c>
      <c r="F21" s="56" cm="1">
        <f t="array" ref="F21">SUMPRODUCT(('AOP25'!$F$2:$F$403=Summary!B21)*('AOP25'!$E$2:$E$403=$D$1)*('AOP25'!$U$2:$U$403))</f>
        <v>1840500</v>
      </c>
      <c r="G21" s="56">
        <f t="shared" si="2"/>
        <v>446500</v>
      </c>
      <c r="H21" s="57">
        <f t="shared" si="1"/>
        <v>920250</v>
      </c>
      <c r="I21" s="56">
        <f>SUMPRODUCT(('BW Summary'!$B$7:$B$237=Summary!B21)*('BW Summary'!$F$7:$F$237))</f>
        <v>619009.25</v>
      </c>
      <c r="J21" s="58">
        <f t="shared" ref="J21" si="5">H21-I21</f>
        <v>301240.75</v>
      </c>
      <c r="K21" s="186">
        <f t="shared" si="4"/>
        <v>0.67265335506655799</v>
      </c>
      <c r="L21" s="13" t="s">
        <v>43</v>
      </c>
    </row>
    <row r="22" spans="1:12" x14ac:dyDescent="0.25">
      <c r="A22" s="91"/>
      <c r="B22" s="61" t="s">
        <v>44</v>
      </c>
      <c r="C22" t="s">
        <v>45</v>
      </c>
      <c r="D22" t="s">
        <v>46</v>
      </c>
      <c r="E22" s="101">
        <f>SUMPRODUCT(('AOP25'!$F$2:$F$623=Summary!B22)*('AOP25'!$E$2:$E$623=$D$1)*('AOP25'!$S$2:$S$623))</f>
        <v>7420000</v>
      </c>
      <c r="F22" s="56" cm="1">
        <f t="array" ref="F22">SUMPRODUCT(('AOP25'!$F$2:$F$403=Summary!B22)*('AOP25'!$E$2:$E$403=$D$1)*('AOP25'!$U$2:$U$403))</f>
        <v>6963500</v>
      </c>
      <c r="G22" s="56">
        <f t="shared" si="2"/>
        <v>-456500</v>
      </c>
      <c r="H22" s="57">
        <f t="shared" si="1"/>
        <v>3481750</v>
      </c>
      <c r="I22" s="56">
        <f>SUMPRODUCT(('BW Summary'!$B$7:$B$237=Summary!B22)*('BW Summary'!$F$7:$F$237))</f>
        <v>3240147.68</v>
      </c>
      <c r="J22" s="58">
        <f t="shared" si="3"/>
        <v>241602.31999999983</v>
      </c>
      <c r="K22" s="186">
        <f t="shared" si="4"/>
        <v>0.93060894090615354</v>
      </c>
      <c r="L22" s="13" t="s">
        <v>47</v>
      </c>
    </row>
    <row r="23" spans="1:12" x14ac:dyDescent="0.25">
      <c r="A23" s="91"/>
      <c r="B23" s="61" t="s">
        <v>48</v>
      </c>
      <c r="C23" t="s">
        <v>49</v>
      </c>
      <c r="E23" s="101">
        <f>SUMPRODUCT(('AOP25'!$F$2:$F$623=Summary!B23)*('AOP25'!$E$2:$E$623=$D$1)*('AOP25'!$S$2:$S$623))</f>
        <v>0</v>
      </c>
      <c r="F23" s="56" cm="1">
        <f t="array" ref="F23">SUMPRODUCT(('AOP25'!$F$2:$F$403=Summary!B23)*('AOP25'!$E$2:$E$403=$D$1)*('AOP25'!$U$2:$U$403))</f>
        <v>0</v>
      </c>
      <c r="G23" s="56">
        <f t="shared" si="2"/>
        <v>0</v>
      </c>
      <c r="H23" s="57">
        <f t="shared" si="1"/>
        <v>0</v>
      </c>
      <c r="I23" s="56">
        <f>SUMPRODUCT(('BW Summary'!$B$7:$B$237=Summary!B23)*('BW Summary'!$F$7:$F$237))</f>
        <v>0</v>
      </c>
      <c r="J23" s="58">
        <f t="shared" si="3"/>
        <v>0</v>
      </c>
      <c r="K23" s="186">
        <f t="shared" si="4"/>
        <v>0</v>
      </c>
      <c r="L23" s="13"/>
    </row>
    <row r="24" spans="1:12" x14ac:dyDescent="0.25">
      <c r="A24" s="91"/>
      <c r="B24" s="61" t="s">
        <v>50</v>
      </c>
      <c r="C24" t="s">
        <v>51</v>
      </c>
      <c r="E24" s="101">
        <f>SUMPRODUCT(('AOP25'!$F$2:$F$623=Summary!B24)*('AOP25'!$E$2:$E$623=$D$1)*('AOP25'!$S$2:$S$623))</f>
        <v>0</v>
      </c>
      <c r="F24" s="56" cm="1">
        <f t="array" ref="F24">SUMPRODUCT(('AOP25'!$F$2:$F$403=Summary!B24)*('AOP25'!$E$2:$E$403=$D$1)*('AOP25'!$U$2:$U$403))</f>
        <v>0</v>
      </c>
      <c r="G24" s="56">
        <f t="shared" si="2"/>
        <v>0</v>
      </c>
      <c r="H24" s="57">
        <f t="shared" si="1"/>
        <v>0</v>
      </c>
      <c r="I24" s="56">
        <f>SUMPRODUCT(('BW Summary'!$B$7:$B$237=Summary!B24)*('BW Summary'!$F$7:$F$237))</f>
        <v>0</v>
      </c>
      <c r="J24" s="58">
        <f t="shared" ref="J24:J25" si="6">H24-I24</f>
        <v>0</v>
      </c>
      <c r="K24" s="186">
        <f t="shared" si="4"/>
        <v>0</v>
      </c>
      <c r="L24" s="13"/>
    </row>
    <row r="25" spans="1:12" x14ac:dyDescent="0.25">
      <c r="A25" s="91"/>
      <c r="B25" s="61" t="s">
        <v>52</v>
      </c>
      <c r="C25" t="s">
        <v>53</v>
      </c>
      <c r="E25" s="101">
        <f>SUMPRODUCT(('AOP25'!$F$2:$F$623=Summary!B25)*('AOP25'!$E$2:$E$623=$D$1)*('AOP25'!$S$2:$S$623))</f>
        <v>0</v>
      </c>
      <c r="F25" s="56" cm="1">
        <f t="array" ref="F25">SUMPRODUCT(('AOP25'!$F$2:$F$403=Summary!B25)*('AOP25'!$E$2:$E$403=$D$1)*('AOP25'!$U$2:$U$403))</f>
        <v>0</v>
      </c>
      <c r="G25" s="56">
        <f t="shared" si="2"/>
        <v>0</v>
      </c>
      <c r="H25" s="57">
        <f t="shared" si="1"/>
        <v>0</v>
      </c>
      <c r="I25" s="56">
        <f>SUMPRODUCT(('BW Summary'!$B$7:$B$237=Summary!B25)*('BW Summary'!$F$7:$F$237))</f>
        <v>0</v>
      </c>
      <c r="J25" s="58">
        <f t="shared" si="6"/>
        <v>0</v>
      </c>
      <c r="K25" s="186">
        <f t="shared" si="4"/>
        <v>0</v>
      </c>
      <c r="L25" s="13"/>
    </row>
    <row r="26" spans="1:12" x14ac:dyDescent="0.25">
      <c r="A26" s="91"/>
      <c r="B26" s="61" t="s">
        <v>54</v>
      </c>
      <c r="C26" t="s">
        <v>55</v>
      </c>
      <c r="D26" t="s">
        <v>46</v>
      </c>
      <c r="E26" s="101">
        <f>SUMPRODUCT(('AOP25'!$F$2:$F$623=Summary!B26)*('AOP25'!$E$2:$E$623=$D$1)*('AOP25'!$S$2:$S$623))</f>
        <v>5595900</v>
      </c>
      <c r="F26" s="56" cm="1">
        <f t="array" ref="F26">SUMPRODUCT(('AOP25'!$F$2:$F$403=Summary!B26)*('AOP25'!$E$2:$E$403=$D$1)*('AOP25'!$U$2:$U$403))</f>
        <v>5996900</v>
      </c>
      <c r="G26" s="56">
        <f t="shared" si="2"/>
        <v>401000</v>
      </c>
      <c r="H26" s="57">
        <f t="shared" si="1"/>
        <v>2998450</v>
      </c>
      <c r="I26" s="56">
        <f>SUMPRODUCT(('BW Summary'!$B$7:$B$237=Summary!B26)*('BW Summary'!$F$7:$F$237))</f>
        <v>2675815.0700000003</v>
      </c>
      <c r="J26" s="58">
        <f t="shared" si="3"/>
        <v>322634.9299999997</v>
      </c>
      <c r="K26" s="186">
        <f t="shared" si="4"/>
        <v>0.89239942970534791</v>
      </c>
      <c r="L26" s="13" t="s">
        <v>56</v>
      </c>
    </row>
    <row r="27" spans="1:12" x14ac:dyDescent="0.25">
      <c r="B27" s="63" t="s">
        <v>57</v>
      </c>
      <c r="C27" t="s">
        <v>58</v>
      </c>
      <c r="D27" t="s">
        <v>46</v>
      </c>
      <c r="E27" s="101">
        <f>SUMPRODUCT(('AOP25'!$F$2:$F$623=Summary!B27)*('AOP25'!$E$2:$E$623=$D$1)*('AOP25'!$S$2:$S$623))</f>
        <v>6967738</v>
      </c>
      <c r="F27" s="56" cm="1">
        <f t="array" ref="F27">SUMPRODUCT(('AOP25'!$F$2:$F$403=Summary!B27)*('AOP25'!$E$2:$E$403=$D$1)*('AOP25'!$U$2:$U$403))</f>
        <v>7379548</v>
      </c>
      <c r="G27" s="56">
        <f t="shared" si="2"/>
        <v>411810</v>
      </c>
      <c r="H27" s="57">
        <f t="shared" si="1"/>
        <v>3689774</v>
      </c>
      <c r="I27" s="56">
        <f>SUMPRODUCT(('BW Summary'!$B$7:$B$237=Summary!B27)*('BW Summary'!$F$7:$F$237))</f>
        <v>3629940.16</v>
      </c>
      <c r="J27" s="58">
        <f t="shared" si="3"/>
        <v>59833.839999999851</v>
      </c>
      <c r="K27" s="186">
        <f t="shared" si="4"/>
        <v>0.98378387402588885</v>
      </c>
      <c r="L27" s="13"/>
    </row>
    <row r="28" spans="1:12" ht="15.75" thickBot="1" x14ac:dyDescent="0.3">
      <c r="B28" s="64" t="s">
        <v>59</v>
      </c>
      <c r="C28" s="15" t="s">
        <v>60</v>
      </c>
      <c r="D28" s="15" t="s">
        <v>46</v>
      </c>
      <c r="E28" s="103">
        <f>SUMPRODUCT(('AOP25'!$F$2:$F$623=Summary!B28)*('AOP25'!$E$2:$E$623=$D$1)*('AOP25'!$S$2:$S$623))</f>
        <v>9935300</v>
      </c>
      <c r="F28" s="65" cm="1">
        <f t="array" ref="F28">SUMPRODUCT(('AOP25'!$F$2:$F$403=Summary!B28)*('AOP25'!$E$2:$E$403=$D$1)*('AOP25'!$U$2:$U$403))</f>
        <v>13072738.800000001</v>
      </c>
      <c r="G28" s="65">
        <f t="shared" si="2"/>
        <v>3137438.8000000007</v>
      </c>
      <c r="H28" s="66">
        <f t="shared" si="1"/>
        <v>6536369.4000000004</v>
      </c>
      <c r="I28" s="65">
        <f>SUMPRODUCT(('BW Summary'!$B$7:$B$237=Summary!B28)*('BW Summary'!$F$7:$F$237))</f>
        <v>6307753.6799999997</v>
      </c>
      <c r="J28" s="185">
        <f t="shared" si="3"/>
        <v>228615.72000000067</v>
      </c>
      <c r="K28" s="189">
        <f t="shared" si="4"/>
        <v>0.96502405142524528</v>
      </c>
      <c r="L28" s="16" t="s">
        <v>61</v>
      </c>
    </row>
    <row r="29" spans="1:12" ht="15.75" thickBot="1" x14ac:dyDescent="0.3"/>
    <row r="30" spans="1:12" ht="15.75" thickBot="1" x14ac:dyDescent="0.3">
      <c r="B30" s="50" t="s">
        <v>62</v>
      </c>
      <c r="C30" s="51"/>
      <c r="D30" s="51"/>
      <c r="E30" s="51"/>
      <c r="F30" s="51"/>
      <c r="G30" s="51"/>
      <c r="H30" s="51"/>
      <c r="I30" s="51"/>
      <c r="J30" s="51"/>
      <c r="K30" s="98"/>
    </row>
    <row r="31" spans="1:12" x14ac:dyDescent="0.25">
      <c r="B31" s="9">
        <v>1</v>
      </c>
      <c r="C31" s="324" t="s">
        <v>63</v>
      </c>
      <c r="D31" s="325"/>
      <c r="E31" s="325"/>
      <c r="F31" s="325"/>
      <c r="G31" s="325"/>
      <c r="H31" s="325"/>
      <c r="I31" s="325"/>
      <c r="J31" s="325"/>
      <c r="K31" s="326"/>
    </row>
    <row r="32" spans="1:12" x14ac:dyDescent="0.25">
      <c r="B32" s="12">
        <v>2</v>
      </c>
      <c r="C32" s="327" t="s">
        <v>64</v>
      </c>
      <c r="D32" s="328"/>
      <c r="E32" s="328"/>
      <c r="F32" s="328"/>
      <c r="G32" s="328"/>
      <c r="H32" s="328"/>
      <c r="I32" s="328"/>
      <c r="J32" s="328"/>
      <c r="K32" s="329"/>
    </row>
    <row r="33" spans="2:11" x14ac:dyDescent="0.25">
      <c r="B33" s="12">
        <v>3</v>
      </c>
      <c r="C33" s="330" t="s">
        <v>65</v>
      </c>
      <c r="D33" s="331"/>
      <c r="E33" s="331"/>
      <c r="F33" s="331"/>
      <c r="G33" s="331"/>
      <c r="H33" s="331"/>
      <c r="I33" s="331"/>
      <c r="J33" s="331"/>
      <c r="K33" s="332"/>
    </row>
    <row r="34" spans="2:11" x14ac:dyDescent="0.25">
      <c r="B34" s="12">
        <v>4</v>
      </c>
      <c r="C34" s="330" t="s">
        <v>66</v>
      </c>
      <c r="D34" s="331"/>
      <c r="E34" s="331"/>
      <c r="F34" s="331"/>
      <c r="G34" s="331"/>
      <c r="H34" s="331"/>
      <c r="I34" s="331"/>
      <c r="J34" s="331"/>
      <c r="K34" s="332"/>
    </row>
    <row r="35" spans="2:11" x14ac:dyDescent="0.25">
      <c r="B35" s="12">
        <v>5</v>
      </c>
      <c r="C35" s="12" t="s">
        <v>67</v>
      </c>
      <c r="K35" s="13"/>
    </row>
    <row r="36" spans="2:11" x14ac:dyDescent="0.25">
      <c r="B36" s="12">
        <v>6</v>
      </c>
      <c r="C36" s="12" t="s">
        <v>68</v>
      </c>
      <c r="K36" s="13"/>
    </row>
    <row r="37" spans="2:11" x14ac:dyDescent="0.25">
      <c r="B37" s="12">
        <v>7</v>
      </c>
      <c r="C37" s="12" t="s">
        <v>69</v>
      </c>
      <c r="K37" s="13"/>
    </row>
    <row r="38" spans="2:11" x14ac:dyDescent="0.25">
      <c r="B38" s="12">
        <v>9</v>
      </c>
      <c r="C38" s="12"/>
      <c r="K38" s="13"/>
    </row>
    <row r="39" spans="2:11" x14ac:dyDescent="0.25">
      <c r="B39" s="12">
        <v>10</v>
      </c>
      <c r="C39" s="12"/>
      <c r="K39" s="13"/>
    </row>
    <row r="40" spans="2:11" ht="15.75" thickBot="1" x14ac:dyDescent="0.3">
      <c r="B40" s="14">
        <v>11</v>
      </c>
      <c r="C40" s="14"/>
      <c r="D40" s="15"/>
      <c r="E40" s="15"/>
      <c r="F40" s="15"/>
      <c r="G40" s="15"/>
      <c r="H40" s="15"/>
      <c r="I40" s="15"/>
      <c r="J40" s="15"/>
      <c r="K40" s="16"/>
    </row>
  </sheetData>
  <mergeCells count="4">
    <mergeCell ref="C31:K31"/>
    <mergeCell ref="C32:K32"/>
    <mergeCell ref="C33:K33"/>
    <mergeCell ref="C34:K34"/>
  </mergeCells>
  <conditionalFormatting sqref="C11:D11 C26:D28 C12:C23 D12:D25">
    <cfRule type="cellIs" dxfId="21" priority="8" operator="lessThan">
      <formula>0</formula>
    </cfRule>
  </conditionalFormatting>
  <conditionalFormatting sqref="J11:J20 J26:J28 J22:J23">
    <cfRule type="expression" dxfId="20" priority="6">
      <formula>IF(J11&lt;0,1)</formula>
    </cfRule>
    <cfRule type="expression" dxfId="19" priority="7">
      <formula>IF(J11&gt;0,1)</formula>
    </cfRule>
  </conditionalFormatting>
  <conditionalFormatting sqref="C24:C25">
    <cfRule type="cellIs" dxfId="18" priority="5" operator="lessThan">
      <formula>0</formula>
    </cfRule>
  </conditionalFormatting>
  <conditionalFormatting sqref="J24:J25">
    <cfRule type="expression" dxfId="17" priority="3">
      <formula>IF(J24&lt;0,1)</formula>
    </cfRule>
    <cfRule type="expression" dxfId="16" priority="4">
      <formula>IF(J24&gt;0,1)</formula>
    </cfRule>
  </conditionalFormatting>
  <conditionalFormatting sqref="J21">
    <cfRule type="expression" dxfId="15" priority="1">
      <formula>IF(J21&lt;0,1)</formula>
    </cfRule>
    <cfRule type="expression" dxfId="14" priority="2">
      <formula>IF(J21&gt;0,1)</formula>
    </cfRule>
  </conditionalFormatting>
  <pageMargins left="0.7" right="0.7" top="0.75" bottom="0.75" header="0.3" footer="0.3"/>
  <pageSetup paperSize="9" orientation="portrait" r:id="rId1"/>
  <customProperties>
    <customPr name="_pios_id" r:id="rId2"/>
    <customPr name="EpmWorksheetKeyString_GUID"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9218" r:id="rId6" name="Button 2">
              <controlPr defaultSize="0" print="0" autoFill="0" autoPict="0" macro="[0]!FindDetails">
                <anchor moveWithCells="1" sizeWithCells="1">
                  <from>
                    <xdr:col>0</xdr:col>
                    <xdr:colOff>66675</xdr:colOff>
                    <xdr:row>8</xdr:row>
                    <xdr:rowOff>104775</xdr:rowOff>
                  </from>
                  <to>
                    <xdr:col>0</xdr:col>
                    <xdr:colOff>752475</xdr:colOff>
                    <xdr:row>10</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132C9-18A2-4E31-B8FC-7C9355E2CE57}">
  <sheetPr codeName="Sheet17"/>
  <dimension ref="B1:Q40"/>
  <sheetViews>
    <sheetView showGridLines="0" zoomScale="85" zoomScaleNormal="85" workbookViewId="0">
      <selection activeCell="A13" sqref="A13:XFD13"/>
    </sheetView>
  </sheetViews>
  <sheetFormatPr defaultColWidth="8.85546875" defaultRowHeight="15" x14ac:dyDescent="0.25"/>
  <cols>
    <col min="1" max="1" width="12.42578125" customWidth="1"/>
    <col min="2" max="2" width="21.42578125" customWidth="1"/>
    <col min="3" max="3" width="31.42578125" customWidth="1"/>
    <col min="4" max="4" width="21.42578125" bestFit="1" customWidth="1"/>
    <col min="5" max="5" width="11" hidden="1" customWidth="1"/>
    <col min="6" max="6" width="16.42578125" bestFit="1" customWidth="1"/>
    <col min="7" max="7" width="12.42578125" hidden="1" customWidth="1"/>
    <col min="8" max="8" width="15.42578125" bestFit="1" customWidth="1"/>
    <col min="9" max="10" width="15.42578125" customWidth="1"/>
    <col min="11" max="11" width="15.42578125" bestFit="1" customWidth="1"/>
    <col min="12" max="13" width="19.42578125" customWidth="1"/>
    <col min="14" max="14" width="15" customWidth="1"/>
    <col min="15" max="15" width="35.42578125" customWidth="1"/>
    <col min="16" max="16" width="10.42578125" bestFit="1" customWidth="1"/>
    <col min="17" max="17" width="10.7109375" bestFit="1" customWidth="1"/>
  </cols>
  <sheetData>
    <row r="1" spans="2:17" x14ac:dyDescent="0.25">
      <c r="D1" s="157">
        <v>68427709</v>
      </c>
    </row>
    <row r="2" spans="2:17" x14ac:dyDescent="0.25">
      <c r="B2" t="s">
        <v>0</v>
      </c>
      <c r="D2" s="37">
        <f ca="1">NOW()</f>
        <v>45866.602887384259</v>
      </c>
    </row>
    <row r="3" spans="2:17" x14ac:dyDescent="0.25">
      <c r="B3" t="s">
        <v>1</v>
      </c>
      <c r="D3" s="81">
        <v>6</v>
      </c>
    </row>
    <row r="5" spans="2:17" x14ac:dyDescent="0.25">
      <c r="B5" s="159" t="s">
        <v>2</v>
      </c>
      <c r="C5" s="159"/>
      <c r="D5" s="159"/>
      <c r="E5" s="159"/>
      <c r="F5" s="159"/>
      <c r="G5" s="159"/>
      <c r="H5" s="159"/>
      <c r="I5" s="159"/>
      <c r="J5" s="159"/>
      <c r="K5" s="159"/>
    </row>
    <row r="6" spans="2:17" x14ac:dyDescent="0.25">
      <c r="B6" s="8"/>
      <c r="C6" s="8"/>
      <c r="D6" s="8"/>
      <c r="E6" s="160" t="s">
        <v>3</v>
      </c>
      <c r="F6" s="160" t="s">
        <v>3</v>
      </c>
      <c r="G6" s="160" t="s">
        <v>4</v>
      </c>
      <c r="H6" s="160" t="s">
        <v>5</v>
      </c>
      <c r="I6" s="160" t="s">
        <v>70</v>
      </c>
      <c r="J6" s="160" t="s">
        <v>71</v>
      </c>
      <c r="K6" s="160" t="s">
        <v>6</v>
      </c>
      <c r="L6" s="160" t="s">
        <v>72</v>
      </c>
      <c r="M6" s="160" t="s">
        <v>73</v>
      </c>
      <c r="N6" s="160" t="s">
        <v>8</v>
      </c>
      <c r="O6" s="160" t="s">
        <v>9</v>
      </c>
    </row>
    <row r="7" spans="2:17" x14ac:dyDescent="0.25">
      <c r="B7" s="8" t="s">
        <v>10</v>
      </c>
      <c r="C7" s="8" t="s">
        <v>11</v>
      </c>
      <c r="D7" s="8"/>
      <c r="E7" s="160">
        <f>F7-1</f>
        <v>2024</v>
      </c>
      <c r="F7" s="171">
        <v>2025</v>
      </c>
      <c r="G7" s="160" t="str">
        <f>F7&amp;" vs "&amp;E7</f>
        <v>2025 vs 2024</v>
      </c>
      <c r="H7" s="160" t="str">
        <f>ShowMonthName(D3)</f>
        <v>June</v>
      </c>
      <c r="I7" s="160"/>
      <c r="J7" s="160"/>
      <c r="K7" s="160"/>
      <c r="L7" s="160"/>
      <c r="M7" s="160"/>
      <c r="N7" s="160"/>
    </row>
    <row r="8" spans="2:17" ht="15.75" thickBot="1" x14ac:dyDescent="0.3">
      <c r="B8" s="8"/>
      <c r="C8" s="8"/>
      <c r="D8" s="8"/>
      <c r="F8" s="8"/>
      <c r="G8" s="8"/>
      <c r="H8" s="8"/>
      <c r="I8" s="8"/>
      <c r="J8" s="8"/>
      <c r="K8" s="8"/>
      <c r="L8" s="8"/>
      <c r="M8" s="8"/>
    </row>
    <row r="9" spans="2:17" ht="15.75" thickBot="1" x14ac:dyDescent="0.3">
      <c r="B9" s="41" t="s">
        <v>12</v>
      </c>
      <c r="C9" s="42"/>
      <c r="D9" s="42"/>
      <c r="E9" s="241">
        <f>SUM(E10:E28)</f>
        <v>49950462</v>
      </c>
      <c r="F9" s="241">
        <f>SUM(F10:F28)</f>
        <v>56131906.799999997</v>
      </c>
      <c r="G9" s="241">
        <f>SUM(G10:G28)</f>
        <v>6181444.8000000007</v>
      </c>
      <c r="H9" s="241">
        <f>(F9/12)*$D$3</f>
        <v>28065953.399999999</v>
      </c>
      <c r="I9" s="241" t="e">
        <f>SUM(I10:I28)</f>
        <v>#VALUE!</v>
      </c>
      <c r="J9" s="241" t="e">
        <f>(I9/12)*$D$3</f>
        <v>#VALUE!</v>
      </c>
      <c r="K9" s="241">
        <f>SUM(K10:K28)</f>
        <v>25958541.919999998</v>
      </c>
      <c r="L9" s="242">
        <f>H9-K9</f>
        <v>2107411.4800000004</v>
      </c>
      <c r="M9" s="242" t="e">
        <f>J9-K9</f>
        <v>#VALUE!</v>
      </c>
      <c r="N9" s="164"/>
      <c r="O9" s="11" t="s">
        <v>13</v>
      </c>
      <c r="Q9" s="286" t="e">
        <f>I9/12</f>
        <v>#VALUE!</v>
      </c>
    </row>
    <row r="10" spans="2:17" x14ac:dyDescent="0.25">
      <c r="B10" s="41"/>
      <c r="C10" s="42"/>
      <c r="D10" s="42"/>
      <c r="E10" s="10"/>
      <c r="F10" s="42"/>
      <c r="G10" s="42"/>
      <c r="H10" s="42"/>
      <c r="I10" s="42"/>
      <c r="J10" s="42"/>
      <c r="K10" s="42"/>
      <c r="L10" s="54"/>
      <c r="M10" s="54"/>
      <c r="N10" s="59"/>
      <c r="O10" s="11"/>
    </row>
    <row r="11" spans="2:17" x14ac:dyDescent="0.25">
      <c r="B11" s="55" t="s">
        <v>14</v>
      </c>
      <c r="C11" t="s">
        <v>15</v>
      </c>
      <c r="D11" t="s">
        <v>16</v>
      </c>
      <c r="E11" s="101">
        <f>SUMPRODUCT(('AOP25'!$F$2:$F$623='Summary incl price reduction'!B11)*('AOP25'!$E$2:$E$623=$D$1)*('AOP25'!$S$2:$S$623))</f>
        <v>265000</v>
      </c>
      <c r="F11" s="56" cm="1">
        <f t="array" ref="F11">SUMPRODUCT(('AOP25'!$F$2:$F$403='Summary incl price reduction'!B11)*('AOP25'!$E$2:$E$403=$D$1)*('AOP25'!$U$2:$U$403))</f>
        <v>231000</v>
      </c>
      <c r="G11" s="56">
        <f>F11-E11</f>
        <v>-34000</v>
      </c>
      <c r="H11" s="57">
        <f>(F11/12)*$D$3</f>
        <v>115500</v>
      </c>
      <c r="I11" s="57" t="e" cm="1">
        <f t="array" ref="I11">SUMPRODUCT((AOP25Reduced!$D$2:$D$404='Summary incl price reduction'!B11)*(AOP25Reduced!$C$2:$C$404=$D$1)*(AOP25Reduced!$V$2:$V$404))</f>
        <v>#VALUE!</v>
      </c>
      <c r="J11" s="57" t="e">
        <f>(I11/12)*$D$3</f>
        <v>#VALUE!</v>
      </c>
      <c r="K11" s="56">
        <f>SUMPRODUCT(('BW Summary'!$B$7:$B$237='Summary incl price reduction'!B11)*('BW Summary'!$F$7:$F$237))</f>
        <v>55936.03</v>
      </c>
      <c r="L11" s="187">
        <f>H11-K11</f>
        <v>59563.97</v>
      </c>
      <c r="M11" s="187" t="e">
        <f>J11-K11</f>
        <v>#VALUE!</v>
      </c>
      <c r="N11" s="186">
        <f>IF(ISERROR(K11/H11),0,K11/H11)</f>
        <v>0.48429463203463202</v>
      </c>
      <c r="O11" s="289">
        <v>1</v>
      </c>
    </row>
    <row r="12" spans="2:17" ht="15" customHeight="1" x14ac:dyDescent="0.25">
      <c r="B12" s="55" t="s">
        <v>17</v>
      </c>
      <c r="C12" t="s">
        <v>18</v>
      </c>
      <c r="D12" t="s">
        <v>16</v>
      </c>
      <c r="E12" s="101">
        <f>SUMPRODUCT(('AOP25'!$F$2:$F$623='Summary incl price reduction'!B12)*('AOP25'!$E$2:$E$623=$D$1)*('AOP25'!$S$2:$S$623))</f>
        <v>0</v>
      </c>
      <c r="F12" s="56" cm="1">
        <f t="array" ref="F12">SUMPRODUCT(('AOP25'!$F$2:$F$403='Summary incl price reduction'!B12)*('AOP25'!$E$2:$E$403=$D$1)*('AOP25'!$U$2:$U$403))</f>
        <v>0</v>
      </c>
      <c r="G12" s="56">
        <f t="shared" ref="G12:G28" si="0">F12-E12</f>
        <v>0</v>
      </c>
      <c r="H12" s="57">
        <f t="shared" ref="H12:H28" si="1">(F12/12)*$D$3</f>
        <v>0</v>
      </c>
      <c r="I12" s="57" t="e" cm="1">
        <f t="array" ref="I12">SUMPRODUCT((AOP25Reduced!$D$2:$D$404='Summary incl price reduction'!B12)*(AOP25Reduced!$C$2:$C$404=$D$1)*(AOP25Reduced!$V$2:$V$404))</f>
        <v>#VALUE!</v>
      </c>
      <c r="J12" s="57" t="e">
        <f t="shared" ref="J12:J28" si="2">(I12/12)*$D$3</f>
        <v>#VALUE!</v>
      </c>
      <c r="K12" s="56">
        <f>SUMPRODUCT(('BW Summary'!$B$7:$B$237='Summary incl price reduction'!B12)*('BW Summary'!$F$7:$F$237))</f>
        <v>0</v>
      </c>
      <c r="L12" s="58">
        <f t="shared" ref="L12:L28" si="3">H12-K12</f>
        <v>0</v>
      </c>
      <c r="M12" s="187" t="e">
        <f t="shared" ref="M12:M28" si="4">J12-K12</f>
        <v>#VALUE!</v>
      </c>
      <c r="N12" s="186">
        <f>IF(ISERROR(K12/H12),0,K12/H12)</f>
        <v>0</v>
      </c>
      <c r="O12" s="13"/>
    </row>
    <row r="13" spans="2:17" x14ac:dyDescent="0.25">
      <c r="B13" s="55" t="s">
        <v>19</v>
      </c>
      <c r="C13" t="s">
        <v>20</v>
      </c>
      <c r="D13" t="s">
        <v>16</v>
      </c>
      <c r="E13" s="101">
        <f>SUMPRODUCT(('AOP25'!$F$2:$F$623='Summary incl price reduction'!B13)*('AOP25'!$E$2:$E$623=$D$1)*('AOP25'!$S$2:$S$623))</f>
        <v>7571000</v>
      </c>
      <c r="F13" s="56" cm="1">
        <f t="array" ref="F13">SUMPRODUCT(('AOP25'!$F$2:$F$403='Summary incl price reduction'!B13)*('AOP25'!$E$2:$E$403=$D$1)*('AOP25'!$U$2:$U$403))</f>
        <v>9765660</v>
      </c>
      <c r="G13" s="56">
        <f t="shared" si="0"/>
        <v>2194660</v>
      </c>
      <c r="H13" s="57">
        <f t="shared" si="1"/>
        <v>4882830</v>
      </c>
      <c r="I13" s="57" t="e" cm="1">
        <f t="array" ref="I13">SUMPRODUCT((AOP25Reduced!$D$2:$D$404='Summary incl price reduction'!B13)*(AOP25Reduced!$C$2:$C$404=$D$1)*(AOP25Reduced!$V$2:$V$404))</f>
        <v>#VALUE!</v>
      </c>
      <c r="J13" s="57" t="e">
        <f t="shared" si="2"/>
        <v>#VALUE!</v>
      </c>
      <c r="K13" s="56">
        <f>SUMPRODUCT(('BW Summary'!$B$7:$B$237='Summary incl price reduction'!B13)*('BW Summary'!$F$7:$F$237))</f>
        <v>4649984.1099999994</v>
      </c>
      <c r="L13" s="184">
        <f>H13-K13</f>
        <v>232845.8900000006</v>
      </c>
      <c r="M13" s="187" t="e">
        <f>J13-K13</f>
        <v>#VALUE!</v>
      </c>
      <c r="N13" s="186">
        <f t="shared" ref="N13:N28" si="5">IF(ISERROR(K13/H13),0,K13/H13)</f>
        <v>0.95231333263701567</v>
      </c>
      <c r="O13" s="13"/>
    </row>
    <row r="14" spans="2:17" x14ac:dyDescent="0.25">
      <c r="B14" s="61" t="s">
        <v>22</v>
      </c>
      <c r="C14" t="s">
        <v>23</v>
      </c>
      <c r="D14" t="s">
        <v>24</v>
      </c>
      <c r="E14" s="101">
        <f>SUMPRODUCT(('AOP25'!$F$2:$F$623='Summary incl price reduction'!B14)*('AOP25'!$E$2:$E$623=$D$1)*('AOP25'!$S$2:$S$623))</f>
        <v>6284500</v>
      </c>
      <c r="F14" s="56" cm="1">
        <f t="array" ref="F14">SUMPRODUCT(('AOP25'!$F$2:$F$403='Summary incl price reduction'!B14)*('AOP25'!$E$2:$E$403=$D$1)*('AOP25'!$U$2:$U$403))</f>
        <v>6986900</v>
      </c>
      <c r="G14" s="56">
        <f t="shared" si="0"/>
        <v>702400</v>
      </c>
      <c r="H14" s="57">
        <f t="shared" si="1"/>
        <v>3493450</v>
      </c>
      <c r="I14" s="57" t="e" cm="1">
        <f t="array" ref="I14">SUMPRODUCT((AOP25Reduced!$D$2:$D$404='Summary incl price reduction'!B14)*(AOP25Reduced!$C$2:$C$404=$D$1)*(AOP25Reduced!$V$2:$V$404))</f>
        <v>#VALUE!</v>
      </c>
      <c r="J14" s="57" t="e">
        <f t="shared" si="2"/>
        <v>#VALUE!</v>
      </c>
      <c r="K14" s="56">
        <f>SUMPRODUCT(('BW Summary'!$B$7:$B$237='Summary incl price reduction'!B14)*('BW Summary'!$F$7:$F$237))</f>
        <v>2830081.7399999998</v>
      </c>
      <c r="L14" s="58">
        <f t="shared" si="3"/>
        <v>663368.26000000024</v>
      </c>
      <c r="M14" s="187" t="e">
        <f t="shared" si="4"/>
        <v>#VALUE!</v>
      </c>
      <c r="N14" s="186">
        <f t="shared" si="5"/>
        <v>0.81011084744307194</v>
      </c>
      <c r="O14" s="13"/>
    </row>
    <row r="15" spans="2:17" ht="15.6" customHeight="1" x14ac:dyDescent="0.25">
      <c r="B15" s="61" t="s">
        <v>26</v>
      </c>
      <c r="C15" t="s">
        <v>27</v>
      </c>
      <c r="D15" t="s">
        <v>24</v>
      </c>
      <c r="E15" s="101">
        <f>SUMPRODUCT(('AOP25'!$F$2:$F$623='Summary incl price reduction'!B15)*('AOP25'!$E$2:$E$623=$D$1)*('AOP25'!$S$2:$S$623))</f>
        <v>0</v>
      </c>
      <c r="F15" s="56" cm="1">
        <f t="array" ref="F15">SUMPRODUCT(('AOP25'!$F$2:$F$403='Summary incl price reduction'!B15)*('AOP25'!$E$2:$E$403=$D$1)*('AOP25'!$U$2:$U$403))</f>
        <v>0</v>
      </c>
      <c r="G15" s="56">
        <f t="shared" si="0"/>
        <v>0</v>
      </c>
      <c r="H15" s="57">
        <f t="shared" si="1"/>
        <v>0</v>
      </c>
      <c r="I15" s="57" t="e" cm="1">
        <f t="array" ref="I15">SUMPRODUCT((AOP25Reduced!$D$2:$D$404='Summary incl price reduction'!B15)*(AOP25Reduced!$C$2:$C$404=$D$1)*(AOP25Reduced!$V$2:$V$404))</f>
        <v>#VALUE!</v>
      </c>
      <c r="J15" s="57" t="e">
        <f t="shared" si="2"/>
        <v>#VALUE!</v>
      </c>
      <c r="K15" s="56">
        <f>SUMPRODUCT(('BW Summary'!$B$7:$B$237='Summary incl price reduction'!B15)*('BW Summary'!$F$7:$F$237))</f>
        <v>930</v>
      </c>
      <c r="L15" s="58">
        <f t="shared" si="3"/>
        <v>-930</v>
      </c>
      <c r="M15" s="187" t="e">
        <f t="shared" si="4"/>
        <v>#VALUE!</v>
      </c>
      <c r="N15" s="186">
        <f t="shared" si="5"/>
        <v>0</v>
      </c>
      <c r="O15" s="13"/>
    </row>
    <row r="16" spans="2:17" x14ac:dyDescent="0.25">
      <c r="B16" s="61" t="s">
        <v>28</v>
      </c>
      <c r="C16" t="s">
        <v>29</v>
      </c>
      <c r="D16" t="s">
        <v>30</v>
      </c>
      <c r="E16" s="101">
        <f>SUMPRODUCT(('AOP25'!$F$2:$F$623='Summary incl price reduction'!B16)*('AOP25'!$E$2:$E$623=$D$1)*('AOP25'!$S$2:$S$623))</f>
        <v>634960</v>
      </c>
      <c r="F16" s="56" cm="1">
        <f t="array" ref="F16">SUMPRODUCT(('AOP25'!$F$2:$F$403='Summary incl price reduction'!B16)*('AOP25'!$E$2:$E$403=$D$1)*('AOP25'!$U$2:$U$403))</f>
        <v>354960</v>
      </c>
      <c r="G16" s="56">
        <f t="shared" si="0"/>
        <v>-280000</v>
      </c>
      <c r="H16" s="57">
        <f t="shared" si="1"/>
        <v>177480</v>
      </c>
      <c r="I16" s="57" t="e" cm="1">
        <f t="array" ref="I16">SUMPRODUCT((AOP25Reduced!$D$2:$D$404='Summary incl price reduction'!B16)*(AOP25Reduced!$C$2:$C$404=$D$1)*(AOP25Reduced!$V$2:$V$404))</f>
        <v>#VALUE!</v>
      </c>
      <c r="J16" s="57" t="e">
        <f t="shared" si="2"/>
        <v>#VALUE!</v>
      </c>
      <c r="K16" s="56">
        <f>SUMPRODUCT(('BW Summary'!$B$7:$B$237='Summary incl price reduction'!B16)*('BW Summary'!$F$7:$F$237))</f>
        <v>148539.65</v>
      </c>
      <c r="L16" s="58">
        <f t="shared" si="3"/>
        <v>28940.350000000006</v>
      </c>
      <c r="M16" s="187" t="e">
        <f t="shared" si="4"/>
        <v>#VALUE!</v>
      </c>
      <c r="N16" s="186">
        <f t="shared" si="5"/>
        <v>0.83693740139734052</v>
      </c>
      <c r="O16" s="13"/>
    </row>
    <row r="17" spans="2:15" x14ac:dyDescent="0.25">
      <c r="B17" s="62" t="s">
        <v>31</v>
      </c>
      <c r="C17" t="s">
        <v>32</v>
      </c>
      <c r="D17" t="s">
        <v>33</v>
      </c>
      <c r="E17" s="101">
        <f>SUMPRODUCT(('AOP25'!$F$2:$F$623='Summary incl price reduction'!B17)*('AOP25'!$E$2:$E$623=$D$1)*('AOP25'!$S$2:$S$623))</f>
        <v>2260000</v>
      </c>
      <c r="F17" s="56" cm="1">
        <f t="array" ref="F17">SUMPRODUCT(('AOP25'!$F$2:$F$403='Summary incl price reduction'!B17)*('AOP25'!$E$2:$E$403=$D$1)*('AOP25'!$U$2:$U$403))</f>
        <v>2060000</v>
      </c>
      <c r="G17" s="56">
        <f t="shared" si="0"/>
        <v>-200000</v>
      </c>
      <c r="H17" s="57">
        <f t="shared" si="1"/>
        <v>1030000</v>
      </c>
      <c r="I17" s="57" t="e" cm="1">
        <f t="array" ref="I17">SUMPRODUCT((AOP25Reduced!$D$2:$D$404='Summary incl price reduction'!B17)*(AOP25Reduced!$C$2:$C$404=$D$1)*(AOP25Reduced!$V$2:$V$404))</f>
        <v>#VALUE!</v>
      </c>
      <c r="J17" s="57" t="e">
        <f t="shared" si="2"/>
        <v>#VALUE!</v>
      </c>
      <c r="K17" s="56">
        <f>SUMPRODUCT(('BW Summary'!$B$7:$B$237='Summary incl price reduction'!B17)*('BW Summary'!$F$7:$F$237))</f>
        <v>977835.23</v>
      </c>
      <c r="L17" s="58">
        <f t="shared" si="3"/>
        <v>52164.770000000019</v>
      </c>
      <c r="M17" s="187" t="e">
        <f t="shared" si="4"/>
        <v>#VALUE!</v>
      </c>
      <c r="N17" s="186">
        <f t="shared" si="5"/>
        <v>0.94935459223300966</v>
      </c>
      <c r="O17" s="13"/>
    </row>
    <row r="18" spans="2:15" x14ac:dyDescent="0.25">
      <c r="B18" s="62" t="s">
        <v>34</v>
      </c>
      <c r="C18" t="s">
        <v>35</v>
      </c>
      <c r="D18" t="s">
        <v>33</v>
      </c>
      <c r="E18" s="101">
        <f>SUMPRODUCT(('AOP25'!$F$2:$F$623='Summary incl price reduction'!B18)*('AOP25'!$E$2:$E$623=$D$1)*('AOP25'!$S$2:$S$623))</f>
        <v>0</v>
      </c>
      <c r="F18" s="56" cm="1">
        <f t="array" ref="F18">SUMPRODUCT(('AOP25'!$F$2:$F$403='Summary incl price reduction'!B18)*('AOP25'!$E$2:$E$403=$D$1)*('AOP25'!$U$2:$U$403))</f>
        <v>0</v>
      </c>
      <c r="G18" s="56">
        <f t="shared" si="0"/>
        <v>0</v>
      </c>
      <c r="H18" s="57">
        <f t="shared" si="1"/>
        <v>0</v>
      </c>
      <c r="I18" s="57" t="e" cm="1">
        <f t="array" ref="I18">SUMPRODUCT((AOP25Reduced!$D$2:$D$404='Summary incl price reduction'!B18)*(AOP25Reduced!$C$2:$C$404=$D$1)*(AOP25Reduced!$V$2:$V$404))</f>
        <v>#VALUE!</v>
      </c>
      <c r="J18" s="57" t="e">
        <f t="shared" si="2"/>
        <v>#VALUE!</v>
      </c>
      <c r="K18" s="56">
        <f>SUMPRODUCT(('BW Summary'!$B$7:$B$237='Summary incl price reduction'!B18)*('BW Summary'!$F$7:$F$237))</f>
        <v>0</v>
      </c>
      <c r="L18" s="58">
        <f t="shared" si="3"/>
        <v>0</v>
      </c>
      <c r="M18" s="187" t="e">
        <f t="shared" si="4"/>
        <v>#VALUE!</v>
      </c>
      <c r="N18" s="186">
        <f t="shared" si="5"/>
        <v>0</v>
      </c>
      <c r="O18" s="13"/>
    </row>
    <row r="19" spans="2:15" x14ac:dyDescent="0.25">
      <c r="B19" s="61" t="s">
        <v>36</v>
      </c>
      <c r="C19" t="s">
        <v>37</v>
      </c>
      <c r="D19" t="s">
        <v>33</v>
      </c>
      <c r="E19" s="101">
        <f>SUMPRODUCT(('AOP25'!$F$2:$F$623='Summary incl price reduction'!B19)*('AOP25'!$E$2:$E$623=$D$1)*('AOP25'!$S$2:$S$623))</f>
        <v>1499144</v>
      </c>
      <c r="F19" s="56" cm="1">
        <f t="array" ref="F19">SUMPRODUCT(('AOP25'!$F$2:$F$403='Summary incl price reduction'!B19)*('AOP25'!$E$2:$E$403=$D$1)*('AOP25'!$U$2:$U$403))</f>
        <v>1322700</v>
      </c>
      <c r="G19" s="56">
        <f t="shared" si="0"/>
        <v>-176444</v>
      </c>
      <c r="H19" s="57">
        <f t="shared" si="1"/>
        <v>661350</v>
      </c>
      <c r="I19" s="57" t="e" cm="1">
        <f t="array" ref="I19">SUMPRODUCT((AOP25Reduced!$D$2:$D$404='Summary incl price reduction'!B19)*(AOP25Reduced!$C$2:$C$404=$D$1)*(AOP25Reduced!$V$2:$V$404))</f>
        <v>#VALUE!</v>
      </c>
      <c r="J19" s="57" t="e">
        <f t="shared" si="2"/>
        <v>#VALUE!</v>
      </c>
      <c r="K19" s="56">
        <f>SUMPRODUCT(('BW Summary'!$B$7:$B$237='Summary incl price reduction'!B19)*('BW Summary'!$F$7:$F$237))</f>
        <v>622759.87</v>
      </c>
      <c r="L19" s="58">
        <f t="shared" si="3"/>
        <v>38590.130000000005</v>
      </c>
      <c r="M19" s="187" t="e">
        <f t="shared" si="4"/>
        <v>#VALUE!</v>
      </c>
      <c r="N19" s="186">
        <f t="shared" si="5"/>
        <v>0.94164945943902623</v>
      </c>
      <c r="O19" s="13"/>
    </row>
    <row r="20" spans="2:15" x14ac:dyDescent="0.25">
      <c r="B20" s="62" t="s">
        <v>38</v>
      </c>
      <c r="C20" t="s">
        <v>39</v>
      </c>
      <c r="D20" t="s">
        <v>33</v>
      </c>
      <c r="E20" s="101">
        <f>SUMPRODUCT(('AOP25'!$F$2:$F$623='Summary incl price reduction'!B20)*('AOP25'!$E$2:$E$623=$D$1)*('AOP25'!$S$2:$S$623))</f>
        <v>122920</v>
      </c>
      <c r="F20" s="56" cm="1">
        <f t="array" ref="F20">SUMPRODUCT(('AOP25'!$F$2:$F$403='Summary incl price reduction'!B20)*('AOP25'!$E$2:$E$403=$D$1)*('AOP25'!$U$2:$U$403))</f>
        <v>157500</v>
      </c>
      <c r="G20" s="56">
        <f t="shared" si="0"/>
        <v>34580</v>
      </c>
      <c r="H20" s="57">
        <f t="shared" si="1"/>
        <v>78750</v>
      </c>
      <c r="I20" s="57" t="e" cm="1">
        <f t="array" ref="I20">SUMPRODUCT((AOP25Reduced!$D$2:$D$404='Summary incl price reduction'!B20)*(AOP25Reduced!$C$2:$C$404=$D$1)*(AOP25Reduced!$V$2:$V$404))</f>
        <v>#VALUE!</v>
      </c>
      <c r="J20" s="57" t="e">
        <f t="shared" si="2"/>
        <v>#VALUE!</v>
      </c>
      <c r="K20" s="56">
        <f>SUMPRODUCT(('BW Summary'!$B$7:$B$237='Summary incl price reduction'!B20)*('BW Summary'!$F$7:$F$237))</f>
        <v>199809.45</v>
      </c>
      <c r="L20" s="58">
        <f t="shared" si="3"/>
        <v>-121059.45000000001</v>
      </c>
      <c r="M20" s="187" t="e">
        <f t="shared" si="4"/>
        <v>#VALUE!</v>
      </c>
      <c r="N20" s="186">
        <f t="shared" si="5"/>
        <v>2.5372628571428573</v>
      </c>
      <c r="O20" s="13"/>
    </row>
    <row r="21" spans="2:15" x14ac:dyDescent="0.25">
      <c r="B21" s="62" t="s">
        <v>40</v>
      </c>
      <c r="C21" t="s">
        <v>41</v>
      </c>
      <c r="D21" t="s">
        <v>42</v>
      </c>
      <c r="E21" s="101">
        <f>SUMPRODUCT(('AOP25'!$F$2:$F$623='Summary incl price reduction'!B21)*('AOP25'!$E$2:$E$623=$D$1)*('AOP25'!$S$2:$S$623))</f>
        <v>1394000</v>
      </c>
      <c r="F21" s="56" cm="1">
        <f t="array" ref="F21">SUMPRODUCT(('AOP25'!$F$2:$F$403='Summary incl price reduction'!B21)*('AOP25'!$E$2:$E$403=$D$1)*('AOP25'!$U$2:$U$403))</f>
        <v>1840500</v>
      </c>
      <c r="G21" s="56">
        <f t="shared" si="0"/>
        <v>446500</v>
      </c>
      <c r="H21" s="57">
        <f t="shared" si="1"/>
        <v>920250</v>
      </c>
      <c r="I21" s="57" t="e" cm="1">
        <f t="array" ref="I21">SUMPRODUCT((AOP25Reduced!$D$2:$D$404='Summary incl price reduction'!B21)*(AOP25Reduced!$C$2:$C$404=$D$1)*(AOP25Reduced!$V$2:$V$404))</f>
        <v>#VALUE!</v>
      </c>
      <c r="J21" s="57" t="e">
        <f t="shared" si="2"/>
        <v>#VALUE!</v>
      </c>
      <c r="K21" s="56">
        <f>SUMPRODUCT(('BW Summary'!$B$7:$B$237='Summary incl price reduction'!B21)*('BW Summary'!$F$7:$F$237))</f>
        <v>619009.25</v>
      </c>
      <c r="L21" s="58">
        <f t="shared" si="3"/>
        <v>301240.75</v>
      </c>
      <c r="M21" s="187" t="e">
        <f t="shared" si="4"/>
        <v>#VALUE!</v>
      </c>
      <c r="N21" s="186">
        <f t="shared" si="5"/>
        <v>0.67265335506655799</v>
      </c>
      <c r="O21" s="13"/>
    </row>
    <row r="22" spans="2:15" x14ac:dyDescent="0.25">
      <c r="B22" s="61" t="s">
        <v>44</v>
      </c>
      <c r="C22" t="s">
        <v>46</v>
      </c>
      <c r="D22" t="s">
        <v>46</v>
      </c>
      <c r="E22" s="101">
        <f>SUMPRODUCT(('AOP25'!$F$2:$F$623='Summary incl price reduction'!B22)*('AOP25'!$E$2:$E$623=$D$1)*('AOP25'!$S$2:$S$623))</f>
        <v>7420000</v>
      </c>
      <c r="F22" s="56" cm="1">
        <f t="array" ref="F22">SUMPRODUCT(('AOP25'!$F$2:$F$403='Summary incl price reduction'!B22)*('AOP25'!$E$2:$E$403=$D$1)*('AOP25'!$U$2:$U$403))</f>
        <v>6963500</v>
      </c>
      <c r="G22" s="56">
        <f t="shared" si="0"/>
        <v>-456500</v>
      </c>
      <c r="H22" s="57">
        <f t="shared" si="1"/>
        <v>3481750</v>
      </c>
      <c r="I22" s="57" t="e" cm="1">
        <f t="array" ref="I22">SUMPRODUCT((AOP25Reduced!$D$2:$D$404='Summary incl price reduction'!B22)*(AOP25Reduced!$C$2:$C$404=$D$1)*(AOP25Reduced!$V$2:$V$404))</f>
        <v>#VALUE!</v>
      </c>
      <c r="J22" s="57" t="e">
        <f t="shared" si="2"/>
        <v>#VALUE!</v>
      </c>
      <c r="K22" s="56">
        <f>SUMPRODUCT(('BW Summary'!$B$7:$B$237='Summary incl price reduction'!B22)*('BW Summary'!$F$7:$F$237))</f>
        <v>3240147.68</v>
      </c>
      <c r="L22" s="58">
        <f t="shared" si="3"/>
        <v>241602.31999999983</v>
      </c>
      <c r="M22" s="187" t="e">
        <f t="shared" si="4"/>
        <v>#VALUE!</v>
      </c>
      <c r="N22" s="186">
        <f t="shared" si="5"/>
        <v>0.93060894090615354</v>
      </c>
      <c r="O22" s="13"/>
    </row>
    <row r="23" spans="2:15" x14ac:dyDescent="0.25">
      <c r="B23" s="61" t="s">
        <v>48</v>
      </c>
      <c r="C23" t="s">
        <v>49</v>
      </c>
      <c r="E23" s="101">
        <f>SUMPRODUCT(('AOP25'!$F$2:$F$623='Summary incl price reduction'!B23)*('AOP25'!$E$2:$E$623=$D$1)*('AOP25'!$S$2:$S$623))</f>
        <v>0</v>
      </c>
      <c r="F23" s="56" cm="1">
        <f t="array" ref="F23">SUMPRODUCT(('AOP25'!$F$2:$F$403='Summary incl price reduction'!B23)*('AOP25'!$E$2:$E$403=$D$1)*('AOP25'!$U$2:$U$403))</f>
        <v>0</v>
      </c>
      <c r="G23" s="56">
        <f t="shared" si="0"/>
        <v>0</v>
      </c>
      <c r="H23" s="57">
        <f t="shared" si="1"/>
        <v>0</v>
      </c>
      <c r="I23" s="57" t="e" cm="1">
        <f t="array" ref="I23">SUMPRODUCT((AOP25Reduced!$D$2:$D$404='Summary incl price reduction'!B23)*(AOP25Reduced!$C$2:$C$404=$D$1)*(AOP25Reduced!$V$2:$V$404))</f>
        <v>#VALUE!</v>
      </c>
      <c r="J23" s="57" t="e">
        <f t="shared" si="2"/>
        <v>#VALUE!</v>
      </c>
      <c r="K23" s="56">
        <f>SUMPRODUCT(('BW Summary'!$B$7:$B$237='Summary incl price reduction'!B23)*('BW Summary'!$F$7:$F$237))</f>
        <v>0</v>
      </c>
      <c r="L23" s="58">
        <f t="shared" si="3"/>
        <v>0</v>
      </c>
      <c r="M23" s="187" t="e">
        <f t="shared" si="4"/>
        <v>#VALUE!</v>
      </c>
      <c r="N23" s="186">
        <f t="shared" si="5"/>
        <v>0</v>
      </c>
      <c r="O23" s="13"/>
    </row>
    <row r="24" spans="2:15" x14ac:dyDescent="0.25">
      <c r="B24" s="61" t="s">
        <v>50</v>
      </c>
      <c r="C24" t="s">
        <v>51</v>
      </c>
      <c r="E24" s="101">
        <f>SUMPRODUCT(('AOP25'!$F$2:$F$623='Summary incl price reduction'!B24)*('AOP25'!$E$2:$E$623=$D$1)*('AOP25'!$S$2:$S$623))</f>
        <v>0</v>
      </c>
      <c r="F24" s="56" cm="1">
        <f t="array" ref="F24">SUMPRODUCT(('AOP25'!$F$2:$F$403='Summary incl price reduction'!B24)*('AOP25'!$E$2:$E$403=$D$1)*('AOP25'!$U$2:$U$403))</f>
        <v>0</v>
      </c>
      <c r="G24" s="56">
        <f t="shared" si="0"/>
        <v>0</v>
      </c>
      <c r="H24" s="57">
        <f t="shared" si="1"/>
        <v>0</v>
      </c>
      <c r="I24" s="57" t="e" cm="1">
        <f t="array" ref="I24">SUMPRODUCT((AOP25Reduced!$D$2:$D$404='Summary incl price reduction'!B24)*(AOP25Reduced!$C$2:$C$404=$D$1)*(AOP25Reduced!$V$2:$V$404))</f>
        <v>#VALUE!</v>
      </c>
      <c r="J24" s="57" t="e">
        <f t="shared" si="2"/>
        <v>#VALUE!</v>
      </c>
      <c r="K24" s="56">
        <f>SUMPRODUCT(('BW Summary'!$B$7:$B$237='Summary incl price reduction'!B24)*('BW Summary'!$F$7:$F$237))</f>
        <v>0</v>
      </c>
      <c r="L24" s="58">
        <f t="shared" si="3"/>
        <v>0</v>
      </c>
      <c r="M24" s="187" t="e">
        <f t="shared" si="4"/>
        <v>#VALUE!</v>
      </c>
      <c r="N24" s="186">
        <f t="shared" si="5"/>
        <v>0</v>
      </c>
      <c r="O24" s="13"/>
    </row>
    <row r="25" spans="2:15" x14ac:dyDescent="0.25">
      <c r="B25" s="61" t="s">
        <v>52</v>
      </c>
      <c r="C25" t="s">
        <v>53</v>
      </c>
      <c r="E25" s="101">
        <f>SUMPRODUCT(('AOP25'!$F$2:$F$623='Summary incl price reduction'!B25)*('AOP25'!$E$2:$E$623=$D$1)*('AOP25'!$S$2:$S$623))</f>
        <v>0</v>
      </c>
      <c r="F25" s="56" cm="1">
        <f t="array" ref="F25">SUMPRODUCT(('AOP25'!$F$2:$F$403='Summary incl price reduction'!B25)*('AOP25'!$E$2:$E$403=$D$1)*('AOP25'!$U$2:$U$403))</f>
        <v>0</v>
      </c>
      <c r="G25" s="56">
        <f t="shared" si="0"/>
        <v>0</v>
      </c>
      <c r="H25" s="57">
        <f t="shared" si="1"/>
        <v>0</v>
      </c>
      <c r="I25" s="57" t="e" cm="1">
        <f t="array" ref="I25">SUMPRODUCT((AOP25Reduced!$D$2:$D$404='Summary incl price reduction'!B25)*(AOP25Reduced!$C$2:$C$404=$D$1)*(AOP25Reduced!$V$2:$V$404))</f>
        <v>#VALUE!</v>
      </c>
      <c r="J25" s="57" t="e">
        <f t="shared" si="2"/>
        <v>#VALUE!</v>
      </c>
      <c r="K25" s="56">
        <f>SUMPRODUCT(('BW Summary'!$B$7:$B$237='Summary incl price reduction'!B25)*('BW Summary'!$F$7:$F$237))</f>
        <v>0</v>
      </c>
      <c r="L25" s="58">
        <f t="shared" si="3"/>
        <v>0</v>
      </c>
      <c r="M25" s="187" t="e">
        <f t="shared" si="4"/>
        <v>#VALUE!</v>
      </c>
      <c r="N25" s="186">
        <f t="shared" si="5"/>
        <v>0</v>
      </c>
      <c r="O25" s="13"/>
    </row>
    <row r="26" spans="2:15" x14ac:dyDescent="0.25">
      <c r="B26" s="61" t="s">
        <v>54</v>
      </c>
      <c r="C26" t="s">
        <v>55</v>
      </c>
      <c r="D26" t="s">
        <v>46</v>
      </c>
      <c r="E26" s="101">
        <f>SUMPRODUCT(('AOP25'!$F$2:$F$623='Summary incl price reduction'!B26)*('AOP25'!$E$2:$E$623=$D$1)*('AOP25'!$S$2:$S$623))</f>
        <v>5595900</v>
      </c>
      <c r="F26" s="56" cm="1">
        <f t="array" ref="F26">SUMPRODUCT(('AOP25'!$F$2:$F$403='Summary incl price reduction'!B26)*('AOP25'!$E$2:$E$403=$D$1)*('AOP25'!$U$2:$U$403))</f>
        <v>5996900</v>
      </c>
      <c r="G26" s="56">
        <f t="shared" si="0"/>
        <v>401000</v>
      </c>
      <c r="H26" s="57">
        <f t="shared" si="1"/>
        <v>2998450</v>
      </c>
      <c r="I26" s="57" t="e" cm="1">
        <f t="array" ref="I26">SUMPRODUCT((AOP25Reduced!$D$2:$D$404='Summary incl price reduction'!B26)*(AOP25Reduced!$C$2:$C$404=$D$1)*(AOP25Reduced!$V$2:$V$404))</f>
        <v>#VALUE!</v>
      </c>
      <c r="J26" s="57" t="e">
        <f t="shared" si="2"/>
        <v>#VALUE!</v>
      </c>
      <c r="K26" s="56">
        <f>SUMPRODUCT(('BW Summary'!$B$7:$B$237='Summary incl price reduction'!B26)*('BW Summary'!$F$7:$F$237))</f>
        <v>2675815.0700000003</v>
      </c>
      <c r="L26" s="58">
        <f t="shared" si="3"/>
        <v>322634.9299999997</v>
      </c>
      <c r="M26" s="187" t="e">
        <f t="shared" si="4"/>
        <v>#VALUE!</v>
      </c>
      <c r="N26" s="186">
        <f t="shared" si="5"/>
        <v>0.89239942970534791</v>
      </c>
      <c r="O26" s="13"/>
    </row>
    <row r="27" spans="2:15" x14ac:dyDescent="0.25">
      <c r="B27" s="63" t="s">
        <v>57</v>
      </c>
      <c r="C27" t="s">
        <v>58</v>
      </c>
      <c r="D27" t="s">
        <v>46</v>
      </c>
      <c r="E27" s="101">
        <f>SUMPRODUCT(('AOP25'!$F$2:$F$623='Summary incl price reduction'!B27)*('AOP25'!$E$2:$E$623=$D$1)*('AOP25'!$S$2:$S$623))</f>
        <v>6967738</v>
      </c>
      <c r="F27" s="56" cm="1">
        <f t="array" ref="F27">SUMPRODUCT(('AOP25'!$F$2:$F$403='Summary incl price reduction'!B27)*('AOP25'!$E$2:$E$403=$D$1)*('AOP25'!$U$2:$U$403))</f>
        <v>7379548</v>
      </c>
      <c r="G27" s="56">
        <f t="shared" si="0"/>
        <v>411810</v>
      </c>
      <c r="H27" s="57">
        <f t="shared" si="1"/>
        <v>3689774</v>
      </c>
      <c r="I27" s="57" t="e" cm="1">
        <f t="array" ref="I27">SUMPRODUCT((AOP25Reduced!$D$2:$D$404='Summary incl price reduction'!B27)*(AOP25Reduced!$C$2:$C$404=$D$1)*(AOP25Reduced!$V$2:$V$404))</f>
        <v>#VALUE!</v>
      </c>
      <c r="J27" s="57" t="e">
        <f t="shared" si="2"/>
        <v>#VALUE!</v>
      </c>
      <c r="K27" s="56">
        <f>SUMPRODUCT(('BW Summary'!$B$7:$B$237='Summary incl price reduction'!B27)*('BW Summary'!$F$7:$F$237))</f>
        <v>3629940.16</v>
      </c>
      <c r="L27" s="58">
        <f t="shared" si="3"/>
        <v>59833.839999999851</v>
      </c>
      <c r="M27" s="187" t="e">
        <f t="shared" si="4"/>
        <v>#VALUE!</v>
      </c>
      <c r="N27" s="186">
        <f t="shared" si="5"/>
        <v>0.98378387402588885</v>
      </c>
      <c r="O27" s="13"/>
    </row>
    <row r="28" spans="2:15" ht="15.75" thickBot="1" x14ac:dyDescent="0.3">
      <c r="B28" s="64" t="s">
        <v>59</v>
      </c>
      <c r="C28" s="15" t="s">
        <v>60</v>
      </c>
      <c r="D28" s="15" t="s">
        <v>46</v>
      </c>
      <c r="E28" s="103">
        <f>SUMPRODUCT(('AOP25'!$F$2:$F$623='Summary incl price reduction'!B28)*('AOP25'!$E$2:$E$623=$D$1)*('AOP25'!$S$2:$S$623))</f>
        <v>9935300</v>
      </c>
      <c r="F28" s="65" cm="1">
        <f t="array" ref="F28">SUMPRODUCT(('AOP25'!$F$2:$F$403='Summary incl price reduction'!B28)*('AOP25'!$E$2:$E$403=$D$1)*('AOP25'!$U$2:$U$403))</f>
        <v>13072738.800000001</v>
      </c>
      <c r="G28" s="65">
        <f t="shared" si="0"/>
        <v>3137438.8000000007</v>
      </c>
      <c r="H28" s="66">
        <f t="shared" si="1"/>
        <v>6536369.4000000004</v>
      </c>
      <c r="I28" s="66" t="e" cm="1">
        <f t="array" ref="I28">SUMPRODUCT((AOP25Reduced!$D$2:$D$404='Summary incl price reduction'!B28)*(AOP25Reduced!$C$2:$C$404=$D$1)*(AOP25Reduced!$V$2:$V$404))</f>
        <v>#VALUE!</v>
      </c>
      <c r="J28" s="66" t="e">
        <f t="shared" si="2"/>
        <v>#VALUE!</v>
      </c>
      <c r="K28" s="65">
        <f>SUMPRODUCT(('BW Summary'!$B$7:$B$237='Summary incl price reduction'!B28)*('BW Summary'!$F$7:$F$237))</f>
        <v>6307753.6799999997</v>
      </c>
      <c r="L28" s="185">
        <f t="shared" si="3"/>
        <v>228615.72000000067</v>
      </c>
      <c r="M28" s="275" t="e">
        <f t="shared" si="4"/>
        <v>#VALUE!</v>
      </c>
      <c r="N28" s="189">
        <f t="shared" si="5"/>
        <v>0.96502405142524528</v>
      </c>
      <c r="O28" s="16"/>
    </row>
    <row r="29" spans="2:15" ht="15.75" thickBot="1" x14ac:dyDescent="0.3"/>
    <row r="30" spans="2:15" ht="15.75" thickBot="1" x14ac:dyDescent="0.3">
      <c r="B30" s="50" t="s">
        <v>62</v>
      </c>
      <c r="C30" s="51"/>
      <c r="D30" s="51"/>
      <c r="E30" s="51"/>
      <c r="F30" s="51"/>
      <c r="G30" s="51"/>
      <c r="H30" s="51"/>
      <c r="I30" s="51"/>
      <c r="J30" s="51"/>
      <c r="K30" s="51"/>
      <c r="L30" s="51"/>
      <c r="M30" s="51"/>
      <c r="N30" s="98"/>
    </row>
    <row r="31" spans="2:15" x14ac:dyDescent="0.25">
      <c r="B31" s="9">
        <v>1</v>
      </c>
      <c r="C31" s="10"/>
      <c r="D31" s="10"/>
      <c r="E31" s="10"/>
      <c r="F31" s="10"/>
      <c r="G31" s="10"/>
      <c r="H31" s="10"/>
      <c r="I31" s="10"/>
      <c r="J31" s="10"/>
      <c r="K31" s="10"/>
      <c r="L31" s="10"/>
      <c r="M31" s="10"/>
      <c r="N31" s="11"/>
    </row>
    <row r="32" spans="2:15" x14ac:dyDescent="0.25">
      <c r="B32" s="12">
        <v>2</v>
      </c>
      <c r="N32" s="13"/>
    </row>
    <row r="33" spans="2:14" x14ac:dyDescent="0.25">
      <c r="B33" s="12">
        <v>3</v>
      </c>
      <c r="N33" s="13"/>
    </row>
    <row r="34" spans="2:14" x14ac:dyDescent="0.25">
      <c r="B34" s="12">
        <v>4</v>
      </c>
      <c r="N34" s="13"/>
    </row>
    <row r="35" spans="2:14" x14ac:dyDescent="0.25">
      <c r="B35" s="12">
        <v>5</v>
      </c>
      <c r="N35" s="13"/>
    </row>
    <row r="36" spans="2:14" x14ac:dyDescent="0.25">
      <c r="B36" s="12">
        <v>6</v>
      </c>
      <c r="N36" s="13"/>
    </row>
    <row r="37" spans="2:14" x14ac:dyDescent="0.25">
      <c r="B37" s="12">
        <v>7</v>
      </c>
      <c r="N37" s="13"/>
    </row>
    <row r="38" spans="2:14" x14ac:dyDescent="0.25">
      <c r="B38" s="12">
        <v>9</v>
      </c>
      <c r="N38" s="13"/>
    </row>
    <row r="39" spans="2:14" x14ac:dyDescent="0.25">
      <c r="B39" s="12">
        <v>10</v>
      </c>
      <c r="N39" s="13"/>
    </row>
    <row r="40" spans="2:14" ht="15.75" thickBot="1" x14ac:dyDescent="0.3">
      <c r="B40" s="14">
        <v>11</v>
      </c>
      <c r="C40" s="15"/>
      <c r="D40" s="15"/>
      <c r="E40" s="15"/>
      <c r="F40" s="15"/>
      <c r="G40" s="15"/>
      <c r="H40" s="15"/>
      <c r="I40" s="15"/>
      <c r="J40" s="15"/>
      <c r="K40" s="15"/>
      <c r="L40" s="15"/>
      <c r="M40" s="15"/>
      <c r="N40" s="16"/>
    </row>
  </sheetData>
  <conditionalFormatting sqref="C11:D11 C26:D28 C12:C23 D12:D25">
    <cfRule type="cellIs" dxfId="13" priority="8" operator="lessThan">
      <formula>0</formula>
    </cfRule>
  </conditionalFormatting>
  <conditionalFormatting sqref="L11:M11 L26:L28 L22:L23 L12:L20 M12:M28">
    <cfRule type="expression" dxfId="12" priority="6">
      <formula>IF(L11&lt;0,1)</formula>
    </cfRule>
    <cfRule type="expression" dxfId="11" priority="7">
      <formula>IF(L11&gt;0,1)</formula>
    </cfRule>
  </conditionalFormatting>
  <conditionalFormatting sqref="C24:C25">
    <cfRule type="cellIs" dxfId="10" priority="5" operator="lessThan">
      <formula>0</formula>
    </cfRule>
  </conditionalFormatting>
  <conditionalFormatting sqref="L24:L25">
    <cfRule type="expression" dxfId="9" priority="3">
      <formula>IF(L24&lt;0,1)</formula>
    </cfRule>
    <cfRule type="expression" dxfId="8" priority="4">
      <formula>IF(L24&gt;0,1)</formula>
    </cfRule>
  </conditionalFormatting>
  <conditionalFormatting sqref="L21">
    <cfRule type="expression" dxfId="7" priority="1">
      <formula>IF(L21&lt;0,1)</formula>
    </cfRule>
    <cfRule type="expression" dxfId="6" priority="2">
      <formula>IF(L21&gt;0,1)</formula>
    </cfRule>
  </conditionalFormatting>
  <pageMargins left="0.7" right="0.7" top="0.75" bottom="0.75" header="0.3" footer="0.3"/>
  <pageSetup paperSize="9" orientation="portrait" r:id="rId1"/>
  <customProperties>
    <customPr name="_pios_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38913" r:id="rId5" name="Button 2">
              <controlPr defaultSize="0" print="0" autoFill="0" autoPict="0" macro="[0]!FindDetails">
                <anchor moveWithCells="1" sizeWithCells="1">
                  <from>
                    <xdr:col>0</xdr:col>
                    <xdr:colOff>66675</xdr:colOff>
                    <xdr:row>8</xdr:row>
                    <xdr:rowOff>104775</xdr:rowOff>
                  </from>
                  <to>
                    <xdr:col>0</xdr:col>
                    <xdr:colOff>752475</xdr:colOff>
                    <xdr:row>10</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733E2-B547-4655-8AD5-ED79E26CDAE7}">
  <sheetPr codeName="Sheet11"/>
  <dimension ref="B1:U32"/>
  <sheetViews>
    <sheetView showGridLines="0" zoomScale="70" zoomScaleNormal="70" workbookViewId="0">
      <selection activeCell="M28" sqref="M28"/>
    </sheetView>
  </sheetViews>
  <sheetFormatPr defaultColWidth="8.85546875" defaultRowHeight="15" x14ac:dyDescent="0.25"/>
  <cols>
    <col min="1" max="1" width="12.42578125" customWidth="1"/>
    <col min="2" max="2" width="11.42578125" customWidth="1"/>
    <col min="3" max="3" width="20.42578125" bestFit="1" customWidth="1"/>
    <col min="4" max="4" width="13.7109375" bestFit="1" customWidth="1"/>
    <col min="5" max="5" width="12.7109375" bestFit="1" customWidth="1"/>
    <col min="6" max="6" width="14.7109375" bestFit="1" customWidth="1"/>
    <col min="7" max="7" width="15.42578125" bestFit="1" customWidth="1"/>
    <col min="8" max="8" width="4.42578125" customWidth="1"/>
    <col min="10" max="10" width="19.42578125" customWidth="1"/>
    <col min="11" max="11" width="13.42578125" bestFit="1" customWidth="1"/>
    <col min="12" max="14" width="11.42578125" bestFit="1" customWidth="1"/>
    <col min="15" max="15" width="11.28515625" bestFit="1" customWidth="1"/>
    <col min="16" max="21" width="10.42578125" bestFit="1" customWidth="1"/>
  </cols>
  <sheetData>
    <row r="1" spans="2:21" x14ac:dyDescent="0.25">
      <c r="E1" s="157">
        <v>68427709</v>
      </c>
    </row>
    <row r="2" spans="2:21" x14ac:dyDescent="0.25">
      <c r="B2" t="s">
        <v>0</v>
      </c>
      <c r="D2" s="37">
        <f ca="1">NOW()</f>
        <v>45866.602887384259</v>
      </c>
    </row>
    <row r="3" spans="2:21" x14ac:dyDescent="0.25">
      <c r="B3" t="s">
        <v>1</v>
      </c>
      <c r="D3">
        <f>Summary!D3</f>
        <v>6</v>
      </c>
      <c r="J3" s="200">
        <f>Summary!F9/12</f>
        <v>4677658.8999999994</v>
      </c>
    </row>
    <row r="4" spans="2:21" ht="15.75" thickBot="1" x14ac:dyDescent="0.3"/>
    <row r="5" spans="2:21" ht="15.75" thickBot="1" x14ac:dyDescent="0.3">
      <c r="B5" s="38" t="s">
        <v>2</v>
      </c>
      <c r="C5" s="39"/>
      <c r="D5" s="39"/>
      <c r="E5" s="39"/>
      <c r="F5" s="39"/>
      <c r="G5" s="40"/>
    </row>
    <row r="6" spans="2:21" x14ac:dyDescent="0.25">
      <c r="B6" s="41"/>
      <c r="C6" s="42"/>
      <c r="D6" s="43" t="s">
        <v>3</v>
      </c>
      <c r="E6" s="43" t="s">
        <v>5</v>
      </c>
      <c r="F6" s="43" t="s">
        <v>6</v>
      </c>
      <c r="G6" s="44" t="s">
        <v>7</v>
      </c>
      <c r="J6" s="9"/>
      <c r="K6" s="10"/>
      <c r="L6" s="10"/>
      <c r="M6" s="10"/>
      <c r="N6" s="10"/>
      <c r="O6" s="10"/>
      <c r="P6" s="10"/>
      <c r="Q6" s="10"/>
      <c r="R6" s="10"/>
      <c r="S6" s="10"/>
      <c r="T6" s="10"/>
      <c r="U6" s="11"/>
    </row>
    <row r="7" spans="2:21" ht="15.75" thickBot="1" x14ac:dyDescent="0.3">
      <c r="B7" s="45" t="s">
        <v>10</v>
      </c>
      <c r="C7" s="46" t="s">
        <v>11</v>
      </c>
      <c r="D7" s="47">
        <f>Summary!F7</f>
        <v>2025</v>
      </c>
      <c r="E7" s="47" t="str">
        <f>ShowMonthName(D3)</f>
        <v>June</v>
      </c>
      <c r="F7" s="47"/>
      <c r="G7" s="48"/>
      <c r="J7" s="45">
        <v>1</v>
      </c>
      <c r="K7" s="46">
        <v>2</v>
      </c>
      <c r="L7" s="46">
        <v>3</v>
      </c>
      <c r="M7" s="46">
        <v>4</v>
      </c>
      <c r="N7" s="46">
        <v>5</v>
      </c>
      <c r="O7" s="46">
        <v>6</v>
      </c>
      <c r="P7" s="46">
        <v>7</v>
      </c>
      <c r="Q7" s="46">
        <v>8</v>
      </c>
      <c r="R7" s="46">
        <v>9</v>
      </c>
      <c r="S7" s="46">
        <v>10</v>
      </c>
      <c r="T7" s="46">
        <v>11</v>
      </c>
      <c r="U7" s="138">
        <v>12</v>
      </c>
    </row>
    <row r="8" spans="2:21" ht="15.75" thickBot="1" x14ac:dyDescent="0.3">
      <c r="B8" s="8"/>
      <c r="C8" s="8"/>
      <c r="D8" s="8"/>
      <c r="E8" s="8"/>
      <c r="F8" s="8"/>
      <c r="G8" s="8"/>
    </row>
    <row r="9" spans="2:21" ht="15.75" thickBot="1" x14ac:dyDescent="0.3">
      <c r="B9" s="50" t="s">
        <v>12</v>
      </c>
      <c r="C9" s="51"/>
      <c r="D9" s="52">
        <f>SUM(D10:D28)</f>
        <v>56131906.799999997</v>
      </c>
      <c r="E9" s="52">
        <f>(D9/12)*$D$3</f>
        <v>28065953.399999999</v>
      </c>
      <c r="F9" s="52">
        <f>SUM(F10:F28)</f>
        <v>25958541.919999998</v>
      </c>
      <c r="G9" s="53">
        <f>E9-F9</f>
        <v>2107411.4800000004</v>
      </c>
      <c r="J9" s="139">
        <f>SUM(J10:J28)</f>
        <v>4493785.62</v>
      </c>
      <c r="K9" s="140">
        <f t="shared" ref="K9:U9" si="0">SUM(K10:K28)</f>
        <v>4420984.66</v>
      </c>
      <c r="L9" s="140">
        <f t="shared" si="0"/>
        <v>3957769.91</v>
      </c>
      <c r="M9" s="140">
        <f t="shared" si="0"/>
        <v>4263894.9000000004</v>
      </c>
      <c r="N9" s="140">
        <f t="shared" si="0"/>
        <v>4228926.1499999994</v>
      </c>
      <c r="O9" s="140">
        <f t="shared" si="0"/>
        <v>4575385.8</v>
      </c>
      <c r="P9" s="140">
        <f t="shared" si="0"/>
        <v>17794.88</v>
      </c>
      <c r="Q9" s="140">
        <f t="shared" si="0"/>
        <v>0</v>
      </c>
      <c r="R9" s="140">
        <f t="shared" si="0"/>
        <v>0</v>
      </c>
      <c r="S9" s="140">
        <f t="shared" si="0"/>
        <v>0</v>
      </c>
      <c r="T9" s="140">
        <f t="shared" si="0"/>
        <v>0</v>
      </c>
      <c r="U9" s="141">
        <f t="shared" si="0"/>
        <v>0</v>
      </c>
    </row>
    <row r="10" spans="2:21" x14ac:dyDescent="0.25">
      <c r="B10" s="41"/>
      <c r="C10" s="42"/>
      <c r="D10" s="42"/>
      <c r="E10" s="42"/>
      <c r="F10" s="42"/>
      <c r="G10" s="54"/>
      <c r="J10" s="107"/>
      <c r="K10" s="101"/>
      <c r="L10" s="101"/>
      <c r="M10" s="101"/>
      <c r="N10" s="101"/>
      <c r="O10" s="101"/>
      <c r="P10" s="101"/>
      <c r="Q10" s="101"/>
      <c r="R10" s="101"/>
      <c r="S10" s="101"/>
      <c r="T10" s="101"/>
      <c r="U10" s="142"/>
    </row>
    <row r="11" spans="2:21" x14ac:dyDescent="0.25">
      <c r="B11" s="55" t="s">
        <v>14</v>
      </c>
      <c r="C11" t="s">
        <v>15</v>
      </c>
      <c r="D11" s="56" cm="1">
        <f t="array" ref="D11">SUMPRODUCT(('AOP25'!$F$2:$F$403=Summary!B11)*('AOP25'!$E$2:$E$403=$E$1)*('AOP25'!$U$2:$U$403))</f>
        <v>231000</v>
      </c>
      <c r="E11" s="57">
        <f t="shared" ref="E11:E28" si="1">(D11/12)*$D$3</f>
        <v>115500</v>
      </c>
      <c r="F11" s="56">
        <f>SUMPRODUCT(('BW Summary'!$B$7:$B$483=LE!B11)*('BW Summary'!$F$7:$F$483))</f>
        <v>55936.03</v>
      </c>
      <c r="G11" s="58">
        <f>E11-F11</f>
        <v>59563.97</v>
      </c>
      <c r="J11" s="162">
        <f>SUMPRODUCT(('BW Summary'!$B$7:$B$483=LE!$B11)*('BW Summary'!$G$7:$G$483))</f>
        <v>8036.3</v>
      </c>
      <c r="K11" s="163" cm="1">
        <f t="array" ref="K11">SUMPRODUCT(('BW Summary'!$B$7:$B$483=LE!$B11)*('BW Summary'!$H$7:$H$483))</f>
        <v>20675.330000000002</v>
      </c>
      <c r="L11" s="163" cm="1">
        <f t="array" ref="L11">SUMPRODUCT(('BW Summary'!$B$7:$B$483=LE!$B11)*('BW Summary'!$I$7:$I$483))</f>
        <v>8686.8700000000008</v>
      </c>
      <c r="M11" s="163" cm="1">
        <f t="array" ref="M11">SUMPRODUCT(('BW Summary'!$B$7:$B$483=LE!$B11)*('BW Summary'!$J$7:$J$483))</f>
        <v>-7500</v>
      </c>
      <c r="N11" s="163" cm="1">
        <f t="array" ref="N11">SUMPRODUCT(('BW Summary'!$B$7:$B$483=LE!$B11)*('BW Summary'!$K$7:$K$483))</f>
        <v>17362.2</v>
      </c>
      <c r="O11" s="163" cm="1">
        <f t="array" ref="O11">SUMPRODUCT(('BW Summary'!$B$7:$B$483=LE!$B11)*('BW Summary'!$L$7:$L$483))</f>
        <v>8675.33</v>
      </c>
      <c r="P11" s="163" cm="1">
        <f t="array" ref="P11">SUMPRODUCT(('BW Summary'!$B$7:$B$483=LE!$B11)*('BW Summary'!$M$7:$M$483))</f>
        <v>0</v>
      </c>
      <c r="Q11" s="101" cm="1">
        <f t="array" ref="Q11">SUMPRODUCT(('BW Summary'!$B$7:$B$483=LE!$B11)*('BW Summary'!$N$7:$N$483))</f>
        <v>0</v>
      </c>
      <c r="R11" s="101" cm="1">
        <f t="array" ref="R11">SUMPRODUCT(('BW Summary'!$B$7:$B$483=LE!$B11)*('BW Summary'!$O$7:$O$483))</f>
        <v>0</v>
      </c>
      <c r="S11" s="101" cm="1">
        <f t="array" ref="S11">SUMPRODUCT(('BW Summary'!$B$7:$B$483=LE!$B11)*('BW Summary'!$P$7:$P$483))</f>
        <v>0</v>
      </c>
      <c r="T11" s="101" cm="1">
        <f t="array" ref="T11">SUMPRODUCT(('BW Summary'!$B$7:$B$483=LE!$B11)*('BW Summary'!$Q$7:$Q$483))</f>
        <v>0</v>
      </c>
      <c r="U11" s="142" cm="1">
        <f t="array" ref="U11">SUMPRODUCT(('BW Summary'!$B$7:$B$483=LE!$B11)*('BW Summary'!$R$7:$R$483))</f>
        <v>0</v>
      </c>
    </row>
    <row r="12" spans="2:21" x14ac:dyDescent="0.25">
      <c r="B12" s="55" t="s">
        <v>17</v>
      </c>
      <c r="C12" t="s">
        <v>18</v>
      </c>
      <c r="D12" s="56" cm="1">
        <f t="array" ref="D12">SUMPRODUCT(('AOP25'!$F$2:$F$403=Summary!B12)*('AOP25'!$E$2:$E$403=$E$1)*('AOP25'!$U$2:$U$403))</f>
        <v>0</v>
      </c>
      <c r="E12" s="57">
        <f t="shared" si="1"/>
        <v>0</v>
      </c>
      <c r="F12" s="56">
        <f>SUMPRODUCT(('BW Summary'!$B$7:$B$483=LE!B12)*('BW Summary'!$F$7:$F$483))</f>
        <v>0</v>
      </c>
      <c r="G12" s="58">
        <f t="shared" ref="G12:G28" si="2">E12-F12</f>
        <v>0</v>
      </c>
      <c r="J12" s="107">
        <f>SUMPRODUCT(('BW Summary'!$B$7:$B$483=LE!$B12)*('BW Summary'!$G$7:$G$483))</f>
        <v>0</v>
      </c>
      <c r="K12" s="101" cm="1">
        <f t="array" ref="K12">SUMPRODUCT(('BW Summary'!$B$7:$B$483=LE!$B12)*('BW Summary'!$H$7:$H$483))</f>
        <v>0</v>
      </c>
      <c r="L12" s="101" cm="1">
        <f t="array" ref="L12">SUMPRODUCT(('BW Summary'!$B$7:$B$483=LE!$B12)*('BW Summary'!$I$7:$I$483))</f>
        <v>0</v>
      </c>
      <c r="M12" s="101" cm="1">
        <f t="array" ref="M12">SUMPRODUCT(('BW Summary'!$B$7:$B$483=LE!$B12)*('BW Summary'!$J$7:$J$483))</f>
        <v>0</v>
      </c>
      <c r="N12" s="101" cm="1">
        <f t="array" ref="N12">SUMPRODUCT(('BW Summary'!$B$7:$B$483=LE!$B12)*('BW Summary'!$K$7:$K$483))</f>
        <v>0</v>
      </c>
      <c r="O12" s="101" cm="1">
        <f t="array" ref="O12">SUMPRODUCT(('BW Summary'!$B$7:$B$483=LE!$B12)*('BW Summary'!$L$7:$L$483))</f>
        <v>0</v>
      </c>
      <c r="P12" s="101" cm="1">
        <f t="array" ref="P12">SUMPRODUCT(('BW Summary'!$B$7:$B$483=LE!$B12)*('BW Summary'!$M$7:$M$483))</f>
        <v>0</v>
      </c>
      <c r="Q12" s="101" cm="1">
        <f t="array" ref="Q12">SUMPRODUCT(('BW Summary'!$B$7:$B$483=LE!$B12)*('BW Summary'!$N$7:$N$483))</f>
        <v>0</v>
      </c>
      <c r="R12" s="101" cm="1">
        <f t="array" ref="R12">SUMPRODUCT(('BW Summary'!$B$7:$B$483=LE!$B12)*('BW Summary'!$O$7:$O$483))</f>
        <v>0</v>
      </c>
      <c r="S12" s="101" cm="1">
        <f t="array" ref="S12">SUMPRODUCT(('BW Summary'!$B$7:$B$483=LE!$B12)*('BW Summary'!$P$7:$P$483))</f>
        <v>0</v>
      </c>
      <c r="T12" s="101" cm="1">
        <f t="array" ref="T12">SUMPRODUCT(('BW Summary'!$B$7:$B$483=LE!$B12)*('BW Summary'!$Q$7:$Q$483))</f>
        <v>0</v>
      </c>
      <c r="U12" s="142" cm="1">
        <f t="array" ref="U12">SUMPRODUCT(('BW Summary'!$B$7:$B$483=LE!$B12)*('BW Summary'!$R$7:$R$483))</f>
        <v>0</v>
      </c>
    </row>
    <row r="13" spans="2:21" x14ac:dyDescent="0.25">
      <c r="B13" s="55" t="s">
        <v>19</v>
      </c>
      <c r="C13" t="s">
        <v>20</v>
      </c>
      <c r="D13" s="56" cm="1">
        <f t="array" ref="D13">SUMPRODUCT(('AOP25'!$F$2:$F$403=Summary!B13)*('AOP25'!$E$2:$E$403=$E$1)*('AOP25'!$U$2:$U$403))</f>
        <v>9765660</v>
      </c>
      <c r="E13" s="57">
        <f t="shared" si="1"/>
        <v>4882830</v>
      </c>
      <c r="F13" s="56">
        <f>SUMPRODUCT(('BW Summary'!$B$7:$B$483=LE!B13)*('BW Summary'!$F$7:$F$483))</f>
        <v>4649984.1099999994</v>
      </c>
      <c r="G13" s="58">
        <f>E13-F13</f>
        <v>232845.8900000006</v>
      </c>
      <c r="J13" s="107">
        <f>SUMPRODUCT(('BW Summary'!$B$7:$B$483=LE!$B13)*('BW Summary'!$G$7:$G$483))</f>
        <v>960533.29</v>
      </c>
      <c r="K13" s="101" cm="1">
        <f t="array" ref="K13">SUMPRODUCT(('BW Summary'!$B$7:$B$483=LE!$B13)*('BW Summary'!$H$7:$H$483))</f>
        <v>589422.13</v>
      </c>
      <c r="L13" s="101" cm="1">
        <f t="array" ref="L13">SUMPRODUCT(('BW Summary'!$B$7:$B$483=LE!$B13)*('BW Summary'!$I$7:$I$483))</f>
        <v>753559.83000000007</v>
      </c>
      <c r="M13" s="101" cm="1">
        <f t="array" ref="M13">SUMPRODUCT(('BW Summary'!$B$7:$B$483=LE!$B13)*('BW Summary'!$J$7:$J$483))</f>
        <v>813493.48</v>
      </c>
      <c r="N13" s="101" cm="1">
        <f t="array" ref="N13">SUMPRODUCT(('BW Summary'!$B$7:$B$483=LE!$B13)*('BW Summary'!$K$7:$K$483))</f>
        <v>776710.16999999993</v>
      </c>
      <c r="O13" s="101" cm="1">
        <f t="array" ref="O13">SUMPRODUCT(('BW Summary'!$B$7:$B$483=LE!$B13)*('BW Summary'!$L$7:$L$483))</f>
        <v>756265.21</v>
      </c>
      <c r="P13" s="101" cm="1">
        <f t="array" ref="P13">SUMPRODUCT(('BW Summary'!$B$7:$B$483=LE!$B13)*('BW Summary'!$M$7:$M$483))</f>
        <v>0</v>
      </c>
      <c r="Q13" s="101" cm="1">
        <f t="array" ref="Q13">SUMPRODUCT(('BW Summary'!$B$7:$B$483=LE!$B13)*('BW Summary'!$N$7:$N$483))</f>
        <v>0</v>
      </c>
      <c r="R13" s="101" cm="1">
        <f t="array" ref="R13">SUMPRODUCT(('BW Summary'!$B$7:$B$483=LE!$B13)*('BW Summary'!$O$7:$O$483))</f>
        <v>0</v>
      </c>
      <c r="S13" s="101" cm="1">
        <f t="array" ref="S13">SUMPRODUCT(('BW Summary'!$B$7:$B$483=LE!$B13)*('BW Summary'!$P$7:$P$483))</f>
        <v>0</v>
      </c>
      <c r="T13" s="101" cm="1">
        <f t="array" ref="T13">SUMPRODUCT(('BW Summary'!$B$7:$B$483=LE!$B13)*('BW Summary'!$Q$7:$Q$483))</f>
        <v>0</v>
      </c>
      <c r="U13" s="142" cm="1">
        <f t="array" ref="U13">SUMPRODUCT(('BW Summary'!$B$7:$B$483=LE!$B13)*('BW Summary'!$R$7:$R$483))</f>
        <v>0</v>
      </c>
    </row>
    <row r="14" spans="2:21" x14ac:dyDescent="0.25">
      <c r="B14" s="61" t="s">
        <v>22</v>
      </c>
      <c r="C14" t="s">
        <v>74</v>
      </c>
      <c r="D14" s="56" cm="1">
        <f t="array" ref="D14">SUMPRODUCT(('AOP25'!$F$2:$F$403=Summary!B14)*('AOP25'!$E$2:$E$403=$E$1)*('AOP25'!$U$2:$U$403))</f>
        <v>6986900</v>
      </c>
      <c r="E14" s="57">
        <f t="shared" si="1"/>
        <v>3493450</v>
      </c>
      <c r="F14" s="56">
        <f>SUMPRODUCT(('BW Summary'!$B$7:$B$483=LE!B14)*('BW Summary'!$F$7:$F$483))</f>
        <v>2830081.7399999998</v>
      </c>
      <c r="G14" s="58">
        <f t="shared" si="2"/>
        <v>663368.26000000024</v>
      </c>
      <c r="J14" s="107">
        <f>SUMPRODUCT(('BW Summary'!$B$7:$B$483=LE!$B14)*('BW Summary'!$G$7:$G$483))</f>
        <v>466813.71</v>
      </c>
      <c r="K14" s="101" cm="1">
        <f t="array" ref="K14">SUMPRODUCT(('BW Summary'!$B$7:$B$483=LE!$B14)*('BW Summary'!$H$7:$H$483))</f>
        <v>490416.29</v>
      </c>
      <c r="L14" s="101" cm="1">
        <f t="array" ref="L14">SUMPRODUCT(('BW Summary'!$B$7:$B$483=LE!$B14)*('BW Summary'!$I$7:$I$483))</f>
        <v>474845.29000000004</v>
      </c>
      <c r="M14" s="101" cm="1">
        <f t="array" ref="M14">SUMPRODUCT(('BW Summary'!$B$7:$B$483=LE!$B14)*('BW Summary'!$J$7:$J$483))</f>
        <v>486059.87999999995</v>
      </c>
      <c r="N14" s="101" cm="1">
        <f t="array" ref="N14">SUMPRODUCT(('BW Summary'!$B$7:$B$483=LE!$B14)*('BW Summary'!$K$7:$K$483))</f>
        <v>442613.74999999994</v>
      </c>
      <c r="O14" s="101" cm="1">
        <f t="array" ref="O14">SUMPRODUCT(('BW Summary'!$B$7:$B$483=LE!$B14)*('BW Summary'!$L$7:$L$483))</f>
        <v>469332.81999999995</v>
      </c>
      <c r="P14" s="101" cm="1">
        <f t="array" ref="P14">SUMPRODUCT(('BW Summary'!$B$7:$B$483=LE!$B14)*('BW Summary'!$M$7:$M$483))</f>
        <v>0</v>
      </c>
      <c r="Q14" s="101" cm="1">
        <f t="array" ref="Q14">SUMPRODUCT(('BW Summary'!$B$7:$B$483=LE!$B14)*('BW Summary'!$N$7:$N$483))</f>
        <v>0</v>
      </c>
      <c r="R14" s="101" cm="1">
        <f t="array" ref="R14">SUMPRODUCT(('BW Summary'!$B$7:$B$483=LE!$B14)*('BW Summary'!$O$7:$O$483))</f>
        <v>0</v>
      </c>
      <c r="S14" s="101" cm="1">
        <f t="array" ref="S14">SUMPRODUCT(('BW Summary'!$B$7:$B$483=LE!$B14)*('BW Summary'!$P$7:$P$483))</f>
        <v>0</v>
      </c>
      <c r="T14" s="101" cm="1">
        <f t="array" ref="T14">SUMPRODUCT(('BW Summary'!$B$7:$B$483=LE!$B14)*('BW Summary'!$Q$7:$Q$483))</f>
        <v>0</v>
      </c>
      <c r="U14" s="142" cm="1">
        <f t="array" ref="U14">SUMPRODUCT(('BW Summary'!$B$7:$B$483=LE!$B14)*('BW Summary'!$R$7:$R$483))</f>
        <v>0</v>
      </c>
    </row>
    <row r="15" spans="2:21" x14ac:dyDescent="0.25">
      <c r="B15" s="61" t="s">
        <v>26</v>
      </c>
      <c r="C15" t="s">
        <v>27</v>
      </c>
      <c r="D15" s="56" cm="1">
        <f t="array" ref="D15">SUMPRODUCT(('AOP25'!$F$2:$F$403=Summary!B15)*('AOP25'!$E$2:$E$403=$E$1)*('AOP25'!$U$2:$U$403))</f>
        <v>0</v>
      </c>
      <c r="E15" s="57">
        <f t="shared" si="1"/>
        <v>0</v>
      </c>
      <c r="F15" s="56">
        <f>SUMPRODUCT(('BW Summary'!$B$7:$B$483=LE!B15)*('BW Summary'!$F$7:$F$483))</f>
        <v>930</v>
      </c>
      <c r="G15" s="58">
        <f t="shared" si="2"/>
        <v>-930</v>
      </c>
      <c r="J15" s="107">
        <f>SUMPRODUCT(('BW Summary'!$B$7:$B$483=LE!$B15)*('BW Summary'!$G$7:$G$483))</f>
        <v>0</v>
      </c>
      <c r="K15" s="101" cm="1">
        <f t="array" ref="K15">SUMPRODUCT(('BW Summary'!$B$7:$B$483=LE!$B15)*('BW Summary'!$H$7:$H$483))</f>
        <v>0</v>
      </c>
      <c r="L15" s="101" cm="1">
        <f t="array" ref="L15">SUMPRODUCT(('BW Summary'!$B$7:$B$483=LE!$B15)*('BW Summary'!$I$7:$I$483))</f>
        <v>0</v>
      </c>
      <c r="M15" s="101" cm="1">
        <f t="array" ref="M15">SUMPRODUCT(('BW Summary'!$B$7:$B$483=LE!$B15)*('BW Summary'!$J$7:$J$483))</f>
        <v>0</v>
      </c>
      <c r="N15" s="101" cm="1">
        <f t="array" ref="N15">SUMPRODUCT(('BW Summary'!$B$7:$B$483=LE!$B15)*('BW Summary'!$K$7:$K$483))</f>
        <v>620</v>
      </c>
      <c r="O15" s="101" cm="1">
        <f t="array" ref="O15">SUMPRODUCT(('BW Summary'!$B$7:$B$483=LE!$B15)*('BW Summary'!$L$7:$L$483))</f>
        <v>310</v>
      </c>
      <c r="P15" s="101" cm="1">
        <f t="array" ref="P15">SUMPRODUCT(('BW Summary'!$B$7:$B$483=LE!$B15)*('BW Summary'!$M$7:$M$483))</f>
        <v>0</v>
      </c>
      <c r="Q15" s="101" cm="1">
        <f t="array" ref="Q15">SUMPRODUCT(('BW Summary'!$B$7:$B$483=LE!$B15)*('BW Summary'!$N$7:$N$483))</f>
        <v>0</v>
      </c>
      <c r="R15" s="101" cm="1">
        <f t="array" ref="R15">SUMPRODUCT(('BW Summary'!$B$7:$B$483=LE!$B15)*('BW Summary'!$O$7:$O$483))</f>
        <v>0</v>
      </c>
      <c r="S15" s="101" cm="1">
        <f t="array" ref="S15">SUMPRODUCT(('BW Summary'!$B$7:$B$483=LE!$B15)*('BW Summary'!$P$7:$P$483))</f>
        <v>0</v>
      </c>
      <c r="T15" s="101" cm="1">
        <f t="array" ref="T15">SUMPRODUCT(('BW Summary'!$B$7:$B$483=LE!$B15)*('BW Summary'!$Q$7:$Q$483))</f>
        <v>0</v>
      </c>
      <c r="U15" s="142" cm="1">
        <f t="array" ref="U15">SUMPRODUCT(('BW Summary'!$B$7:$B$483=LE!$B15)*('BW Summary'!$R$7:$R$483))</f>
        <v>0</v>
      </c>
    </row>
    <row r="16" spans="2:21" x14ac:dyDescent="0.25">
      <c r="B16" s="61" t="s">
        <v>28</v>
      </c>
      <c r="C16" t="s">
        <v>29</v>
      </c>
      <c r="D16" s="56" cm="1">
        <f t="array" ref="D16">SUMPRODUCT(('AOP25'!$F$2:$F$403=Summary!B16)*('AOP25'!$E$2:$E$403=$E$1)*('AOP25'!$U$2:$U$403))</f>
        <v>354960</v>
      </c>
      <c r="E16" s="57">
        <f t="shared" si="1"/>
        <v>177480</v>
      </c>
      <c r="F16" s="56">
        <f>SUMPRODUCT(('BW Summary'!$B$7:$B$483=LE!B16)*('BW Summary'!$F$7:$F$483))</f>
        <v>148539.65</v>
      </c>
      <c r="G16" s="58">
        <f t="shared" si="2"/>
        <v>28940.350000000006</v>
      </c>
      <c r="J16" s="107">
        <f>SUMPRODUCT(('BW Summary'!$B$7:$B$483=LE!$B16)*('BW Summary'!$G$7:$G$483))</f>
        <v>28937.11</v>
      </c>
      <c r="K16" s="101" cm="1">
        <f t="array" ref="K16">SUMPRODUCT(('BW Summary'!$B$7:$B$483=LE!$B16)*('BW Summary'!$H$7:$H$483))</f>
        <v>21485</v>
      </c>
      <c r="L16" s="101" cm="1">
        <f t="array" ref="L16">SUMPRODUCT(('BW Summary'!$B$7:$B$483=LE!$B16)*('BW Summary'!$I$7:$I$483))</f>
        <v>21485</v>
      </c>
      <c r="M16" s="101" cm="1">
        <f t="array" ref="M16">SUMPRODUCT(('BW Summary'!$B$7:$B$483=LE!$B16)*('BW Summary'!$J$7:$J$483))</f>
        <v>33717.64</v>
      </c>
      <c r="N16" s="101" cm="1">
        <f t="array" ref="N16">SUMPRODUCT(('BW Summary'!$B$7:$B$483=LE!$B16)*('BW Summary'!$K$7:$K$483))</f>
        <v>21473.42</v>
      </c>
      <c r="O16" s="101" cm="1">
        <f t="array" ref="O16">SUMPRODUCT(('BW Summary'!$B$7:$B$483=LE!$B16)*('BW Summary'!$L$7:$L$483))</f>
        <v>21441.48</v>
      </c>
      <c r="P16" s="101" cm="1">
        <f t="array" ref="P16">SUMPRODUCT(('BW Summary'!$B$7:$B$483=LE!$B16)*('BW Summary'!$M$7:$M$483))</f>
        <v>0</v>
      </c>
      <c r="Q16" s="101" cm="1">
        <f t="array" ref="Q16">SUMPRODUCT(('BW Summary'!$B$7:$B$483=LE!$B16)*('BW Summary'!$N$7:$N$483))</f>
        <v>0</v>
      </c>
      <c r="R16" s="101" cm="1">
        <f t="array" ref="R16">SUMPRODUCT(('BW Summary'!$B$7:$B$483=LE!$B16)*('BW Summary'!$O$7:$O$483))</f>
        <v>0</v>
      </c>
      <c r="S16" s="101" cm="1">
        <f t="array" ref="S16">SUMPRODUCT(('BW Summary'!$B$7:$B$483=LE!$B16)*('BW Summary'!$P$7:$P$483))</f>
        <v>0</v>
      </c>
      <c r="T16" s="101" cm="1">
        <f t="array" ref="T16">SUMPRODUCT(('BW Summary'!$B$7:$B$483=LE!$B16)*('BW Summary'!$Q$7:$Q$483))</f>
        <v>0</v>
      </c>
      <c r="U16" s="142" cm="1">
        <f t="array" ref="U16">SUMPRODUCT(('BW Summary'!$B$7:$B$483=LE!$B16)*('BW Summary'!$R$7:$R$483))</f>
        <v>0</v>
      </c>
    </row>
    <row r="17" spans="2:21" x14ac:dyDescent="0.25">
      <c r="B17" s="62" t="s">
        <v>31</v>
      </c>
      <c r="C17" t="s">
        <v>32</v>
      </c>
      <c r="D17" s="56" cm="1">
        <f t="array" ref="D17">SUMPRODUCT(('AOP25'!$F$2:$F$403=Summary!B17)*('AOP25'!$E$2:$E$403=$E$1)*('AOP25'!$U$2:$U$403))</f>
        <v>2060000</v>
      </c>
      <c r="E17" s="57">
        <f t="shared" si="1"/>
        <v>1030000</v>
      </c>
      <c r="F17" s="56">
        <f>SUMPRODUCT(('BW Summary'!$B$7:$B$483=LE!B17)*('BW Summary'!$F$7:$F$483))</f>
        <v>977835.23</v>
      </c>
      <c r="G17" s="58">
        <f t="shared" si="2"/>
        <v>52164.770000000019</v>
      </c>
      <c r="J17" s="107">
        <f>SUMPRODUCT(('BW Summary'!$B$7:$B$483=LE!$B17)*('BW Summary'!$G$7:$G$483))</f>
        <v>165098.01</v>
      </c>
      <c r="K17" s="101" cm="1">
        <f t="array" ref="K17">SUMPRODUCT(('BW Summary'!$B$7:$B$483=LE!$B17)*('BW Summary'!$H$7:$H$483))</f>
        <v>163798.44</v>
      </c>
      <c r="L17" s="101" cm="1">
        <f t="array" ref="L17">SUMPRODUCT(('BW Summary'!$B$7:$B$483=LE!$B17)*('BW Summary'!$I$7:$I$483))</f>
        <v>162490.65</v>
      </c>
      <c r="M17" s="101" cm="1">
        <f t="array" ref="M17">SUMPRODUCT(('BW Summary'!$B$7:$B$483=LE!$B17)*('BW Summary'!$J$7:$J$483))</f>
        <v>157764.76999999999</v>
      </c>
      <c r="N17" s="101" cm="1">
        <f t="array" ref="N17">SUMPRODUCT(('BW Summary'!$B$7:$B$483=LE!$B17)*('BW Summary'!$K$7:$K$483))</f>
        <v>163142.14000000001</v>
      </c>
      <c r="O17" s="101" cm="1">
        <f t="array" ref="O17">SUMPRODUCT(('BW Summary'!$B$7:$B$483=LE!$B17)*('BW Summary'!$L$7:$L$483))</f>
        <v>165541.22</v>
      </c>
      <c r="P17" s="101" cm="1">
        <f t="array" ref="P17">SUMPRODUCT(('BW Summary'!$B$7:$B$483=LE!$B17)*('BW Summary'!$M$7:$M$483))</f>
        <v>0</v>
      </c>
      <c r="Q17" s="101" cm="1">
        <f t="array" ref="Q17">SUMPRODUCT(('BW Summary'!$B$7:$B$483=LE!$B17)*('BW Summary'!$N$7:$N$483))</f>
        <v>0</v>
      </c>
      <c r="R17" s="101" cm="1">
        <f t="array" ref="R17">SUMPRODUCT(('BW Summary'!$B$7:$B$483=LE!$B17)*('BW Summary'!$O$7:$O$483))</f>
        <v>0</v>
      </c>
      <c r="S17" s="101" cm="1">
        <f t="array" ref="S17">SUMPRODUCT(('BW Summary'!$B$7:$B$483=LE!$B17)*('BW Summary'!$P$7:$P$483))</f>
        <v>0</v>
      </c>
      <c r="T17" s="101" cm="1">
        <f t="array" ref="T17">SUMPRODUCT(('BW Summary'!$B$7:$B$483=LE!$B17)*('BW Summary'!$Q$7:$Q$483))</f>
        <v>0</v>
      </c>
      <c r="U17" s="142" cm="1">
        <f t="array" ref="U17">SUMPRODUCT(('BW Summary'!$B$7:$B$483=LE!$B17)*('BW Summary'!$R$7:$R$483))</f>
        <v>0</v>
      </c>
    </row>
    <row r="18" spans="2:21" x14ac:dyDescent="0.25">
      <c r="B18" s="62" t="s">
        <v>34</v>
      </c>
      <c r="C18" t="s">
        <v>35</v>
      </c>
      <c r="D18" s="56" cm="1">
        <f t="array" ref="D18">SUMPRODUCT(('AOP25'!$F$2:$F$403=Summary!B18)*('AOP25'!$E$2:$E$403=$E$1)*('AOP25'!$U$2:$U$403))</f>
        <v>0</v>
      </c>
      <c r="E18" s="57">
        <f t="shared" si="1"/>
        <v>0</v>
      </c>
      <c r="F18" s="56">
        <f>SUMPRODUCT(('BW Summary'!$B$7:$B$483=LE!B18)*('BW Summary'!$F$7:$F$483))</f>
        <v>0</v>
      </c>
      <c r="G18" s="58">
        <f t="shared" si="2"/>
        <v>0</v>
      </c>
      <c r="J18" s="107">
        <f>SUMPRODUCT(('BW Summary'!$B$7:$B$483=LE!$B18)*('BW Summary'!$G$7:$G$483))</f>
        <v>0</v>
      </c>
      <c r="K18" s="101" cm="1">
        <f t="array" ref="K18">SUMPRODUCT(('BW Summary'!$B$7:$B$483=LE!$B18)*('BW Summary'!$H$7:$H$483))</f>
        <v>0</v>
      </c>
      <c r="L18" s="101" cm="1">
        <f t="array" ref="L18">SUMPRODUCT(('BW Summary'!$B$7:$B$483=LE!$B18)*('BW Summary'!$I$7:$I$483))</f>
        <v>0</v>
      </c>
      <c r="M18" s="101" cm="1">
        <f t="array" ref="M18">SUMPRODUCT(('BW Summary'!$B$7:$B$483=LE!$B18)*('BW Summary'!$J$7:$J$483))</f>
        <v>0</v>
      </c>
      <c r="N18" s="101" cm="1">
        <f t="array" ref="N18">SUMPRODUCT(('BW Summary'!$B$7:$B$483=LE!$B18)*('BW Summary'!$K$7:$K$483))</f>
        <v>0</v>
      </c>
      <c r="O18" s="101" cm="1">
        <f t="array" ref="O18">SUMPRODUCT(('BW Summary'!$B$7:$B$483=LE!$B18)*('BW Summary'!$L$7:$L$483))</f>
        <v>0</v>
      </c>
      <c r="P18" s="101" cm="1">
        <f t="array" ref="P18">SUMPRODUCT(('BW Summary'!$B$7:$B$483=LE!$B18)*('BW Summary'!$M$7:$M$483))</f>
        <v>0</v>
      </c>
      <c r="Q18" s="101" cm="1">
        <f t="array" ref="Q18">SUMPRODUCT(('BW Summary'!$B$7:$B$483=LE!$B18)*('BW Summary'!$N$7:$N$483))</f>
        <v>0</v>
      </c>
      <c r="R18" s="101" cm="1">
        <f t="array" ref="R18">SUMPRODUCT(('BW Summary'!$B$7:$B$483=LE!$B18)*('BW Summary'!$O$7:$O$483))</f>
        <v>0</v>
      </c>
      <c r="S18" s="101" cm="1">
        <f t="array" ref="S18">SUMPRODUCT(('BW Summary'!$B$7:$B$483=LE!$B18)*('BW Summary'!$P$7:$P$483))</f>
        <v>0</v>
      </c>
      <c r="T18" s="101" cm="1">
        <f t="array" ref="T18">SUMPRODUCT(('BW Summary'!$B$7:$B$483=LE!$B18)*('BW Summary'!$Q$7:$Q$483))</f>
        <v>0</v>
      </c>
      <c r="U18" s="142" cm="1">
        <f t="array" ref="U18">SUMPRODUCT(('BW Summary'!$B$7:$B$483=LE!$B18)*('BW Summary'!$R$7:$R$483))</f>
        <v>0</v>
      </c>
    </row>
    <row r="19" spans="2:21" x14ac:dyDescent="0.25">
      <c r="B19" s="61" t="s">
        <v>36</v>
      </c>
      <c r="C19" t="s">
        <v>37</v>
      </c>
      <c r="D19" s="56" cm="1">
        <f t="array" ref="D19">SUMPRODUCT(('AOP25'!$F$2:$F$403=Summary!B19)*('AOP25'!$E$2:$E$403=$E$1)*('AOP25'!$U$2:$U$403))</f>
        <v>1322700</v>
      </c>
      <c r="E19" s="57">
        <f t="shared" si="1"/>
        <v>661350</v>
      </c>
      <c r="F19" s="56">
        <f>SUMPRODUCT(('BW Summary'!$B$7:$B$483=LE!B19)*('BW Summary'!$F$7:$F$483))</f>
        <v>622759.87</v>
      </c>
      <c r="G19" s="58">
        <f t="shared" si="2"/>
        <v>38590.130000000005</v>
      </c>
      <c r="J19" s="107">
        <f>SUMPRODUCT(('BW Summary'!$B$7:$B$483=LE!$B19)*('BW Summary'!$G$7:$G$483))</f>
        <v>112836.36</v>
      </c>
      <c r="K19" s="101" cm="1">
        <f t="array" ref="K19">SUMPRODUCT(('BW Summary'!$B$7:$B$483=LE!$B19)*('BW Summary'!$H$7:$H$483))</f>
        <v>113638.01</v>
      </c>
      <c r="L19" s="101" cm="1">
        <f t="array" ref="L19">SUMPRODUCT(('BW Summary'!$B$7:$B$483=LE!$B19)*('BW Summary'!$I$7:$I$483))</f>
        <v>97437.48000000001</v>
      </c>
      <c r="M19" s="101" cm="1">
        <f t="array" ref="M19">SUMPRODUCT(('BW Summary'!$B$7:$B$483=LE!$B19)*('BW Summary'!$J$7:$J$483))</f>
        <v>88876.52</v>
      </c>
      <c r="N19" s="101" cm="1">
        <f t="array" ref="N19">SUMPRODUCT(('BW Summary'!$B$7:$B$483=LE!$B19)*('BW Summary'!$K$7:$K$483))</f>
        <v>102067.43</v>
      </c>
      <c r="O19" s="101" cm="1">
        <f t="array" ref="O19">SUMPRODUCT(('BW Summary'!$B$7:$B$483=LE!$B19)*('BW Summary'!$L$7:$L$483))</f>
        <v>107904.06999999999</v>
      </c>
      <c r="P19" s="101" cm="1">
        <f t="array" ref="P19">SUMPRODUCT(('BW Summary'!$B$7:$B$483=LE!$B19)*('BW Summary'!$M$7:$M$483))</f>
        <v>0</v>
      </c>
      <c r="Q19" s="101" cm="1">
        <f t="array" ref="Q19">SUMPRODUCT(('BW Summary'!$B$7:$B$483=LE!$B19)*('BW Summary'!$N$7:$N$483))</f>
        <v>0</v>
      </c>
      <c r="R19" s="101" cm="1">
        <f t="array" ref="R19">SUMPRODUCT(('BW Summary'!$B$7:$B$483=LE!$B19)*('BW Summary'!$O$7:$O$483))</f>
        <v>0</v>
      </c>
      <c r="S19" s="101" cm="1">
        <f t="array" ref="S19">SUMPRODUCT(('BW Summary'!$B$7:$B$483=LE!$B19)*('BW Summary'!$P$7:$P$483))</f>
        <v>0</v>
      </c>
      <c r="T19" s="101" cm="1">
        <f t="array" ref="T19">SUMPRODUCT(('BW Summary'!$B$7:$B$483=LE!$B19)*('BW Summary'!$Q$7:$Q$483))</f>
        <v>0</v>
      </c>
      <c r="U19" s="142" cm="1">
        <f t="array" ref="U19">SUMPRODUCT(('BW Summary'!$B$7:$B$483=LE!$B19)*('BW Summary'!$R$7:$R$483))</f>
        <v>0</v>
      </c>
    </row>
    <row r="20" spans="2:21" x14ac:dyDescent="0.25">
      <c r="B20" s="62" t="s">
        <v>38</v>
      </c>
      <c r="C20" t="s">
        <v>39</v>
      </c>
      <c r="D20" s="56" cm="1">
        <f t="array" ref="D20">SUMPRODUCT(('AOP25'!$F$2:$F$403=Summary!B20)*('AOP25'!$E$2:$E$403=$E$1)*('AOP25'!$U$2:$U$403))</f>
        <v>157500</v>
      </c>
      <c r="E20" s="57">
        <f t="shared" si="1"/>
        <v>78750</v>
      </c>
      <c r="F20" s="56">
        <f>SUMPRODUCT(('BW Summary'!$B$7:$B$483=LE!B20)*('BW Summary'!$F$7:$F$483))</f>
        <v>199809.45</v>
      </c>
      <c r="G20" s="58">
        <f t="shared" si="2"/>
        <v>-121059.45000000001</v>
      </c>
      <c r="J20" s="107">
        <f>SUMPRODUCT(('BW Summary'!$B$7:$B$483=LE!$B20)*('BW Summary'!$G$7:$G$483))</f>
        <v>6316.89</v>
      </c>
      <c r="K20" s="101" cm="1">
        <f t="array" ref="K20">SUMPRODUCT(('BW Summary'!$B$7:$B$483=LE!$B20)*('BW Summary'!$H$7:$H$483))</f>
        <v>53957.02</v>
      </c>
      <c r="L20" s="101" cm="1">
        <f t="array" ref="L20">SUMPRODUCT(('BW Summary'!$B$7:$B$483=LE!$B20)*('BW Summary'!$I$7:$I$483))</f>
        <v>30667</v>
      </c>
      <c r="M20" s="101" cm="1">
        <f t="array" ref="M20">SUMPRODUCT(('BW Summary'!$B$7:$B$483=LE!$B20)*('BW Summary'!$J$7:$J$483))</f>
        <v>28087.83</v>
      </c>
      <c r="N20" s="101" cm="1">
        <f t="array" ref="N20">SUMPRODUCT(('BW Summary'!$B$7:$B$483=LE!$B20)*('BW Summary'!$K$7:$K$483))</f>
        <v>28353.71</v>
      </c>
      <c r="O20" s="101" cm="1">
        <f t="array" ref="O20">SUMPRODUCT(('BW Summary'!$B$7:$B$483=LE!$B20)*('BW Summary'!$L$7:$L$483))</f>
        <v>52427</v>
      </c>
      <c r="P20" s="101" cm="1">
        <f t="array" ref="P20">SUMPRODUCT(('BW Summary'!$B$7:$B$483=LE!$B20)*('BW Summary'!$M$7:$M$483))</f>
        <v>0</v>
      </c>
      <c r="Q20" s="101" cm="1">
        <f t="array" ref="Q20">SUMPRODUCT(('BW Summary'!$B$7:$B$483=LE!$B20)*('BW Summary'!$N$7:$N$483))</f>
        <v>0</v>
      </c>
      <c r="R20" s="101" cm="1">
        <f t="array" ref="R20">SUMPRODUCT(('BW Summary'!$B$7:$B$483=LE!$B20)*('BW Summary'!$O$7:$O$483))</f>
        <v>0</v>
      </c>
      <c r="S20" s="101" cm="1">
        <f t="array" ref="S20">SUMPRODUCT(('BW Summary'!$B$7:$B$483=LE!$B20)*('BW Summary'!$P$7:$P$483))</f>
        <v>0</v>
      </c>
      <c r="T20" s="101" cm="1">
        <f t="array" ref="T20">SUMPRODUCT(('BW Summary'!$B$7:$B$483=LE!$B20)*('BW Summary'!$Q$7:$Q$483))</f>
        <v>0</v>
      </c>
      <c r="U20" s="142" cm="1">
        <f t="array" ref="U20">SUMPRODUCT(('BW Summary'!$B$7:$B$483=LE!$B20)*('BW Summary'!$R$7:$R$483))</f>
        <v>0</v>
      </c>
    </row>
    <row r="21" spans="2:21" x14ac:dyDescent="0.25">
      <c r="B21" s="62" t="s">
        <v>40</v>
      </c>
      <c r="C21" t="s">
        <v>41</v>
      </c>
      <c r="D21" s="56" cm="1">
        <f t="array" ref="D21">SUMPRODUCT(('AOP25'!$F$2:$F$403=Summary!B21)*('AOP25'!$E$2:$E$403=$E$1)*('AOP25'!$U$2:$U$403))</f>
        <v>1840500</v>
      </c>
      <c r="E21" s="57">
        <f t="shared" ref="E21" si="3">(D21/12)*$D$3</f>
        <v>920250</v>
      </c>
      <c r="F21" s="56">
        <f>SUMPRODUCT(('BW Summary'!$B$7:$B$483=LE!B21)*('BW Summary'!$F$7:$F$483))</f>
        <v>619009.25</v>
      </c>
      <c r="G21" s="58">
        <f t="shared" ref="G21" si="4">E21-F21</f>
        <v>301240.75</v>
      </c>
      <c r="J21" s="107">
        <f>SUMPRODUCT(('BW Summary'!$B$7:$B$483=LE!$B21)*('BW Summary'!$G$7:$G$483))</f>
        <v>105327.59</v>
      </c>
      <c r="K21" s="101" cm="1">
        <f t="array" ref="K21">SUMPRODUCT(('BW Summary'!$B$7:$B$483=LE!$B21)*('BW Summary'!$H$7:$H$483))</f>
        <v>115396.38</v>
      </c>
      <c r="L21" s="101" cm="1">
        <f t="array" ref="L21">SUMPRODUCT(('BW Summary'!$B$7:$B$483=LE!$B21)*('BW Summary'!$I$7:$I$483))</f>
        <v>106773.11000000004</v>
      </c>
      <c r="M21" s="101" cm="1">
        <f t="array" ref="M21">SUMPRODUCT(('BW Summary'!$B$7:$B$483=LE!$B21)*('BW Summary'!$J$7:$J$483))</f>
        <v>95814.079999999987</v>
      </c>
      <c r="N21" s="101" cm="1">
        <f t="array" ref="N21">SUMPRODUCT(('BW Summary'!$B$7:$B$483=LE!$B21)*('BW Summary'!$K$7:$K$483))</f>
        <v>93022.079999999987</v>
      </c>
      <c r="O21" s="101" cm="1">
        <f t="array" ref="O21">SUMPRODUCT(('BW Summary'!$B$7:$B$483=LE!$B21)*('BW Summary'!$L$7:$L$483))</f>
        <v>102676.01</v>
      </c>
      <c r="P21" s="101" cm="1">
        <f t="array" ref="P21">SUMPRODUCT(('BW Summary'!$B$7:$B$483=LE!$B21)*('BW Summary'!$M$7:$M$483))</f>
        <v>0</v>
      </c>
      <c r="Q21" s="101" cm="1">
        <f t="array" ref="Q21">SUMPRODUCT(('BW Summary'!$B$7:$B$483=LE!$B21)*('BW Summary'!$N$7:$N$483))</f>
        <v>0</v>
      </c>
      <c r="R21" s="101" cm="1">
        <f t="array" ref="R21">SUMPRODUCT(('BW Summary'!$B$7:$B$483=LE!$B21)*('BW Summary'!$O$7:$O$483))</f>
        <v>0</v>
      </c>
      <c r="S21" s="101" cm="1">
        <f t="array" ref="S21">SUMPRODUCT(('BW Summary'!$B$7:$B$483=LE!$B21)*('BW Summary'!$P$7:$P$483))</f>
        <v>0</v>
      </c>
      <c r="T21" s="101" cm="1">
        <f t="array" ref="T21">SUMPRODUCT(('BW Summary'!$B$7:$B$483=LE!$B21)*('BW Summary'!$Q$7:$Q$483))</f>
        <v>0</v>
      </c>
      <c r="U21" s="142" cm="1">
        <f t="array" ref="U21">SUMPRODUCT(('BW Summary'!$B$7:$B$483=LE!$B21)*('BW Summary'!$R$7:$R$483))</f>
        <v>0</v>
      </c>
    </row>
    <row r="22" spans="2:21" x14ac:dyDescent="0.25">
      <c r="B22" s="61" t="s">
        <v>44</v>
      </c>
      <c r="C22" t="s">
        <v>75</v>
      </c>
      <c r="D22" s="56" cm="1">
        <f t="array" ref="D22">SUMPRODUCT(('AOP25'!$F$2:$F$403=Summary!B22)*('AOP25'!$E$2:$E$403=$E$1)*('AOP25'!$U$2:$U$403))</f>
        <v>6963500</v>
      </c>
      <c r="E22" s="57">
        <f t="shared" si="1"/>
        <v>3481750</v>
      </c>
      <c r="F22" s="56">
        <f>SUMPRODUCT(('BW Summary'!$B$7:$B$483=LE!B22)*('BW Summary'!$F$7:$F$483))</f>
        <v>3240147.68</v>
      </c>
      <c r="G22" s="58">
        <f t="shared" si="2"/>
        <v>241602.31999999983</v>
      </c>
      <c r="J22" s="107">
        <f>SUMPRODUCT(('BW Summary'!$B$7:$B$483=LE!$B22)*('BW Summary'!$G$7:$G$483))</f>
        <v>586206.35</v>
      </c>
      <c r="K22" s="101" cm="1">
        <f t="array" ref="K22">SUMPRODUCT(('BW Summary'!$B$7:$B$483=LE!$B22)*('BW Summary'!$H$7:$H$483))</f>
        <v>621352.14</v>
      </c>
      <c r="L22" s="101" cm="1">
        <f t="array" ref="L22">SUMPRODUCT(('BW Summary'!$B$7:$B$483=LE!$B22)*('BW Summary'!$I$7:$I$483))</f>
        <v>389538.06</v>
      </c>
      <c r="M22" s="101" cm="1">
        <f t="array" ref="M22">SUMPRODUCT(('BW Summary'!$B$7:$B$483=LE!$B22)*('BW Summary'!$J$7:$J$483))</f>
        <v>465839.69999999995</v>
      </c>
      <c r="N22" s="101" cm="1">
        <f t="array" ref="N22">SUMPRODUCT(('BW Summary'!$B$7:$B$483=LE!$B22)*('BW Summary'!$K$7:$K$483))</f>
        <v>605639.86</v>
      </c>
      <c r="O22" s="101" cm="1">
        <f t="array" ref="O22">SUMPRODUCT(('BW Summary'!$B$7:$B$483=LE!$B22)*('BW Summary'!$L$7:$L$483))</f>
        <v>571571.56999999995</v>
      </c>
      <c r="P22" s="101" cm="1">
        <f t="array" ref="P22">SUMPRODUCT(('BW Summary'!$B$7:$B$483=LE!$B22)*('BW Summary'!$M$7:$M$483))</f>
        <v>0</v>
      </c>
      <c r="Q22" s="101" cm="1">
        <f t="array" ref="Q22">SUMPRODUCT(('BW Summary'!$B$7:$B$483=LE!$B22)*('BW Summary'!$N$7:$N$483))</f>
        <v>0</v>
      </c>
      <c r="R22" s="101" cm="1">
        <f t="array" ref="R22">SUMPRODUCT(('BW Summary'!$B$7:$B$483=LE!$B22)*('BW Summary'!$O$7:$O$483))</f>
        <v>0</v>
      </c>
      <c r="S22" s="101" cm="1">
        <f t="array" ref="S22">SUMPRODUCT(('BW Summary'!$B$7:$B$483=LE!$B22)*('BW Summary'!$P$7:$P$483))</f>
        <v>0</v>
      </c>
      <c r="T22" s="101" cm="1">
        <f t="array" ref="T22">SUMPRODUCT(('BW Summary'!$B$7:$B$483=LE!$B22)*('BW Summary'!$Q$7:$Q$483))</f>
        <v>0</v>
      </c>
      <c r="U22" s="142" cm="1">
        <f t="array" ref="U22">SUMPRODUCT(('BW Summary'!$B$7:$B$483=LE!$B22)*('BW Summary'!$R$7:$R$483))</f>
        <v>0</v>
      </c>
    </row>
    <row r="23" spans="2:21" x14ac:dyDescent="0.25">
      <c r="B23" s="61" t="s">
        <v>48</v>
      </c>
      <c r="C23" t="s">
        <v>49</v>
      </c>
      <c r="D23" s="56" cm="1">
        <f t="array" ref="D23">SUMPRODUCT(('AOP25'!$F$2:$F$403=Summary!B23)*('AOP25'!$E$2:$E$403=$E$1)*('AOP25'!$U$2:$U$403))</f>
        <v>0</v>
      </c>
      <c r="E23" s="57">
        <f t="shared" si="1"/>
        <v>0</v>
      </c>
      <c r="F23" s="56">
        <f>SUMPRODUCT(('BW Summary'!$B$7:$B$483=LE!B23)*('BW Summary'!$F$7:$F$483))</f>
        <v>0</v>
      </c>
      <c r="G23" s="58">
        <f t="shared" si="2"/>
        <v>0</v>
      </c>
      <c r="J23" s="107">
        <f>SUMPRODUCT(('BW Summary'!$B$7:$B$483=LE!$B23)*('BW Summary'!$G$7:$G$483))</f>
        <v>0</v>
      </c>
      <c r="K23" s="101" cm="1">
        <f t="array" ref="K23">SUMPRODUCT(('BW Summary'!$B$7:$B$483=LE!$B23)*('BW Summary'!$H$7:$H$483))</f>
        <v>0</v>
      </c>
      <c r="L23" s="101" cm="1">
        <f t="array" ref="L23">SUMPRODUCT(('BW Summary'!$B$7:$B$483=LE!$B23)*('BW Summary'!$I$7:$I$483))</f>
        <v>0</v>
      </c>
      <c r="M23" s="101" cm="1">
        <f t="array" ref="M23">SUMPRODUCT(('BW Summary'!$B$7:$B$483=LE!$B23)*('BW Summary'!$J$7:$J$483))</f>
        <v>0</v>
      </c>
      <c r="N23" s="101" cm="1">
        <f t="array" ref="N23">SUMPRODUCT(('BW Summary'!$B$7:$B$483=LE!$B23)*('BW Summary'!$K$7:$K$483))</f>
        <v>0</v>
      </c>
      <c r="O23" s="101" cm="1">
        <f t="array" ref="O23">SUMPRODUCT(('BW Summary'!$B$7:$B$483=LE!$B23)*('BW Summary'!$L$7:$L$483))</f>
        <v>0</v>
      </c>
      <c r="P23" s="101" cm="1">
        <f t="array" ref="P23">SUMPRODUCT(('BW Summary'!$B$7:$B$483=LE!$B23)*('BW Summary'!$M$7:$M$483))</f>
        <v>0</v>
      </c>
      <c r="Q23" s="101" cm="1">
        <f t="array" ref="Q23">SUMPRODUCT(('BW Summary'!$B$7:$B$483=LE!$B23)*('BW Summary'!$N$7:$N$483))</f>
        <v>0</v>
      </c>
      <c r="R23" s="101" cm="1">
        <f t="array" ref="R23">SUMPRODUCT(('BW Summary'!$B$7:$B$483=LE!$B23)*('BW Summary'!$O$7:$O$483))</f>
        <v>0</v>
      </c>
      <c r="S23" s="101" cm="1">
        <f t="array" ref="S23">SUMPRODUCT(('BW Summary'!$B$7:$B$483=LE!$B23)*('BW Summary'!$P$7:$P$483))</f>
        <v>0</v>
      </c>
      <c r="T23" s="101" cm="1">
        <f t="array" ref="T23">SUMPRODUCT(('BW Summary'!$B$7:$B$483=LE!$B23)*('BW Summary'!$Q$7:$Q$483))</f>
        <v>0</v>
      </c>
      <c r="U23" s="142" cm="1">
        <f t="array" ref="U23">SUMPRODUCT(('BW Summary'!$B$7:$B$483=LE!$B23)*('BW Summary'!$R$7:$R$483))</f>
        <v>0</v>
      </c>
    </row>
    <row r="24" spans="2:21" x14ac:dyDescent="0.25">
      <c r="B24" s="61" t="s">
        <v>50</v>
      </c>
      <c r="C24" t="s">
        <v>51</v>
      </c>
      <c r="D24" s="56" cm="1">
        <f t="array" ref="D24">SUMPRODUCT(('AOP25'!$F$2:$F$403=Summary!B24)*('AOP25'!$E$2:$E$403=$E$1)*('AOP25'!$U$2:$U$403))</f>
        <v>0</v>
      </c>
      <c r="E24" s="57">
        <f t="shared" ref="E24:E25" si="5">(D24/12)*$D$3</f>
        <v>0</v>
      </c>
      <c r="F24" s="56">
        <f>SUMPRODUCT(('BW Summary'!$B$7:$B$483=LE!B24)*('BW Summary'!$F$7:$F$483))</f>
        <v>0</v>
      </c>
      <c r="G24" s="58">
        <f t="shared" ref="G24:G25" si="6">E24-F24</f>
        <v>0</v>
      </c>
      <c r="J24" s="107">
        <f>SUMPRODUCT(('BW Summary'!$B$7:$B$483=LE!$B24)*('BW Summary'!$G$7:$G$483))</f>
        <v>0</v>
      </c>
      <c r="K24" s="101" cm="1">
        <f t="array" ref="K24">SUMPRODUCT(('BW Summary'!$B$7:$B$483=LE!$B24)*('BW Summary'!$H$7:$H$483))</f>
        <v>0</v>
      </c>
      <c r="L24" s="101" cm="1">
        <f t="array" ref="L24">SUMPRODUCT(('BW Summary'!$B$7:$B$483=LE!$B24)*('BW Summary'!$I$7:$I$483))</f>
        <v>0</v>
      </c>
      <c r="M24" s="101" cm="1">
        <f t="array" ref="M24">SUMPRODUCT(('BW Summary'!$B$7:$B$483=LE!$B24)*('BW Summary'!$J$7:$J$483))</f>
        <v>0</v>
      </c>
      <c r="N24" s="101" cm="1">
        <f t="array" ref="N24">SUMPRODUCT(('BW Summary'!$B$7:$B$483=LE!$B24)*('BW Summary'!$K$7:$K$483))</f>
        <v>0</v>
      </c>
      <c r="O24" s="101" cm="1">
        <f t="array" ref="O24">SUMPRODUCT(('BW Summary'!$B$7:$B$483=LE!$B24)*('BW Summary'!$L$7:$L$483))</f>
        <v>0</v>
      </c>
      <c r="P24" s="101" cm="1">
        <f t="array" ref="P24">SUMPRODUCT(('BW Summary'!$B$7:$B$483=LE!$B24)*('BW Summary'!$M$7:$M$483))</f>
        <v>0</v>
      </c>
      <c r="Q24" s="101" cm="1">
        <f t="array" ref="Q24">SUMPRODUCT(('BW Summary'!$B$7:$B$483=LE!$B24)*('BW Summary'!$N$7:$N$483))</f>
        <v>0</v>
      </c>
      <c r="R24" s="101" cm="1">
        <f t="array" ref="R24">SUMPRODUCT(('BW Summary'!$B$7:$B$483=LE!$B24)*('BW Summary'!$O$7:$O$483))</f>
        <v>0</v>
      </c>
      <c r="S24" s="101" cm="1">
        <f t="array" ref="S24">SUMPRODUCT(('BW Summary'!$B$7:$B$483=LE!$B24)*('BW Summary'!$P$7:$P$483))</f>
        <v>0</v>
      </c>
      <c r="T24" s="101" cm="1">
        <f t="array" ref="T24">SUMPRODUCT(('BW Summary'!$B$7:$B$483=LE!$B24)*('BW Summary'!$Q$7:$Q$483))</f>
        <v>0</v>
      </c>
      <c r="U24" s="142" cm="1">
        <f t="array" ref="U24">SUMPRODUCT(('BW Summary'!$B$7:$B$483=LE!$B24)*('BW Summary'!$R$7:$R$483))</f>
        <v>0</v>
      </c>
    </row>
    <row r="25" spans="2:21" x14ac:dyDescent="0.25">
      <c r="B25" s="61" t="s">
        <v>52</v>
      </c>
      <c r="C25" t="s">
        <v>53</v>
      </c>
      <c r="D25" s="56" cm="1">
        <f t="array" ref="D25">SUMPRODUCT(('AOP25'!$F$2:$F$403=Summary!B25)*('AOP25'!$E$2:$E$403=$E$1)*('AOP25'!$U$2:$U$403))</f>
        <v>0</v>
      </c>
      <c r="E25" s="57">
        <f t="shared" si="5"/>
        <v>0</v>
      </c>
      <c r="F25" s="56">
        <f>SUMPRODUCT(('BW Summary'!$B$7:$B$483=LE!B25)*('BW Summary'!$F$7:$F$483))</f>
        <v>0</v>
      </c>
      <c r="G25" s="58">
        <f t="shared" si="6"/>
        <v>0</v>
      </c>
      <c r="J25" s="107">
        <f>SUMPRODUCT(('BW Summary'!$B$7:$B$483=LE!$B25)*('BW Summary'!$G$7:$G$483))</f>
        <v>0</v>
      </c>
      <c r="K25" s="101" cm="1">
        <f t="array" ref="K25">SUMPRODUCT(('BW Summary'!$B$7:$B$483=LE!$B25)*('BW Summary'!$H$7:$H$483))</f>
        <v>0</v>
      </c>
      <c r="L25" s="101" cm="1">
        <f t="array" ref="L25">SUMPRODUCT(('BW Summary'!$B$7:$B$483=LE!$B25)*('BW Summary'!$I$7:$I$483))</f>
        <v>0</v>
      </c>
      <c r="M25" s="101" cm="1">
        <f t="array" ref="M25">SUMPRODUCT(('BW Summary'!$B$7:$B$483=LE!$B25)*('BW Summary'!$J$7:$J$483))</f>
        <v>0</v>
      </c>
      <c r="N25" s="101" cm="1">
        <f t="array" ref="N25">SUMPRODUCT(('BW Summary'!$B$7:$B$483=LE!$B25)*('BW Summary'!$K$7:$K$483))</f>
        <v>0</v>
      </c>
      <c r="O25" s="101" cm="1">
        <f t="array" ref="O25">SUMPRODUCT(('BW Summary'!$B$7:$B$483=LE!$B25)*('BW Summary'!$L$7:$L$483))</f>
        <v>0</v>
      </c>
      <c r="P25" s="101" cm="1">
        <f t="array" ref="P25">SUMPRODUCT(('BW Summary'!$B$7:$B$483=LE!$B25)*('BW Summary'!$M$7:$M$483))</f>
        <v>0</v>
      </c>
      <c r="Q25" s="101" cm="1">
        <f t="array" ref="Q25">SUMPRODUCT(('BW Summary'!$B$7:$B$483=LE!$B25)*('BW Summary'!$N$7:$N$483))</f>
        <v>0</v>
      </c>
      <c r="R25" s="101" cm="1">
        <f t="array" ref="R25">SUMPRODUCT(('BW Summary'!$B$7:$B$483=LE!$B25)*('BW Summary'!$O$7:$O$483))</f>
        <v>0</v>
      </c>
      <c r="S25" s="101" cm="1">
        <f t="array" ref="S25">SUMPRODUCT(('BW Summary'!$B$7:$B$483=LE!$B25)*('BW Summary'!$P$7:$P$483))</f>
        <v>0</v>
      </c>
      <c r="T25" s="101" cm="1">
        <f t="array" ref="T25">SUMPRODUCT(('BW Summary'!$B$7:$B$483=LE!$B25)*('BW Summary'!$Q$7:$Q$483))</f>
        <v>0</v>
      </c>
      <c r="U25" s="142" cm="1">
        <f t="array" ref="U25">SUMPRODUCT(('BW Summary'!$B$7:$B$483=LE!$B25)*('BW Summary'!$R$7:$R$483))</f>
        <v>0</v>
      </c>
    </row>
    <row r="26" spans="2:21" x14ac:dyDescent="0.25">
      <c r="B26" s="61" t="s">
        <v>54</v>
      </c>
      <c r="C26" t="s">
        <v>55</v>
      </c>
      <c r="D26" s="56" cm="1">
        <f t="array" ref="D26">SUMPRODUCT(('AOP25'!$F$2:$F$403=Summary!B26)*('AOP25'!$E$2:$E$403=$E$1)*('AOP25'!$U$2:$U$403))</f>
        <v>5996900</v>
      </c>
      <c r="E26" s="57">
        <f t="shared" si="1"/>
        <v>2998450</v>
      </c>
      <c r="F26" s="56">
        <f>SUMPRODUCT(('BW Summary'!$B$7:$B$483=LE!B26)*('BW Summary'!$F$7:$F$483))</f>
        <v>2675815.0700000003</v>
      </c>
      <c r="G26" s="58">
        <f t="shared" si="2"/>
        <v>322634.9299999997</v>
      </c>
      <c r="J26" s="107">
        <f>SUMPRODUCT(('BW Summary'!$B$7:$B$483=LE!$B26)*('BW Summary'!$G$7:$G$483))</f>
        <v>418533.43</v>
      </c>
      <c r="K26" s="101" cm="1">
        <f t="array" ref="K26">SUMPRODUCT(('BW Summary'!$B$7:$B$483=LE!$B26)*('BW Summary'!$H$7:$H$483))</f>
        <v>579439.64</v>
      </c>
      <c r="L26" s="101" cm="1">
        <f t="array" ref="L26">SUMPRODUCT(('BW Summary'!$B$7:$B$483=LE!$B26)*('BW Summary'!$I$7:$I$483))</f>
        <v>442973.58999999997</v>
      </c>
      <c r="M26" s="101" cm="1">
        <f t="array" ref="M26">SUMPRODUCT(('BW Summary'!$B$7:$B$483=LE!$B26)*('BW Summary'!$J$7:$J$483))</f>
        <v>326619.39</v>
      </c>
      <c r="N26" s="101" cm="1">
        <f t="array" ref="N26">SUMPRODUCT(('BW Summary'!$B$7:$B$483=LE!$B26)*('BW Summary'!$K$7:$K$483))</f>
        <v>438489.85</v>
      </c>
      <c r="O26" s="101" cm="1">
        <f t="array" ref="O26">SUMPRODUCT(('BW Summary'!$B$7:$B$483=LE!$B26)*('BW Summary'!$L$7:$L$483))</f>
        <v>434758.67</v>
      </c>
      <c r="P26" s="101" cm="1">
        <f t="array" ref="P26">SUMPRODUCT(('BW Summary'!$B$7:$B$483=LE!$B26)*('BW Summary'!$M$7:$M$483))</f>
        <v>35000.5</v>
      </c>
      <c r="Q26" s="101" cm="1">
        <f t="array" ref="Q26">SUMPRODUCT(('BW Summary'!$B$7:$B$483=LE!$B26)*('BW Summary'!$N$7:$N$483))</f>
        <v>0</v>
      </c>
      <c r="R26" s="101" cm="1">
        <f t="array" ref="R26">SUMPRODUCT(('BW Summary'!$B$7:$B$483=LE!$B26)*('BW Summary'!$O$7:$O$483))</f>
        <v>0</v>
      </c>
      <c r="S26" s="101" cm="1">
        <f t="array" ref="S26">SUMPRODUCT(('BW Summary'!$B$7:$B$483=LE!$B26)*('BW Summary'!$P$7:$P$483))</f>
        <v>0</v>
      </c>
      <c r="T26" s="101" cm="1">
        <f t="array" ref="T26">SUMPRODUCT(('BW Summary'!$B$7:$B$483=LE!$B26)*('BW Summary'!$Q$7:$Q$483))</f>
        <v>0</v>
      </c>
      <c r="U26" s="142" cm="1">
        <f t="array" ref="U26">SUMPRODUCT(('BW Summary'!$B$7:$B$483=LE!$B26)*('BW Summary'!$R$7:$R$483))</f>
        <v>0</v>
      </c>
    </row>
    <row r="27" spans="2:21" x14ac:dyDescent="0.25">
      <c r="B27" s="63" t="s">
        <v>57</v>
      </c>
      <c r="C27" t="s">
        <v>58</v>
      </c>
      <c r="D27" s="56" cm="1">
        <f t="array" ref="D27">SUMPRODUCT(('AOP25'!$F$2:$F$403=Summary!B27)*('AOP25'!$E$2:$E$403=$E$1)*('AOP25'!$U$2:$U$403))</f>
        <v>7379548</v>
      </c>
      <c r="E27" s="57">
        <f t="shared" si="1"/>
        <v>3689774</v>
      </c>
      <c r="F27" s="56">
        <f>SUMPRODUCT(('BW Summary'!$B$7:$B$483=LE!B27)*('BW Summary'!$F$7:$F$483))</f>
        <v>3629940.16</v>
      </c>
      <c r="G27" s="58">
        <f t="shared" si="2"/>
        <v>59833.839999999851</v>
      </c>
      <c r="J27" s="107">
        <f>SUMPRODUCT(('BW Summary'!$B$7:$B$483=LE!$B27)*('BW Summary'!$G$7:$G$483))</f>
        <v>670103.16999999993</v>
      </c>
      <c r="K27" s="101" cm="1">
        <f t="array" ref="K27">SUMPRODUCT(('BW Summary'!$B$7:$B$483=LE!$B27)*('BW Summary'!$H$7:$H$483))</f>
        <v>676508.56</v>
      </c>
      <c r="L27" s="101" cm="1">
        <f t="array" ref="L27">SUMPRODUCT(('BW Summary'!$B$7:$B$483=LE!$B27)*('BW Summary'!$I$7:$I$483))</f>
        <v>568059.68999999994</v>
      </c>
      <c r="M27" s="101" cm="1">
        <f t="array" ref="M27">SUMPRODUCT(('BW Summary'!$B$7:$B$483=LE!$B27)*('BW Summary'!$J$7:$J$483))</f>
        <v>595932.12</v>
      </c>
      <c r="N27" s="101" cm="1">
        <f t="array" ref="N27">SUMPRODUCT(('BW Summary'!$B$7:$B$483=LE!$B27)*('BW Summary'!$K$7:$K$483))</f>
        <v>580643.11</v>
      </c>
      <c r="O27" s="101" cm="1">
        <f t="array" ref="O27">SUMPRODUCT(('BW Summary'!$B$7:$B$483=LE!$B27)*('BW Summary'!$L$7:$L$483))</f>
        <v>538520.61</v>
      </c>
      <c r="P27" s="101" cm="1">
        <f t="array" ref="P27">SUMPRODUCT(('BW Summary'!$B$7:$B$483=LE!$B27)*('BW Summary'!$M$7:$M$483))</f>
        <v>172.9</v>
      </c>
      <c r="Q27" s="101" cm="1">
        <f t="array" ref="Q27">SUMPRODUCT(('BW Summary'!$B$7:$B$483=LE!$B27)*('BW Summary'!$N$7:$N$483))</f>
        <v>0</v>
      </c>
      <c r="R27" s="101" cm="1">
        <f t="array" ref="R27">SUMPRODUCT(('BW Summary'!$B$7:$B$483=LE!$B27)*('BW Summary'!$O$7:$O$483))</f>
        <v>0</v>
      </c>
      <c r="S27" s="101" cm="1">
        <f t="array" ref="S27">SUMPRODUCT(('BW Summary'!$B$7:$B$483=LE!$B27)*('BW Summary'!$P$7:$P$483))</f>
        <v>0</v>
      </c>
      <c r="T27" s="101" cm="1">
        <f t="array" ref="T27">SUMPRODUCT(('BW Summary'!$B$7:$B$483=LE!$B27)*('BW Summary'!$Q$7:$Q$483))</f>
        <v>0</v>
      </c>
      <c r="U27" s="142" cm="1">
        <f t="array" ref="U27">SUMPRODUCT(('BW Summary'!$B$7:$B$483=LE!$B27)*('BW Summary'!$R$7:$R$483))</f>
        <v>0</v>
      </c>
    </row>
    <row r="28" spans="2:21" ht="15.75" thickBot="1" x14ac:dyDescent="0.3">
      <c r="B28" s="64" t="s">
        <v>59</v>
      </c>
      <c r="C28" s="15" t="s">
        <v>60</v>
      </c>
      <c r="D28" s="65" cm="1">
        <f t="array" ref="D28">SUMPRODUCT(('AOP25'!$F$2:$F$403=Summary!B28)*('AOP25'!$E$2:$E$403=$E$1)*('AOP25'!$U$2:$U$403))</f>
        <v>13072738.800000001</v>
      </c>
      <c r="E28" s="66">
        <f t="shared" si="1"/>
        <v>6536369.4000000004</v>
      </c>
      <c r="F28" s="65">
        <f>SUMPRODUCT(('BW Summary'!$B$7:$B$483=LE!B28)*('BW Summary'!$F$7:$F$483))</f>
        <v>6307753.6799999997</v>
      </c>
      <c r="G28" s="67">
        <f t="shared" si="2"/>
        <v>228615.72000000067</v>
      </c>
      <c r="J28" s="108">
        <f>SUMPRODUCT(('BW Summary'!$B$7:$B$483=LE!$B28)*('BW Summary'!$G$7:$G$483))</f>
        <v>965043.40999999968</v>
      </c>
      <c r="K28" s="103" cm="1">
        <f t="array" ref="K28">SUMPRODUCT(('BW Summary'!$B$7:$B$483=LE!$B28)*('BW Summary'!$H$7:$H$483))</f>
        <v>974895.7200000002</v>
      </c>
      <c r="L28" s="103" cm="1">
        <f t="array" ref="L28">SUMPRODUCT(('BW Summary'!$B$7:$B$483=LE!$B28)*('BW Summary'!$I$7:$I$483))</f>
        <v>901253.34000000008</v>
      </c>
      <c r="M28" s="103" cm="1">
        <f t="array" ref="M28">SUMPRODUCT(('BW Summary'!$B$7:$B$483=LE!$B28)*('BW Summary'!$J$7:$J$483))</f>
        <v>1179189.49</v>
      </c>
      <c r="N28" s="103" cm="1">
        <f t="array" ref="N28">SUMPRODUCT(('BW Summary'!$B$7:$B$483=LE!$B28)*('BW Summary'!$K$7:$K$483))</f>
        <v>958788.42999999993</v>
      </c>
      <c r="O28" s="103" cm="1">
        <f t="array" ref="O28">SUMPRODUCT(('BW Summary'!$B$7:$B$483=LE!$B28)*('BW Summary'!$L$7:$L$483))</f>
        <v>1345961.8099999998</v>
      </c>
      <c r="P28" s="103" cm="1">
        <f t="array" ref="P28">SUMPRODUCT(('BW Summary'!$B$7:$B$483=LE!$B28)*('BW Summary'!$M$7:$M$483))</f>
        <v>-17378.52</v>
      </c>
      <c r="Q28" s="103" cm="1">
        <f t="array" ref="Q28">SUMPRODUCT(('BW Summary'!$B$7:$B$483=LE!$B28)*('BW Summary'!$N$7:$N$483))</f>
        <v>0</v>
      </c>
      <c r="R28" s="103" cm="1">
        <f t="array" ref="R28">SUMPRODUCT(('BW Summary'!$B$7:$B$483=LE!$B28)*('BW Summary'!$O$7:$O$483))</f>
        <v>0</v>
      </c>
      <c r="S28" s="103" cm="1">
        <f t="array" ref="S28">SUMPRODUCT(('BW Summary'!$B$7:$B$483=LE!$B28)*('BW Summary'!$P$7:$P$483))</f>
        <v>0</v>
      </c>
      <c r="T28" s="103" cm="1">
        <f t="array" ref="T28">SUMPRODUCT(('BW Summary'!$B$7:$B$483=LE!$B28)*('BW Summary'!$Q$7:$Q$483))</f>
        <v>0</v>
      </c>
      <c r="U28" s="143" cm="1">
        <f t="array" ref="U28">SUMPRODUCT(('BW Summary'!$B$7:$B$483=LE!$B28)*('BW Summary'!$R$7:$R$483))</f>
        <v>0</v>
      </c>
    </row>
    <row r="32" spans="2:21" x14ac:dyDescent="0.25">
      <c r="J32" s="200">
        <f>J3-J9</f>
        <v>183873.27999999933</v>
      </c>
      <c r="K32" s="200">
        <f>J3-K9</f>
        <v>256674.23999999929</v>
      </c>
    </row>
  </sheetData>
  <conditionalFormatting sqref="C11:C20 C22:C28">
    <cfRule type="cellIs" dxfId="5" priority="6" operator="lessThan">
      <formula>0</formula>
    </cfRule>
  </conditionalFormatting>
  <conditionalFormatting sqref="G11:G20 G22:G28">
    <cfRule type="expression" dxfId="4" priority="4">
      <formula>IF(G11&lt;0,1)</formula>
    </cfRule>
    <cfRule type="expression" dxfId="3" priority="5">
      <formula>IF(G11&gt;0,1)</formula>
    </cfRule>
  </conditionalFormatting>
  <conditionalFormatting sqref="C21">
    <cfRule type="cellIs" dxfId="2" priority="3" operator="lessThan">
      <formula>0</formula>
    </cfRule>
  </conditionalFormatting>
  <conditionalFormatting sqref="G21">
    <cfRule type="expression" dxfId="1" priority="1">
      <formula>IF(G21&lt;0,1)</formula>
    </cfRule>
    <cfRule type="expression" dxfId="0" priority="2">
      <formula>IF(G21&gt;0,1)</formula>
    </cfRule>
  </conditionalFormatting>
  <pageMargins left="0.7" right="0.7" top="0.75" bottom="0.75" header="0.3" footer="0.3"/>
  <pageSetup paperSize="9" orientation="portrait" r:id="rId1"/>
  <customProperties>
    <customPr name="_pios_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21505" r:id="rId5" name="Button 2">
              <controlPr defaultSize="0" print="0" autoFill="0" autoPict="0" macro="[0]!FindDetails">
                <anchor moveWithCells="1" sizeWithCells="1">
                  <from>
                    <xdr:col>0</xdr:col>
                    <xdr:colOff>66675</xdr:colOff>
                    <xdr:row>8</xdr:row>
                    <xdr:rowOff>104775</xdr:rowOff>
                  </from>
                  <to>
                    <xdr:col>0</xdr:col>
                    <xdr:colOff>752475</xdr:colOff>
                    <xdr:row>10</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7E579-8566-4298-8976-28E7C2C6DB46}">
  <sheetPr codeName="Sheet4"/>
  <dimension ref="B1:M140"/>
  <sheetViews>
    <sheetView topLeftCell="D1" zoomScale="85" zoomScaleNormal="85" workbookViewId="0">
      <selection activeCell="G23" sqref="G23"/>
    </sheetView>
  </sheetViews>
  <sheetFormatPr defaultColWidth="8.85546875" defaultRowHeight="15" x14ac:dyDescent="0.25"/>
  <cols>
    <col min="2" max="2" width="12.42578125" bestFit="1" customWidth="1"/>
    <col min="3" max="3" width="30.85546875" bestFit="1" customWidth="1"/>
    <col min="4" max="4" width="7.42578125" bestFit="1" customWidth="1"/>
    <col min="5" max="5" width="29.85546875" bestFit="1" customWidth="1"/>
    <col min="6" max="6" width="18.7109375" bestFit="1" customWidth="1"/>
    <col min="7" max="13" width="16.28515625" bestFit="1" customWidth="1"/>
  </cols>
  <sheetData>
    <row r="1" spans="2:13" x14ac:dyDescent="0.25">
      <c r="B1" s="273" t="s">
        <v>76</v>
      </c>
      <c r="C1" s="273" t="s">
        <v>76</v>
      </c>
      <c r="D1" s="273" t="s">
        <v>76</v>
      </c>
      <c r="E1" s="273" t="s">
        <v>77</v>
      </c>
      <c r="F1" s="274" t="s">
        <v>78</v>
      </c>
      <c r="G1" s="274" t="s">
        <v>78</v>
      </c>
      <c r="H1" s="274" t="s">
        <v>78</v>
      </c>
      <c r="I1" s="274" t="s">
        <v>78</v>
      </c>
      <c r="J1" s="274" t="s">
        <v>78</v>
      </c>
      <c r="K1" s="274" t="s">
        <v>78</v>
      </c>
      <c r="L1" s="274" t="s">
        <v>78</v>
      </c>
      <c r="M1" s="274" t="s">
        <v>78</v>
      </c>
    </row>
    <row r="2" spans="2:13" x14ac:dyDescent="0.25">
      <c r="B2" s="273" t="s">
        <v>76</v>
      </c>
      <c r="C2" s="273" t="s">
        <v>76</v>
      </c>
      <c r="D2" s="273" t="s">
        <v>76</v>
      </c>
      <c r="E2" s="293"/>
      <c r="F2" s="274" t="s">
        <v>79</v>
      </c>
      <c r="G2" s="274" t="s">
        <v>79</v>
      </c>
      <c r="H2" s="274" t="s">
        <v>79</v>
      </c>
      <c r="I2" s="274" t="s">
        <v>79</v>
      </c>
      <c r="J2" s="274" t="s">
        <v>79</v>
      </c>
      <c r="K2" s="274" t="s">
        <v>79</v>
      </c>
      <c r="L2" s="274" t="s">
        <v>79</v>
      </c>
      <c r="M2" s="274" t="s">
        <v>79</v>
      </c>
    </row>
    <row r="3" spans="2:13" x14ac:dyDescent="0.25">
      <c r="B3" s="273" t="s">
        <v>76</v>
      </c>
      <c r="C3" s="273" t="s">
        <v>76</v>
      </c>
      <c r="D3" s="273" t="s">
        <v>76</v>
      </c>
      <c r="E3" s="273" t="s">
        <v>80</v>
      </c>
      <c r="F3" s="279" t="s">
        <v>81</v>
      </c>
      <c r="G3" s="274" t="s">
        <v>82</v>
      </c>
      <c r="H3" s="274" t="s">
        <v>83</v>
      </c>
      <c r="I3" s="274" t="s">
        <v>84</v>
      </c>
      <c r="J3" s="274" t="s">
        <v>85</v>
      </c>
      <c r="K3" s="274" t="s">
        <v>86</v>
      </c>
      <c r="L3" s="274" t="s">
        <v>87</v>
      </c>
      <c r="M3" s="274" t="s">
        <v>6504</v>
      </c>
    </row>
    <row r="4" spans="2:13" x14ac:dyDescent="0.25">
      <c r="B4" s="273" t="s">
        <v>76</v>
      </c>
      <c r="C4" s="273" t="s">
        <v>76</v>
      </c>
      <c r="D4" s="273" t="s">
        <v>76</v>
      </c>
      <c r="E4" s="273" t="s">
        <v>76</v>
      </c>
      <c r="F4" s="279" t="s">
        <v>88</v>
      </c>
      <c r="G4" s="274" t="s">
        <v>88</v>
      </c>
      <c r="H4" s="274" t="s">
        <v>88</v>
      </c>
      <c r="I4" s="274" t="s">
        <v>88</v>
      </c>
      <c r="J4" s="274" t="s">
        <v>88</v>
      </c>
      <c r="K4" s="274" t="s">
        <v>88</v>
      </c>
      <c r="L4" s="274" t="s">
        <v>88</v>
      </c>
      <c r="M4" s="274" t="s">
        <v>88</v>
      </c>
    </row>
    <row r="5" spans="2:13" x14ac:dyDescent="0.25">
      <c r="B5" s="273" t="s">
        <v>89</v>
      </c>
      <c r="C5" s="293"/>
      <c r="D5" s="273" t="s">
        <v>90</v>
      </c>
      <c r="E5" s="273" t="s">
        <v>76</v>
      </c>
      <c r="F5" s="301" t="s">
        <v>91</v>
      </c>
      <c r="G5" s="302" t="s">
        <v>91</v>
      </c>
      <c r="H5" s="302" t="s">
        <v>91</v>
      </c>
      <c r="I5" s="302" t="s">
        <v>91</v>
      </c>
      <c r="J5" s="302" t="s">
        <v>91</v>
      </c>
      <c r="K5" s="302" t="s">
        <v>91</v>
      </c>
      <c r="L5" s="302" t="s">
        <v>91</v>
      </c>
      <c r="M5" s="302" t="s">
        <v>91</v>
      </c>
    </row>
    <row r="6" spans="2:13" x14ac:dyDescent="0.25">
      <c r="B6" s="303" t="s">
        <v>92</v>
      </c>
      <c r="C6" s="272"/>
      <c r="D6" s="272"/>
      <c r="E6" s="299"/>
      <c r="F6" s="281">
        <v>25958541.920000002</v>
      </c>
      <c r="G6" s="281">
        <v>4493785.62</v>
      </c>
      <c r="H6" s="281">
        <v>4420984.66</v>
      </c>
      <c r="I6" s="281">
        <v>3957769.91</v>
      </c>
      <c r="J6" s="281">
        <v>4263894.9000000004</v>
      </c>
      <c r="K6" s="281">
        <v>4228926.1500000004</v>
      </c>
      <c r="L6" s="281">
        <v>4575385.8</v>
      </c>
      <c r="M6" s="296">
        <v>17794.88</v>
      </c>
    </row>
    <row r="7" spans="2:13" x14ac:dyDescent="0.25">
      <c r="B7" s="274" t="s">
        <v>14</v>
      </c>
      <c r="C7" s="274" t="s">
        <v>15</v>
      </c>
      <c r="D7" s="274" t="s">
        <v>93</v>
      </c>
      <c r="E7" s="274" t="s">
        <v>94</v>
      </c>
      <c r="F7" s="281">
        <v>55936.03</v>
      </c>
      <c r="G7" s="280">
        <v>8036.3</v>
      </c>
      <c r="H7" s="280">
        <v>20675.330000000002</v>
      </c>
      <c r="I7" s="280">
        <v>8686.8700000000008</v>
      </c>
      <c r="J7" s="280">
        <v>-7500</v>
      </c>
      <c r="K7" s="280">
        <v>17362.2</v>
      </c>
      <c r="L7" s="280">
        <v>8675.33</v>
      </c>
      <c r="M7" s="297"/>
    </row>
    <row r="8" spans="2:13" x14ac:dyDescent="0.25">
      <c r="B8" s="274" t="s">
        <v>19</v>
      </c>
      <c r="C8" s="274" t="s">
        <v>95</v>
      </c>
      <c r="D8" s="274" t="s">
        <v>96</v>
      </c>
      <c r="E8" s="274" t="s">
        <v>97</v>
      </c>
      <c r="F8" s="281">
        <v>1918147.13</v>
      </c>
      <c r="G8" s="280">
        <v>392612.29</v>
      </c>
      <c r="H8" s="280">
        <v>408230.29</v>
      </c>
      <c r="I8" s="280">
        <v>251038.69</v>
      </c>
      <c r="J8" s="280">
        <v>320092.48</v>
      </c>
      <c r="K8" s="280">
        <v>283309.17</v>
      </c>
      <c r="L8" s="280">
        <v>262864.21000000002</v>
      </c>
      <c r="M8" s="297"/>
    </row>
    <row r="9" spans="2:13" x14ac:dyDescent="0.25">
      <c r="B9" s="274" t="s">
        <v>19</v>
      </c>
      <c r="C9" s="274" t="s">
        <v>95</v>
      </c>
      <c r="D9" s="274" t="s">
        <v>98</v>
      </c>
      <c r="E9" s="274" t="s">
        <v>99</v>
      </c>
      <c r="F9" s="281">
        <v>2731836.98</v>
      </c>
      <c r="G9" s="280">
        <v>567921</v>
      </c>
      <c r="H9" s="280">
        <v>181191.84</v>
      </c>
      <c r="I9" s="280">
        <v>502521.14</v>
      </c>
      <c r="J9" s="280">
        <v>493401</v>
      </c>
      <c r="K9" s="280">
        <v>493401</v>
      </c>
      <c r="L9" s="280">
        <v>493401</v>
      </c>
      <c r="M9" s="297"/>
    </row>
    <row r="10" spans="2:13" x14ac:dyDescent="0.25">
      <c r="B10" s="274" t="s">
        <v>22</v>
      </c>
      <c r="C10" s="274" t="s">
        <v>100</v>
      </c>
      <c r="D10" s="274" t="s">
        <v>93</v>
      </c>
      <c r="E10" s="274" t="s">
        <v>94</v>
      </c>
      <c r="F10" s="281">
        <v>138164.94</v>
      </c>
      <c r="G10" s="280">
        <v>23160.46</v>
      </c>
      <c r="H10" s="280">
        <v>23184.86</v>
      </c>
      <c r="I10" s="280">
        <v>22987.84</v>
      </c>
      <c r="J10" s="280">
        <v>23031.759999999998</v>
      </c>
      <c r="K10" s="280">
        <v>23117.16</v>
      </c>
      <c r="L10" s="280">
        <v>22682.86</v>
      </c>
      <c r="M10" s="297"/>
    </row>
    <row r="11" spans="2:13" x14ac:dyDescent="0.25">
      <c r="B11" s="274" t="s">
        <v>22</v>
      </c>
      <c r="C11" s="274" t="s">
        <v>100</v>
      </c>
      <c r="D11" s="274" t="s">
        <v>101</v>
      </c>
      <c r="E11" s="274" t="s">
        <v>102</v>
      </c>
      <c r="F11" s="281">
        <v>2633014.2599999998</v>
      </c>
      <c r="G11" s="280">
        <v>432239.37</v>
      </c>
      <c r="H11" s="280">
        <v>457535.05</v>
      </c>
      <c r="I11" s="280">
        <v>442243.57</v>
      </c>
      <c r="J11" s="280">
        <v>433992.92</v>
      </c>
      <c r="K11" s="280">
        <v>429924.99</v>
      </c>
      <c r="L11" s="280">
        <v>437078.36</v>
      </c>
      <c r="M11" s="297"/>
    </row>
    <row r="12" spans="2:13" x14ac:dyDescent="0.25">
      <c r="B12" s="274" t="s">
        <v>22</v>
      </c>
      <c r="C12" s="274" t="s">
        <v>100</v>
      </c>
      <c r="D12" s="274" t="s">
        <v>103</v>
      </c>
      <c r="E12" s="274" t="s">
        <v>104</v>
      </c>
      <c r="F12" s="281">
        <v>1800</v>
      </c>
      <c r="G12" s="280">
        <v>1800</v>
      </c>
      <c r="H12" s="280"/>
      <c r="I12" s="280"/>
      <c r="J12" s="280"/>
      <c r="K12" s="280"/>
      <c r="L12" s="280"/>
      <c r="M12" s="297"/>
    </row>
    <row r="13" spans="2:13" x14ac:dyDescent="0.25">
      <c r="B13" s="274" t="s">
        <v>22</v>
      </c>
      <c r="C13" s="274" t="s">
        <v>100</v>
      </c>
      <c r="D13" s="274" t="s">
        <v>105</v>
      </c>
      <c r="E13" s="274" t="s">
        <v>106</v>
      </c>
      <c r="F13" s="281">
        <v>56708.94</v>
      </c>
      <c r="G13" s="280">
        <v>9303.8799999999992</v>
      </c>
      <c r="H13" s="280">
        <v>9386.3799999999992</v>
      </c>
      <c r="I13" s="280">
        <v>9303.8799999999992</v>
      </c>
      <c r="J13" s="280">
        <v>9571.6</v>
      </c>
      <c r="K13" s="280">
        <v>9571.6</v>
      </c>
      <c r="L13" s="280">
        <v>9571.6</v>
      </c>
      <c r="M13" s="297"/>
    </row>
    <row r="14" spans="2:13" x14ac:dyDescent="0.25">
      <c r="B14" s="274" t="s">
        <v>22</v>
      </c>
      <c r="C14" s="274" t="s">
        <v>100</v>
      </c>
      <c r="D14" s="274" t="s">
        <v>107</v>
      </c>
      <c r="E14" s="274" t="s">
        <v>108</v>
      </c>
      <c r="F14" s="281">
        <v>930</v>
      </c>
      <c r="G14" s="280">
        <v>310</v>
      </c>
      <c r="H14" s="280">
        <v>310</v>
      </c>
      <c r="I14" s="280">
        <v>310</v>
      </c>
      <c r="J14" s="280"/>
      <c r="K14" s="280"/>
      <c r="L14" s="280"/>
      <c r="M14" s="297"/>
    </row>
    <row r="15" spans="2:13" x14ac:dyDescent="0.25">
      <c r="B15" s="274" t="s">
        <v>22</v>
      </c>
      <c r="C15" s="274" t="s">
        <v>100</v>
      </c>
      <c r="D15" s="274" t="s">
        <v>109</v>
      </c>
      <c r="E15" s="274" t="s">
        <v>110</v>
      </c>
      <c r="F15" s="281">
        <v>-536.4</v>
      </c>
      <c r="G15" s="280"/>
      <c r="H15" s="280"/>
      <c r="I15" s="280"/>
      <c r="J15" s="280">
        <v>-536.4</v>
      </c>
      <c r="K15" s="280"/>
      <c r="L15" s="280"/>
      <c r="M15" s="297"/>
    </row>
    <row r="16" spans="2:13" x14ac:dyDescent="0.25">
      <c r="B16" s="274" t="s">
        <v>22</v>
      </c>
      <c r="C16" s="274" t="s">
        <v>100</v>
      </c>
      <c r="D16" s="274" t="s">
        <v>98</v>
      </c>
      <c r="E16" s="274" t="s">
        <v>99</v>
      </c>
      <c r="F16" s="281">
        <v>0</v>
      </c>
      <c r="G16" s="280"/>
      <c r="H16" s="280"/>
      <c r="I16" s="280"/>
      <c r="J16" s="280">
        <v>20000</v>
      </c>
      <c r="K16" s="280">
        <v>-20000</v>
      </c>
      <c r="L16" s="280"/>
      <c r="M16" s="297"/>
    </row>
    <row r="17" spans="2:13" x14ac:dyDescent="0.25">
      <c r="B17" s="274" t="s">
        <v>26</v>
      </c>
      <c r="C17" s="274" t="s">
        <v>27</v>
      </c>
      <c r="D17" s="274" t="s">
        <v>107</v>
      </c>
      <c r="E17" s="274" t="s">
        <v>108</v>
      </c>
      <c r="F17" s="281">
        <v>930</v>
      </c>
      <c r="G17" s="280"/>
      <c r="H17" s="280"/>
      <c r="I17" s="280"/>
      <c r="J17" s="280"/>
      <c r="K17" s="280">
        <v>620</v>
      </c>
      <c r="L17" s="280">
        <v>310</v>
      </c>
      <c r="M17" s="297"/>
    </row>
    <row r="18" spans="2:13" x14ac:dyDescent="0.25">
      <c r="B18" s="274" t="s">
        <v>28</v>
      </c>
      <c r="C18" s="274" t="s">
        <v>29</v>
      </c>
      <c r="D18" s="274" t="s">
        <v>111</v>
      </c>
      <c r="E18" s="274" t="s">
        <v>112</v>
      </c>
      <c r="F18" s="281">
        <v>98049.65</v>
      </c>
      <c r="G18" s="280">
        <v>15662.11</v>
      </c>
      <c r="H18" s="280">
        <v>15500</v>
      </c>
      <c r="I18" s="280">
        <v>15500</v>
      </c>
      <c r="J18" s="280">
        <v>20442.64</v>
      </c>
      <c r="K18" s="280">
        <v>15488.42</v>
      </c>
      <c r="L18" s="280">
        <v>15456.48</v>
      </c>
      <c r="M18" s="297"/>
    </row>
    <row r="19" spans="2:13" x14ac:dyDescent="0.25">
      <c r="B19" s="274" t="s">
        <v>28</v>
      </c>
      <c r="C19" s="274" t="s">
        <v>29</v>
      </c>
      <c r="D19" s="274" t="s">
        <v>113</v>
      </c>
      <c r="E19" s="274" t="s">
        <v>114</v>
      </c>
      <c r="F19" s="281">
        <v>14580</v>
      </c>
      <c r="G19" s="280">
        <v>7290</v>
      </c>
      <c r="H19" s="280"/>
      <c r="I19" s="280"/>
      <c r="J19" s="280">
        <v>7290</v>
      </c>
      <c r="K19" s="280"/>
      <c r="L19" s="280"/>
      <c r="M19" s="297"/>
    </row>
    <row r="20" spans="2:13" x14ac:dyDescent="0.25">
      <c r="B20" s="274" t="s">
        <v>28</v>
      </c>
      <c r="C20" s="274" t="s">
        <v>29</v>
      </c>
      <c r="D20" s="274" t="s">
        <v>93</v>
      </c>
      <c r="E20" s="274" t="s">
        <v>94</v>
      </c>
      <c r="F20" s="281">
        <v>35910</v>
      </c>
      <c r="G20" s="280">
        <v>5985</v>
      </c>
      <c r="H20" s="280">
        <v>5985</v>
      </c>
      <c r="I20" s="280">
        <v>5985</v>
      </c>
      <c r="J20" s="280">
        <v>5985</v>
      </c>
      <c r="K20" s="280">
        <v>5985</v>
      </c>
      <c r="L20" s="280">
        <v>5985</v>
      </c>
      <c r="M20" s="297"/>
    </row>
    <row r="21" spans="2:13" x14ac:dyDescent="0.25">
      <c r="B21" s="274" t="s">
        <v>31</v>
      </c>
      <c r="C21" s="274" t="s">
        <v>115</v>
      </c>
      <c r="D21" s="274" t="s">
        <v>116</v>
      </c>
      <c r="E21" s="274" t="s">
        <v>117</v>
      </c>
      <c r="F21" s="281">
        <v>981335.23</v>
      </c>
      <c r="G21" s="280">
        <v>165098.01</v>
      </c>
      <c r="H21" s="280">
        <v>163798.44</v>
      </c>
      <c r="I21" s="280">
        <v>162490.65</v>
      </c>
      <c r="J21" s="280">
        <v>157764.76999999999</v>
      </c>
      <c r="K21" s="280">
        <v>163142.14000000001</v>
      </c>
      <c r="L21" s="280">
        <v>169041.22</v>
      </c>
      <c r="M21" s="297"/>
    </row>
    <row r="22" spans="2:13" x14ac:dyDescent="0.25">
      <c r="B22" s="274" t="s">
        <v>31</v>
      </c>
      <c r="C22" s="274" t="s">
        <v>115</v>
      </c>
      <c r="D22" s="274" t="s">
        <v>98</v>
      </c>
      <c r="E22" s="274" t="s">
        <v>99</v>
      </c>
      <c r="F22" s="281">
        <v>-3500</v>
      </c>
      <c r="G22" s="280"/>
      <c r="H22" s="280"/>
      <c r="I22" s="280"/>
      <c r="J22" s="280"/>
      <c r="K22" s="280"/>
      <c r="L22" s="280">
        <v>-3500</v>
      </c>
      <c r="M22" s="297"/>
    </row>
    <row r="23" spans="2:13" x14ac:dyDescent="0.25">
      <c r="B23" s="274" t="s">
        <v>36</v>
      </c>
      <c r="C23" s="274" t="s">
        <v>37</v>
      </c>
      <c r="D23" s="274" t="s">
        <v>118</v>
      </c>
      <c r="E23" s="274" t="s">
        <v>119</v>
      </c>
      <c r="F23" s="281">
        <v>114963.2</v>
      </c>
      <c r="G23" s="280">
        <v>18160</v>
      </c>
      <c r="H23" s="280">
        <v>30000</v>
      </c>
      <c r="I23" s="280">
        <v>23625.599999999999</v>
      </c>
      <c r="J23" s="280"/>
      <c r="K23" s="280"/>
      <c r="L23" s="280">
        <v>43177.599999999999</v>
      </c>
      <c r="M23" s="297"/>
    </row>
    <row r="24" spans="2:13" x14ac:dyDescent="0.25">
      <c r="B24" s="274" t="s">
        <v>36</v>
      </c>
      <c r="C24" s="274" t="s">
        <v>37</v>
      </c>
      <c r="D24" s="274" t="s">
        <v>116</v>
      </c>
      <c r="E24" s="274" t="s">
        <v>117</v>
      </c>
      <c r="F24" s="281">
        <v>479624.5</v>
      </c>
      <c r="G24" s="280">
        <v>94676.36</v>
      </c>
      <c r="H24" s="280">
        <v>83638.009999999995</v>
      </c>
      <c r="I24" s="280">
        <v>73811.88</v>
      </c>
      <c r="J24" s="280">
        <v>73876.52</v>
      </c>
      <c r="K24" s="280">
        <v>80731.429999999993</v>
      </c>
      <c r="L24" s="280">
        <v>72890.3</v>
      </c>
      <c r="M24" s="297"/>
    </row>
    <row r="25" spans="2:13" x14ac:dyDescent="0.25">
      <c r="B25" s="274" t="s">
        <v>36</v>
      </c>
      <c r="C25" s="274" t="s">
        <v>37</v>
      </c>
      <c r="D25" s="274" t="s">
        <v>93</v>
      </c>
      <c r="E25" s="274" t="s">
        <v>94</v>
      </c>
      <c r="F25" s="281">
        <v>3172.17</v>
      </c>
      <c r="G25" s="280"/>
      <c r="H25" s="280"/>
      <c r="I25" s="280"/>
      <c r="J25" s="280"/>
      <c r="K25" s="280"/>
      <c r="L25" s="280">
        <v>3172.17</v>
      </c>
      <c r="M25" s="297"/>
    </row>
    <row r="26" spans="2:13" x14ac:dyDescent="0.25">
      <c r="B26" s="274" t="s">
        <v>36</v>
      </c>
      <c r="C26" s="274" t="s">
        <v>37</v>
      </c>
      <c r="D26" s="274" t="s">
        <v>98</v>
      </c>
      <c r="E26" s="274" t="s">
        <v>99</v>
      </c>
      <c r="F26" s="281">
        <v>25000</v>
      </c>
      <c r="G26" s="280"/>
      <c r="H26" s="280">
        <v>0</v>
      </c>
      <c r="I26" s="280">
        <v>0</v>
      </c>
      <c r="J26" s="280">
        <v>15000</v>
      </c>
      <c r="K26" s="280">
        <v>21336</v>
      </c>
      <c r="L26" s="280">
        <v>-11336</v>
      </c>
      <c r="M26" s="297"/>
    </row>
    <row r="27" spans="2:13" x14ac:dyDescent="0.25">
      <c r="B27" s="274" t="s">
        <v>38</v>
      </c>
      <c r="C27" s="274" t="s">
        <v>120</v>
      </c>
      <c r="D27" s="274" t="s">
        <v>93</v>
      </c>
      <c r="E27" s="274" t="s">
        <v>94</v>
      </c>
      <c r="F27" s="281">
        <v>136047.45000000001</v>
      </c>
      <c r="G27" s="280">
        <v>-350.11</v>
      </c>
      <c r="H27" s="280">
        <v>47290.02</v>
      </c>
      <c r="I27" s="280">
        <v>24000</v>
      </c>
      <c r="J27" s="280">
        <v>21420.83</v>
      </c>
      <c r="K27" s="280">
        <v>21686.71</v>
      </c>
      <c r="L27" s="280">
        <v>22000</v>
      </c>
      <c r="M27" s="297">
        <v>0</v>
      </c>
    </row>
    <row r="28" spans="2:13" x14ac:dyDescent="0.25">
      <c r="B28" s="274" t="s">
        <v>38</v>
      </c>
      <c r="C28" s="274" t="s">
        <v>120</v>
      </c>
      <c r="D28" s="274" t="s">
        <v>121</v>
      </c>
      <c r="E28" s="274" t="s">
        <v>122</v>
      </c>
      <c r="F28" s="281">
        <v>40002</v>
      </c>
      <c r="G28" s="280">
        <v>6667</v>
      </c>
      <c r="H28" s="280">
        <v>6667</v>
      </c>
      <c r="I28" s="280">
        <v>6667</v>
      </c>
      <c r="J28" s="280">
        <v>6667</v>
      </c>
      <c r="K28" s="280">
        <v>6667</v>
      </c>
      <c r="L28" s="280">
        <v>6667</v>
      </c>
      <c r="M28" s="297"/>
    </row>
    <row r="29" spans="2:13" x14ac:dyDescent="0.25">
      <c r="B29" s="274" t="s">
        <v>38</v>
      </c>
      <c r="C29" s="274" t="s">
        <v>120</v>
      </c>
      <c r="D29" s="274" t="s">
        <v>266</v>
      </c>
      <c r="E29" s="274" t="s">
        <v>267</v>
      </c>
      <c r="F29" s="281">
        <v>23760</v>
      </c>
      <c r="G29" s="280"/>
      <c r="H29" s="280"/>
      <c r="I29" s="280"/>
      <c r="J29" s="280"/>
      <c r="K29" s="280"/>
      <c r="L29" s="280">
        <v>23760</v>
      </c>
      <c r="M29" s="297"/>
    </row>
    <row r="30" spans="2:13" x14ac:dyDescent="0.25">
      <c r="B30" s="274" t="s">
        <v>40</v>
      </c>
      <c r="C30" s="274" t="s">
        <v>123</v>
      </c>
      <c r="D30" s="274" t="s">
        <v>124</v>
      </c>
      <c r="E30" s="274" t="s">
        <v>125</v>
      </c>
      <c r="F30" s="281">
        <v>33027.82</v>
      </c>
      <c r="G30" s="280"/>
      <c r="H30" s="280">
        <v>33027.82</v>
      </c>
      <c r="I30" s="280"/>
      <c r="J30" s="280"/>
      <c r="K30" s="280"/>
      <c r="L30" s="280"/>
      <c r="M30" s="297"/>
    </row>
    <row r="31" spans="2:13" x14ac:dyDescent="0.25">
      <c r="B31" s="274" t="s">
        <v>40</v>
      </c>
      <c r="C31" s="274" t="s">
        <v>123</v>
      </c>
      <c r="D31" s="274" t="s">
        <v>126</v>
      </c>
      <c r="E31" s="274" t="s">
        <v>127</v>
      </c>
      <c r="F31" s="281">
        <v>610</v>
      </c>
      <c r="G31" s="280"/>
      <c r="H31" s="280"/>
      <c r="I31" s="280"/>
      <c r="J31" s="280"/>
      <c r="K31" s="280"/>
      <c r="L31" s="280">
        <v>610</v>
      </c>
      <c r="M31" s="297"/>
    </row>
    <row r="32" spans="2:13" x14ac:dyDescent="0.25">
      <c r="B32" s="274" t="s">
        <v>40</v>
      </c>
      <c r="C32" s="274" t="s">
        <v>123</v>
      </c>
      <c r="D32" s="274" t="s">
        <v>128</v>
      </c>
      <c r="E32" s="274" t="s">
        <v>129</v>
      </c>
      <c r="F32" s="281">
        <v>1834</v>
      </c>
      <c r="G32" s="280">
        <v>1834</v>
      </c>
      <c r="H32" s="280"/>
      <c r="I32" s="280"/>
      <c r="J32" s="280"/>
      <c r="K32" s="280"/>
      <c r="L32" s="280"/>
      <c r="M32" s="297"/>
    </row>
    <row r="33" spans="2:13" x14ac:dyDescent="0.25">
      <c r="B33" s="274" t="s">
        <v>40</v>
      </c>
      <c r="C33" s="274" t="s">
        <v>123</v>
      </c>
      <c r="D33" s="274" t="s">
        <v>93</v>
      </c>
      <c r="E33" s="274" t="s">
        <v>94</v>
      </c>
      <c r="F33" s="281">
        <v>289662.78999999998</v>
      </c>
      <c r="G33" s="280">
        <v>47455.31</v>
      </c>
      <c r="H33" s="280">
        <v>47455.28</v>
      </c>
      <c r="I33" s="280">
        <v>42649.34</v>
      </c>
      <c r="J33" s="280">
        <v>53719.31</v>
      </c>
      <c r="K33" s="280">
        <v>50927.31</v>
      </c>
      <c r="L33" s="280">
        <v>47456.24</v>
      </c>
      <c r="M33" s="297"/>
    </row>
    <row r="34" spans="2:13" x14ac:dyDescent="0.25">
      <c r="B34" s="274" t="s">
        <v>40</v>
      </c>
      <c r="C34" s="274" t="s">
        <v>123</v>
      </c>
      <c r="D34" s="274" t="s">
        <v>130</v>
      </c>
      <c r="E34" s="274" t="s">
        <v>131</v>
      </c>
      <c r="F34" s="281">
        <v>104911.78</v>
      </c>
      <c r="G34" s="280"/>
      <c r="H34" s="280"/>
      <c r="I34" s="280">
        <v>104911.78</v>
      </c>
      <c r="J34" s="280"/>
      <c r="K34" s="280"/>
      <c r="L34" s="280"/>
      <c r="M34" s="297"/>
    </row>
    <row r="35" spans="2:13" x14ac:dyDescent="0.25">
      <c r="B35" s="274" t="s">
        <v>40</v>
      </c>
      <c r="C35" s="274" t="s">
        <v>123</v>
      </c>
      <c r="D35" s="274" t="s">
        <v>101</v>
      </c>
      <c r="E35" s="274" t="s">
        <v>102</v>
      </c>
      <c r="F35" s="281">
        <v>19287</v>
      </c>
      <c r="G35" s="280"/>
      <c r="H35" s="280">
        <v>6458</v>
      </c>
      <c r="I35" s="280">
        <v>3229</v>
      </c>
      <c r="J35" s="280">
        <v>3200</v>
      </c>
      <c r="K35" s="280">
        <v>3200</v>
      </c>
      <c r="L35" s="280">
        <v>3200</v>
      </c>
      <c r="M35" s="297"/>
    </row>
    <row r="36" spans="2:13" x14ac:dyDescent="0.25">
      <c r="B36" s="274" t="s">
        <v>40</v>
      </c>
      <c r="C36" s="274" t="s">
        <v>123</v>
      </c>
      <c r="D36" s="274" t="s">
        <v>132</v>
      </c>
      <c r="E36" s="274" t="s">
        <v>133</v>
      </c>
      <c r="F36" s="281">
        <v>1640</v>
      </c>
      <c r="G36" s="280">
        <v>1640</v>
      </c>
      <c r="H36" s="280"/>
      <c r="I36" s="280"/>
      <c r="J36" s="280"/>
      <c r="K36" s="280"/>
      <c r="L36" s="280"/>
      <c r="M36" s="297"/>
    </row>
    <row r="37" spans="2:13" x14ac:dyDescent="0.25">
      <c r="B37" s="274" t="s">
        <v>40</v>
      </c>
      <c r="C37" s="274" t="s">
        <v>123</v>
      </c>
      <c r="D37" s="274" t="s">
        <v>134</v>
      </c>
      <c r="E37" s="274" t="s">
        <v>135</v>
      </c>
      <c r="F37" s="281">
        <v>240711.66</v>
      </c>
      <c r="G37" s="280"/>
      <c r="H37" s="280"/>
      <c r="I37" s="280">
        <v>240711.66</v>
      </c>
      <c r="J37" s="280"/>
      <c r="K37" s="280"/>
      <c r="L37" s="280"/>
      <c r="M37" s="297"/>
    </row>
    <row r="38" spans="2:13" x14ac:dyDescent="0.25">
      <c r="B38" s="274" t="s">
        <v>40</v>
      </c>
      <c r="C38" s="274" t="s">
        <v>123</v>
      </c>
      <c r="D38" s="274" t="s">
        <v>98</v>
      </c>
      <c r="E38" s="274" t="s">
        <v>99</v>
      </c>
      <c r="F38" s="281">
        <v>-72675.8</v>
      </c>
      <c r="G38" s="280">
        <v>54398.28</v>
      </c>
      <c r="H38" s="280">
        <v>28455.279999999999</v>
      </c>
      <c r="I38" s="280">
        <v>-284728.67</v>
      </c>
      <c r="J38" s="280">
        <v>38894.769999999997</v>
      </c>
      <c r="K38" s="280">
        <v>38894.769999999997</v>
      </c>
      <c r="L38" s="280">
        <v>51409.77</v>
      </c>
      <c r="M38" s="297"/>
    </row>
    <row r="39" spans="2:13" x14ac:dyDescent="0.25">
      <c r="B39" s="274" t="s">
        <v>44</v>
      </c>
      <c r="C39" s="274" t="s">
        <v>136</v>
      </c>
      <c r="D39" s="274" t="s">
        <v>93</v>
      </c>
      <c r="E39" s="274" t="s">
        <v>94</v>
      </c>
      <c r="F39" s="281">
        <v>3329847.02</v>
      </c>
      <c r="G39" s="280">
        <v>586206.35</v>
      </c>
      <c r="H39" s="280">
        <v>621352.14</v>
      </c>
      <c r="I39" s="280">
        <v>312857.94</v>
      </c>
      <c r="J39" s="280">
        <v>542519.81999999995</v>
      </c>
      <c r="K39" s="280">
        <v>613622.81999999995</v>
      </c>
      <c r="L39" s="280">
        <v>653287.94999999995</v>
      </c>
      <c r="M39" s="297"/>
    </row>
    <row r="40" spans="2:13" x14ac:dyDescent="0.25">
      <c r="B40" s="274" t="s">
        <v>44</v>
      </c>
      <c r="C40" s="274" t="s">
        <v>136</v>
      </c>
      <c r="D40" s="274" t="s">
        <v>98</v>
      </c>
      <c r="E40" s="274" t="s">
        <v>99</v>
      </c>
      <c r="F40" s="281">
        <v>-89699.34</v>
      </c>
      <c r="G40" s="280"/>
      <c r="H40" s="280"/>
      <c r="I40" s="280">
        <v>76680.12</v>
      </c>
      <c r="J40" s="280">
        <v>-76680.12</v>
      </c>
      <c r="K40" s="280">
        <v>-7982.96</v>
      </c>
      <c r="L40" s="280">
        <v>-81716.38</v>
      </c>
      <c r="M40" s="297"/>
    </row>
    <row r="41" spans="2:13" x14ac:dyDescent="0.25">
      <c r="B41" s="274" t="s">
        <v>54</v>
      </c>
      <c r="C41" s="274" t="s">
        <v>137</v>
      </c>
      <c r="D41" s="274" t="s">
        <v>138</v>
      </c>
      <c r="E41" s="274" t="s">
        <v>139</v>
      </c>
      <c r="F41" s="281">
        <v>18377</v>
      </c>
      <c r="G41" s="280">
        <v>3697.5</v>
      </c>
      <c r="H41" s="280">
        <v>1610</v>
      </c>
      <c r="I41" s="280"/>
      <c r="J41" s="280">
        <v>3124.5</v>
      </c>
      <c r="K41" s="280"/>
      <c r="L41" s="280">
        <v>9944.5</v>
      </c>
      <c r="M41" s="297">
        <v>0.5</v>
      </c>
    </row>
    <row r="42" spans="2:13" x14ac:dyDescent="0.25">
      <c r="B42" s="274" t="s">
        <v>54</v>
      </c>
      <c r="C42" s="274" t="s">
        <v>137</v>
      </c>
      <c r="D42" s="274" t="s">
        <v>116</v>
      </c>
      <c r="E42" s="274" t="s">
        <v>117</v>
      </c>
      <c r="F42" s="281">
        <v>1065.7</v>
      </c>
      <c r="G42" s="280">
        <v>372.07</v>
      </c>
      <c r="H42" s="280">
        <v>517.53</v>
      </c>
      <c r="I42" s="280">
        <v>-146.51</v>
      </c>
      <c r="J42" s="280">
        <v>97.55</v>
      </c>
      <c r="K42" s="280">
        <v>145.59</v>
      </c>
      <c r="L42" s="280">
        <v>79.47</v>
      </c>
      <c r="M42" s="297"/>
    </row>
    <row r="43" spans="2:13" x14ac:dyDescent="0.25">
      <c r="B43" s="274" t="s">
        <v>54</v>
      </c>
      <c r="C43" s="274" t="s">
        <v>137</v>
      </c>
      <c r="D43" s="274" t="s">
        <v>140</v>
      </c>
      <c r="E43" s="274" t="s">
        <v>141</v>
      </c>
      <c r="F43" s="281">
        <v>6600</v>
      </c>
      <c r="G43" s="280">
        <v>4000</v>
      </c>
      <c r="H43" s="280"/>
      <c r="I43" s="280"/>
      <c r="J43" s="280">
        <v>4000</v>
      </c>
      <c r="K43" s="280">
        <v>-1400</v>
      </c>
      <c r="L43" s="280"/>
      <c r="M43" s="297"/>
    </row>
    <row r="44" spans="2:13" x14ac:dyDescent="0.25">
      <c r="B44" s="274" t="s">
        <v>54</v>
      </c>
      <c r="C44" s="274" t="s">
        <v>137</v>
      </c>
      <c r="D44" s="274" t="s">
        <v>142</v>
      </c>
      <c r="E44" s="274" t="s">
        <v>143</v>
      </c>
      <c r="F44" s="281">
        <v>-214574.67</v>
      </c>
      <c r="G44" s="280">
        <v>-174966.67</v>
      </c>
      <c r="H44" s="280"/>
      <c r="I44" s="280"/>
      <c r="J44" s="280">
        <v>-39608</v>
      </c>
      <c r="K44" s="280"/>
      <c r="L44" s="280"/>
      <c r="M44" s="297"/>
    </row>
    <row r="45" spans="2:13" x14ac:dyDescent="0.25">
      <c r="B45" s="274" t="s">
        <v>54</v>
      </c>
      <c r="C45" s="274" t="s">
        <v>137</v>
      </c>
      <c r="D45" s="274" t="s">
        <v>144</v>
      </c>
      <c r="E45" s="274" t="s">
        <v>145</v>
      </c>
      <c r="F45" s="281">
        <v>69752</v>
      </c>
      <c r="G45" s="280">
        <v>69752</v>
      </c>
      <c r="H45" s="280"/>
      <c r="I45" s="280"/>
      <c r="J45" s="280"/>
      <c r="K45" s="280"/>
      <c r="L45" s="280"/>
      <c r="M45" s="297"/>
    </row>
    <row r="46" spans="2:13" x14ac:dyDescent="0.25">
      <c r="B46" s="274" t="s">
        <v>54</v>
      </c>
      <c r="C46" s="274" t="s">
        <v>137</v>
      </c>
      <c r="D46" s="274" t="s">
        <v>146</v>
      </c>
      <c r="E46" s="274" t="s">
        <v>147</v>
      </c>
      <c r="F46" s="281">
        <v>6054</v>
      </c>
      <c r="G46" s="280">
        <v>6054</v>
      </c>
      <c r="H46" s="280"/>
      <c r="I46" s="280"/>
      <c r="J46" s="280"/>
      <c r="K46" s="280"/>
      <c r="L46" s="280"/>
      <c r="M46" s="297"/>
    </row>
    <row r="47" spans="2:13" x14ac:dyDescent="0.25">
      <c r="B47" s="274" t="s">
        <v>54</v>
      </c>
      <c r="C47" s="274" t="s">
        <v>137</v>
      </c>
      <c r="D47" s="274" t="s">
        <v>148</v>
      </c>
      <c r="E47" s="274" t="s">
        <v>149</v>
      </c>
      <c r="F47" s="281">
        <v>177077.76000000001</v>
      </c>
      <c r="G47" s="280">
        <v>26215.25</v>
      </c>
      <c r="H47" s="280">
        <v>33870.5</v>
      </c>
      <c r="I47" s="280">
        <v>29780.51</v>
      </c>
      <c r="J47" s="280">
        <v>29020.5</v>
      </c>
      <c r="K47" s="280">
        <v>29020.51</v>
      </c>
      <c r="L47" s="280">
        <v>29170.49</v>
      </c>
      <c r="M47" s="297"/>
    </row>
    <row r="48" spans="2:13" x14ac:dyDescent="0.25">
      <c r="B48" s="274" t="s">
        <v>54</v>
      </c>
      <c r="C48" s="274" t="s">
        <v>137</v>
      </c>
      <c r="D48" s="274" t="s">
        <v>6164</v>
      </c>
      <c r="E48" s="274" t="s">
        <v>6165</v>
      </c>
      <c r="F48" s="281">
        <v>47000</v>
      </c>
      <c r="G48" s="280"/>
      <c r="H48" s="280"/>
      <c r="I48" s="280"/>
      <c r="J48" s="280"/>
      <c r="K48" s="280"/>
      <c r="L48" s="280">
        <v>47000</v>
      </c>
      <c r="M48" s="297"/>
    </row>
    <row r="49" spans="2:13" x14ac:dyDescent="0.25">
      <c r="B49" s="274" t="s">
        <v>54</v>
      </c>
      <c r="C49" s="274" t="s">
        <v>137</v>
      </c>
      <c r="D49" s="274" t="s">
        <v>93</v>
      </c>
      <c r="E49" s="274" t="s">
        <v>94</v>
      </c>
      <c r="F49" s="281">
        <v>62956.44</v>
      </c>
      <c r="G49" s="280">
        <v>10492.74</v>
      </c>
      <c r="H49" s="280">
        <v>10492.74</v>
      </c>
      <c r="I49" s="280">
        <v>10492.74</v>
      </c>
      <c r="J49" s="280">
        <v>10492.74</v>
      </c>
      <c r="K49" s="280">
        <v>10492.74</v>
      </c>
      <c r="L49" s="280">
        <v>10492.74</v>
      </c>
      <c r="M49" s="297"/>
    </row>
    <row r="50" spans="2:13" x14ac:dyDescent="0.25">
      <c r="B50" s="274" t="s">
        <v>54</v>
      </c>
      <c r="C50" s="274" t="s">
        <v>137</v>
      </c>
      <c r="D50" s="274" t="s">
        <v>150</v>
      </c>
      <c r="E50" s="274" t="s">
        <v>151</v>
      </c>
      <c r="F50" s="281">
        <v>162475</v>
      </c>
      <c r="G50" s="280">
        <v>16000</v>
      </c>
      <c r="H50" s="280">
        <v>146475</v>
      </c>
      <c r="I50" s="280"/>
      <c r="J50" s="280"/>
      <c r="K50" s="280"/>
      <c r="L50" s="280"/>
      <c r="M50" s="297"/>
    </row>
    <row r="51" spans="2:13" x14ac:dyDescent="0.25">
      <c r="B51" s="274" t="s">
        <v>54</v>
      </c>
      <c r="C51" s="274" t="s">
        <v>137</v>
      </c>
      <c r="D51" s="274" t="s">
        <v>152</v>
      </c>
      <c r="E51" s="274" t="s">
        <v>153</v>
      </c>
      <c r="F51" s="281">
        <v>-50851.839999999997</v>
      </c>
      <c r="G51" s="280"/>
      <c r="H51" s="280"/>
      <c r="I51" s="280">
        <v>-50851.839999999997</v>
      </c>
      <c r="J51" s="280"/>
      <c r="K51" s="280"/>
      <c r="L51" s="280"/>
      <c r="M51" s="297"/>
    </row>
    <row r="52" spans="2:13" x14ac:dyDescent="0.25">
      <c r="B52" s="274" t="s">
        <v>54</v>
      </c>
      <c r="C52" s="274" t="s">
        <v>137</v>
      </c>
      <c r="D52" s="274" t="s">
        <v>154</v>
      </c>
      <c r="E52" s="274" t="s">
        <v>155</v>
      </c>
      <c r="F52" s="281">
        <v>47758.18</v>
      </c>
      <c r="G52" s="280">
        <v>45725.46</v>
      </c>
      <c r="H52" s="280"/>
      <c r="I52" s="280"/>
      <c r="J52" s="280"/>
      <c r="K52" s="280">
        <v>2032.72</v>
      </c>
      <c r="L52" s="280"/>
      <c r="M52" s="297"/>
    </row>
    <row r="53" spans="2:13" x14ac:dyDescent="0.25">
      <c r="B53" s="274" t="s">
        <v>54</v>
      </c>
      <c r="C53" s="274" t="s">
        <v>137</v>
      </c>
      <c r="D53" s="274" t="s">
        <v>156</v>
      </c>
      <c r="E53" s="274" t="s">
        <v>157</v>
      </c>
      <c r="F53" s="281">
        <v>411000</v>
      </c>
      <c r="G53" s="280">
        <v>301500</v>
      </c>
      <c r="H53" s="280"/>
      <c r="I53" s="280"/>
      <c r="J53" s="280">
        <v>109500</v>
      </c>
      <c r="K53" s="280"/>
      <c r="L53" s="280"/>
      <c r="M53" s="297"/>
    </row>
    <row r="54" spans="2:13" x14ac:dyDescent="0.25">
      <c r="B54" s="274" t="s">
        <v>54</v>
      </c>
      <c r="C54" s="274" t="s">
        <v>137</v>
      </c>
      <c r="D54" s="274" t="s">
        <v>158</v>
      </c>
      <c r="E54" s="274" t="s">
        <v>159</v>
      </c>
      <c r="F54" s="281">
        <v>175580</v>
      </c>
      <c r="G54" s="280"/>
      <c r="H54" s="280"/>
      <c r="I54" s="280"/>
      <c r="J54" s="280"/>
      <c r="K54" s="280">
        <v>175580</v>
      </c>
      <c r="L54" s="280"/>
      <c r="M54" s="297"/>
    </row>
    <row r="55" spans="2:13" x14ac:dyDescent="0.25">
      <c r="B55" s="274" t="s">
        <v>54</v>
      </c>
      <c r="C55" s="274" t="s">
        <v>137</v>
      </c>
      <c r="D55" s="274" t="s">
        <v>160</v>
      </c>
      <c r="E55" s="274" t="s">
        <v>161</v>
      </c>
      <c r="F55" s="281">
        <v>103359</v>
      </c>
      <c r="G55" s="280">
        <v>8613</v>
      </c>
      <c r="H55" s="280">
        <v>8613</v>
      </c>
      <c r="I55" s="280">
        <v>86133</v>
      </c>
      <c r="J55" s="280"/>
      <c r="K55" s="280"/>
      <c r="L55" s="280"/>
      <c r="M55" s="297"/>
    </row>
    <row r="56" spans="2:13" x14ac:dyDescent="0.25">
      <c r="B56" s="274" t="s">
        <v>54</v>
      </c>
      <c r="C56" s="274" t="s">
        <v>137</v>
      </c>
      <c r="D56" s="274" t="s">
        <v>162</v>
      </c>
      <c r="E56" s="274" t="s">
        <v>163</v>
      </c>
      <c r="F56" s="281">
        <v>186983.91</v>
      </c>
      <c r="G56" s="280">
        <v>36635.519999999997</v>
      </c>
      <c r="H56" s="280">
        <v>35830.800000000003</v>
      </c>
      <c r="I56" s="280">
        <v>30675.4</v>
      </c>
      <c r="J56" s="280">
        <v>27225.02</v>
      </c>
      <c r="K56" s="280">
        <v>28143.63</v>
      </c>
      <c r="L56" s="280">
        <v>28473.54</v>
      </c>
      <c r="M56" s="297"/>
    </row>
    <row r="57" spans="2:13" x14ac:dyDescent="0.25">
      <c r="B57" s="274" t="s">
        <v>54</v>
      </c>
      <c r="C57" s="274" t="s">
        <v>137</v>
      </c>
      <c r="D57" s="274" t="s">
        <v>101</v>
      </c>
      <c r="E57" s="274" t="s">
        <v>102</v>
      </c>
      <c r="F57" s="281">
        <v>43000.42</v>
      </c>
      <c r="G57" s="280">
        <v>21129.42</v>
      </c>
      <c r="H57" s="280"/>
      <c r="I57" s="280">
        <v>522</v>
      </c>
      <c r="J57" s="280"/>
      <c r="K57" s="280">
        <v>21349</v>
      </c>
      <c r="L57" s="280"/>
      <c r="M57" s="297"/>
    </row>
    <row r="58" spans="2:13" x14ac:dyDescent="0.25">
      <c r="B58" s="274" t="s">
        <v>54</v>
      </c>
      <c r="C58" s="274" t="s">
        <v>137</v>
      </c>
      <c r="D58" s="274" t="s">
        <v>164</v>
      </c>
      <c r="E58" s="274" t="s">
        <v>165</v>
      </c>
      <c r="F58" s="281">
        <v>13750</v>
      </c>
      <c r="G58" s="280">
        <v>2190</v>
      </c>
      <c r="H58" s="280">
        <v>2190</v>
      </c>
      <c r="I58" s="280">
        <v>2190</v>
      </c>
      <c r="J58" s="280">
        <v>3378</v>
      </c>
      <c r="K58" s="280">
        <v>2112</v>
      </c>
      <c r="L58" s="280">
        <v>1690</v>
      </c>
      <c r="M58" s="297"/>
    </row>
    <row r="59" spans="2:13" x14ac:dyDescent="0.25">
      <c r="B59" s="274" t="s">
        <v>54</v>
      </c>
      <c r="C59" s="274" t="s">
        <v>137</v>
      </c>
      <c r="D59" s="274" t="s">
        <v>166</v>
      </c>
      <c r="E59" s="274" t="s">
        <v>167</v>
      </c>
      <c r="F59" s="281">
        <v>100000</v>
      </c>
      <c r="G59" s="280">
        <v>50000</v>
      </c>
      <c r="H59" s="280"/>
      <c r="I59" s="280"/>
      <c r="J59" s="280">
        <v>50000</v>
      </c>
      <c r="K59" s="280"/>
      <c r="L59" s="280"/>
      <c r="M59" s="297"/>
    </row>
    <row r="60" spans="2:13" x14ac:dyDescent="0.25">
      <c r="B60" s="274" t="s">
        <v>54</v>
      </c>
      <c r="C60" s="274" t="s">
        <v>137</v>
      </c>
      <c r="D60" s="274" t="s">
        <v>168</v>
      </c>
      <c r="E60" s="274" t="s">
        <v>169</v>
      </c>
      <c r="F60" s="281">
        <v>243390</v>
      </c>
      <c r="G60" s="280"/>
      <c r="H60" s="280"/>
      <c r="I60" s="280"/>
      <c r="J60" s="280">
        <v>86130</v>
      </c>
      <c r="K60" s="280">
        <v>25000</v>
      </c>
      <c r="L60" s="280">
        <v>97260</v>
      </c>
      <c r="M60" s="297">
        <v>35000</v>
      </c>
    </row>
    <row r="61" spans="2:13" x14ac:dyDescent="0.25">
      <c r="B61" s="274" t="s">
        <v>54</v>
      </c>
      <c r="C61" s="274" t="s">
        <v>137</v>
      </c>
      <c r="D61" s="274" t="s">
        <v>170</v>
      </c>
      <c r="E61" s="274" t="s">
        <v>171</v>
      </c>
      <c r="F61" s="281">
        <v>12500.01</v>
      </c>
      <c r="G61" s="280">
        <v>12500</v>
      </c>
      <c r="H61" s="280">
        <v>0.01</v>
      </c>
      <c r="I61" s="280"/>
      <c r="J61" s="280"/>
      <c r="K61" s="280"/>
      <c r="L61" s="280"/>
      <c r="M61" s="297"/>
    </row>
    <row r="62" spans="2:13" x14ac:dyDescent="0.25">
      <c r="B62" s="274" t="s">
        <v>54</v>
      </c>
      <c r="C62" s="274" t="s">
        <v>137</v>
      </c>
      <c r="D62" s="274" t="s">
        <v>172</v>
      </c>
      <c r="E62" s="274" t="s">
        <v>173</v>
      </c>
      <c r="F62" s="281">
        <v>617.59</v>
      </c>
      <c r="G62" s="280"/>
      <c r="H62" s="280"/>
      <c r="I62" s="280"/>
      <c r="J62" s="280"/>
      <c r="K62" s="280">
        <v>617.59</v>
      </c>
      <c r="L62" s="280"/>
      <c r="M62" s="297"/>
    </row>
    <row r="63" spans="2:13" x14ac:dyDescent="0.25">
      <c r="B63" s="274" t="s">
        <v>54</v>
      </c>
      <c r="C63" s="274" t="s">
        <v>137</v>
      </c>
      <c r="D63" s="274" t="s">
        <v>174</v>
      </c>
      <c r="E63" s="274" t="s">
        <v>175</v>
      </c>
      <c r="F63" s="281">
        <v>1838.04</v>
      </c>
      <c r="G63" s="280">
        <v>293.14999999999998</v>
      </c>
      <c r="H63" s="280">
        <v>335.61</v>
      </c>
      <c r="I63" s="280">
        <v>294.18</v>
      </c>
      <c r="J63" s="280">
        <v>304.44</v>
      </c>
      <c r="K63" s="280">
        <v>306.89999999999998</v>
      </c>
      <c r="L63" s="280">
        <v>303.76</v>
      </c>
      <c r="M63" s="297"/>
    </row>
    <row r="64" spans="2:13" x14ac:dyDescent="0.25">
      <c r="B64" s="274" t="s">
        <v>54</v>
      </c>
      <c r="C64" s="274" t="s">
        <v>137</v>
      </c>
      <c r="D64" s="274" t="s">
        <v>176</v>
      </c>
      <c r="E64" s="274" t="s">
        <v>177</v>
      </c>
      <c r="F64" s="281">
        <v>20000</v>
      </c>
      <c r="G64" s="280"/>
      <c r="H64" s="280">
        <v>20000</v>
      </c>
      <c r="I64" s="280">
        <v>0</v>
      </c>
      <c r="J64" s="280"/>
      <c r="K64" s="280"/>
      <c r="L64" s="280"/>
      <c r="M64" s="297"/>
    </row>
    <row r="65" spans="2:13" x14ac:dyDescent="0.25">
      <c r="B65" s="274" t="s">
        <v>54</v>
      </c>
      <c r="C65" s="274" t="s">
        <v>137</v>
      </c>
      <c r="D65" s="274" t="s">
        <v>178</v>
      </c>
      <c r="E65" s="274" t="s">
        <v>179</v>
      </c>
      <c r="F65" s="281">
        <v>7000</v>
      </c>
      <c r="G65" s="280"/>
      <c r="H65" s="280"/>
      <c r="I65" s="280"/>
      <c r="J65" s="280">
        <v>7000</v>
      </c>
      <c r="K65" s="280"/>
      <c r="L65" s="280"/>
      <c r="M65" s="297"/>
    </row>
    <row r="66" spans="2:13" x14ac:dyDescent="0.25">
      <c r="B66" s="274" t="s">
        <v>54</v>
      </c>
      <c r="C66" s="274" t="s">
        <v>137</v>
      </c>
      <c r="D66" s="274" t="s">
        <v>180</v>
      </c>
      <c r="E66" s="274" t="s">
        <v>181</v>
      </c>
      <c r="F66" s="281">
        <v>914</v>
      </c>
      <c r="G66" s="280">
        <v>251</v>
      </c>
      <c r="H66" s="280">
        <v>38</v>
      </c>
      <c r="I66" s="280">
        <v>123</v>
      </c>
      <c r="J66" s="280"/>
      <c r="K66" s="280">
        <v>251</v>
      </c>
      <c r="L66" s="280">
        <v>251</v>
      </c>
      <c r="M66" s="297"/>
    </row>
    <row r="67" spans="2:13" x14ac:dyDescent="0.25">
      <c r="B67" s="274" t="s">
        <v>54</v>
      </c>
      <c r="C67" s="274" t="s">
        <v>137</v>
      </c>
      <c r="D67" s="274" t="s">
        <v>182</v>
      </c>
      <c r="E67" s="274" t="s">
        <v>183</v>
      </c>
      <c r="F67" s="281">
        <v>3175</v>
      </c>
      <c r="G67" s="280"/>
      <c r="H67" s="280"/>
      <c r="I67" s="280"/>
      <c r="J67" s="280"/>
      <c r="K67" s="280"/>
      <c r="L67" s="280">
        <v>3175</v>
      </c>
      <c r="M67" s="297"/>
    </row>
    <row r="68" spans="2:13" x14ac:dyDescent="0.25">
      <c r="B68" s="274" t="s">
        <v>54</v>
      </c>
      <c r="C68" s="274" t="s">
        <v>137</v>
      </c>
      <c r="D68" s="274" t="s">
        <v>184</v>
      </c>
      <c r="E68" s="274" t="s">
        <v>185</v>
      </c>
      <c r="F68" s="281">
        <v>1397259.36</v>
      </c>
      <c r="G68" s="280">
        <v>238539.67</v>
      </c>
      <c r="H68" s="280">
        <v>366020.66</v>
      </c>
      <c r="I68" s="280">
        <v>224224.94</v>
      </c>
      <c r="J68" s="280">
        <v>207853.43</v>
      </c>
      <c r="K68" s="280">
        <v>180310.33</v>
      </c>
      <c r="L68" s="280">
        <v>180310.33</v>
      </c>
      <c r="M68" s="297"/>
    </row>
    <row r="69" spans="2:13" x14ac:dyDescent="0.25">
      <c r="B69" s="274" t="s">
        <v>54</v>
      </c>
      <c r="C69" s="274" t="s">
        <v>137</v>
      </c>
      <c r="D69" s="274" t="s">
        <v>98</v>
      </c>
      <c r="E69" s="274" t="s">
        <v>99</v>
      </c>
      <c r="F69" s="281">
        <v>-378241.83</v>
      </c>
      <c r="G69" s="280">
        <v>-260460.68</v>
      </c>
      <c r="H69" s="280">
        <v>-46554.21</v>
      </c>
      <c r="I69" s="280">
        <v>109536.17</v>
      </c>
      <c r="J69" s="280">
        <v>-171898.79</v>
      </c>
      <c r="K69" s="280">
        <v>-35472.160000000003</v>
      </c>
      <c r="L69" s="280">
        <v>26607.84</v>
      </c>
      <c r="M69" s="297"/>
    </row>
    <row r="70" spans="2:13" x14ac:dyDescent="0.25">
      <c r="B70" s="274" t="s">
        <v>57</v>
      </c>
      <c r="C70" s="274" t="s">
        <v>186</v>
      </c>
      <c r="D70" s="274" t="s">
        <v>187</v>
      </c>
      <c r="E70" s="274" t="s">
        <v>188</v>
      </c>
      <c r="F70" s="281">
        <v>5522354.5599999996</v>
      </c>
      <c r="G70" s="280">
        <v>5382289.1600000001</v>
      </c>
      <c r="H70" s="280">
        <v>55687.5</v>
      </c>
      <c r="I70" s="280"/>
      <c r="J70" s="280">
        <v>73875</v>
      </c>
      <c r="K70" s="280">
        <v>10330</v>
      </c>
      <c r="L70" s="280"/>
      <c r="M70" s="297">
        <v>172.9</v>
      </c>
    </row>
    <row r="71" spans="2:13" x14ac:dyDescent="0.25">
      <c r="B71" s="274" t="s">
        <v>57</v>
      </c>
      <c r="C71" s="274" t="s">
        <v>186</v>
      </c>
      <c r="D71" s="274" t="s">
        <v>189</v>
      </c>
      <c r="E71" s="274" t="s">
        <v>190</v>
      </c>
      <c r="F71" s="281">
        <v>87572.12</v>
      </c>
      <c r="G71" s="280">
        <v>11075.87</v>
      </c>
      <c r="H71" s="280">
        <v>41247.5</v>
      </c>
      <c r="I71" s="280">
        <v>15880</v>
      </c>
      <c r="J71" s="280">
        <v>-6461.25</v>
      </c>
      <c r="K71" s="280">
        <v>13740</v>
      </c>
      <c r="L71" s="280">
        <v>12090</v>
      </c>
      <c r="M71" s="297"/>
    </row>
    <row r="72" spans="2:13" x14ac:dyDescent="0.25">
      <c r="B72" s="274" t="s">
        <v>57</v>
      </c>
      <c r="C72" s="274" t="s">
        <v>186</v>
      </c>
      <c r="D72" s="274" t="s">
        <v>191</v>
      </c>
      <c r="E72" s="274" t="s">
        <v>192</v>
      </c>
      <c r="F72" s="281">
        <v>42299.56</v>
      </c>
      <c r="G72" s="280">
        <v>11428.51</v>
      </c>
      <c r="H72" s="280">
        <v>14540.52</v>
      </c>
      <c r="I72" s="280">
        <v>10000</v>
      </c>
      <c r="J72" s="280">
        <v>16330.53</v>
      </c>
      <c r="K72" s="280">
        <v>10000</v>
      </c>
      <c r="L72" s="280">
        <v>-20000</v>
      </c>
      <c r="M72" s="297"/>
    </row>
    <row r="73" spans="2:13" x14ac:dyDescent="0.25">
      <c r="B73" s="274" t="s">
        <v>57</v>
      </c>
      <c r="C73" s="274" t="s">
        <v>186</v>
      </c>
      <c r="D73" s="274" t="s">
        <v>148</v>
      </c>
      <c r="E73" s="274" t="s">
        <v>149</v>
      </c>
      <c r="F73" s="281">
        <v>233383.24</v>
      </c>
      <c r="G73" s="280">
        <v>233383.24</v>
      </c>
      <c r="H73" s="280"/>
      <c r="I73" s="280"/>
      <c r="J73" s="280"/>
      <c r="K73" s="280"/>
      <c r="L73" s="280"/>
      <c r="M73" s="297"/>
    </row>
    <row r="74" spans="2:13" x14ac:dyDescent="0.25">
      <c r="B74" s="274" t="s">
        <v>57</v>
      </c>
      <c r="C74" s="274" t="s">
        <v>186</v>
      </c>
      <c r="D74" s="274" t="s">
        <v>193</v>
      </c>
      <c r="E74" s="274" t="s">
        <v>194</v>
      </c>
      <c r="F74" s="281">
        <v>78852</v>
      </c>
      <c r="G74" s="280"/>
      <c r="H74" s="280"/>
      <c r="I74" s="280"/>
      <c r="J74" s="280"/>
      <c r="K74" s="280">
        <v>78852</v>
      </c>
      <c r="L74" s="280"/>
      <c r="M74" s="297"/>
    </row>
    <row r="75" spans="2:13" x14ac:dyDescent="0.25">
      <c r="B75" s="274" t="s">
        <v>57</v>
      </c>
      <c r="C75" s="274" t="s">
        <v>186</v>
      </c>
      <c r="D75" s="274" t="s">
        <v>195</v>
      </c>
      <c r="E75" s="274" t="s">
        <v>196</v>
      </c>
      <c r="F75" s="281">
        <v>25074.73</v>
      </c>
      <c r="G75" s="280"/>
      <c r="H75" s="280"/>
      <c r="I75" s="280"/>
      <c r="J75" s="280">
        <v>25074.73</v>
      </c>
      <c r="K75" s="280"/>
      <c r="L75" s="280"/>
      <c r="M75" s="297"/>
    </row>
    <row r="76" spans="2:13" x14ac:dyDescent="0.25">
      <c r="B76" s="274" t="s">
        <v>57</v>
      </c>
      <c r="C76" s="274" t="s">
        <v>186</v>
      </c>
      <c r="D76" s="274" t="s">
        <v>197</v>
      </c>
      <c r="E76" s="274" t="s">
        <v>198</v>
      </c>
      <c r="F76" s="281">
        <v>105757.5</v>
      </c>
      <c r="G76" s="280">
        <v>13225</v>
      </c>
      <c r="H76" s="280">
        <v>12797.5</v>
      </c>
      <c r="I76" s="280">
        <v>12797.5</v>
      </c>
      <c r="J76" s="280">
        <v>31970</v>
      </c>
      <c r="K76" s="280">
        <v>17555</v>
      </c>
      <c r="L76" s="280">
        <v>17412.5</v>
      </c>
      <c r="M76" s="297"/>
    </row>
    <row r="77" spans="2:13" x14ac:dyDescent="0.25">
      <c r="B77" s="274" t="s">
        <v>57</v>
      </c>
      <c r="C77" s="274" t="s">
        <v>186</v>
      </c>
      <c r="D77" s="274" t="s">
        <v>98</v>
      </c>
      <c r="E77" s="274" t="s">
        <v>99</v>
      </c>
      <c r="F77" s="281">
        <v>-2465353.5499999998</v>
      </c>
      <c r="G77" s="280">
        <v>-4981298.6100000003</v>
      </c>
      <c r="H77" s="280">
        <v>552235.54</v>
      </c>
      <c r="I77" s="280">
        <v>529382.18999999994</v>
      </c>
      <c r="J77" s="280">
        <v>455143.11</v>
      </c>
      <c r="K77" s="280">
        <v>450166.11</v>
      </c>
      <c r="L77" s="280">
        <v>529018.11</v>
      </c>
      <c r="M77" s="297"/>
    </row>
    <row r="78" spans="2:13" x14ac:dyDescent="0.25">
      <c r="B78" s="274" t="s">
        <v>59</v>
      </c>
      <c r="C78" s="274" t="s">
        <v>199</v>
      </c>
      <c r="D78" s="274" t="s">
        <v>187</v>
      </c>
      <c r="E78" s="274" t="s">
        <v>188</v>
      </c>
      <c r="F78" s="281">
        <v>609079.16</v>
      </c>
      <c r="G78" s="280"/>
      <c r="H78" s="280"/>
      <c r="I78" s="280"/>
      <c r="J78" s="280"/>
      <c r="K78" s="280"/>
      <c r="L78" s="280">
        <v>609079.16</v>
      </c>
      <c r="M78" s="297"/>
    </row>
    <row r="79" spans="2:13" x14ac:dyDescent="0.25">
      <c r="B79" s="274" t="s">
        <v>59</v>
      </c>
      <c r="C79" s="274" t="s">
        <v>199</v>
      </c>
      <c r="D79" s="274" t="s">
        <v>200</v>
      </c>
      <c r="E79" s="274" t="s">
        <v>201</v>
      </c>
      <c r="F79" s="281">
        <v>74900</v>
      </c>
      <c r="G79" s="280"/>
      <c r="H79" s="280"/>
      <c r="I79" s="280">
        <v>28200</v>
      </c>
      <c r="J79" s="280">
        <v>14300</v>
      </c>
      <c r="K79" s="280">
        <v>32400</v>
      </c>
      <c r="L79" s="280"/>
      <c r="M79" s="297"/>
    </row>
    <row r="80" spans="2:13" x14ac:dyDescent="0.25">
      <c r="B80" s="274" t="s">
        <v>59</v>
      </c>
      <c r="C80" s="274" t="s">
        <v>199</v>
      </c>
      <c r="D80" s="274" t="s">
        <v>202</v>
      </c>
      <c r="E80" s="274" t="s">
        <v>203</v>
      </c>
      <c r="F80" s="281">
        <v>299420.58</v>
      </c>
      <c r="G80" s="280">
        <v>230483.1</v>
      </c>
      <c r="H80" s="280"/>
      <c r="I80" s="280"/>
      <c r="J80" s="280"/>
      <c r="K80" s="280"/>
      <c r="L80" s="280">
        <v>68937.48</v>
      </c>
      <c r="M80" s="297"/>
    </row>
    <row r="81" spans="2:13" x14ac:dyDescent="0.25">
      <c r="B81" s="274" t="s">
        <v>59</v>
      </c>
      <c r="C81" s="274" t="s">
        <v>199</v>
      </c>
      <c r="D81" s="274" t="s">
        <v>142</v>
      </c>
      <c r="E81" s="274" t="s">
        <v>143</v>
      </c>
      <c r="F81" s="281">
        <v>-5400</v>
      </c>
      <c r="G81" s="280"/>
      <c r="H81" s="280">
        <v>-5400</v>
      </c>
      <c r="I81" s="280"/>
      <c r="J81" s="280"/>
      <c r="K81" s="280"/>
      <c r="L81" s="280"/>
      <c r="M81" s="297"/>
    </row>
    <row r="82" spans="2:13" x14ac:dyDescent="0.25">
      <c r="B82" s="274" t="s">
        <v>59</v>
      </c>
      <c r="C82" s="274" t="s">
        <v>199</v>
      </c>
      <c r="D82" s="274" t="s">
        <v>124</v>
      </c>
      <c r="E82" s="274" t="s">
        <v>125</v>
      </c>
      <c r="F82" s="281">
        <v>12515.02</v>
      </c>
      <c r="G82" s="280"/>
      <c r="H82" s="280"/>
      <c r="I82" s="280">
        <v>12515.02</v>
      </c>
      <c r="J82" s="280"/>
      <c r="K82" s="280"/>
      <c r="L82" s="280"/>
      <c r="M82" s="297"/>
    </row>
    <row r="83" spans="2:13" x14ac:dyDescent="0.25">
      <c r="B83" s="274" t="s">
        <v>59</v>
      </c>
      <c r="C83" s="274" t="s">
        <v>199</v>
      </c>
      <c r="D83" s="274" t="s">
        <v>204</v>
      </c>
      <c r="E83" s="274" t="s">
        <v>205</v>
      </c>
      <c r="F83" s="281">
        <v>15726</v>
      </c>
      <c r="G83" s="280"/>
      <c r="H83" s="280"/>
      <c r="I83" s="280">
        <v>15726</v>
      </c>
      <c r="J83" s="280"/>
      <c r="K83" s="280"/>
      <c r="L83" s="280"/>
      <c r="M83" s="297"/>
    </row>
    <row r="84" spans="2:13" x14ac:dyDescent="0.25">
      <c r="B84" s="274" t="s">
        <v>59</v>
      </c>
      <c r="C84" s="274" t="s">
        <v>199</v>
      </c>
      <c r="D84" s="274" t="s">
        <v>206</v>
      </c>
      <c r="E84" s="274" t="s">
        <v>207</v>
      </c>
      <c r="F84" s="281">
        <v>2102.4</v>
      </c>
      <c r="G84" s="280"/>
      <c r="H84" s="280"/>
      <c r="I84" s="280"/>
      <c r="J84" s="280">
        <v>12728.7</v>
      </c>
      <c r="K84" s="280">
        <v>-10626.3</v>
      </c>
      <c r="L84" s="280"/>
      <c r="M84" s="297"/>
    </row>
    <row r="85" spans="2:13" x14ac:dyDescent="0.25">
      <c r="B85" s="274" t="s">
        <v>59</v>
      </c>
      <c r="C85" s="274" t="s">
        <v>199</v>
      </c>
      <c r="D85" s="274" t="s">
        <v>208</v>
      </c>
      <c r="E85" s="274" t="s">
        <v>209</v>
      </c>
      <c r="F85" s="281">
        <v>13275</v>
      </c>
      <c r="G85" s="280">
        <v>2212.5</v>
      </c>
      <c r="H85" s="280">
        <v>2212.5</v>
      </c>
      <c r="I85" s="280">
        <v>2212.5</v>
      </c>
      <c r="J85" s="280">
        <v>2212.5</v>
      </c>
      <c r="K85" s="280">
        <v>2212.5</v>
      </c>
      <c r="L85" s="280">
        <v>2212.5</v>
      </c>
      <c r="M85" s="297"/>
    </row>
    <row r="86" spans="2:13" x14ac:dyDescent="0.25">
      <c r="B86" s="274" t="s">
        <v>59</v>
      </c>
      <c r="C86" s="274" t="s">
        <v>199</v>
      </c>
      <c r="D86" s="274" t="s">
        <v>96</v>
      </c>
      <c r="E86" s="274" t="s">
        <v>97</v>
      </c>
      <c r="F86" s="281">
        <v>4970.6400000000003</v>
      </c>
      <c r="G86" s="280">
        <v>1938</v>
      </c>
      <c r="H86" s="280"/>
      <c r="I86" s="280">
        <v>3032.64</v>
      </c>
      <c r="J86" s="280"/>
      <c r="K86" s="280"/>
      <c r="L86" s="280"/>
      <c r="M86" s="297"/>
    </row>
    <row r="87" spans="2:13" x14ac:dyDescent="0.25">
      <c r="B87" s="274" t="s">
        <v>59</v>
      </c>
      <c r="C87" s="274" t="s">
        <v>199</v>
      </c>
      <c r="D87" s="274" t="s">
        <v>210</v>
      </c>
      <c r="E87" s="274" t="s">
        <v>211</v>
      </c>
      <c r="F87" s="281">
        <v>27000</v>
      </c>
      <c r="G87" s="280">
        <v>27000</v>
      </c>
      <c r="H87" s="280"/>
      <c r="I87" s="280"/>
      <c r="J87" s="280"/>
      <c r="K87" s="280"/>
      <c r="L87" s="280"/>
      <c r="M87" s="297"/>
    </row>
    <row r="88" spans="2:13" x14ac:dyDescent="0.25">
      <c r="B88" s="274" t="s">
        <v>59</v>
      </c>
      <c r="C88" s="274" t="s">
        <v>199</v>
      </c>
      <c r="D88" s="274" t="s">
        <v>146</v>
      </c>
      <c r="E88" s="274" t="s">
        <v>147</v>
      </c>
      <c r="F88" s="281">
        <v>31354</v>
      </c>
      <c r="G88" s="280">
        <v>4340</v>
      </c>
      <c r="H88" s="280">
        <v>4090</v>
      </c>
      <c r="I88" s="280"/>
      <c r="J88" s="280">
        <v>7430</v>
      </c>
      <c r="K88" s="280"/>
      <c r="L88" s="280">
        <v>15494</v>
      </c>
      <c r="M88" s="297"/>
    </row>
    <row r="89" spans="2:13" x14ac:dyDescent="0.25">
      <c r="B89" s="274" t="s">
        <v>59</v>
      </c>
      <c r="C89" s="274" t="s">
        <v>199</v>
      </c>
      <c r="D89" s="274" t="s">
        <v>212</v>
      </c>
      <c r="E89" s="274" t="s">
        <v>213</v>
      </c>
      <c r="F89" s="281">
        <v>7950</v>
      </c>
      <c r="G89" s="280"/>
      <c r="H89" s="280">
        <v>7950</v>
      </c>
      <c r="I89" s="280"/>
      <c r="J89" s="280"/>
      <c r="K89" s="280"/>
      <c r="L89" s="280"/>
      <c r="M89" s="297"/>
    </row>
    <row r="90" spans="2:13" x14ac:dyDescent="0.25">
      <c r="B90" s="274" t="s">
        <v>59</v>
      </c>
      <c r="C90" s="274" t="s">
        <v>199</v>
      </c>
      <c r="D90" s="274" t="s">
        <v>214</v>
      </c>
      <c r="E90" s="274" t="s">
        <v>215</v>
      </c>
      <c r="F90" s="281">
        <v>145776.48000000001</v>
      </c>
      <c r="G90" s="280"/>
      <c r="H90" s="280"/>
      <c r="I90" s="280">
        <v>72888.240000000005</v>
      </c>
      <c r="J90" s="280"/>
      <c r="K90" s="280"/>
      <c r="L90" s="280">
        <v>72888.240000000005</v>
      </c>
      <c r="M90" s="297"/>
    </row>
    <row r="91" spans="2:13" x14ac:dyDescent="0.25">
      <c r="B91" s="274" t="s">
        <v>59</v>
      </c>
      <c r="C91" s="274" t="s">
        <v>199</v>
      </c>
      <c r="D91" s="274" t="s">
        <v>216</v>
      </c>
      <c r="E91" s="274" t="s">
        <v>217</v>
      </c>
      <c r="F91" s="281">
        <v>36849.199999999997</v>
      </c>
      <c r="G91" s="280">
        <v>6893.6</v>
      </c>
      <c r="H91" s="280">
        <v>1217.77</v>
      </c>
      <c r="I91" s="280">
        <v>13102.63</v>
      </c>
      <c r="J91" s="280">
        <v>7017.6</v>
      </c>
      <c r="K91" s="280"/>
      <c r="L91" s="280">
        <v>8617.6</v>
      </c>
      <c r="M91" s="297"/>
    </row>
    <row r="92" spans="2:13" x14ac:dyDescent="0.25">
      <c r="B92" s="274" t="s">
        <v>59</v>
      </c>
      <c r="C92" s="274" t="s">
        <v>199</v>
      </c>
      <c r="D92" s="274" t="s">
        <v>218</v>
      </c>
      <c r="E92" s="274" t="s">
        <v>219</v>
      </c>
      <c r="F92" s="281">
        <v>19674</v>
      </c>
      <c r="G92" s="280">
        <v>9837</v>
      </c>
      <c r="H92" s="280"/>
      <c r="I92" s="280"/>
      <c r="J92" s="280">
        <v>9837</v>
      </c>
      <c r="K92" s="280"/>
      <c r="L92" s="280"/>
      <c r="M92" s="297"/>
    </row>
    <row r="93" spans="2:13" x14ac:dyDescent="0.25">
      <c r="B93" s="274" t="s">
        <v>59</v>
      </c>
      <c r="C93" s="274" t="s">
        <v>199</v>
      </c>
      <c r="D93" s="274" t="s">
        <v>220</v>
      </c>
      <c r="E93" s="274" t="s">
        <v>221</v>
      </c>
      <c r="F93" s="281">
        <v>117255.58</v>
      </c>
      <c r="G93" s="280"/>
      <c r="H93" s="280"/>
      <c r="I93" s="280"/>
      <c r="J93" s="280">
        <v>117255.58</v>
      </c>
      <c r="K93" s="280"/>
      <c r="L93" s="280"/>
      <c r="M93" s="297"/>
    </row>
    <row r="94" spans="2:13" x14ac:dyDescent="0.25">
      <c r="B94" s="274" t="s">
        <v>59</v>
      </c>
      <c r="C94" s="274" t="s">
        <v>199</v>
      </c>
      <c r="D94" s="274" t="s">
        <v>93</v>
      </c>
      <c r="E94" s="274" t="s">
        <v>94</v>
      </c>
      <c r="F94" s="281">
        <v>219530.69</v>
      </c>
      <c r="G94" s="280">
        <v>35275.82</v>
      </c>
      <c r="H94" s="280">
        <v>28085.42</v>
      </c>
      <c r="I94" s="280">
        <v>46946.79</v>
      </c>
      <c r="J94" s="280">
        <v>35964.720000000001</v>
      </c>
      <c r="K94" s="280">
        <v>34298.620000000003</v>
      </c>
      <c r="L94" s="280">
        <v>38959.32</v>
      </c>
      <c r="M94" s="297"/>
    </row>
    <row r="95" spans="2:13" x14ac:dyDescent="0.25">
      <c r="B95" s="274" t="s">
        <v>59</v>
      </c>
      <c r="C95" s="274" t="s">
        <v>199</v>
      </c>
      <c r="D95" s="274" t="s">
        <v>222</v>
      </c>
      <c r="E95" s="274" t="s">
        <v>223</v>
      </c>
      <c r="F95" s="281">
        <v>99447.5</v>
      </c>
      <c r="G95" s="280"/>
      <c r="H95" s="280"/>
      <c r="I95" s="280">
        <v>99447.5</v>
      </c>
      <c r="J95" s="280"/>
      <c r="K95" s="280"/>
      <c r="L95" s="280"/>
      <c r="M95" s="297"/>
    </row>
    <row r="96" spans="2:13" x14ac:dyDescent="0.25">
      <c r="B96" s="274" t="s">
        <v>59</v>
      </c>
      <c r="C96" s="274" t="s">
        <v>199</v>
      </c>
      <c r="D96" s="274" t="s">
        <v>224</v>
      </c>
      <c r="E96" s="274" t="s">
        <v>225</v>
      </c>
      <c r="F96" s="281">
        <v>135545.66</v>
      </c>
      <c r="G96" s="280">
        <v>97877.77</v>
      </c>
      <c r="H96" s="280"/>
      <c r="I96" s="280">
        <v>37667.89</v>
      </c>
      <c r="J96" s="280"/>
      <c r="K96" s="280"/>
      <c r="L96" s="280"/>
      <c r="M96" s="297"/>
    </row>
    <row r="97" spans="2:13" x14ac:dyDescent="0.25">
      <c r="B97" s="274" t="s">
        <v>59</v>
      </c>
      <c r="C97" s="274" t="s">
        <v>199</v>
      </c>
      <c r="D97" s="274" t="s">
        <v>152</v>
      </c>
      <c r="E97" s="274" t="s">
        <v>153</v>
      </c>
      <c r="F97" s="281">
        <v>37000</v>
      </c>
      <c r="G97" s="280"/>
      <c r="H97" s="280"/>
      <c r="I97" s="280"/>
      <c r="J97" s="280"/>
      <c r="K97" s="280">
        <v>37000</v>
      </c>
      <c r="L97" s="280"/>
      <c r="M97" s="297"/>
    </row>
    <row r="98" spans="2:13" x14ac:dyDescent="0.25">
      <c r="B98" s="274" t="s">
        <v>59</v>
      </c>
      <c r="C98" s="274" t="s">
        <v>199</v>
      </c>
      <c r="D98" s="274" t="s">
        <v>226</v>
      </c>
      <c r="E98" s="274" t="s">
        <v>227</v>
      </c>
      <c r="F98" s="281">
        <v>135321.44</v>
      </c>
      <c r="G98" s="280">
        <v>819.77</v>
      </c>
      <c r="H98" s="280"/>
      <c r="I98" s="280"/>
      <c r="J98" s="280">
        <v>134501.67000000001</v>
      </c>
      <c r="K98" s="280"/>
      <c r="L98" s="280"/>
      <c r="M98" s="297"/>
    </row>
    <row r="99" spans="2:13" x14ac:dyDescent="0.25">
      <c r="B99" s="274" t="s">
        <v>59</v>
      </c>
      <c r="C99" s="274" t="s">
        <v>199</v>
      </c>
      <c r="D99" s="274" t="s">
        <v>228</v>
      </c>
      <c r="E99" s="274" t="s">
        <v>229</v>
      </c>
      <c r="F99" s="281">
        <v>14000</v>
      </c>
      <c r="G99" s="280"/>
      <c r="H99" s="280">
        <v>14000</v>
      </c>
      <c r="I99" s="280"/>
      <c r="J99" s="280"/>
      <c r="K99" s="280"/>
      <c r="L99" s="280"/>
      <c r="M99" s="297"/>
    </row>
    <row r="100" spans="2:13" x14ac:dyDescent="0.25">
      <c r="B100" s="274" t="s">
        <v>59</v>
      </c>
      <c r="C100" s="274" t="s">
        <v>199</v>
      </c>
      <c r="D100" s="274" t="s">
        <v>160</v>
      </c>
      <c r="E100" s="274" t="s">
        <v>161</v>
      </c>
      <c r="F100" s="281">
        <v>63562.5</v>
      </c>
      <c r="G100" s="280">
        <v>13562.5</v>
      </c>
      <c r="H100" s="280">
        <v>50000</v>
      </c>
      <c r="I100" s="280"/>
      <c r="J100" s="280"/>
      <c r="K100" s="280"/>
      <c r="L100" s="280"/>
      <c r="M100" s="297"/>
    </row>
    <row r="101" spans="2:13" x14ac:dyDescent="0.25">
      <c r="B101" s="274" t="s">
        <v>59</v>
      </c>
      <c r="C101" s="274" t="s">
        <v>199</v>
      </c>
      <c r="D101" s="274" t="s">
        <v>230</v>
      </c>
      <c r="E101" s="274" t="s">
        <v>231</v>
      </c>
      <c r="F101" s="281">
        <v>98400</v>
      </c>
      <c r="G101" s="280">
        <v>98400</v>
      </c>
      <c r="H101" s="280"/>
      <c r="I101" s="280"/>
      <c r="J101" s="280"/>
      <c r="K101" s="280"/>
      <c r="L101" s="280"/>
      <c r="M101" s="297"/>
    </row>
    <row r="102" spans="2:13" x14ac:dyDescent="0.25">
      <c r="B102" s="274" t="s">
        <v>59</v>
      </c>
      <c r="C102" s="274" t="s">
        <v>199</v>
      </c>
      <c r="D102" s="274" t="s">
        <v>6160</v>
      </c>
      <c r="E102" s="274" t="s">
        <v>6161</v>
      </c>
      <c r="F102" s="281">
        <v>129208.48</v>
      </c>
      <c r="G102" s="280"/>
      <c r="H102" s="280"/>
      <c r="I102" s="280"/>
      <c r="J102" s="280"/>
      <c r="K102" s="280"/>
      <c r="L102" s="280">
        <v>129208.48</v>
      </c>
      <c r="M102" s="297"/>
    </row>
    <row r="103" spans="2:13" x14ac:dyDescent="0.25">
      <c r="B103" s="274" t="s">
        <v>59</v>
      </c>
      <c r="C103" s="274" t="s">
        <v>199</v>
      </c>
      <c r="D103" s="274" t="s">
        <v>232</v>
      </c>
      <c r="E103" s="274" t="s">
        <v>233</v>
      </c>
      <c r="F103" s="281">
        <v>88655</v>
      </c>
      <c r="G103" s="280">
        <v>88655</v>
      </c>
      <c r="H103" s="280"/>
      <c r="I103" s="280"/>
      <c r="J103" s="280"/>
      <c r="K103" s="280"/>
      <c r="L103" s="280"/>
      <c r="M103" s="297"/>
    </row>
    <row r="104" spans="2:13" x14ac:dyDescent="0.25">
      <c r="B104" s="274" t="s">
        <v>59</v>
      </c>
      <c r="C104" s="274" t="s">
        <v>199</v>
      </c>
      <c r="D104" s="274" t="s">
        <v>166</v>
      </c>
      <c r="E104" s="274" t="s">
        <v>167</v>
      </c>
      <c r="F104" s="281">
        <v>52263.6</v>
      </c>
      <c r="G104" s="280"/>
      <c r="H104" s="280"/>
      <c r="I104" s="280"/>
      <c r="J104" s="280"/>
      <c r="K104" s="280">
        <v>52263.6</v>
      </c>
      <c r="L104" s="280"/>
      <c r="M104" s="297"/>
    </row>
    <row r="105" spans="2:13" x14ac:dyDescent="0.25">
      <c r="B105" s="274" t="s">
        <v>59</v>
      </c>
      <c r="C105" s="274" t="s">
        <v>199</v>
      </c>
      <c r="D105" s="274" t="s">
        <v>234</v>
      </c>
      <c r="E105" s="274" t="s">
        <v>235</v>
      </c>
      <c r="F105" s="281">
        <v>52318.21</v>
      </c>
      <c r="G105" s="280">
        <v>1502.22</v>
      </c>
      <c r="H105" s="280">
        <v>10747.48</v>
      </c>
      <c r="I105" s="280">
        <v>10686.46</v>
      </c>
      <c r="J105" s="280">
        <v>10123.34</v>
      </c>
      <c r="K105" s="280">
        <v>9306.3799999999992</v>
      </c>
      <c r="L105" s="280">
        <v>9952.33</v>
      </c>
      <c r="M105" s="297"/>
    </row>
    <row r="106" spans="2:13" x14ac:dyDescent="0.25">
      <c r="B106" s="274" t="s">
        <v>59</v>
      </c>
      <c r="C106" s="274" t="s">
        <v>199</v>
      </c>
      <c r="D106" s="274" t="s">
        <v>236</v>
      </c>
      <c r="E106" s="274" t="s">
        <v>237</v>
      </c>
      <c r="F106" s="281">
        <v>44940</v>
      </c>
      <c r="G106" s="280"/>
      <c r="H106" s="280"/>
      <c r="I106" s="280"/>
      <c r="J106" s="280"/>
      <c r="K106" s="280">
        <v>44940</v>
      </c>
      <c r="L106" s="280"/>
      <c r="M106" s="297"/>
    </row>
    <row r="107" spans="2:13" x14ac:dyDescent="0.25">
      <c r="B107" s="274" t="s">
        <v>59</v>
      </c>
      <c r="C107" s="274" t="s">
        <v>199</v>
      </c>
      <c r="D107" s="274" t="s">
        <v>168</v>
      </c>
      <c r="E107" s="274" t="s">
        <v>169</v>
      </c>
      <c r="F107" s="281">
        <v>5099</v>
      </c>
      <c r="G107" s="280">
        <v>2349</v>
      </c>
      <c r="H107" s="280">
        <v>725</v>
      </c>
      <c r="I107" s="280"/>
      <c r="J107" s="280"/>
      <c r="K107" s="280">
        <v>2025</v>
      </c>
      <c r="L107" s="280"/>
      <c r="M107" s="297"/>
    </row>
    <row r="108" spans="2:13" x14ac:dyDescent="0.25">
      <c r="B108" s="274" t="s">
        <v>59</v>
      </c>
      <c r="C108" s="274" t="s">
        <v>199</v>
      </c>
      <c r="D108" s="274" t="s">
        <v>238</v>
      </c>
      <c r="E108" s="274" t="s">
        <v>239</v>
      </c>
      <c r="F108" s="281">
        <v>85881.18</v>
      </c>
      <c r="G108" s="280">
        <v>85881.18</v>
      </c>
      <c r="H108" s="280"/>
      <c r="I108" s="280"/>
      <c r="J108" s="280"/>
      <c r="K108" s="280">
        <v>0</v>
      </c>
      <c r="L108" s="280"/>
      <c r="M108" s="297"/>
    </row>
    <row r="109" spans="2:13" x14ac:dyDescent="0.25">
      <c r="B109" s="274" t="s">
        <v>59</v>
      </c>
      <c r="C109" s="274" t="s">
        <v>199</v>
      </c>
      <c r="D109" s="274" t="s">
        <v>240</v>
      </c>
      <c r="E109" s="274" t="s">
        <v>241</v>
      </c>
      <c r="F109" s="281">
        <v>100167.61</v>
      </c>
      <c r="G109" s="280"/>
      <c r="H109" s="280"/>
      <c r="I109" s="280"/>
      <c r="J109" s="280">
        <v>100167.61</v>
      </c>
      <c r="K109" s="280"/>
      <c r="L109" s="280"/>
      <c r="M109" s="297"/>
    </row>
    <row r="110" spans="2:13" x14ac:dyDescent="0.25">
      <c r="B110" s="274" t="s">
        <v>59</v>
      </c>
      <c r="C110" s="274" t="s">
        <v>199</v>
      </c>
      <c r="D110" s="274" t="s">
        <v>242</v>
      </c>
      <c r="E110" s="274" t="s">
        <v>243</v>
      </c>
      <c r="F110" s="281">
        <v>26183.11</v>
      </c>
      <c r="G110" s="280">
        <v>26183.11</v>
      </c>
      <c r="H110" s="280"/>
      <c r="I110" s="280"/>
      <c r="J110" s="280"/>
      <c r="K110" s="280"/>
      <c r="L110" s="280"/>
      <c r="M110" s="297"/>
    </row>
    <row r="111" spans="2:13" x14ac:dyDescent="0.25">
      <c r="B111" s="274" t="s">
        <v>59</v>
      </c>
      <c r="C111" s="274" t="s">
        <v>199</v>
      </c>
      <c r="D111" s="274" t="s">
        <v>244</v>
      </c>
      <c r="E111" s="274" t="s">
        <v>245</v>
      </c>
      <c r="F111" s="281">
        <v>64193.35</v>
      </c>
      <c r="G111" s="280">
        <v>57573.59</v>
      </c>
      <c r="H111" s="280"/>
      <c r="I111" s="280"/>
      <c r="J111" s="280">
        <v>6619.76</v>
      </c>
      <c r="K111" s="280"/>
      <c r="L111" s="280"/>
      <c r="M111" s="297"/>
    </row>
    <row r="112" spans="2:13" x14ac:dyDescent="0.25">
      <c r="B112" s="274" t="s">
        <v>59</v>
      </c>
      <c r="C112" s="274" t="s">
        <v>199</v>
      </c>
      <c r="D112" s="274" t="s">
        <v>6745</v>
      </c>
      <c r="E112" s="274" t="s">
        <v>3502</v>
      </c>
      <c r="F112" s="281">
        <v>-17378.52</v>
      </c>
      <c r="G112" s="280"/>
      <c r="H112" s="280"/>
      <c r="I112" s="280"/>
      <c r="J112" s="280"/>
      <c r="K112" s="280"/>
      <c r="L112" s="280"/>
      <c r="M112" s="297">
        <v>-17378.52</v>
      </c>
    </row>
    <row r="113" spans="2:13" x14ac:dyDescent="0.25">
      <c r="B113" s="274" t="s">
        <v>59</v>
      </c>
      <c r="C113" s="274" t="s">
        <v>199</v>
      </c>
      <c r="D113" s="274" t="s">
        <v>246</v>
      </c>
      <c r="E113" s="274" t="s">
        <v>247</v>
      </c>
      <c r="F113" s="281">
        <v>147764.85999999999</v>
      </c>
      <c r="G113" s="280"/>
      <c r="H113" s="280"/>
      <c r="I113" s="280">
        <v>147764.85999999999</v>
      </c>
      <c r="J113" s="280"/>
      <c r="K113" s="280"/>
      <c r="L113" s="280"/>
      <c r="M113" s="297"/>
    </row>
    <row r="114" spans="2:13" x14ac:dyDescent="0.25">
      <c r="B114" s="274" t="s">
        <v>59</v>
      </c>
      <c r="C114" s="274" t="s">
        <v>199</v>
      </c>
      <c r="D114" s="274" t="s">
        <v>248</v>
      </c>
      <c r="E114" s="274" t="s">
        <v>249</v>
      </c>
      <c r="F114" s="281">
        <v>305818.2</v>
      </c>
      <c r="G114" s="280">
        <v>1305</v>
      </c>
      <c r="H114" s="280"/>
      <c r="I114" s="280"/>
      <c r="J114" s="280">
        <v>22836</v>
      </c>
      <c r="K114" s="280">
        <v>281677.2</v>
      </c>
      <c r="L114" s="280"/>
      <c r="M114" s="297"/>
    </row>
    <row r="115" spans="2:13" x14ac:dyDescent="0.25">
      <c r="B115" s="274" t="s">
        <v>59</v>
      </c>
      <c r="C115" s="274" t="s">
        <v>199</v>
      </c>
      <c r="D115" s="274" t="s">
        <v>6162</v>
      </c>
      <c r="E115" s="274" t="s">
        <v>6163</v>
      </c>
      <c r="F115" s="281">
        <v>5926</v>
      </c>
      <c r="G115" s="280"/>
      <c r="H115" s="280"/>
      <c r="I115" s="280"/>
      <c r="J115" s="280"/>
      <c r="K115" s="280"/>
      <c r="L115" s="280">
        <v>5926</v>
      </c>
      <c r="M115" s="297"/>
    </row>
    <row r="116" spans="2:13" x14ac:dyDescent="0.25">
      <c r="B116" s="274" t="s">
        <v>59</v>
      </c>
      <c r="C116" s="274" t="s">
        <v>199</v>
      </c>
      <c r="D116" s="274" t="s">
        <v>250</v>
      </c>
      <c r="E116" s="274" t="s">
        <v>251</v>
      </c>
      <c r="F116" s="281">
        <v>0</v>
      </c>
      <c r="G116" s="280"/>
      <c r="H116" s="280"/>
      <c r="I116" s="280"/>
      <c r="J116" s="280"/>
      <c r="K116" s="280">
        <v>0</v>
      </c>
      <c r="L116" s="280"/>
      <c r="M116" s="297"/>
    </row>
    <row r="117" spans="2:13" x14ac:dyDescent="0.25">
      <c r="B117" s="274" t="s">
        <v>59</v>
      </c>
      <c r="C117" s="274" t="s">
        <v>199</v>
      </c>
      <c r="D117" s="274" t="s">
        <v>252</v>
      </c>
      <c r="E117" s="274" t="s">
        <v>253</v>
      </c>
      <c r="F117" s="281">
        <v>97980.6</v>
      </c>
      <c r="G117" s="280">
        <v>15092.6</v>
      </c>
      <c r="H117" s="280">
        <v>18062.599999999999</v>
      </c>
      <c r="I117" s="280">
        <v>15092.6</v>
      </c>
      <c r="J117" s="280">
        <v>16577.599999999999</v>
      </c>
      <c r="K117" s="280">
        <v>16577.599999999999</v>
      </c>
      <c r="L117" s="280">
        <v>16577.599999999999</v>
      </c>
      <c r="M117" s="297"/>
    </row>
    <row r="118" spans="2:13" x14ac:dyDescent="0.25">
      <c r="B118" s="274" t="s">
        <v>59</v>
      </c>
      <c r="C118" s="274" t="s">
        <v>199</v>
      </c>
      <c r="D118" s="274" t="s">
        <v>254</v>
      </c>
      <c r="E118" s="274" t="s">
        <v>255</v>
      </c>
      <c r="F118" s="281">
        <v>26225.45</v>
      </c>
      <c r="G118" s="280"/>
      <c r="H118" s="280"/>
      <c r="I118" s="280"/>
      <c r="J118" s="280">
        <v>26225.45</v>
      </c>
      <c r="K118" s="280"/>
      <c r="L118" s="280"/>
      <c r="M118" s="297"/>
    </row>
    <row r="119" spans="2:13" x14ac:dyDescent="0.25">
      <c r="B119" s="274" t="s">
        <v>59</v>
      </c>
      <c r="C119" s="274" t="s">
        <v>199</v>
      </c>
      <c r="D119" s="274" t="s">
        <v>256</v>
      </c>
      <c r="E119" s="274" t="s">
        <v>257</v>
      </c>
      <c r="F119" s="281">
        <v>329000</v>
      </c>
      <c r="G119" s="280">
        <v>329000</v>
      </c>
      <c r="H119" s="280"/>
      <c r="I119" s="280"/>
      <c r="J119" s="280"/>
      <c r="K119" s="280"/>
      <c r="L119" s="280"/>
      <c r="M119" s="297"/>
    </row>
    <row r="120" spans="2:13" x14ac:dyDescent="0.25">
      <c r="B120" s="274" t="s">
        <v>59</v>
      </c>
      <c r="C120" s="274" t="s">
        <v>199</v>
      </c>
      <c r="D120" s="274" t="s">
        <v>258</v>
      </c>
      <c r="E120" s="274" t="s">
        <v>259</v>
      </c>
      <c r="F120" s="281">
        <v>680541.54</v>
      </c>
      <c r="G120" s="280"/>
      <c r="H120" s="280">
        <v>680541.54</v>
      </c>
      <c r="I120" s="280"/>
      <c r="J120" s="280"/>
      <c r="K120" s="280"/>
      <c r="L120" s="280"/>
      <c r="M120" s="297"/>
    </row>
    <row r="121" spans="2:13" x14ac:dyDescent="0.25">
      <c r="B121" s="274" t="s">
        <v>59</v>
      </c>
      <c r="C121" s="274" t="s">
        <v>199</v>
      </c>
      <c r="D121" s="274" t="s">
        <v>260</v>
      </c>
      <c r="E121" s="274" t="s">
        <v>261</v>
      </c>
      <c r="F121" s="281">
        <v>-3626.78</v>
      </c>
      <c r="G121" s="280"/>
      <c r="H121" s="280"/>
      <c r="I121" s="280"/>
      <c r="J121" s="280"/>
      <c r="K121" s="280"/>
      <c r="L121" s="280">
        <v>-3626.78</v>
      </c>
      <c r="M121" s="297"/>
    </row>
    <row r="122" spans="2:13" x14ac:dyDescent="0.25">
      <c r="B122" s="274" t="s">
        <v>59</v>
      </c>
      <c r="C122" s="274" t="s">
        <v>199</v>
      </c>
      <c r="D122" s="274" t="s">
        <v>262</v>
      </c>
      <c r="E122" s="274" t="s">
        <v>263</v>
      </c>
      <c r="F122" s="281">
        <v>13828.72</v>
      </c>
      <c r="G122" s="280"/>
      <c r="H122" s="280"/>
      <c r="I122" s="280">
        <v>13828.72</v>
      </c>
      <c r="J122" s="280"/>
      <c r="K122" s="280"/>
      <c r="L122" s="280"/>
      <c r="M122" s="297"/>
    </row>
    <row r="123" spans="2:13" x14ac:dyDescent="0.25">
      <c r="B123" s="274" t="s">
        <v>59</v>
      </c>
      <c r="C123" s="274" t="s">
        <v>199</v>
      </c>
      <c r="D123" s="274" t="s">
        <v>176</v>
      </c>
      <c r="E123" s="274" t="s">
        <v>177</v>
      </c>
      <c r="F123" s="281">
        <v>66276</v>
      </c>
      <c r="G123" s="280"/>
      <c r="H123" s="280">
        <v>66276</v>
      </c>
      <c r="I123" s="280"/>
      <c r="J123" s="280"/>
      <c r="K123" s="280"/>
      <c r="L123" s="280"/>
      <c r="M123" s="297"/>
    </row>
    <row r="124" spans="2:13" x14ac:dyDescent="0.25">
      <c r="B124" s="274" t="s">
        <v>59</v>
      </c>
      <c r="C124" s="274" t="s">
        <v>199</v>
      </c>
      <c r="D124" s="274" t="s">
        <v>264</v>
      </c>
      <c r="E124" s="274" t="s">
        <v>265</v>
      </c>
      <c r="F124" s="281">
        <v>188557.16</v>
      </c>
      <c r="G124" s="280">
        <v>188557.16</v>
      </c>
      <c r="H124" s="280"/>
      <c r="I124" s="280"/>
      <c r="J124" s="280"/>
      <c r="K124" s="280"/>
      <c r="L124" s="280"/>
      <c r="M124" s="297"/>
    </row>
    <row r="125" spans="2:13" x14ac:dyDescent="0.25">
      <c r="B125" s="274" t="s">
        <v>59</v>
      </c>
      <c r="C125" s="274" t="s">
        <v>199</v>
      </c>
      <c r="D125" s="274" t="s">
        <v>266</v>
      </c>
      <c r="E125" s="274" t="s">
        <v>267</v>
      </c>
      <c r="F125" s="281">
        <v>92581.75</v>
      </c>
      <c r="G125" s="280"/>
      <c r="H125" s="280">
        <v>68581.75</v>
      </c>
      <c r="I125" s="280"/>
      <c r="J125" s="280">
        <v>24000</v>
      </c>
      <c r="K125" s="280"/>
      <c r="L125" s="280"/>
      <c r="M125" s="297"/>
    </row>
    <row r="126" spans="2:13" x14ac:dyDescent="0.25">
      <c r="B126" s="274" t="s">
        <v>59</v>
      </c>
      <c r="C126" s="274" t="s">
        <v>199</v>
      </c>
      <c r="D126" s="274" t="s">
        <v>268</v>
      </c>
      <c r="E126" s="274" t="s">
        <v>269</v>
      </c>
      <c r="F126" s="281">
        <v>84594</v>
      </c>
      <c r="G126" s="280"/>
      <c r="H126" s="280">
        <v>7050</v>
      </c>
      <c r="I126" s="280"/>
      <c r="J126" s="280"/>
      <c r="K126" s="280">
        <v>77544</v>
      </c>
      <c r="L126" s="280"/>
      <c r="M126" s="297"/>
    </row>
    <row r="127" spans="2:13" x14ac:dyDescent="0.25">
      <c r="B127" s="274" t="s">
        <v>59</v>
      </c>
      <c r="C127" s="274" t="s">
        <v>199</v>
      </c>
      <c r="D127" s="274" t="s">
        <v>270</v>
      </c>
      <c r="E127" s="274" t="s">
        <v>271</v>
      </c>
      <c r="F127" s="281">
        <v>253221</v>
      </c>
      <c r="G127" s="280"/>
      <c r="H127" s="280">
        <v>253221</v>
      </c>
      <c r="I127" s="280">
        <v>0</v>
      </c>
      <c r="J127" s="280"/>
      <c r="K127" s="280"/>
      <c r="L127" s="280"/>
      <c r="M127" s="297"/>
    </row>
    <row r="128" spans="2:13" x14ac:dyDescent="0.25">
      <c r="B128" s="274" t="s">
        <v>59</v>
      </c>
      <c r="C128" s="274" t="s">
        <v>199</v>
      </c>
      <c r="D128" s="274" t="s">
        <v>272</v>
      </c>
      <c r="E128" s="274" t="s">
        <v>273</v>
      </c>
      <c r="F128" s="281">
        <v>28464.5</v>
      </c>
      <c r="G128" s="280">
        <v>12640.5</v>
      </c>
      <c r="H128" s="280"/>
      <c r="I128" s="280"/>
      <c r="J128" s="280">
        <v>15824</v>
      </c>
      <c r="K128" s="280"/>
      <c r="L128" s="280"/>
      <c r="M128" s="297"/>
    </row>
    <row r="129" spans="2:13" x14ac:dyDescent="0.25">
      <c r="B129" s="274" t="s">
        <v>59</v>
      </c>
      <c r="C129" s="274" t="s">
        <v>199</v>
      </c>
      <c r="D129" s="274" t="s">
        <v>274</v>
      </c>
      <c r="E129" s="274" t="s">
        <v>275</v>
      </c>
      <c r="F129" s="281">
        <v>33839.910000000003</v>
      </c>
      <c r="G129" s="280">
        <v>19952.310000000001</v>
      </c>
      <c r="H129" s="280"/>
      <c r="I129" s="280"/>
      <c r="J129" s="280">
        <v>13887.6</v>
      </c>
      <c r="K129" s="280"/>
      <c r="L129" s="280"/>
      <c r="M129" s="297"/>
    </row>
    <row r="130" spans="2:13" x14ac:dyDescent="0.25">
      <c r="B130" s="274" t="s">
        <v>59</v>
      </c>
      <c r="C130" s="274" t="s">
        <v>199</v>
      </c>
      <c r="D130" s="274" t="s">
        <v>276</v>
      </c>
      <c r="E130" s="274" t="s">
        <v>277</v>
      </c>
      <c r="F130" s="281">
        <v>26005</v>
      </c>
      <c r="G130" s="280">
        <v>26005</v>
      </c>
      <c r="H130" s="280"/>
      <c r="I130" s="280"/>
      <c r="J130" s="280"/>
      <c r="K130" s="280"/>
      <c r="L130" s="280"/>
      <c r="M130" s="297"/>
    </row>
    <row r="131" spans="2:13" x14ac:dyDescent="0.25">
      <c r="B131" s="274" t="s">
        <v>59</v>
      </c>
      <c r="C131" s="274" t="s">
        <v>199</v>
      </c>
      <c r="D131" s="274" t="s">
        <v>278</v>
      </c>
      <c r="E131" s="274" t="s">
        <v>279</v>
      </c>
      <c r="F131" s="281">
        <v>177.86</v>
      </c>
      <c r="G131" s="280"/>
      <c r="H131" s="280"/>
      <c r="I131" s="280"/>
      <c r="J131" s="280">
        <v>177.86</v>
      </c>
      <c r="K131" s="280"/>
      <c r="L131" s="280"/>
      <c r="M131" s="297"/>
    </row>
    <row r="132" spans="2:13" x14ac:dyDescent="0.25">
      <c r="B132" s="274" t="s">
        <v>59</v>
      </c>
      <c r="C132" s="274" t="s">
        <v>199</v>
      </c>
      <c r="D132" s="274" t="s">
        <v>280</v>
      </c>
      <c r="E132" s="274" t="s">
        <v>281</v>
      </c>
      <c r="F132" s="281">
        <v>38838.46</v>
      </c>
      <c r="G132" s="280"/>
      <c r="H132" s="280"/>
      <c r="I132" s="280"/>
      <c r="J132" s="280">
        <v>38838.46</v>
      </c>
      <c r="K132" s="280"/>
      <c r="L132" s="280"/>
      <c r="M132" s="297"/>
    </row>
    <row r="133" spans="2:13" x14ac:dyDescent="0.25">
      <c r="B133" s="274" t="s">
        <v>59</v>
      </c>
      <c r="C133" s="274" t="s">
        <v>199</v>
      </c>
      <c r="D133" s="274" t="s">
        <v>282</v>
      </c>
      <c r="E133" s="274" t="s">
        <v>283</v>
      </c>
      <c r="F133" s="281">
        <v>105992</v>
      </c>
      <c r="G133" s="280"/>
      <c r="H133" s="280"/>
      <c r="I133" s="280">
        <v>9827</v>
      </c>
      <c r="J133" s="280">
        <v>9827</v>
      </c>
      <c r="K133" s="280">
        <v>86338</v>
      </c>
      <c r="L133" s="280"/>
      <c r="M133" s="297"/>
    </row>
    <row r="134" spans="2:13" x14ac:dyDescent="0.25">
      <c r="B134" s="274" t="s">
        <v>59</v>
      </c>
      <c r="C134" s="274" t="s">
        <v>199</v>
      </c>
      <c r="D134" s="274" t="s">
        <v>284</v>
      </c>
      <c r="E134" s="274" t="s">
        <v>285</v>
      </c>
      <c r="F134" s="281">
        <v>300000</v>
      </c>
      <c r="G134" s="280">
        <v>300000</v>
      </c>
      <c r="H134" s="280"/>
      <c r="I134" s="280"/>
      <c r="J134" s="280"/>
      <c r="K134" s="280"/>
      <c r="L134" s="280"/>
      <c r="M134" s="297"/>
    </row>
    <row r="135" spans="2:13" x14ac:dyDescent="0.25">
      <c r="B135" s="274" t="s">
        <v>59</v>
      </c>
      <c r="C135" s="274" t="s">
        <v>199</v>
      </c>
      <c r="D135" s="274" t="s">
        <v>286</v>
      </c>
      <c r="E135" s="274" t="s">
        <v>287</v>
      </c>
      <c r="F135" s="281">
        <v>34778</v>
      </c>
      <c r="G135" s="280"/>
      <c r="H135" s="280"/>
      <c r="I135" s="280">
        <v>34778</v>
      </c>
      <c r="J135" s="280"/>
      <c r="K135" s="280"/>
      <c r="L135" s="280"/>
      <c r="M135" s="297"/>
    </row>
    <row r="136" spans="2:13" x14ac:dyDescent="0.25">
      <c r="B136" s="274" t="s">
        <v>59</v>
      </c>
      <c r="C136" s="274" t="s">
        <v>199</v>
      </c>
      <c r="D136" s="274" t="s">
        <v>288</v>
      </c>
      <c r="E136" s="274" t="s">
        <v>289</v>
      </c>
      <c r="F136" s="281">
        <v>21811.200000000001</v>
      </c>
      <c r="G136" s="280">
        <v>21811.200000000001</v>
      </c>
      <c r="H136" s="280"/>
      <c r="I136" s="280"/>
      <c r="J136" s="280"/>
      <c r="K136" s="280"/>
      <c r="L136" s="280"/>
      <c r="M136" s="297"/>
    </row>
    <row r="137" spans="2:13" x14ac:dyDescent="0.25">
      <c r="B137" s="274" t="s">
        <v>59</v>
      </c>
      <c r="C137" s="274" t="s">
        <v>199</v>
      </c>
      <c r="D137" s="274" t="s">
        <v>290</v>
      </c>
      <c r="E137" s="274" t="s">
        <v>291</v>
      </c>
      <c r="F137" s="281">
        <v>84979.13</v>
      </c>
      <c r="G137" s="280"/>
      <c r="H137" s="280"/>
      <c r="I137" s="280">
        <v>19710.75</v>
      </c>
      <c r="J137" s="280">
        <v>21756.17</v>
      </c>
      <c r="K137" s="280">
        <v>21756.17</v>
      </c>
      <c r="L137" s="280">
        <v>21756.04</v>
      </c>
      <c r="M137" s="297"/>
    </row>
    <row r="138" spans="2:13" x14ac:dyDescent="0.25">
      <c r="B138" s="274" t="s">
        <v>59</v>
      </c>
      <c r="C138" s="274" t="s">
        <v>199</v>
      </c>
      <c r="D138" s="274" t="s">
        <v>292</v>
      </c>
      <c r="E138" s="274" t="s">
        <v>293</v>
      </c>
      <c r="F138" s="281">
        <v>60283.23</v>
      </c>
      <c r="G138" s="280"/>
      <c r="H138" s="280">
        <v>58831.11</v>
      </c>
      <c r="I138" s="280"/>
      <c r="J138" s="280"/>
      <c r="K138" s="280"/>
      <c r="L138" s="280">
        <v>1452.12</v>
      </c>
      <c r="M138" s="297"/>
    </row>
    <row r="139" spans="2:13" x14ac:dyDescent="0.25">
      <c r="B139" s="274" t="s">
        <v>59</v>
      </c>
      <c r="C139" s="274" t="s">
        <v>199</v>
      </c>
      <c r="D139" s="274" t="s">
        <v>294</v>
      </c>
      <c r="E139" s="274" t="s">
        <v>295</v>
      </c>
      <c r="F139" s="281">
        <v>4320</v>
      </c>
      <c r="G139" s="280"/>
      <c r="H139" s="280"/>
      <c r="I139" s="280">
        <v>4320</v>
      </c>
      <c r="J139" s="280"/>
      <c r="K139" s="280"/>
      <c r="L139" s="280"/>
      <c r="M139" s="297"/>
    </row>
    <row r="140" spans="2:13" x14ac:dyDescent="0.25">
      <c r="B140" s="274" t="s">
        <v>59</v>
      </c>
      <c r="C140" s="274" t="s">
        <v>199</v>
      </c>
      <c r="D140" s="274" t="s">
        <v>98</v>
      </c>
      <c r="E140" s="274" t="s">
        <v>99</v>
      </c>
      <c r="F140" s="294">
        <v>432789.02</v>
      </c>
      <c r="G140" s="295">
        <v>-740104.52</v>
      </c>
      <c r="H140" s="295">
        <v>-291296.45</v>
      </c>
      <c r="I140" s="295">
        <v>313505.74</v>
      </c>
      <c r="J140" s="295">
        <v>531080.87</v>
      </c>
      <c r="K140" s="295">
        <v>271075.65999999997</v>
      </c>
      <c r="L140" s="295">
        <v>348527.72</v>
      </c>
      <c r="M140" s="298">
        <v>0</v>
      </c>
    </row>
  </sheetData>
  <pageMargins left="0.7" right="0.7" top="0.75" bottom="0.75" header="0.3" footer="0.3"/>
  <pageSetup paperSize="9" orientation="portrait" horizontalDpi="300" verticalDpi="300" r:id="rId1"/>
  <customProperties>
    <customPr name="_pios_id" r:id="rId2"/>
    <customPr name="CofWorksheetType"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1513"/>
  <sheetViews>
    <sheetView topLeftCell="A1445" zoomScale="70" zoomScaleNormal="70" workbookViewId="0">
      <selection activeCell="B1461" sqref="B1461"/>
    </sheetView>
  </sheetViews>
  <sheetFormatPr defaultColWidth="8.85546875" defaultRowHeight="15" x14ac:dyDescent="0.25"/>
  <cols>
    <col min="1" max="1" width="15.42578125" customWidth="1"/>
    <col min="2" max="2" width="95.42578125" bestFit="1" customWidth="1"/>
    <col min="3" max="3" width="64.42578125" customWidth="1"/>
    <col min="4" max="4" width="37.42578125" customWidth="1"/>
    <col min="5" max="5" width="17.42578125" customWidth="1"/>
    <col min="6" max="6" width="28.42578125" customWidth="1"/>
    <col min="7" max="7" width="12.42578125" bestFit="1" customWidth="1"/>
    <col min="8" max="8" width="11.42578125" bestFit="1" customWidth="1"/>
    <col min="9" max="9" width="14.42578125" style="226" customWidth="1"/>
    <col min="10" max="10" width="13.42578125" customWidth="1"/>
    <col min="11" max="11" width="18.42578125" bestFit="1" customWidth="1"/>
    <col min="12" max="12" width="90.42578125" bestFit="1" customWidth="1"/>
  </cols>
  <sheetData>
    <row r="1" spans="1:12" ht="15.75" thickBot="1" x14ac:dyDescent="0.3">
      <c r="A1" s="68" t="s">
        <v>0</v>
      </c>
      <c r="B1" s="69" t="s">
        <v>296</v>
      </c>
      <c r="C1" s="69" t="s">
        <v>297</v>
      </c>
      <c r="D1" s="69" t="s">
        <v>298</v>
      </c>
      <c r="E1" s="69" t="s">
        <v>299</v>
      </c>
      <c r="F1" s="69" t="s">
        <v>300</v>
      </c>
      <c r="G1" s="69" t="s">
        <v>301</v>
      </c>
      <c r="H1" s="69" t="s">
        <v>302</v>
      </c>
      <c r="I1" s="69" t="s">
        <v>303</v>
      </c>
      <c r="J1" s="69" t="s">
        <v>304</v>
      </c>
      <c r="K1" s="69" t="s">
        <v>305</v>
      </c>
      <c r="L1" s="70" t="s">
        <v>306</v>
      </c>
    </row>
    <row r="2" spans="1:12" hidden="1" x14ac:dyDescent="0.25">
      <c r="A2" s="71">
        <v>42736</v>
      </c>
      <c r="B2" s="72" t="s">
        <v>307</v>
      </c>
      <c r="C2" s="72" t="s">
        <v>308</v>
      </c>
      <c r="D2" s="72" t="s">
        <v>0</v>
      </c>
      <c r="E2" s="72">
        <v>68427709</v>
      </c>
      <c r="F2" s="114">
        <v>19000</v>
      </c>
      <c r="G2" s="72" t="s">
        <v>309</v>
      </c>
      <c r="H2" s="72" t="s">
        <v>310</v>
      </c>
      <c r="I2" s="72" t="s">
        <v>311</v>
      </c>
      <c r="J2" s="72">
        <v>2018</v>
      </c>
      <c r="K2" s="72" t="s">
        <v>312</v>
      </c>
      <c r="L2" s="73" t="s">
        <v>313</v>
      </c>
    </row>
    <row r="3" spans="1:12" hidden="1" x14ac:dyDescent="0.25">
      <c r="A3" s="74">
        <v>42736</v>
      </c>
      <c r="B3" s="75" t="s">
        <v>314</v>
      </c>
      <c r="C3" s="75" t="s">
        <v>308</v>
      </c>
      <c r="D3" s="75" t="s">
        <v>0</v>
      </c>
      <c r="E3" s="75">
        <v>68427709</v>
      </c>
      <c r="F3" s="89">
        <v>34000</v>
      </c>
      <c r="G3" s="72" t="s">
        <v>309</v>
      </c>
      <c r="H3" s="75" t="s">
        <v>310</v>
      </c>
      <c r="I3" s="75" t="s">
        <v>311</v>
      </c>
      <c r="J3" s="72">
        <v>2018</v>
      </c>
      <c r="K3" s="75" t="s">
        <v>312</v>
      </c>
      <c r="L3" s="76" t="s">
        <v>315</v>
      </c>
    </row>
    <row r="4" spans="1:12" hidden="1" x14ac:dyDescent="0.25">
      <c r="A4" s="74">
        <v>42773</v>
      </c>
      <c r="B4" s="75" t="s">
        <v>316</v>
      </c>
      <c r="C4" s="75" t="s">
        <v>317</v>
      </c>
      <c r="D4" s="75" t="s">
        <v>0</v>
      </c>
      <c r="E4" s="75">
        <v>68427709</v>
      </c>
      <c r="F4" s="89">
        <v>12000</v>
      </c>
      <c r="G4" s="72" t="s">
        <v>309</v>
      </c>
      <c r="H4" s="75" t="s">
        <v>310</v>
      </c>
      <c r="I4" s="75" t="s">
        <v>318</v>
      </c>
      <c r="J4" s="72">
        <v>2018</v>
      </c>
      <c r="K4" s="75" t="s">
        <v>319</v>
      </c>
      <c r="L4" s="76" t="s">
        <v>320</v>
      </c>
    </row>
    <row r="5" spans="1:12" hidden="1" x14ac:dyDescent="0.25">
      <c r="A5" s="74">
        <v>42779</v>
      </c>
      <c r="B5" s="75" t="s">
        <v>321</v>
      </c>
      <c r="C5" s="75" t="s">
        <v>322</v>
      </c>
      <c r="D5" s="75" t="s">
        <v>323</v>
      </c>
      <c r="E5" s="75">
        <v>68427709</v>
      </c>
      <c r="F5" s="89">
        <v>0</v>
      </c>
      <c r="G5" s="72" t="s">
        <v>309</v>
      </c>
      <c r="H5" s="75" t="s">
        <v>310</v>
      </c>
      <c r="I5" s="75" t="s">
        <v>324</v>
      </c>
      <c r="J5" s="72">
        <v>2018</v>
      </c>
      <c r="K5" s="75" t="s">
        <v>325</v>
      </c>
      <c r="L5" s="76" t="s">
        <v>326</v>
      </c>
    </row>
    <row r="6" spans="1:12" hidden="1" x14ac:dyDescent="0.25">
      <c r="A6" s="74">
        <v>42779</v>
      </c>
      <c r="B6" s="75" t="s">
        <v>327</v>
      </c>
      <c r="C6" s="75" t="s">
        <v>328</v>
      </c>
      <c r="D6" s="75" t="s">
        <v>0</v>
      </c>
      <c r="E6" s="75">
        <v>68427709</v>
      </c>
      <c r="F6" s="89">
        <v>2500</v>
      </c>
      <c r="G6" s="72" t="s">
        <v>309</v>
      </c>
      <c r="H6" s="75" t="s">
        <v>310</v>
      </c>
      <c r="I6" s="75" t="s">
        <v>329</v>
      </c>
      <c r="J6" s="72">
        <v>2018</v>
      </c>
      <c r="K6" s="75" t="s">
        <v>330</v>
      </c>
      <c r="L6" s="76"/>
    </row>
    <row r="7" spans="1:12" hidden="1" x14ac:dyDescent="0.25">
      <c r="A7" s="74">
        <v>42779</v>
      </c>
      <c r="B7" s="75" t="s">
        <v>331</v>
      </c>
      <c r="C7" s="75" t="s">
        <v>328</v>
      </c>
      <c r="D7" s="75" t="s">
        <v>0</v>
      </c>
      <c r="E7" s="75">
        <v>68427709</v>
      </c>
      <c r="F7" s="89">
        <v>2500</v>
      </c>
      <c r="G7" s="72" t="s">
        <v>309</v>
      </c>
      <c r="H7" s="75" t="s">
        <v>310</v>
      </c>
      <c r="I7" s="75" t="s">
        <v>329</v>
      </c>
      <c r="J7" s="72">
        <v>2018</v>
      </c>
      <c r="K7" s="75" t="s">
        <v>330</v>
      </c>
      <c r="L7" s="76"/>
    </row>
    <row r="8" spans="1:12" hidden="1" x14ac:dyDescent="0.25">
      <c r="A8" s="74">
        <v>42779</v>
      </c>
      <c r="B8" s="75" t="s">
        <v>332</v>
      </c>
      <c r="C8" s="75" t="s">
        <v>308</v>
      </c>
      <c r="D8" s="75" t="s">
        <v>0</v>
      </c>
      <c r="E8" s="75">
        <v>68427709</v>
      </c>
      <c r="F8" s="89">
        <v>-13000</v>
      </c>
      <c r="G8" s="72" t="s">
        <v>309</v>
      </c>
      <c r="H8" s="75" t="s">
        <v>310</v>
      </c>
      <c r="I8" s="75" t="s">
        <v>324</v>
      </c>
      <c r="J8" s="72">
        <v>2018</v>
      </c>
      <c r="K8" s="75" t="s">
        <v>312</v>
      </c>
      <c r="L8" s="76" t="s">
        <v>333</v>
      </c>
    </row>
    <row r="9" spans="1:12" hidden="1" x14ac:dyDescent="0.25">
      <c r="A9" s="74">
        <v>42779</v>
      </c>
      <c r="B9" s="75" t="s">
        <v>334</v>
      </c>
      <c r="C9" s="75" t="s">
        <v>328</v>
      </c>
      <c r="D9" s="75" t="s">
        <v>0</v>
      </c>
      <c r="E9" s="75">
        <v>68427709</v>
      </c>
      <c r="F9" s="89">
        <v>100000</v>
      </c>
      <c r="G9" s="72" t="s">
        <v>309</v>
      </c>
      <c r="H9" s="75" t="s">
        <v>310</v>
      </c>
      <c r="I9" s="75" t="s">
        <v>329</v>
      </c>
      <c r="J9" s="72">
        <v>2018</v>
      </c>
      <c r="K9" s="75" t="s">
        <v>330</v>
      </c>
      <c r="L9" s="76" t="s">
        <v>335</v>
      </c>
    </row>
    <row r="10" spans="1:12" hidden="1" x14ac:dyDescent="0.25">
      <c r="A10" s="74">
        <v>42779</v>
      </c>
      <c r="B10" s="75" t="s">
        <v>336</v>
      </c>
      <c r="C10" s="75" t="s">
        <v>337</v>
      </c>
      <c r="D10" s="75" t="s">
        <v>0</v>
      </c>
      <c r="E10" s="75">
        <v>68427709</v>
      </c>
      <c r="F10" s="89">
        <v>200000</v>
      </c>
      <c r="G10" s="72" t="s">
        <v>309</v>
      </c>
      <c r="H10" s="75" t="s">
        <v>310</v>
      </c>
      <c r="I10" s="75" t="s">
        <v>329</v>
      </c>
      <c r="J10" s="72">
        <v>2018</v>
      </c>
      <c r="K10" s="75" t="s">
        <v>330</v>
      </c>
      <c r="L10" s="76" t="s">
        <v>338</v>
      </c>
    </row>
    <row r="11" spans="1:12" hidden="1" x14ac:dyDescent="0.25">
      <c r="A11" s="74">
        <v>42779</v>
      </c>
      <c r="B11" s="75" t="s">
        <v>339</v>
      </c>
      <c r="C11" s="75" t="s">
        <v>340</v>
      </c>
      <c r="D11" s="75" t="s">
        <v>0</v>
      </c>
      <c r="E11" s="75">
        <v>68427709</v>
      </c>
      <c r="F11" s="89">
        <v>6000</v>
      </c>
      <c r="G11" s="72" t="s">
        <v>309</v>
      </c>
      <c r="H11" s="75" t="s">
        <v>310</v>
      </c>
      <c r="I11" s="75" t="s">
        <v>324</v>
      </c>
      <c r="J11" s="72">
        <v>2018</v>
      </c>
      <c r="K11" s="75" t="s">
        <v>341</v>
      </c>
      <c r="L11" s="76" t="s">
        <v>342</v>
      </c>
    </row>
    <row r="12" spans="1:12" hidden="1" x14ac:dyDescent="0.25">
      <c r="A12" s="74">
        <v>42779</v>
      </c>
      <c r="B12" s="75" t="s">
        <v>343</v>
      </c>
      <c r="C12" s="75" t="s">
        <v>344</v>
      </c>
      <c r="D12" s="75" t="s">
        <v>0</v>
      </c>
      <c r="E12" s="75">
        <v>68427709</v>
      </c>
      <c r="F12" s="89">
        <v>370000</v>
      </c>
      <c r="G12" s="72" t="s">
        <v>309</v>
      </c>
      <c r="H12" s="75" t="s">
        <v>310</v>
      </c>
      <c r="I12" s="75" t="s">
        <v>329</v>
      </c>
      <c r="J12" s="72">
        <v>2018</v>
      </c>
      <c r="K12" s="75" t="s">
        <v>330</v>
      </c>
      <c r="L12" s="76" t="s">
        <v>345</v>
      </c>
    </row>
    <row r="13" spans="1:12" hidden="1" x14ac:dyDescent="0.25">
      <c r="A13" s="74">
        <v>42769</v>
      </c>
      <c r="B13" s="75" t="s">
        <v>346</v>
      </c>
      <c r="C13" s="75" t="s">
        <v>347</v>
      </c>
      <c r="D13" s="75" t="s">
        <v>0</v>
      </c>
      <c r="E13" s="75">
        <v>68427709</v>
      </c>
      <c r="F13" s="89">
        <v>100000</v>
      </c>
      <c r="G13" s="72" t="s">
        <v>309</v>
      </c>
      <c r="H13" s="75" t="s">
        <v>310</v>
      </c>
      <c r="I13" s="75" t="s">
        <v>329</v>
      </c>
      <c r="J13" s="72">
        <v>2018</v>
      </c>
      <c r="K13" s="75" t="s">
        <v>312</v>
      </c>
      <c r="L13" s="76" t="s">
        <v>348</v>
      </c>
    </row>
    <row r="14" spans="1:12" hidden="1" x14ac:dyDescent="0.25">
      <c r="A14" s="74">
        <v>42797</v>
      </c>
      <c r="B14" s="75" t="s">
        <v>349</v>
      </c>
      <c r="C14" s="75" t="s">
        <v>350</v>
      </c>
      <c r="D14" s="75" t="s">
        <v>0</v>
      </c>
      <c r="E14" s="75">
        <v>68427709</v>
      </c>
      <c r="F14" s="89">
        <v>31000</v>
      </c>
      <c r="G14" s="72" t="s">
        <v>309</v>
      </c>
      <c r="H14" s="75" t="s">
        <v>310</v>
      </c>
      <c r="I14" s="75" t="s">
        <v>324</v>
      </c>
      <c r="J14" s="72">
        <v>2018</v>
      </c>
      <c r="K14" s="75" t="s">
        <v>351</v>
      </c>
      <c r="L14" s="76" t="s">
        <v>352</v>
      </c>
    </row>
    <row r="15" spans="1:12" hidden="1" x14ac:dyDescent="0.25">
      <c r="A15" s="74">
        <v>42919</v>
      </c>
      <c r="B15" s="75" t="s">
        <v>353</v>
      </c>
      <c r="C15" s="75" t="s">
        <v>354</v>
      </c>
      <c r="D15" s="75" t="s">
        <v>323</v>
      </c>
      <c r="E15" s="75">
        <v>68427709</v>
      </c>
      <c r="F15" s="89">
        <v>10000</v>
      </c>
      <c r="G15" s="72" t="s">
        <v>309</v>
      </c>
      <c r="H15" s="75" t="s">
        <v>310</v>
      </c>
      <c r="I15" s="75" t="s">
        <v>324</v>
      </c>
      <c r="J15" s="72">
        <v>2018</v>
      </c>
      <c r="K15" s="75" t="s">
        <v>355</v>
      </c>
      <c r="L15" s="76" t="s">
        <v>356</v>
      </c>
    </row>
    <row r="16" spans="1:12" hidden="1" x14ac:dyDescent="0.25">
      <c r="A16" s="74">
        <v>42919</v>
      </c>
      <c r="B16" s="75" t="s">
        <v>357</v>
      </c>
      <c r="C16" s="75" t="s">
        <v>358</v>
      </c>
      <c r="D16" s="75" t="s">
        <v>0</v>
      </c>
      <c r="E16" s="75">
        <v>68427709</v>
      </c>
      <c r="F16" s="89">
        <v>0</v>
      </c>
      <c r="G16" s="72" t="s">
        <v>309</v>
      </c>
      <c r="H16" s="75" t="s">
        <v>310</v>
      </c>
      <c r="I16" s="75" t="s">
        <v>324</v>
      </c>
      <c r="J16" s="72">
        <v>2018</v>
      </c>
      <c r="K16" s="75" t="s">
        <v>359</v>
      </c>
      <c r="L16" s="76" t="s">
        <v>360</v>
      </c>
    </row>
    <row r="17" spans="1:12" hidden="1" x14ac:dyDescent="0.25">
      <c r="A17" s="74">
        <v>42803</v>
      </c>
      <c r="B17" s="75" t="s">
        <v>361</v>
      </c>
      <c r="C17" s="75" t="s">
        <v>362</v>
      </c>
      <c r="D17" s="75" t="s">
        <v>323</v>
      </c>
      <c r="E17" s="75">
        <v>68427709</v>
      </c>
      <c r="F17" s="89">
        <v>6000</v>
      </c>
      <c r="G17" s="72" t="s">
        <v>309</v>
      </c>
      <c r="H17" s="75" t="s">
        <v>310</v>
      </c>
      <c r="I17" s="75" t="s">
        <v>324</v>
      </c>
      <c r="J17" s="72">
        <v>2018</v>
      </c>
      <c r="K17" s="75" t="s">
        <v>363</v>
      </c>
      <c r="L17" s="76" t="s">
        <v>364</v>
      </c>
    </row>
    <row r="18" spans="1:12" hidden="1" x14ac:dyDescent="0.25">
      <c r="A18" s="74">
        <v>42824</v>
      </c>
      <c r="B18" s="75" t="s">
        <v>365</v>
      </c>
      <c r="C18" s="75" t="s">
        <v>366</v>
      </c>
      <c r="D18" s="75" t="s">
        <v>323</v>
      </c>
      <c r="E18" s="75">
        <v>68427709</v>
      </c>
      <c r="F18" s="89">
        <v>365000</v>
      </c>
      <c r="G18" s="72" t="s">
        <v>309</v>
      </c>
      <c r="H18" s="75" t="s">
        <v>310</v>
      </c>
      <c r="I18" s="75" t="s">
        <v>311</v>
      </c>
      <c r="J18" s="72">
        <v>2018</v>
      </c>
      <c r="K18" s="75" t="s">
        <v>367</v>
      </c>
      <c r="L18" s="76" t="s">
        <v>368</v>
      </c>
    </row>
    <row r="19" spans="1:12" hidden="1" x14ac:dyDescent="0.25">
      <c r="A19" s="74">
        <v>42824</v>
      </c>
      <c r="B19" s="75" t="s">
        <v>369</v>
      </c>
      <c r="C19" s="75" t="s">
        <v>370</v>
      </c>
      <c r="D19" s="75" t="s">
        <v>323</v>
      </c>
      <c r="E19" s="75">
        <v>68427709</v>
      </c>
      <c r="F19" s="89">
        <v>310000</v>
      </c>
      <c r="G19" s="72" t="s">
        <v>309</v>
      </c>
      <c r="H19" s="75" t="s">
        <v>310</v>
      </c>
      <c r="I19" s="75" t="s">
        <v>311</v>
      </c>
      <c r="J19" s="72">
        <v>2018</v>
      </c>
      <c r="K19" s="75" t="s">
        <v>371</v>
      </c>
      <c r="L19" s="76" t="s">
        <v>372</v>
      </c>
    </row>
    <row r="20" spans="1:12" hidden="1" x14ac:dyDescent="0.25">
      <c r="A20" s="74">
        <v>42824</v>
      </c>
      <c r="B20" s="75" t="s">
        <v>373</v>
      </c>
      <c r="C20" s="75" t="s">
        <v>374</v>
      </c>
      <c r="D20" s="75" t="s">
        <v>323</v>
      </c>
      <c r="E20" s="75">
        <v>68427709</v>
      </c>
      <c r="F20" s="89">
        <v>22000</v>
      </c>
      <c r="G20" s="72" t="s">
        <v>309</v>
      </c>
      <c r="H20" s="75" t="s">
        <v>310</v>
      </c>
      <c r="I20" s="75" t="s">
        <v>329</v>
      </c>
      <c r="J20" s="72">
        <v>2018</v>
      </c>
      <c r="K20" s="75" t="s">
        <v>375</v>
      </c>
      <c r="L20" s="76"/>
    </row>
    <row r="21" spans="1:12" hidden="1" x14ac:dyDescent="0.25">
      <c r="A21" s="74">
        <v>42824</v>
      </c>
      <c r="B21" s="75" t="s">
        <v>376</v>
      </c>
      <c r="C21" s="75" t="s">
        <v>377</v>
      </c>
      <c r="D21" s="75" t="s">
        <v>323</v>
      </c>
      <c r="E21" s="75">
        <v>68427709</v>
      </c>
      <c r="F21" s="89">
        <v>132500</v>
      </c>
      <c r="G21" s="72" t="s">
        <v>309</v>
      </c>
      <c r="H21" s="75" t="s">
        <v>310</v>
      </c>
      <c r="I21" s="75" t="s">
        <v>324</v>
      </c>
      <c r="J21" s="72">
        <v>2018</v>
      </c>
      <c r="K21" s="75" t="s">
        <v>371</v>
      </c>
      <c r="L21" s="76" t="s">
        <v>378</v>
      </c>
    </row>
    <row r="22" spans="1:12" hidden="1" x14ac:dyDescent="0.25">
      <c r="A22" s="74">
        <v>42824</v>
      </c>
      <c r="B22" s="75" t="s">
        <v>379</v>
      </c>
      <c r="C22" s="75" t="s">
        <v>377</v>
      </c>
      <c r="D22" s="75" t="s">
        <v>323</v>
      </c>
      <c r="E22" s="75">
        <v>68427709</v>
      </c>
      <c r="F22" s="89">
        <v>210000</v>
      </c>
      <c r="G22" s="72" t="s">
        <v>309</v>
      </c>
      <c r="H22" s="75" t="s">
        <v>310</v>
      </c>
      <c r="I22" s="75" t="s">
        <v>324</v>
      </c>
      <c r="J22" s="72">
        <v>2018</v>
      </c>
      <c r="K22" s="75" t="s">
        <v>371</v>
      </c>
      <c r="L22" s="76" t="s">
        <v>378</v>
      </c>
    </row>
    <row r="23" spans="1:12" hidden="1" x14ac:dyDescent="0.25">
      <c r="A23" s="74">
        <v>42824</v>
      </c>
      <c r="B23" s="75" t="s">
        <v>380</v>
      </c>
      <c r="C23" s="75" t="s">
        <v>377</v>
      </c>
      <c r="D23" s="75" t="s">
        <v>323</v>
      </c>
      <c r="E23" s="75">
        <v>68427709</v>
      </c>
      <c r="F23" s="89">
        <v>62500</v>
      </c>
      <c r="G23" s="72" t="s">
        <v>309</v>
      </c>
      <c r="H23" s="75" t="s">
        <v>310</v>
      </c>
      <c r="I23" s="75" t="s">
        <v>324</v>
      </c>
      <c r="J23" s="72">
        <v>2018</v>
      </c>
      <c r="K23" s="75" t="s">
        <v>371</v>
      </c>
      <c r="L23" s="76" t="s">
        <v>378</v>
      </c>
    </row>
    <row r="24" spans="1:12" hidden="1" x14ac:dyDescent="0.25">
      <c r="A24" s="74">
        <v>42824</v>
      </c>
      <c r="B24" s="75" t="s">
        <v>381</v>
      </c>
      <c r="C24" s="75" t="s">
        <v>374</v>
      </c>
      <c r="D24" s="75" t="s">
        <v>0</v>
      </c>
      <c r="E24" s="75">
        <v>68427709</v>
      </c>
      <c r="F24" s="89">
        <v>60000</v>
      </c>
      <c r="G24" s="72" t="s">
        <v>309</v>
      </c>
      <c r="H24" s="75" t="s">
        <v>310</v>
      </c>
      <c r="I24" s="75" t="s">
        <v>329</v>
      </c>
      <c r="J24" s="72">
        <v>2018</v>
      </c>
      <c r="K24" s="75" t="s">
        <v>382</v>
      </c>
      <c r="L24" s="76" t="s">
        <v>383</v>
      </c>
    </row>
    <row r="25" spans="1:12" hidden="1" x14ac:dyDescent="0.25">
      <c r="A25" s="74">
        <v>42824</v>
      </c>
      <c r="B25" s="75" t="s">
        <v>384</v>
      </c>
      <c r="C25" s="75" t="s">
        <v>385</v>
      </c>
      <c r="D25" s="75" t="s">
        <v>0</v>
      </c>
      <c r="E25" s="75">
        <v>68427709</v>
      </c>
      <c r="F25" s="89">
        <v>180000</v>
      </c>
      <c r="G25" s="72" t="s">
        <v>309</v>
      </c>
      <c r="H25" s="75" t="s">
        <v>310</v>
      </c>
      <c r="I25" s="75" t="s">
        <v>311</v>
      </c>
      <c r="J25" s="72">
        <v>2018</v>
      </c>
      <c r="K25" s="75" t="s">
        <v>382</v>
      </c>
      <c r="L25" s="76" t="s">
        <v>386</v>
      </c>
    </row>
    <row r="26" spans="1:12" hidden="1" x14ac:dyDescent="0.25">
      <c r="A26" s="74">
        <v>42830</v>
      </c>
      <c r="B26" s="75" t="s">
        <v>387</v>
      </c>
      <c r="C26" s="75" t="s">
        <v>388</v>
      </c>
      <c r="D26" s="75" t="s">
        <v>0</v>
      </c>
      <c r="E26" s="75">
        <v>68427709</v>
      </c>
      <c r="F26" s="89">
        <v>85000</v>
      </c>
      <c r="G26" s="72" t="s">
        <v>309</v>
      </c>
      <c r="H26" s="75" t="s">
        <v>310</v>
      </c>
      <c r="I26" s="75" t="s">
        <v>329</v>
      </c>
      <c r="J26" s="72">
        <v>2018</v>
      </c>
      <c r="K26" s="75" t="s">
        <v>389</v>
      </c>
      <c r="L26" s="76"/>
    </row>
    <row r="27" spans="1:12" hidden="1" x14ac:dyDescent="0.25">
      <c r="A27" s="74">
        <v>42836</v>
      </c>
      <c r="B27" s="75" t="s">
        <v>390</v>
      </c>
      <c r="C27" s="75" t="s">
        <v>391</v>
      </c>
      <c r="D27" s="75" t="s">
        <v>0</v>
      </c>
      <c r="E27" s="75">
        <v>68427709</v>
      </c>
      <c r="F27" s="89">
        <v>30000</v>
      </c>
      <c r="G27" s="72" t="s">
        <v>309</v>
      </c>
      <c r="H27" s="75" t="s">
        <v>310</v>
      </c>
      <c r="I27" s="75" t="s">
        <v>392</v>
      </c>
      <c r="J27" s="72">
        <v>2018</v>
      </c>
      <c r="K27" s="75" t="s">
        <v>393</v>
      </c>
      <c r="L27" s="76" t="s">
        <v>394</v>
      </c>
    </row>
    <row r="28" spans="1:12" hidden="1" x14ac:dyDescent="0.25">
      <c r="A28" s="74">
        <v>42850</v>
      </c>
      <c r="B28" s="75" t="s">
        <v>395</v>
      </c>
      <c r="C28" s="75" t="s">
        <v>396</v>
      </c>
      <c r="D28" s="75" t="s">
        <v>0</v>
      </c>
      <c r="E28" s="75">
        <v>68427709</v>
      </c>
      <c r="F28" s="89">
        <v>130000</v>
      </c>
      <c r="G28" s="72" t="s">
        <v>309</v>
      </c>
      <c r="H28" s="75" t="s">
        <v>310</v>
      </c>
      <c r="I28" s="75" t="s">
        <v>397</v>
      </c>
      <c r="J28" s="72">
        <v>2018</v>
      </c>
      <c r="K28" s="75" t="s">
        <v>382</v>
      </c>
      <c r="L28" s="76" t="s">
        <v>398</v>
      </c>
    </row>
    <row r="29" spans="1:12" hidden="1" x14ac:dyDescent="0.25">
      <c r="A29" s="74">
        <v>42851</v>
      </c>
      <c r="B29" s="75" t="s">
        <v>399</v>
      </c>
      <c r="C29" s="75" t="s">
        <v>377</v>
      </c>
      <c r="D29" s="75" t="s">
        <v>0</v>
      </c>
      <c r="E29" s="75">
        <v>68427709</v>
      </c>
      <c r="F29" s="89">
        <v>10000</v>
      </c>
      <c r="G29" s="72" t="s">
        <v>309</v>
      </c>
      <c r="H29" s="75" t="s">
        <v>310</v>
      </c>
      <c r="I29" s="75" t="s">
        <v>400</v>
      </c>
      <c r="J29" s="72">
        <v>2018</v>
      </c>
      <c r="K29" s="75" t="s">
        <v>382</v>
      </c>
      <c r="L29" s="76" t="s">
        <v>401</v>
      </c>
    </row>
    <row r="30" spans="1:12" hidden="1" x14ac:dyDescent="0.25">
      <c r="A30" s="74">
        <v>42513</v>
      </c>
      <c r="B30" s="75" t="s">
        <v>402</v>
      </c>
      <c r="C30" s="75" t="s">
        <v>403</v>
      </c>
      <c r="D30" s="75"/>
      <c r="E30" s="75">
        <v>68427709</v>
      </c>
      <c r="F30" s="89">
        <v>20000</v>
      </c>
      <c r="G30" s="72" t="s">
        <v>309</v>
      </c>
      <c r="H30" s="75" t="s">
        <v>310</v>
      </c>
      <c r="I30" s="75" t="s">
        <v>324</v>
      </c>
      <c r="J30" s="72">
        <v>2018</v>
      </c>
      <c r="K30" s="75" t="s">
        <v>359</v>
      </c>
      <c r="L30" s="76"/>
    </row>
    <row r="31" spans="1:12" hidden="1" x14ac:dyDescent="0.25">
      <c r="A31" s="74">
        <v>42879</v>
      </c>
      <c r="B31" s="75" t="s">
        <v>404</v>
      </c>
      <c r="C31" s="75" t="s">
        <v>374</v>
      </c>
      <c r="D31" s="75" t="s">
        <v>0</v>
      </c>
      <c r="E31" s="75">
        <v>68427709</v>
      </c>
      <c r="F31" s="89">
        <v>40000</v>
      </c>
      <c r="G31" s="72" t="s">
        <v>309</v>
      </c>
      <c r="H31" s="75" t="s">
        <v>405</v>
      </c>
      <c r="I31" s="75" t="s">
        <v>329</v>
      </c>
      <c r="J31" s="72">
        <v>2018</v>
      </c>
      <c r="K31" s="75" t="s">
        <v>393</v>
      </c>
      <c r="L31" s="76" t="s">
        <v>406</v>
      </c>
    </row>
    <row r="32" spans="1:12" hidden="1" x14ac:dyDescent="0.25">
      <c r="A32" s="74">
        <v>42879</v>
      </c>
      <c r="B32" s="75" t="s">
        <v>407</v>
      </c>
      <c r="C32" s="75" t="s">
        <v>374</v>
      </c>
      <c r="D32" s="75" t="s">
        <v>0</v>
      </c>
      <c r="E32" s="75">
        <v>68427709</v>
      </c>
      <c r="F32" s="89">
        <v>200000</v>
      </c>
      <c r="G32" s="72" t="s">
        <v>309</v>
      </c>
      <c r="H32" s="75" t="s">
        <v>310</v>
      </c>
      <c r="I32" s="75" t="s">
        <v>329</v>
      </c>
      <c r="J32" s="72">
        <v>2018</v>
      </c>
      <c r="K32" s="75" t="s">
        <v>408</v>
      </c>
      <c r="L32" s="76" t="s">
        <v>409</v>
      </c>
    </row>
    <row r="33" spans="1:12" hidden="1" x14ac:dyDescent="0.25">
      <c r="A33" s="74">
        <v>42879</v>
      </c>
      <c r="B33" s="75" t="s">
        <v>407</v>
      </c>
      <c r="C33" s="75" t="s">
        <v>410</v>
      </c>
      <c r="D33" s="75" t="s">
        <v>0</v>
      </c>
      <c r="E33" s="75">
        <v>68427709</v>
      </c>
      <c r="F33" s="89">
        <v>13600</v>
      </c>
      <c r="G33" s="72" t="s">
        <v>309</v>
      </c>
      <c r="H33" s="75" t="s">
        <v>310</v>
      </c>
      <c r="I33" s="75" t="s">
        <v>411</v>
      </c>
      <c r="J33" s="72">
        <v>2018</v>
      </c>
      <c r="K33" s="75" t="s">
        <v>408</v>
      </c>
      <c r="L33" s="76" t="s">
        <v>412</v>
      </c>
    </row>
    <row r="34" spans="1:12" hidden="1" x14ac:dyDescent="0.25">
      <c r="A34" s="74">
        <v>42884</v>
      </c>
      <c r="B34" s="75" t="s">
        <v>413</v>
      </c>
      <c r="C34" s="75" t="s">
        <v>377</v>
      </c>
      <c r="D34" s="75" t="s">
        <v>0</v>
      </c>
      <c r="E34" s="75">
        <v>68427709</v>
      </c>
      <c r="F34" s="89">
        <v>70000</v>
      </c>
      <c r="G34" s="72" t="s">
        <v>309</v>
      </c>
      <c r="H34" s="75" t="s">
        <v>310</v>
      </c>
      <c r="I34" s="75" t="s">
        <v>324</v>
      </c>
      <c r="J34" s="72">
        <v>2018</v>
      </c>
      <c r="K34" s="75" t="s">
        <v>367</v>
      </c>
      <c r="L34" s="76" t="s">
        <v>414</v>
      </c>
    </row>
    <row r="35" spans="1:12" hidden="1" x14ac:dyDescent="0.25">
      <c r="A35" s="74">
        <v>42884</v>
      </c>
      <c r="B35" s="75" t="s">
        <v>415</v>
      </c>
      <c r="C35" s="75" t="s">
        <v>416</v>
      </c>
      <c r="D35" s="75" t="s">
        <v>0</v>
      </c>
      <c r="E35" s="75">
        <v>68427709</v>
      </c>
      <c r="F35" s="89">
        <v>-30000</v>
      </c>
      <c r="G35" s="72" t="s">
        <v>309</v>
      </c>
      <c r="H35" s="75" t="s">
        <v>310</v>
      </c>
      <c r="I35" s="75" t="s">
        <v>329</v>
      </c>
      <c r="J35" s="72">
        <v>2018</v>
      </c>
      <c r="K35" s="75"/>
      <c r="L35" s="76" t="s">
        <v>417</v>
      </c>
    </row>
    <row r="36" spans="1:12" hidden="1" x14ac:dyDescent="0.25">
      <c r="A36" s="74">
        <v>42884</v>
      </c>
      <c r="B36" s="75" t="s">
        <v>418</v>
      </c>
      <c r="C36" s="75" t="s">
        <v>419</v>
      </c>
      <c r="D36" s="75" t="s">
        <v>0</v>
      </c>
      <c r="E36" s="75">
        <v>68427709</v>
      </c>
      <c r="F36" s="89">
        <v>20000</v>
      </c>
      <c r="G36" s="72" t="s">
        <v>309</v>
      </c>
      <c r="H36" s="75" t="s">
        <v>310</v>
      </c>
      <c r="I36" s="75" t="s">
        <v>329</v>
      </c>
      <c r="J36" s="72">
        <v>2018</v>
      </c>
      <c r="K36" s="75"/>
      <c r="L36" s="76" t="s">
        <v>420</v>
      </c>
    </row>
    <row r="37" spans="1:12" hidden="1" x14ac:dyDescent="0.25">
      <c r="A37" s="74">
        <v>42953</v>
      </c>
      <c r="B37" s="21" t="s">
        <v>421</v>
      </c>
      <c r="C37" s="21" t="s">
        <v>422</v>
      </c>
      <c r="D37" s="21" t="s">
        <v>0</v>
      </c>
      <c r="E37" s="21">
        <v>68427709</v>
      </c>
      <c r="F37" s="89">
        <v>21000</v>
      </c>
      <c r="G37" s="72" t="s">
        <v>309</v>
      </c>
      <c r="H37" s="75" t="s">
        <v>310</v>
      </c>
      <c r="I37" s="75" t="s">
        <v>324</v>
      </c>
      <c r="J37" s="72">
        <v>2018</v>
      </c>
      <c r="K37" s="75" t="s">
        <v>423</v>
      </c>
      <c r="L37" s="76" t="s">
        <v>424</v>
      </c>
    </row>
    <row r="38" spans="1:12" hidden="1" x14ac:dyDescent="0.25">
      <c r="A38" s="77">
        <v>42953</v>
      </c>
      <c r="B38" s="75" t="s">
        <v>425</v>
      </c>
      <c r="C38" s="75" t="s">
        <v>422</v>
      </c>
      <c r="D38" s="75" t="s">
        <v>323</v>
      </c>
      <c r="E38" s="75">
        <v>68427709</v>
      </c>
      <c r="F38" s="89">
        <v>12000</v>
      </c>
      <c r="G38" s="72" t="s">
        <v>309</v>
      </c>
      <c r="H38" s="75" t="s">
        <v>310</v>
      </c>
      <c r="I38" s="75" t="s">
        <v>324</v>
      </c>
      <c r="J38" s="72">
        <v>2018</v>
      </c>
      <c r="K38" s="75" t="s">
        <v>426</v>
      </c>
      <c r="L38" s="75" t="s">
        <v>427</v>
      </c>
    </row>
    <row r="39" spans="1:12" hidden="1" x14ac:dyDescent="0.25">
      <c r="A39" s="78">
        <v>42905</v>
      </c>
      <c r="B39" s="75" t="s">
        <v>428</v>
      </c>
      <c r="C39" s="75" t="s">
        <v>429</v>
      </c>
      <c r="D39" s="75" t="s">
        <v>0</v>
      </c>
      <c r="E39" s="75">
        <v>68427709</v>
      </c>
      <c r="F39" s="89">
        <v>5000</v>
      </c>
      <c r="G39" s="72" t="s">
        <v>309</v>
      </c>
      <c r="H39" s="75" t="s">
        <v>310</v>
      </c>
      <c r="I39" s="75" t="s">
        <v>324</v>
      </c>
      <c r="J39" s="72">
        <v>2018</v>
      </c>
      <c r="K39" s="75" t="s">
        <v>430</v>
      </c>
      <c r="L39" s="75" t="s">
        <v>431</v>
      </c>
    </row>
    <row r="40" spans="1:12" hidden="1" x14ac:dyDescent="0.25">
      <c r="A40" s="78">
        <v>42913</v>
      </c>
      <c r="B40" s="75" t="s">
        <v>432</v>
      </c>
      <c r="C40" s="75" t="s">
        <v>433</v>
      </c>
      <c r="D40" s="75" t="s">
        <v>0</v>
      </c>
      <c r="E40" s="75">
        <v>68427709</v>
      </c>
      <c r="F40" s="89">
        <v>130000</v>
      </c>
      <c r="G40" s="72" t="s">
        <v>309</v>
      </c>
      <c r="H40" s="75" t="s">
        <v>310</v>
      </c>
      <c r="I40" s="75" t="s">
        <v>324</v>
      </c>
      <c r="J40" s="72">
        <v>2018</v>
      </c>
      <c r="K40" s="75" t="s">
        <v>434</v>
      </c>
      <c r="L40" s="75" t="s">
        <v>435</v>
      </c>
    </row>
    <row r="41" spans="1:12" hidden="1" x14ac:dyDescent="0.25">
      <c r="A41" s="78">
        <v>42913</v>
      </c>
      <c r="B41" s="75" t="s">
        <v>436</v>
      </c>
      <c r="C41" s="75" t="s">
        <v>437</v>
      </c>
      <c r="D41" s="75"/>
      <c r="E41" s="75">
        <v>68427709</v>
      </c>
      <c r="F41" s="89">
        <v>120000</v>
      </c>
      <c r="G41" s="72" t="s">
        <v>309</v>
      </c>
      <c r="H41" s="75" t="s">
        <v>310</v>
      </c>
      <c r="I41" s="75" t="s">
        <v>324</v>
      </c>
      <c r="J41" s="72">
        <v>2018</v>
      </c>
      <c r="K41" s="75" t="s">
        <v>438</v>
      </c>
      <c r="L41" s="75" t="s">
        <v>439</v>
      </c>
    </row>
    <row r="42" spans="1:12" hidden="1" x14ac:dyDescent="0.25">
      <c r="A42" s="78">
        <v>42913</v>
      </c>
      <c r="B42" s="75" t="s">
        <v>440</v>
      </c>
      <c r="C42" s="75" t="s">
        <v>441</v>
      </c>
      <c r="D42" s="75" t="s">
        <v>0</v>
      </c>
      <c r="E42" s="75">
        <v>68427709</v>
      </c>
      <c r="F42" s="89">
        <v>372000</v>
      </c>
      <c r="G42" s="72" t="s">
        <v>309</v>
      </c>
      <c r="H42" s="75" t="s">
        <v>310</v>
      </c>
      <c r="I42" s="75" t="s">
        <v>311</v>
      </c>
      <c r="J42" s="72">
        <v>2018</v>
      </c>
      <c r="K42" s="75" t="s">
        <v>442</v>
      </c>
      <c r="L42" s="75"/>
    </row>
    <row r="43" spans="1:12" hidden="1" x14ac:dyDescent="0.25">
      <c r="A43" s="78">
        <v>42913</v>
      </c>
      <c r="B43" s="75" t="s">
        <v>440</v>
      </c>
      <c r="C43" s="75" t="s">
        <v>443</v>
      </c>
      <c r="D43" s="75" t="s">
        <v>0</v>
      </c>
      <c r="E43" s="75">
        <v>68427709</v>
      </c>
      <c r="F43" s="89">
        <v>34000</v>
      </c>
      <c r="G43" s="72" t="s">
        <v>309</v>
      </c>
      <c r="H43" s="75" t="s">
        <v>310</v>
      </c>
      <c r="I43" s="75" t="s">
        <v>444</v>
      </c>
      <c r="J43" s="72">
        <v>2018</v>
      </c>
      <c r="K43" s="75" t="s">
        <v>442</v>
      </c>
      <c r="L43" s="75"/>
    </row>
    <row r="44" spans="1:12" hidden="1" x14ac:dyDescent="0.25">
      <c r="A44" s="78">
        <v>42921</v>
      </c>
      <c r="B44" s="75" t="s">
        <v>445</v>
      </c>
      <c r="C44" s="75" t="s">
        <v>446</v>
      </c>
      <c r="D44" s="75" t="s">
        <v>0</v>
      </c>
      <c r="E44" s="75">
        <v>68427709</v>
      </c>
      <c r="F44" s="89">
        <v>26000</v>
      </c>
      <c r="G44" s="72" t="s">
        <v>309</v>
      </c>
      <c r="H44" s="75" t="s">
        <v>447</v>
      </c>
      <c r="I44" s="75" t="s">
        <v>324</v>
      </c>
      <c r="J44" s="72">
        <v>2018</v>
      </c>
      <c r="K44" s="75" t="s">
        <v>448</v>
      </c>
      <c r="L44" s="75" t="s">
        <v>449</v>
      </c>
    </row>
    <row r="45" spans="1:12" hidden="1" x14ac:dyDescent="0.25">
      <c r="A45" s="78">
        <v>42921</v>
      </c>
      <c r="B45" s="75" t="s">
        <v>450</v>
      </c>
      <c r="C45" s="75" t="s">
        <v>451</v>
      </c>
      <c r="D45" s="75"/>
      <c r="E45" s="75">
        <v>68427709</v>
      </c>
      <c r="F45" s="89">
        <v>-11000</v>
      </c>
      <c r="G45" s="72" t="s">
        <v>309</v>
      </c>
      <c r="H45" s="75" t="s">
        <v>310</v>
      </c>
      <c r="I45" s="75" t="s">
        <v>311</v>
      </c>
      <c r="J45" s="72">
        <v>2018</v>
      </c>
      <c r="K45" s="75" t="s">
        <v>448</v>
      </c>
      <c r="L45" s="75" t="s">
        <v>452</v>
      </c>
    </row>
    <row r="46" spans="1:12" hidden="1" x14ac:dyDescent="0.25">
      <c r="A46" s="78">
        <v>42921</v>
      </c>
      <c r="B46" s="75" t="s">
        <v>453</v>
      </c>
      <c r="C46" s="75" t="s">
        <v>454</v>
      </c>
      <c r="D46" s="75" t="s">
        <v>0</v>
      </c>
      <c r="E46" s="75">
        <v>68427709</v>
      </c>
      <c r="F46" s="89">
        <v>11000</v>
      </c>
      <c r="G46" s="72" t="s">
        <v>309</v>
      </c>
      <c r="H46" s="75" t="s">
        <v>310</v>
      </c>
      <c r="I46" s="75" t="s">
        <v>324</v>
      </c>
      <c r="J46" s="72">
        <v>2018</v>
      </c>
      <c r="K46" s="75" t="s">
        <v>455</v>
      </c>
      <c r="L46" s="75" t="s">
        <v>456</v>
      </c>
    </row>
    <row r="47" spans="1:12" hidden="1" x14ac:dyDescent="0.25">
      <c r="A47" s="78">
        <v>42923</v>
      </c>
      <c r="B47" s="75" t="s">
        <v>457</v>
      </c>
      <c r="C47" s="75" t="s">
        <v>458</v>
      </c>
      <c r="D47" s="75" t="s">
        <v>0</v>
      </c>
      <c r="E47" s="75">
        <v>68427709</v>
      </c>
      <c r="F47" s="89">
        <v>-25000</v>
      </c>
      <c r="G47" s="75" t="s">
        <v>309</v>
      </c>
      <c r="H47" s="75" t="s">
        <v>310</v>
      </c>
      <c r="I47" s="75" t="s">
        <v>324</v>
      </c>
      <c r="J47" s="72">
        <v>2018</v>
      </c>
      <c r="K47" s="75" t="s">
        <v>459</v>
      </c>
      <c r="L47" s="75" t="s">
        <v>460</v>
      </c>
    </row>
    <row r="48" spans="1:12" hidden="1" x14ac:dyDescent="0.25">
      <c r="A48" s="78">
        <v>42923</v>
      </c>
      <c r="B48" s="75" t="s">
        <v>461</v>
      </c>
      <c r="C48" s="75" t="s">
        <v>458</v>
      </c>
      <c r="D48" s="75" t="s">
        <v>0</v>
      </c>
      <c r="E48" s="75">
        <v>68427709</v>
      </c>
      <c r="F48" s="89">
        <v>16000</v>
      </c>
      <c r="G48" s="75" t="s">
        <v>309</v>
      </c>
      <c r="H48" s="75" t="s">
        <v>310</v>
      </c>
      <c r="I48" s="75" t="s">
        <v>324</v>
      </c>
      <c r="J48" s="72">
        <v>2018</v>
      </c>
      <c r="K48" s="75" t="s">
        <v>459</v>
      </c>
      <c r="L48" s="75" t="s">
        <v>462</v>
      </c>
    </row>
    <row r="49" spans="1:12" hidden="1" x14ac:dyDescent="0.25">
      <c r="A49" s="78">
        <v>42923</v>
      </c>
      <c r="B49" s="75" t="s">
        <v>463</v>
      </c>
      <c r="C49" s="75" t="s">
        <v>458</v>
      </c>
      <c r="D49" s="75" t="s">
        <v>0</v>
      </c>
      <c r="E49" s="75">
        <v>68427709</v>
      </c>
      <c r="F49" s="89">
        <v>6000</v>
      </c>
      <c r="G49" s="75" t="s">
        <v>309</v>
      </c>
      <c r="H49" s="75" t="s">
        <v>310</v>
      </c>
      <c r="I49" s="75" t="s">
        <v>324</v>
      </c>
      <c r="J49" s="72">
        <v>2018</v>
      </c>
      <c r="K49" s="75"/>
      <c r="L49" s="75" t="s">
        <v>464</v>
      </c>
    </row>
    <row r="50" spans="1:12" hidden="1" x14ac:dyDescent="0.25">
      <c r="A50" s="78">
        <v>42923</v>
      </c>
      <c r="B50" s="75" t="s">
        <v>465</v>
      </c>
      <c r="C50" s="75" t="s">
        <v>466</v>
      </c>
      <c r="D50" s="75"/>
      <c r="E50" s="75">
        <v>68427709</v>
      </c>
      <c r="F50" s="89">
        <v>-75000</v>
      </c>
      <c r="G50" s="75" t="s">
        <v>309</v>
      </c>
      <c r="H50" s="75" t="s">
        <v>310</v>
      </c>
      <c r="I50" s="75" t="s">
        <v>324</v>
      </c>
      <c r="J50" s="72">
        <v>2018</v>
      </c>
      <c r="K50" s="75" t="s">
        <v>459</v>
      </c>
      <c r="L50" s="75" t="s">
        <v>467</v>
      </c>
    </row>
    <row r="51" spans="1:12" hidden="1" x14ac:dyDescent="0.25">
      <c r="A51" s="78">
        <v>42923</v>
      </c>
      <c r="B51" s="75" t="s">
        <v>446</v>
      </c>
      <c r="C51" s="75" t="s">
        <v>458</v>
      </c>
      <c r="D51" s="75" t="s">
        <v>0</v>
      </c>
      <c r="E51" s="75">
        <v>68427709</v>
      </c>
      <c r="F51" s="89">
        <v>15000</v>
      </c>
      <c r="G51" s="75" t="s">
        <v>309</v>
      </c>
      <c r="H51" s="75" t="s">
        <v>310</v>
      </c>
      <c r="I51" s="75" t="s">
        <v>400</v>
      </c>
      <c r="J51" s="72">
        <v>2018</v>
      </c>
      <c r="K51" s="75" t="s">
        <v>448</v>
      </c>
      <c r="L51" s="75" t="s">
        <v>468</v>
      </c>
    </row>
    <row r="52" spans="1:12" hidden="1" x14ac:dyDescent="0.25">
      <c r="A52" s="78">
        <v>42923</v>
      </c>
      <c r="B52" s="75" t="s">
        <v>469</v>
      </c>
      <c r="C52" s="75" t="s">
        <v>470</v>
      </c>
      <c r="D52" s="75" t="s">
        <v>0</v>
      </c>
      <c r="E52" s="75">
        <v>68427709</v>
      </c>
      <c r="F52" s="89">
        <v>54000</v>
      </c>
      <c r="G52" s="75" t="s">
        <v>309</v>
      </c>
      <c r="H52" s="75" t="s">
        <v>310</v>
      </c>
      <c r="I52" s="75" t="s">
        <v>324</v>
      </c>
      <c r="J52" s="72">
        <v>2018</v>
      </c>
      <c r="K52" s="75" t="s">
        <v>434</v>
      </c>
      <c r="L52" s="75"/>
    </row>
    <row r="53" spans="1:12" hidden="1" x14ac:dyDescent="0.25">
      <c r="A53" s="78">
        <v>42926</v>
      </c>
      <c r="B53" s="75" t="s">
        <v>331</v>
      </c>
      <c r="C53" s="75" t="s">
        <v>458</v>
      </c>
      <c r="D53" s="75" t="s">
        <v>0</v>
      </c>
      <c r="E53" s="75">
        <v>68427709</v>
      </c>
      <c r="F53" s="89">
        <v>105000</v>
      </c>
      <c r="G53" s="75" t="s">
        <v>309</v>
      </c>
      <c r="H53" s="75" t="s">
        <v>310</v>
      </c>
      <c r="I53" s="75" t="s">
        <v>324</v>
      </c>
      <c r="J53" s="72">
        <v>2018</v>
      </c>
      <c r="K53" s="75" t="s">
        <v>471</v>
      </c>
      <c r="L53" s="75" t="s">
        <v>472</v>
      </c>
    </row>
    <row r="54" spans="1:12" hidden="1" x14ac:dyDescent="0.25">
      <c r="A54" s="78">
        <v>42926</v>
      </c>
      <c r="B54" s="75" t="s">
        <v>473</v>
      </c>
      <c r="C54" s="75" t="s">
        <v>474</v>
      </c>
      <c r="D54" s="75" t="s">
        <v>323</v>
      </c>
      <c r="E54" s="75">
        <v>68427709</v>
      </c>
      <c r="F54" s="89">
        <v>60000</v>
      </c>
      <c r="G54" s="75" t="s">
        <v>309</v>
      </c>
      <c r="H54" s="75" t="s">
        <v>310</v>
      </c>
      <c r="I54" s="75" t="s">
        <v>324</v>
      </c>
      <c r="J54" s="72">
        <v>2018</v>
      </c>
      <c r="K54" s="75" t="s">
        <v>475</v>
      </c>
      <c r="L54" s="75" t="s">
        <v>476</v>
      </c>
    </row>
    <row r="55" spans="1:12" hidden="1" x14ac:dyDescent="0.25">
      <c r="A55" s="78">
        <v>42928</v>
      </c>
      <c r="B55" s="75" t="s">
        <v>477</v>
      </c>
      <c r="C55" s="75" t="s">
        <v>458</v>
      </c>
      <c r="D55" s="75" t="s">
        <v>323</v>
      </c>
      <c r="E55" s="75">
        <v>68427709</v>
      </c>
      <c r="F55" s="89">
        <v>5500</v>
      </c>
      <c r="G55" s="75" t="s">
        <v>309</v>
      </c>
      <c r="H55" s="75" t="s">
        <v>310</v>
      </c>
      <c r="I55" s="75" t="s">
        <v>324</v>
      </c>
      <c r="J55" s="72">
        <v>2018</v>
      </c>
      <c r="K55" s="75" t="s">
        <v>367</v>
      </c>
      <c r="L55" s="75" t="s">
        <v>478</v>
      </c>
    </row>
    <row r="56" spans="1:12" hidden="1" x14ac:dyDescent="0.25">
      <c r="A56" s="78">
        <v>42928</v>
      </c>
      <c r="B56" s="75" t="s">
        <v>479</v>
      </c>
      <c r="C56" s="75" t="s">
        <v>458</v>
      </c>
      <c r="D56" s="75" t="s">
        <v>323</v>
      </c>
      <c r="E56" s="75">
        <v>68427709</v>
      </c>
      <c r="F56" s="89">
        <v>40000</v>
      </c>
      <c r="G56" s="75" t="s">
        <v>309</v>
      </c>
      <c r="H56" s="75" t="s">
        <v>310</v>
      </c>
      <c r="I56" s="75" t="s">
        <v>324</v>
      </c>
      <c r="J56" s="72">
        <v>2018</v>
      </c>
      <c r="K56" s="75" t="s">
        <v>367</v>
      </c>
      <c r="L56" s="75" t="s">
        <v>478</v>
      </c>
    </row>
    <row r="57" spans="1:12" hidden="1" x14ac:dyDescent="0.25">
      <c r="A57" s="78">
        <v>42928</v>
      </c>
      <c r="B57" s="75" t="s">
        <v>480</v>
      </c>
      <c r="C57" s="75" t="s">
        <v>458</v>
      </c>
      <c r="D57" s="75" t="s">
        <v>323</v>
      </c>
      <c r="E57" s="75">
        <v>68427709</v>
      </c>
      <c r="F57" s="89">
        <v>25000</v>
      </c>
      <c r="G57" s="75" t="s">
        <v>309</v>
      </c>
      <c r="H57" s="75" t="s">
        <v>310</v>
      </c>
      <c r="I57" s="75" t="s">
        <v>324</v>
      </c>
      <c r="J57" s="72">
        <v>2018</v>
      </c>
      <c r="K57" s="75" t="s">
        <v>367</v>
      </c>
      <c r="L57" s="75"/>
    </row>
    <row r="58" spans="1:12" hidden="1" x14ac:dyDescent="0.25">
      <c r="A58" s="78">
        <v>42928</v>
      </c>
      <c r="B58" s="75" t="s">
        <v>481</v>
      </c>
      <c r="C58" s="75" t="s">
        <v>458</v>
      </c>
      <c r="D58" s="75"/>
      <c r="E58" s="75">
        <v>68427709</v>
      </c>
      <c r="F58" s="89">
        <v>300000</v>
      </c>
      <c r="G58" s="75" t="s">
        <v>309</v>
      </c>
      <c r="H58" s="75" t="s">
        <v>310</v>
      </c>
      <c r="I58" s="75" t="s">
        <v>324</v>
      </c>
      <c r="J58" s="72">
        <v>2018</v>
      </c>
      <c r="K58" s="75" t="s">
        <v>367</v>
      </c>
      <c r="L58" s="75"/>
    </row>
    <row r="59" spans="1:12" hidden="1" x14ac:dyDescent="0.25">
      <c r="A59" s="78">
        <v>42928</v>
      </c>
      <c r="B59" s="75" t="s">
        <v>482</v>
      </c>
      <c r="C59" s="75" t="s">
        <v>458</v>
      </c>
      <c r="D59" s="75"/>
      <c r="E59" s="75">
        <v>68427709</v>
      </c>
      <c r="F59" s="89">
        <v>-15000</v>
      </c>
      <c r="G59" s="75" t="s">
        <v>309</v>
      </c>
      <c r="H59" s="75" t="s">
        <v>310</v>
      </c>
      <c r="I59" s="75" t="s">
        <v>324</v>
      </c>
      <c r="J59" s="72">
        <v>2018</v>
      </c>
      <c r="K59" s="75" t="s">
        <v>389</v>
      </c>
      <c r="L59" s="75" t="s">
        <v>483</v>
      </c>
    </row>
    <row r="60" spans="1:12" hidden="1" x14ac:dyDescent="0.25">
      <c r="A60" s="78">
        <v>42928</v>
      </c>
      <c r="B60" s="75" t="s">
        <v>484</v>
      </c>
      <c r="C60" s="75" t="s">
        <v>485</v>
      </c>
      <c r="D60" s="75"/>
      <c r="E60" s="75">
        <v>68427709</v>
      </c>
      <c r="F60" s="89">
        <v>-60000</v>
      </c>
      <c r="G60" s="75" t="s">
        <v>309</v>
      </c>
      <c r="H60" s="75" t="s">
        <v>310</v>
      </c>
      <c r="I60" s="75" t="s">
        <v>324</v>
      </c>
      <c r="J60" s="72">
        <v>2018</v>
      </c>
      <c r="K60" s="75" t="s">
        <v>486</v>
      </c>
      <c r="L60" s="75" t="s">
        <v>487</v>
      </c>
    </row>
    <row r="61" spans="1:12" hidden="1" x14ac:dyDescent="0.25">
      <c r="A61" s="78">
        <v>42928</v>
      </c>
      <c r="B61" s="75" t="s">
        <v>488</v>
      </c>
      <c r="C61" s="75" t="s">
        <v>489</v>
      </c>
      <c r="D61" s="75"/>
      <c r="E61" s="75">
        <v>68427709</v>
      </c>
      <c r="F61" s="89">
        <v>50000</v>
      </c>
      <c r="G61" s="75" t="s">
        <v>309</v>
      </c>
      <c r="H61" s="75" t="s">
        <v>310</v>
      </c>
      <c r="I61" s="75" t="s">
        <v>311</v>
      </c>
      <c r="J61" s="72">
        <v>2018</v>
      </c>
      <c r="K61" s="75" t="s">
        <v>393</v>
      </c>
      <c r="L61" s="75" t="s">
        <v>490</v>
      </c>
    </row>
    <row r="62" spans="1:12" hidden="1" x14ac:dyDescent="0.25">
      <c r="A62" s="78">
        <v>42930</v>
      </c>
      <c r="B62" s="75" t="s">
        <v>491</v>
      </c>
      <c r="C62" s="75" t="s">
        <v>492</v>
      </c>
      <c r="D62" s="75"/>
      <c r="E62" s="75">
        <v>68427709</v>
      </c>
      <c r="F62" s="89">
        <v>1500</v>
      </c>
      <c r="G62" s="75" t="s">
        <v>309</v>
      </c>
      <c r="H62" s="75" t="s">
        <v>310</v>
      </c>
      <c r="I62" s="75" t="s">
        <v>324</v>
      </c>
      <c r="J62" s="72">
        <v>2018</v>
      </c>
      <c r="K62" s="75" t="s">
        <v>493</v>
      </c>
      <c r="L62" s="75" t="s">
        <v>494</v>
      </c>
    </row>
    <row r="63" spans="1:12" hidden="1" x14ac:dyDescent="0.25">
      <c r="A63" s="78">
        <v>42940</v>
      </c>
      <c r="B63" s="75" t="s">
        <v>495</v>
      </c>
      <c r="C63" s="75" t="s">
        <v>496</v>
      </c>
      <c r="D63" s="75"/>
      <c r="E63" s="75">
        <v>68427709</v>
      </c>
      <c r="F63" s="89">
        <v>30000</v>
      </c>
      <c r="G63" s="75" t="s">
        <v>309</v>
      </c>
      <c r="H63" s="75" t="s">
        <v>310</v>
      </c>
      <c r="I63" s="75" t="s">
        <v>324</v>
      </c>
      <c r="J63" s="72">
        <v>2018</v>
      </c>
      <c r="K63" s="75" t="s">
        <v>448</v>
      </c>
      <c r="L63" s="75"/>
    </row>
    <row r="64" spans="1:12" hidden="1" x14ac:dyDescent="0.25">
      <c r="A64" s="78">
        <v>42944</v>
      </c>
      <c r="B64" s="75" t="s">
        <v>497</v>
      </c>
      <c r="C64" s="75" t="s">
        <v>458</v>
      </c>
      <c r="D64" s="75" t="s">
        <v>0</v>
      </c>
      <c r="E64" s="75">
        <v>68427709</v>
      </c>
      <c r="F64" s="89">
        <v>870000</v>
      </c>
      <c r="G64" s="75" t="s">
        <v>498</v>
      </c>
      <c r="H64" s="75" t="s">
        <v>310</v>
      </c>
      <c r="I64" s="75" t="s">
        <v>324</v>
      </c>
      <c r="J64" s="72">
        <v>2018</v>
      </c>
      <c r="K64" s="75" t="s">
        <v>499</v>
      </c>
      <c r="L64" s="75" t="s">
        <v>500</v>
      </c>
    </row>
    <row r="65" spans="1:12" hidden="1" x14ac:dyDescent="0.25">
      <c r="A65" s="78">
        <v>42944</v>
      </c>
      <c r="B65" s="75" t="s">
        <v>501</v>
      </c>
      <c r="C65" s="75" t="s">
        <v>458</v>
      </c>
      <c r="D65" s="75" t="s">
        <v>0</v>
      </c>
      <c r="E65" s="75">
        <v>68427709</v>
      </c>
      <c r="F65" s="89">
        <v>260000</v>
      </c>
      <c r="G65" s="75" t="s">
        <v>498</v>
      </c>
      <c r="H65" s="75" t="s">
        <v>310</v>
      </c>
      <c r="I65" s="75" t="s">
        <v>324</v>
      </c>
      <c r="J65" s="72">
        <v>2018</v>
      </c>
      <c r="K65" s="75" t="s">
        <v>499</v>
      </c>
      <c r="L65" s="75" t="s">
        <v>500</v>
      </c>
    </row>
    <row r="66" spans="1:12" hidden="1" x14ac:dyDescent="0.25">
      <c r="A66" s="78">
        <v>42944</v>
      </c>
      <c r="B66" s="75" t="s">
        <v>502</v>
      </c>
      <c r="C66" s="75" t="s">
        <v>458</v>
      </c>
      <c r="D66" s="75" t="s">
        <v>0</v>
      </c>
      <c r="E66" s="75">
        <v>68427709</v>
      </c>
      <c r="F66" s="89">
        <v>260000</v>
      </c>
      <c r="G66" s="75" t="s">
        <v>498</v>
      </c>
      <c r="H66" s="75" t="s">
        <v>310</v>
      </c>
      <c r="I66" s="75" t="s">
        <v>324</v>
      </c>
      <c r="J66" s="72">
        <v>2018</v>
      </c>
      <c r="K66" s="75" t="s">
        <v>499</v>
      </c>
      <c r="L66" s="75" t="s">
        <v>500</v>
      </c>
    </row>
    <row r="67" spans="1:12" hidden="1" x14ac:dyDescent="0.25">
      <c r="A67" s="78">
        <v>42947</v>
      </c>
      <c r="B67" s="75" t="s">
        <v>503</v>
      </c>
      <c r="C67" s="75" t="s">
        <v>504</v>
      </c>
      <c r="D67" s="75"/>
      <c r="E67" s="75">
        <v>68427709</v>
      </c>
      <c r="F67" s="89">
        <v>25000</v>
      </c>
      <c r="G67" s="75" t="s">
        <v>309</v>
      </c>
      <c r="H67" s="75" t="s">
        <v>310</v>
      </c>
      <c r="I67" s="75" t="s">
        <v>324</v>
      </c>
      <c r="J67" s="72">
        <v>2018</v>
      </c>
      <c r="K67" s="75" t="s">
        <v>505</v>
      </c>
      <c r="L67" s="75"/>
    </row>
    <row r="68" spans="1:12" hidden="1" x14ac:dyDescent="0.25">
      <c r="A68" s="78">
        <v>42955</v>
      </c>
      <c r="B68" s="75" t="s">
        <v>506</v>
      </c>
      <c r="C68" s="75" t="s">
        <v>391</v>
      </c>
      <c r="D68" s="75" t="s">
        <v>0</v>
      </c>
      <c r="E68" s="75">
        <v>68427709</v>
      </c>
      <c r="F68" s="89">
        <v>65000</v>
      </c>
      <c r="G68" s="75" t="s">
        <v>309</v>
      </c>
      <c r="H68" s="75" t="s">
        <v>310</v>
      </c>
      <c r="I68" s="75" t="s">
        <v>324</v>
      </c>
      <c r="J68" s="72">
        <v>2018</v>
      </c>
      <c r="K68" s="75" t="s">
        <v>507</v>
      </c>
      <c r="L68" s="75"/>
    </row>
    <row r="69" spans="1:12" hidden="1" x14ac:dyDescent="0.25">
      <c r="A69" s="78">
        <v>42956</v>
      </c>
      <c r="B69" s="75" t="s">
        <v>508</v>
      </c>
      <c r="C69" s="75" t="s">
        <v>377</v>
      </c>
      <c r="D69" s="75"/>
      <c r="E69" s="75">
        <v>68427709</v>
      </c>
      <c r="F69" s="89">
        <v>24000</v>
      </c>
      <c r="G69" s="75" t="s">
        <v>309</v>
      </c>
      <c r="H69" s="75" t="s">
        <v>310</v>
      </c>
      <c r="I69" s="75" t="s">
        <v>324</v>
      </c>
      <c r="J69" s="72">
        <v>2018</v>
      </c>
      <c r="K69" s="75" t="s">
        <v>389</v>
      </c>
      <c r="L69" s="75" t="s">
        <v>509</v>
      </c>
    </row>
    <row r="70" spans="1:12" hidden="1" x14ac:dyDescent="0.25">
      <c r="A70" s="79">
        <v>43028</v>
      </c>
      <c r="B70" s="80" t="s">
        <v>307</v>
      </c>
      <c r="C70" s="80" t="s">
        <v>510</v>
      </c>
      <c r="D70" s="80" t="s">
        <v>0</v>
      </c>
      <c r="E70" s="80">
        <v>68427709</v>
      </c>
      <c r="F70" s="115">
        <v>10000</v>
      </c>
      <c r="G70" s="80" t="s">
        <v>309</v>
      </c>
      <c r="H70" s="80" t="s">
        <v>310</v>
      </c>
      <c r="I70" s="80" t="s">
        <v>400</v>
      </c>
      <c r="J70" s="80">
        <v>2019</v>
      </c>
      <c r="K70" s="80" t="s">
        <v>511</v>
      </c>
      <c r="L70" s="80"/>
    </row>
    <row r="71" spans="1:12" hidden="1" x14ac:dyDescent="0.25">
      <c r="A71" s="78">
        <v>43031</v>
      </c>
      <c r="B71" s="75" t="s">
        <v>512</v>
      </c>
      <c r="C71" s="75" t="s">
        <v>397</v>
      </c>
      <c r="D71" s="75" t="s">
        <v>0</v>
      </c>
      <c r="E71" s="75">
        <v>68427709</v>
      </c>
      <c r="F71" s="89">
        <v>2000</v>
      </c>
      <c r="G71" s="75" t="s">
        <v>309</v>
      </c>
      <c r="H71" s="75" t="s">
        <v>310</v>
      </c>
      <c r="I71" s="75" t="s">
        <v>400</v>
      </c>
      <c r="J71" s="75">
        <v>2019</v>
      </c>
      <c r="K71" s="75" t="s">
        <v>475</v>
      </c>
      <c r="L71" s="75"/>
    </row>
    <row r="72" spans="1:12" hidden="1" x14ac:dyDescent="0.25">
      <c r="A72" s="78">
        <v>43031</v>
      </c>
      <c r="B72" s="75" t="s">
        <v>513</v>
      </c>
      <c r="C72" s="75" t="s">
        <v>514</v>
      </c>
      <c r="D72" s="75" t="s">
        <v>0</v>
      </c>
      <c r="E72" s="75">
        <v>68427709</v>
      </c>
      <c r="F72" s="89">
        <v>8000</v>
      </c>
      <c r="G72" s="75" t="s">
        <v>309</v>
      </c>
      <c r="H72" s="75" t="s">
        <v>310</v>
      </c>
      <c r="I72" s="75" t="s">
        <v>329</v>
      </c>
      <c r="J72" s="75">
        <v>2019</v>
      </c>
      <c r="K72" s="75" t="s">
        <v>423</v>
      </c>
      <c r="L72" s="75" t="s">
        <v>515</v>
      </c>
    </row>
    <row r="73" spans="1:12" hidden="1" x14ac:dyDescent="0.25">
      <c r="A73" s="78">
        <v>75906</v>
      </c>
      <c r="B73" s="75" t="s">
        <v>395</v>
      </c>
      <c r="C73" s="75" t="s">
        <v>516</v>
      </c>
      <c r="D73" s="75" t="s">
        <v>517</v>
      </c>
      <c r="E73" s="75">
        <v>68427709</v>
      </c>
      <c r="F73" s="89">
        <v>50000</v>
      </c>
      <c r="G73" s="75" t="s">
        <v>309</v>
      </c>
      <c r="H73" s="75" t="s">
        <v>310</v>
      </c>
      <c r="I73" s="75" t="s">
        <v>35</v>
      </c>
      <c r="J73" s="75">
        <v>2019</v>
      </c>
      <c r="K73" s="75" t="s">
        <v>507</v>
      </c>
      <c r="L73" s="75" t="s">
        <v>518</v>
      </c>
    </row>
    <row r="74" spans="1:12" hidden="1" x14ac:dyDescent="0.25">
      <c r="A74" s="78">
        <v>43066</v>
      </c>
      <c r="B74" s="75" t="s">
        <v>519</v>
      </c>
      <c r="C74" s="75" t="s">
        <v>520</v>
      </c>
      <c r="D74" s="75" t="s">
        <v>0</v>
      </c>
      <c r="E74" s="75">
        <v>68427709</v>
      </c>
      <c r="F74" s="89">
        <v>22000</v>
      </c>
      <c r="G74" s="75" t="s">
        <v>309</v>
      </c>
      <c r="H74" s="75" t="s">
        <v>310</v>
      </c>
      <c r="I74" s="75" t="s">
        <v>400</v>
      </c>
      <c r="J74" s="75">
        <v>2019</v>
      </c>
      <c r="K74" s="75" t="s">
        <v>389</v>
      </c>
      <c r="L74" s="75"/>
    </row>
    <row r="75" spans="1:12" hidden="1" x14ac:dyDescent="0.25">
      <c r="A75" s="78">
        <v>43067</v>
      </c>
      <c r="B75" s="75" t="s">
        <v>521</v>
      </c>
      <c r="C75" s="75" t="s">
        <v>522</v>
      </c>
      <c r="D75" s="75" t="s">
        <v>0</v>
      </c>
      <c r="E75" s="75">
        <v>68427709</v>
      </c>
      <c r="F75" s="89">
        <v>24000</v>
      </c>
      <c r="G75" s="75" t="s">
        <v>309</v>
      </c>
      <c r="H75" s="75" t="s">
        <v>310</v>
      </c>
      <c r="I75" s="75" t="s">
        <v>400</v>
      </c>
      <c r="J75" s="75">
        <v>2019</v>
      </c>
      <c r="K75" s="75" t="s">
        <v>523</v>
      </c>
      <c r="L75" s="75" t="s">
        <v>524</v>
      </c>
    </row>
    <row r="76" spans="1:12" hidden="1" x14ac:dyDescent="0.25">
      <c r="A76" s="78">
        <v>43111</v>
      </c>
      <c r="B76" s="75" t="s">
        <v>525</v>
      </c>
      <c r="C76" s="75" t="s">
        <v>526</v>
      </c>
      <c r="D76" s="75" t="s">
        <v>323</v>
      </c>
      <c r="E76" s="75">
        <v>68427709</v>
      </c>
      <c r="F76" s="89">
        <v>22000</v>
      </c>
      <c r="G76" s="75" t="s">
        <v>309</v>
      </c>
      <c r="H76" s="75" t="s">
        <v>310</v>
      </c>
      <c r="I76" s="75" t="s">
        <v>400</v>
      </c>
      <c r="J76" s="75">
        <v>2019</v>
      </c>
      <c r="K76" s="75" t="s">
        <v>475</v>
      </c>
      <c r="L76" s="75" t="s">
        <v>527</v>
      </c>
    </row>
    <row r="77" spans="1:12" hidden="1" x14ac:dyDescent="0.25">
      <c r="A77" s="78">
        <v>43111</v>
      </c>
      <c r="B77" s="75" t="s">
        <v>528</v>
      </c>
      <c r="C77" s="75" t="s">
        <v>529</v>
      </c>
      <c r="D77" s="75" t="s">
        <v>0</v>
      </c>
      <c r="E77" s="75">
        <v>68427709</v>
      </c>
      <c r="F77" s="89">
        <v>164000</v>
      </c>
      <c r="G77" s="75" t="s">
        <v>309</v>
      </c>
      <c r="H77" s="75" t="s">
        <v>310</v>
      </c>
      <c r="I77" s="75" t="s">
        <v>311</v>
      </c>
      <c r="J77" s="75">
        <v>2019</v>
      </c>
      <c r="K77" s="75" t="s">
        <v>367</v>
      </c>
      <c r="L77" s="75" t="s">
        <v>530</v>
      </c>
    </row>
    <row r="78" spans="1:12" hidden="1" x14ac:dyDescent="0.25">
      <c r="A78" s="78">
        <v>43116</v>
      </c>
      <c r="B78" s="75" t="s">
        <v>531</v>
      </c>
      <c r="C78" s="75" t="s">
        <v>532</v>
      </c>
      <c r="D78" s="75" t="s">
        <v>0</v>
      </c>
      <c r="E78" s="75">
        <v>68427709</v>
      </c>
      <c r="F78" s="89">
        <v>4000</v>
      </c>
      <c r="G78" s="75" t="s">
        <v>309</v>
      </c>
      <c r="H78" s="75" t="s">
        <v>310</v>
      </c>
      <c r="I78" s="75" t="s">
        <v>311</v>
      </c>
      <c r="J78" s="75">
        <v>2019</v>
      </c>
      <c r="K78" s="75" t="s">
        <v>533</v>
      </c>
      <c r="L78" s="75"/>
    </row>
    <row r="79" spans="1:12" hidden="1" x14ac:dyDescent="0.25">
      <c r="A79" s="78">
        <v>43117</v>
      </c>
      <c r="B79" s="75" t="s">
        <v>534</v>
      </c>
      <c r="C79" s="75" t="s">
        <v>422</v>
      </c>
      <c r="D79" s="75" t="s">
        <v>0</v>
      </c>
      <c r="E79" s="75">
        <v>68427709</v>
      </c>
      <c r="F79" s="89">
        <v>10000</v>
      </c>
      <c r="G79" s="75" t="s">
        <v>309</v>
      </c>
      <c r="H79" s="75" t="s">
        <v>310</v>
      </c>
      <c r="I79" s="75" t="s">
        <v>400</v>
      </c>
      <c r="J79" s="21">
        <v>2019</v>
      </c>
      <c r="K79" s="75" t="s">
        <v>312</v>
      </c>
      <c r="L79" s="75" t="s">
        <v>535</v>
      </c>
    </row>
    <row r="80" spans="1:12" hidden="1" x14ac:dyDescent="0.25">
      <c r="A80" s="78">
        <v>43131</v>
      </c>
      <c r="B80" s="75" t="s">
        <v>536</v>
      </c>
      <c r="C80" s="75" t="s">
        <v>537</v>
      </c>
      <c r="D80" s="75" t="s">
        <v>0</v>
      </c>
      <c r="E80" s="75">
        <v>68427709</v>
      </c>
      <c r="F80" s="89">
        <v>143000</v>
      </c>
      <c r="G80" s="75" t="s">
        <v>309</v>
      </c>
      <c r="H80" s="75" t="s">
        <v>310</v>
      </c>
      <c r="I80" s="75" t="s">
        <v>400</v>
      </c>
      <c r="J80" s="75">
        <v>2019</v>
      </c>
      <c r="K80" s="75" t="s">
        <v>538</v>
      </c>
      <c r="L80" s="75" t="s">
        <v>539</v>
      </c>
    </row>
    <row r="81" spans="1:12" hidden="1" x14ac:dyDescent="0.25">
      <c r="A81" s="78">
        <v>43132</v>
      </c>
      <c r="B81" s="75" t="s">
        <v>540</v>
      </c>
      <c r="C81" s="75" t="s">
        <v>541</v>
      </c>
      <c r="D81" s="75" t="s">
        <v>0</v>
      </c>
      <c r="E81" s="75">
        <v>68427709</v>
      </c>
      <c r="F81" s="89">
        <v>6000</v>
      </c>
      <c r="G81" s="75" t="s">
        <v>309</v>
      </c>
      <c r="H81" s="75" t="s">
        <v>310</v>
      </c>
      <c r="I81" s="75" t="s">
        <v>444</v>
      </c>
      <c r="J81" s="75">
        <v>2019</v>
      </c>
      <c r="K81" s="75" t="s">
        <v>359</v>
      </c>
      <c r="L81" s="75" t="s">
        <v>542</v>
      </c>
    </row>
    <row r="82" spans="1:12" hidden="1" x14ac:dyDescent="0.25">
      <c r="A82" s="78">
        <v>43138</v>
      </c>
      <c r="B82" s="75" t="s">
        <v>543</v>
      </c>
      <c r="C82" s="75" t="s">
        <v>544</v>
      </c>
      <c r="D82" s="75" t="s">
        <v>0</v>
      </c>
      <c r="E82" s="75">
        <v>68427709</v>
      </c>
      <c r="F82" s="89">
        <v>6000</v>
      </c>
      <c r="G82" s="75" t="s">
        <v>309</v>
      </c>
      <c r="H82" s="75" t="s">
        <v>310</v>
      </c>
      <c r="I82" s="75" t="s">
        <v>400</v>
      </c>
      <c r="J82" s="75">
        <v>2019</v>
      </c>
      <c r="K82" s="75" t="s">
        <v>359</v>
      </c>
      <c r="L82" s="75" t="s">
        <v>545</v>
      </c>
    </row>
    <row r="83" spans="1:12" hidden="1" x14ac:dyDescent="0.25">
      <c r="A83" s="78">
        <v>43138</v>
      </c>
      <c r="B83" s="75" t="s">
        <v>546</v>
      </c>
      <c r="C83" s="75" t="s">
        <v>547</v>
      </c>
      <c r="D83" s="75" t="s">
        <v>548</v>
      </c>
      <c r="E83" s="75">
        <v>68427709</v>
      </c>
      <c r="F83" s="89">
        <v>10000</v>
      </c>
      <c r="G83" s="75" t="s">
        <v>309</v>
      </c>
      <c r="H83" s="75" t="s">
        <v>310</v>
      </c>
      <c r="I83" s="75" t="s">
        <v>311</v>
      </c>
      <c r="J83" s="75">
        <v>2019</v>
      </c>
      <c r="K83" s="75" t="s">
        <v>382</v>
      </c>
      <c r="L83" s="75" t="s">
        <v>549</v>
      </c>
    </row>
    <row r="84" spans="1:12" hidden="1" x14ac:dyDescent="0.25">
      <c r="A84" s="78">
        <v>43140</v>
      </c>
      <c r="B84" s="75" t="s">
        <v>550</v>
      </c>
      <c r="C84" s="75" t="s">
        <v>551</v>
      </c>
      <c r="D84" s="75" t="s">
        <v>323</v>
      </c>
      <c r="E84" s="75">
        <v>68427709</v>
      </c>
      <c r="F84" s="89">
        <v>173000</v>
      </c>
      <c r="G84" s="75" t="s">
        <v>309</v>
      </c>
      <c r="H84" s="75" t="s">
        <v>310</v>
      </c>
      <c r="I84" s="75" t="s">
        <v>400</v>
      </c>
      <c r="J84" s="75">
        <v>2019</v>
      </c>
      <c r="K84" s="75" t="s">
        <v>375</v>
      </c>
      <c r="L84" s="75" t="s">
        <v>552</v>
      </c>
    </row>
    <row r="85" spans="1:12" hidden="1" x14ac:dyDescent="0.25">
      <c r="A85" s="78">
        <v>43143</v>
      </c>
      <c r="B85" s="75" t="s">
        <v>353</v>
      </c>
      <c r="C85" s="75" t="s">
        <v>403</v>
      </c>
      <c r="D85" s="75" t="s">
        <v>0</v>
      </c>
      <c r="E85" s="75">
        <v>68427709</v>
      </c>
      <c r="F85" s="89">
        <v>40000</v>
      </c>
      <c r="G85" s="75" t="s">
        <v>309</v>
      </c>
      <c r="H85" s="75" t="s">
        <v>310</v>
      </c>
      <c r="I85" s="75" t="s">
        <v>400</v>
      </c>
      <c r="J85" s="75">
        <v>2019</v>
      </c>
      <c r="K85" s="75" t="s">
        <v>553</v>
      </c>
      <c r="L85" s="75" t="s">
        <v>554</v>
      </c>
    </row>
    <row r="86" spans="1:12" hidden="1" x14ac:dyDescent="0.25">
      <c r="A86" s="78">
        <v>43146</v>
      </c>
      <c r="B86" s="75" t="s">
        <v>555</v>
      </c>
      <c r="C86" s="75" t="s">
        <v>556</v>
      </c>
      <c r="D86" s="75" t="s">
        <v>0</v>
      </c>
      <c r="E86" s="75">
        <v>68427709</v>
      </c>
      <c r="F86" s="89">
        <v>130000</v>
      </c>
      <c r="G86" s="75" t="s">
        <v>309</v>
      </c>
      <c r="H86" s="75" t="s">
        <v>310</v>
      </c>
      <c r="I86" s="75" t="s">
        <v>329</v>
      </c>
      <c r="J86" s="75">
        <v>2019</v>
      </c>
      <c r="K86" s="75" t="s">
        <v>557</v>
      </c>
      <c r="L86" s="75" t="s">
        <v>558</v>
      </c>
    </row>
    <row r="87" spans="1:12" hidden="1" x14ac:dyDescent="0.25">
      <c r="A87" s="78">
        <v>43151</v>
      </c>
      <c r="B87" s="75" t="s">
        <v>559</v>
      </c>
      <c r="C87" s="75" t="s">
        <v>556</v>
      </c>
      <c r="D87" s="75" t="s">
        <v>0</v>
      </c>
      <c r="E87" s="75">
        <v>68427709</v>
      </c>
      <c r="F87" s="89">
        <v>220000</v>
      </c>
      <c r="G87" s="75" t="s">
        <v>309</v>
      </c>
      <c r="H87" s="75" t="s">
        <v>310</v>
      </c>
      <c r="I87" s="75" t="s">
        <v>329</v>
      </c>
      <c r="J87" s="75">
        <v>2019</v>
      </c>
      <c r="K87" s="75" t="s">
        <v>507</v>
      </c>
      <c r="L87" s="75" t="s">
        <v>560</v>
      </c>
    </row>
    <row r="88" spans="1:12" hidden="1" x14ac:dyDescent="0.25">
      <c r="A88" s="78">
        <v>43151</v>
      </c>
      <c r="B88" s="75" t="s">
        <v>561</v>
      </c>
      <c r="C88" s="75" t="s">
        <v>562</v>
      </c>
      <c r="D88" s="75" t="s">
        <v>0</v>
      </c>
      <c r="E88" s="75">
        <v>68427709</v>
      </c>
      <c r="F88" s="89">
        <v>-88000</v>
      </c>
      <c r="G88" s="75" t="s">
        <v>309</v>
      </c>
      <c r="H88" s="75" t="s">
        <v>310</v>
      </c>
      <c r="I88" s="75" t="s">
        <v>311</v>
      </c>
      <c r="J88" s="75">
        <v>2019</v>
      </c>
      <c r="K88" s="75" t="s">
        <v>507</v>
      </c>
      <c r="L88" s="75" t="s">
        <v>563</v>
      </c>
    </row>
    <row r="89" spans="1:12" hidden="1" x14ac:dyDescent="0.25">
      <c r="A89" s="78">
        <v>43151</v>
      </c>
      <c r="B89" s="75" t="s">
        <v>564</v>
      </c>
      <c r="C89" s="75" t="s">
        <v>344</v>
      </c>
      <c r="D89" s="75" t="s">
        <v>0</v>
      </c>
      <c r="E89" s="75">
        <v>68427709</v>
      </c>
      <c r="F89" s="89">
        <v>125000</v>
      </c>
      <c r="G89" s="75" t="s">
        <v>498</v>
      </c>
      <c r="H89" s="75" t="s">
        <v>310</v>
      </c>
      <c r="I89" s="75" t="s">
        <v>329</v>
      </c>
      <c r="J89" s="75">
        <v>2019</v>
      </c>
      <c r="K89" s="75" t="s">
        <v>507</v>
      </c>
      <c r="L89" s="75" t="s">
        <v>565</v>
      </c>
    </row>
    <row r="90" spans="1:12" hidden="1" x14ac:dyDescent="0.25">
      <c r="A90" s="78">
        <v>43151</v>
      </c>
      <c r="B90" s="75" t="s">
        <v>566</v>
      </c>
      <c r="C90" s="75" t="s">
        <v>567</v>
      </c>
      <c r="D90" s="75" t="s">
        <v>0</v>
      </c>
      <c r="E90" s="75">
        <v>68427709</v>
      </c>
      <c r="F90" s="89">
        <v>20000</v>
      </c>
      <c r="G90" s="75" t="s">
        <v>498</v>
      </c>
      <c r="H90" s="75" t="s">
        <v>310</v>
      </c>
      <c r="I90" s="75" t="s">
        <v>444</v>
      </c>
      <c r="J90" s="75">
        <v>2019</v>
      </c>
      <c r="K90" s="75" t="s">
        <v>568</v>
      </c>
      <c r="L90" s="75" t="s">
        <v>569</v>
      </c>
    </row>
    <row r="91" spans="1:12" hidden="1" x14ac:dyDescent="0.25">
      <c r="A91" s="78">
        <v>43152</v>
      </c>
      <c r="B91" s="75" t="s">
        <v>570</v>
      </c>
      <c r="C91" s="75" t="s">
        <v>571</v>
      </c>
      <c r="D91" s="75" t="s">
        <v>42</v>
      </c>
      <c r="E91" s="75">
        <v>68427709</v>
      </c>
      <c r="F91" s="89">
        <v>10000</v>
      </c>
      <c r="G91" s="75" t="s">
        <v>309</v>
      </c>
      <c r="H91" s="75" t="s">
        <v>310</v>
      </c>
      <c r="I91" s="75" t="s">
        <v>397</v>
      </c>
      <c r="J91" s="75">
        <v>2019</v>
      </c>
      <c r="K91" s="75" t="s">
        <v>572</v>
      </c>
      <c r="L91" s="75"/>
    </row>
    <row r="92" spans="1:12" hidden="1" x14ac:dyDescent="0.25">
      <c r="A92" s="78">
        <v>43157</v>
      </c>
      <c r="B92" s="75" t="s">
        <v>573</v>
      </c>
      <c r="C92" s="75" t="s">
        <v>574</v>
      </c>
      <c r="D92" s="75" t="s">
        <v>0</v>
      </c>
      <c r="E92" s="75">
        <v>68427709</v>
      </c>
      <c r="F92" s="89">
        <v>10000</v>
      </c>
      <c r="G92" s="75" t="s">
        <v>309</v>
      </c>
      <c r="H92" s="75" t="s">
        <v>310</v>
      </c>
      <c r="I92" s="75" t="s">
        <v>397</v>
      </c>
      <c r="J92" s="75">
        <v>2019</v>
      </c>
      <c r="K92" s="75" t="s">
        <v>575</v>
      </c>
      <c r="L92" s="75"/>
    </row>
    <row r="93" spans="1:12" hidden="1" x14ac:dyDescent="0.25">
      <c r="A93" s="78">
        <v>43159</v>
      </c>
      <c r="B93" s="75" t="s">
        <v>576</v>
      </c>
      <c r="C93" s="75" t="s">
        <v>577</v>
      </c>
      <c r="D93" s="75" t="s">
        <v>323</v>
      </c>
      <c r="E93" s="75">
        <v>68427709</v>
      </c>
      <c r="F93" s="89">
        <v>5000</v>
      </c>
      <c r="G93" s="75" t="s">
        <v>309</v>
      </c>
      <c r="H93" s="75" t="s">
        <v>310</v>
      </c>
      <c r="I93" s="75" t="s">
        <v>311</v>
      </c>
      <c r="J93" s="75">
        <v>2019</v>
      </c>
      <c r="K93" s="75" t="s">
        <v>575</v>
      </c>
      <c r="L93" s="75" t="s">
        <v>578</v>
      </c>
    </row>
    <row r="94" spans="1:12" hidden="1" x14ac:dyDescent="0.25">
      <c r="A94" s="78">
        <v>43159</v>
      </c>
      <c r="B94" s="75" t="s">
        <v>579</v>
      </c>
      <c r="C94" s="75" t="s">
        <v>580</v>
      </c>
      <c r="D94" s="75" t="s">
        <v>0</v>
      </c>
      <c r="E94" s="75">
        <v>68427709</v>
      </c>
      <c r="F94" s="89">
        <v>10000</v>
      </c>
      <c r="G94" s="75" t="s">
        <v>309</v>
      </c>
      <c r="H94" s="75" t="s">
        <v>310</v>
      </c>
      <c r="I94" s="75" t="s">
        <v>311</v>
      </c>
      <c r="J94" s="75">
        <v>2019</v>
      </c>
      <c r="K94" s="75" t="s">
        <v>448</v>
      </c>
      <c r="L94" s="75" t="s">
        <v>581</v>
      </c>
    </row>
    <row r="95" spans="1:12" hidden="1" x14ac:dyDescent="0.25">
      <c r="A95" s="78">
        <v>43173</v>
      </c>
      <c r="B95" s="75" t="s">
        <v>582</v>
      </c>
      <c r="C95" s="75" t="s">
        <v>580</v>
      </c>
      <c r="D95" s="75" t="s">
        <v>0</v>
      </c>
      <c r="E95" s="75">
        <v>68427709</v>
      </c>
      <c r="F95" s="89">
        <v>2000</v>
      </c>
      <c r="G95" s="75" t="s">
        <v>309</v>
      </c>
      <c r="H95" s="75" t="s">
        <v>310</v>
      </c>
      <c r="I95" s="75" t="s">
        <v>397</v>
      </c>
      <c r="J95" s="75">
        <v>2019</v>
      </c>
      <c r="K95" s="75" t="s">
        <v>312</v>
      </c>
      <c r="L95" s="75" t="s">
        <v>583</v>
      </c>
    </row>
    <row r="96" spans="1:12" hidden="1" x14ac:dyDescent="0.25">
      <c r="A96" s="78">
        <v>43173</v>
      </c>
      <c r="B96" s="75" t="s">
        <v>584</v>
      </c>
      <c r="C96" s="75" t="s">
        <v>580</v>
      </c>
      <c r="D96" s="75" t="s">
        <v>0</v>
      </c>
      <c r="E96" s="75">
        <v>68427709</v>
      </c>
      <c r="F96" s="89">
        <v>18000</v>
      </c>
      <c r="G96" s="75" t="s">
        <v>309</v>
      </c>
      <c r="H96" s="75" t="s">
        <v>310</v>
      </c>
      <c r="I96" s="75" t="s">
        <v>397</v>
      </c>
      <c r="J96" s="75">
        <v>2019</v>
      </c>
      <c r="K96" s="75" t="s">
        <v>459</v>
      </c>
      <c r="L96" s="75" t="s">
        <v>585</v>
      </c>
    </row>
    <row r="97" spans="1:12" hidden="1" x14ac:dyDescent="0.25">
      <c r="A97" s="78">
        <v>43185</v>
      </c>
      <c r="B97" s="75" t="s">
        <v>586</v>
      </c>
      <c r="C97" s="75" t="s">
        <v>580</v>
      </c>
      <c r="D97" s="75" t="s">
        <v>0</v>
      </c>
      <c r="E97" s="75">
        <v>68427709</v>
      </c>
      <c r="F97" s="89">
        <v>333000</v>
      </c>
      <c r="G97" s="75" t="s">
        <v>309</v>
      </c>
      <c r="H97" s="75" t="s">
        <v>310</v>
      </c>
      <c r="I97" s="75" t="s">
        <v>397</v>
      </c>
      <c r="J97" s="75">
        <v>2019</v>
      </c>
      <c r="K97" s="75" t="s">
        <v>507</v>
      </c>
      <c r="L97" s="75" t="s">
        <v>587</v>
      </c>
    </row>
    <row r="98" spans="1:12" hidden="1" x14ac:dyDescent="0.25">
      <c r="A98" s="78">
        <v>43185</v>
      </c>
      <c r="B98" s="75" t="s">
        <v>588</v>
      </c>
      <c r="C98" s="75" t="s">
        <v>580</v>
      </c>
      <c r="D98" s="75" t="s">
        <v>0</v>
      </c>
      <c r="E98" s="75">
        <v>68427709</v>
      </c>
      <c r="F98" s="89">
        <v>57000</v>
      </c>
      <c r="G98" s="75" t="s">
        <v>309</v>
      </c>
      <c r="H98" s="75" t="s">
        <v>310</v>
      </c>
      <c r="I98" s="75" t="s">
        <v>329</v>
      </c>
      <c r="J98" s="75">
        <v>2019</v>
      </c>
      <c r="K98" s="75" t="s">
        <v>312</v>
      </c>
      <c r="L98" s="75" t="s">
        <v>589</v>
      </c>
    </row>
    <row r="99" spans="1:12" hidden="1" x14ac:dyDescent="0.25">
      <c r="A99" s="78">
        <v>43186</v>
      </c>
      <c r="B99" s="75" t="s">
        <v>590</v>
      </c>
      <c r="C99" s="75" t="s">
        <v>580</v>
      </c>
      <c r="D99" s="75" t="s">
        <v>0</v>
      </c>
      <c r="E99" s="75">
        <v>68427709</v>
      </c>
      <c r="F99" s="89">
        <v>500</v>
      </c>
      <c r="G99" s="75" t="s">
        <v>309</v>
      </c>
      <c r="H99" s="75" t="s">
        <v>310</v>
      </c>
      <c r="I99" s="75" t="s">
        <v>397</v>
      </c>
      <c r="J99" s="75">
        <v>2019</v>
      </c>
      <c r="K99" s="75" t="s">
        <v>591</v>
      </c>
      <c r="L99" s="75" t="s">
        <v>592</v>
      </c>
    </row>
    <row r="100" spans="1:12" hidden="1" x14ac:dyDescent="0.25">
      <c r="A100" s="78">
        <v>43200</v>
      </c>
      <c r="B100" s="75" t="s">
        <v>593</v>
      </c>
      <c r="C100" s="75" t="s">
        <v>594</v>
      </c>
      <c r="D100" s="75" t="s">
        <v>0</v>
      </c>
      <c r="E100" s="75">
        <v>68427709</v>
      </c>
      <c r="F100" s="89">
        <v>5000</v>
      </c>
      <c r="G100" s="75" t="s">
        <v>309</v>
      </c>
      <c r="H100" s="75" t="s">
        <v>310</v>
      </c>
      <c r="I100" s="75" t="s">
        <v>329</v>
      </c>
      <c r="J100" s="75">
        <v>2019</v>
      </c>
      <c r="K100" s="75" t="s">
        <v>312</v>
      </c>
      <c r="L100" s="75" t="s">
        <v>595</v>
      </c>
    </row>
    <row r="101" spans="1:12" hidden="1" x14ac:dyDescent="0.25">
      <c r="A101" s="78">
        <v>43200</v>
      </c>
      <c r="B101" s="75" t="s">
        <v>596</v>
      </c>
      <c r="C101" s="75" t="s">
        <v>532</v>
      </c>
      <c r="D101" s="75" t="s">
        <v>0</v>
      </c>
      <c r="E101" s="75">
        <v>68427709</v>
      </c>
      <c r="F101" s="89">
        <v>28000</v>
      </c>
      <c r="G101" s="75" t="s">
        <v>309</v>
      </c>
      <c r="H101" s="75" t="s">
        <v>310</v>
      </c>
      <c r="I101" s="75" t="s">
        <v>311</v>
      </c>
      <c r="J101" s="75">
        <v>2019</v>
      </c>
      <c r="K101" s="75" t="s">
        <v>312</v>
      </c>
      <c r="L101" s="75" t="s">
        <v>597</v>
      </c>
    </row>
    <row r="102" spans="1:12" hidden="1" x14ac:dyDescent="0.25">
      <c r="A102" s="78">
        <v>43201</v>
      </c>
      <c r="B102" s="75" t="s">
        <v>598</v>
      </c>
      <c r="C102" s="75" t="s">
        <v>599</v>
      </c>
      <c r="D102" s="75" t="s">
        <v>323</v>
      </c>
      <c r="E102" s="75">
        <v>68427709</v>
      </c>
      <c r="F102" s="89">
        <v>-170000</v>
      </c>
      <c r="G102" s="75" t="s">
        <v>498</v>
      </c>
      <c r="H102" s="75" t="s">
        <v>310</v>
      </c>
      <c r="I102" s="75" t="s">
        <v>400</v>
      </c>
      <c r="J102" s="75">
        <v>2019</v>
      </c>
      <c r="K102" s="75" t="s">
        <v>312</v>
      </c>
      <c r="L102" s="75" t="s">
        <v>600</v>
      </c>
    </row>
    <row r="103" spans="1:12" hidden="1" x14ac:dyDescent="0.25">
      <c r="A103" s="78">
        <v>43214</v>
      </c>
      <c r="B103" s="75" t="s">
        <v>601</v>
      </c>
      <c r="C103" s="75" t="s">
        <v>602</v>
      </c>
      <c r="D103" s="75" t="s">
        <v>0</v>
      </c>
      <c r="E103" s="75">
        <v>68427709</v>
      </c>
      <c r="F103" s="89">
        <v>-170000</v>
      </c>
      <c r="G103" s="75" t="s">
        <v>309</v>
      </c>
      <c r="H103" s="75" t="s">
        <v>310</v>
      </c>
      <c r="I103" s="75" t="s">
        <v>400</v>
      </c>
      <c r="J103" s="75">
        <v>2019</v>
      </c>
      <c r="K103" s="75" t="s">
        <v>603</v>
      </c>
      <c r="L103" s="75" t="s">
        <v>604</v>
      </c>
    </row>
    <row r="104" spans="1:12" hidden="1" x14ac:dyDescent="0.25">
      <c r="A104" s="78">
        <v>43214</v>
      </c>
      <c r="B104" s="75" t="s">
        <v>605</v>
      </c>
      <c r="C104" s="75" t="s">
        <v>606</v>
      </c>
      <c r="D104" s="75" t="s">
        <v>0</v>
      </c>
      <c r="E104" s="75">
        <v>68427709</v>
      </c>
      <c r="F104" s="89">
        <v>120000</v>
      </c>
      <c r="G104" s="75" t="s">
        <v>309</v>
      </c>
      <c r="H104" s="75" t="s">
        <v>310</v>
      </c>
      <c r="I104" s="75" t="s">
        <v>397</v>
      </c>
      <c r="J104" s="75">
        <v>2019</v>
      </c>
      <c r="K104" s="75" t="s">
        <v>607</v>
      </c>
      <c r="L104" s="75" t="s">
        <v>608</v>
      </c>
    </row>
    <row r="105" spans="1:12" hidden="1" x14ac:dyDescent="0.25">
      <c r="A105" s="78">
        <v>43223</v>
      </c>
      <c r="B105" s="75" t="s">
        <v>609</v>
      </c>
      <c r="C105" s="75" t="s">
        <v>610</v>
      </c>
      <c r="D105" s="75" t="s">
        <v>0</v>
      </c>
      <c r="E105" s="75">
        <v>68427709</v>
      </c>
      <c r="F105" s="89">
        <v>-16000</v>
      </c>
      <c r="G105" s="75" t="s">
        <v>309</v>
      </c>
      <c r="H105" s="75" t="s">
        <v>310</v>
      </c>
      <c r="I105" s="75" t="s">
        <v>400</v>
      </c>
      <c r="J105" s="75">
        <v>2019</v>
      </c>
      <c r="K105" s="75" t="s">
        <v>611</v>
      </c>
      <c r="L105" s="75" t="s">
        <v>612</v>
      </c>
    </row>
    <row r="106" spans="1:12" hidden="1" x14ac:dyDescent="0.25">
      <c r="A106" s="78">
        <v>43224</v>
      </c>
      <c r="B106" s="75" t="s">
        <v>613</v>
      </c>
      <c r="C106" s="75" t="s">
        <v>614</v>
      </c>
      <c r="D106" s="75" t="s">
        <v>0</v>
      </c>
      <c r="E106" s="75">
        <v>68427709</v>
      </c>
      <c r="F106" s="89">
        <v>-8000</v>
      </c>
      <c r="G106" s="75" t="s">
        <v>309</v>
      </c>
      <c r="H106" s="75" t="s">
        <v>310</v>
      </c>
      <c r="I106" s="75" t="s">
        <v>400</v>
      </c>
      <c r="J106" s="75">
        <v>2019</v>
      </c>
      <c r="K106" s="75" t="s">
        <v>312</v>
      </c>
      <c r="L106" s="75" t="s">
        <v>615</v>
      </c>
    </row>
    <row r="107" spans="1:12" hidden="1" x14ac:dyDescent="0.25">
      <c r="A107" s="78">
        <v>43224</v>
      </c>
      <c r="B107" s="75" t="s">
        <v>616</v>
      </c>
      <c r="C107" s="75" t="s">
        <v>617</v>
      </c>
      <c r="D107" s="75" t="s">
        <v>0</v>
      </c>
      <c r="E107" s="75">
        <v>68427709</v>
      </c>
      <c r="F107" s="89">
        <v>150000</v>
      </c>
      <c r="G107" s="75" t="s">
        <v>498</v>
      </c>
      <c r="H107" s="75" t="s">
        <v>310</v>
      </c>
      <c r="I107" s="75" t="s">
        <v>444</v>
      </c>
      <c r="J107" s="75">
        <v>2019</v>
      </c>
      <c r="K107" s="75" t="s">
        <v>507</v>
      </c>
      <c r="L107" s="75" t="s">
        <v>618</v>
      </c>
    </row>
    <row r="108" spans="1:12" hidden="1" x14ac:dyDescent="0.25">
      <c r="A108" s="78">
        <v>43227</v>
      </c>
      <c r="B108" s="75" t="s">
        <v>619</v>
      </c>
      <c r="C108" s="75" t="s">
        <v>620</v>
      </c>
      <c r="D108" s="75" t="s">
        <v>0</v>
      </c>
      <c r="E108" s="75">
        <v>68427709</v>
      </c>
      <c r="F108" s="89">
        <v>-130000</v>
      </c>
      <c r="G108" s="75" t="s">
        <v>309</v>
      </c>
      <c r="H108" s="75" t="s">
        <v>310</v>
      </c>
      <c r="I108" s="75" t="s">
        <v>397</v>
      </c>
      <c r="J108" s="75">
        <v>2019</v>
      </c>
      <c r="K108" s="75" t="s">
        <v>459</v>
      </c>
      <c r="L108" s="75" t="s">
        <v>621</v>
      </c>
    </row>
    <row r="109" spans="1:12" hidden="1" x14ac:dyDescent="0.25">
      <c r="A109" s="78">
        <v>43227</v>
      </c>
      <c r="B109" s="75" t="s">
        <v>622</v>
      </c>
      <c r="C109" s="75" t="s">
        <v>623</v>
      </c>
      <c r="D109" s="75" t="s">
        <v>548</v>
      </c>
      <c r="E109" s="75">
        <v>68427709</v>
      </c>
      <c r="F109" s="89">
        <v>60000</v>
      </c>
      <c r="G109" s="75" t="s">
        <v>309</v>
      </c>
      <c r="H109" s="75" t="s">
        <v>310</v>
      </c>
      <c r="I109" s="75" t="s">
        <v>329</v>
      </c>
      <c r="J109" s="75">
        <v>2019</v>
      </c>
      <c r="K109" s="75" t="s">
        <v>312</v>
      </c>
      <c r="L109" s="75" t="s">
        <v>624</v>
      </c>
    </row>
    <row r="110" spans="1:12" hidden="1" x14ac:dyDescent="0.25">
      <c r="A110" s="78">
        <v>43238</v>
      </c>
      <c r="B110" s="75" t="s">
        <v>625</v>
      </c>
      <c r="C110" s="75" t="s">
        <v>626</v>
      </c>
      <c r="D110" s="75" t="s">
        <v>0</v>
      </c>
      <c r="E110" s="75">
        <v>68427709</v>
      </c>
      <c r="F110" s="89">
        <v>10000</v>
      </c>
      <c r="G110" s="75" t="s">
        <v>309</v>
      </c>
      <c r="H110" s="75" t="s">
        <v>310</v>
      </c>
      <c r="I110" s="75" t="s">
        <v>400</v>
      </c>
      <c r="J110" s="75">
        <v>2019</v>
      </c>
      <c r="K110" s="75" t="s">
        <v>367</v>
      </c>
      <c r="L110" s="75" t="s">
        <v>627</v>
      </c>
    </row>
    <row r="111" spans="1:12" hidden="1" x14ac:dyDescent="0.25">
      <c r="A111" s="78">
        <v>43241</v>
      </c>
      <c r="B111" s="75" t="s">
        <v>488</v>
      </c>
      <c r="C111" s="75" t="s">
        <v>628</v>
      </c>
      <c r="D111" s="75" t="s">
        <v>0</v>
      </c>
      <c r="E111" s="75">
        <v>68427709</v>
      </c>
      <c r="F111" s="89">
        <v>45000</v>
      </c>
      <c r="G111" s="75" t="s">
        <v>498</v>
      </c>
      <c r="H111" s="75" t="s">
        <v>310</v>
      </c>
      <c r="I111" s="75" t="s">
        <v>329</v>
      </c>
      <c r="J111" s="75">
        <v>2019</v>
      </c>
      <c r="K111" s="75" t="s">
        <v>629</v>
      </c>
      <c r="L111" s="75" t="s">
        <v>630</v>
      </c>
    </row>
    <row r="112" spans="1:12" hidden="1" x14ac:dyDescent="0.25">
      <c r="A112" s="78">
        <v>43241</v>
      </c>
      <c r="B112" s="75" t="s">
        <v>488</v>
      </c>
      <c r="C112" s="75" t="s">
        <v>631</v>
      </c>
      <c r="D112" s="75" t="s">
        <v>0</v>
      </c>
      <c r="E112" s="75">
        <v>68427709</v>
      </c>
      <c r="F112" s="89">
        <v>40000</v>
      </c>
      <c r="G112" s="75" t="s">
        <v>309</v>
      </c>
      <c r="H112" s="75" t="s">
        <v>310</v>
      </c>
      <c r="I112" s="75" t="s">
        <v>400</v>
      </c>
      <c r="J112" s="75">
        <v>2019</v>
      </c>
      <c r="K112" s="75" t="s">
        <v>629</v>
      </c>
      <c r="L112" s="75" t="s">
        <v>632</v>
      </c>
    </row>
    <row r="113" spans="1:12" hidden="1" x14ac:dyDescent="0.25">
      <c r="A113" s="78">
        <v>43264</v>
      </c>
      <c r="B113" s="75" t="s">
        <v>633</v>
      </c>
      <c r="C113" s="75" t="s">
        <v>634</v>
      </c>
      <c r="D113" s="75" t="s">
        <v>323</v>
      </c>
      <c r="E113" s="75">
        <v>68427709</v>
      </c>
      <c r="F113" s="89">
        <v>62000</v>
      </c>
      <c r="G113" s="75" t="s">
        <v>309</v>
      </c>
      <c r="H113" s="75" t="s">
        <v>310</v>
      </c>
      <c r="I113" s="75" t="s">
        <v>311</v>
      </c>
      <c r="J113" s="75">
        <v>2019</v>
      </c>
      <c r="K113" s="75" t="s">
        <v>375</v>
      </c>
      <c r="L113" s="75" t="s">
        <v>635</v>
      </c>
    </row>
    <row r="114" spans="1:12" hidden="1" x14ac:dyDescent="0.25">
      <c r="A114" s="78">
        <v>43264</v>
      </c>
      <c r="B114" s="75" t="s">
        <v>636</v>
      </c>
      <c r="C114" s="75" t="s">
        <v>637</v>
      </c>
      <c r="D114" s="75" t="s">
        <v>0</v>
      </c>
      <c r="E114" s="75">
        <v>68427709</v>
      </c>
      <c r="F114" s="89">
        <v>29000</v>
      </c>
      <c r="G114" s="75" t="s">
        <v>309</v>
      </c>
      <c r="H114" s="75" t="s">
        <v>310</v>
      </c>
      <c r="I114" s="75" t="s">
        <v>311</v>
      </c>
      <c r="J114" s="75">
        <v>2019</v>
      </c>
      <c r="K114" s="75" t="s">
        <v>486</v>
      </c>
      <c r="L114" s="75" t="s">
        <v>638</v>
      </c>
    </row>
    <row r="115" spans="1:12" hidden="1" x14ac:dyDescent="0.25">
      <c r="A115" s="74">
        <v>43266</v>
      </c>
      <c r="B115" s="75" t="s">
        <v>376</v>
      </c>
      <c r="C115" s="75" t="s">
        <v>639</v>
      </c>
      <c r="D115" s="75" t="s">
        <v>323</v>
      </c>
      <c r="E115" s="75">
        <v>68427709</v>
      </c>
      <c r="F115" s="89">
        <v>1395500</v>
      </c>
      <c r="G115" s="72" t="s">
        <v>309</v>
      </c>
      <c r="H115" s="75" t="s">
        <v>310</v>
      </c>
      <c r="I115" s="75" t="s">
        <v>324</v>
      </c>
      <c r="J115" s="72">
        <v>2019</v>
      </c>
      <c r="K115" s="75" t="s">
        <v>507</v>
      </c>
      <c r="L115" s="76" t="s">
        <v>640</v>
      </c>
    </row>
    <row r="116" spans="1:12" hidden="1" x14ac:dyDescent="0.25">
      <c r="A116" s="74">
        <v>43266</v>
      </c>
      <c r="B116" s="75" t="s">
        <v>379</v>
      </c>
      <c r="C116" s="75" t="s">
        <v>639</v>
      </c>
      <c r="D116" s="75" t="s">
        <v>323</v>
      </c>
      <c r="E116" s="75">
        <v>68427709</v>
      </c>
      <c r="F116" s="89">
        <v>942000</v>
      </c>
      <c r="G116" s="72" t="s">
        <v>309</v>
      </c>
      <c r="H116" s="75" t="s">
        <v>310</v>
      </c>
      <c r="I116" s="75" t="s">
        <v>324</v>
      </c>
      <c r="J116" s="72">
        <v>2019</v>
      </c>
      <c r="K116" s="75" t="s">
        <v>641</v>
      </c>
      <c r="L116" s="76" t="s">
        <v>642</v>
      </c>
    </row>
    <row r="117" spans="1:12" hidden="1" x14ac:dyDescent="0.25">
      <c r="A117" s="74">
        <v>43266</v>
      </c>
      <c r="B117" s="75" t="s">
        <v>380</v>
      </c>
      <c r="C117" s="75" t="s">
        <v>639</v>
      </c>
      <c r="D117" s="75" t="s">
        <v>323</v>
      </c>
      <c r="E117" s="75">
        <v>68427709</v>
      </c>
      <c r="F117" s="89">
        <v>312500</v>
      </c>
      <c r="G117" s="72" t="s">
        <v>309</v>
      </c>
      <c r="H117" s="75" t="s">
        <v>310</v>
      </c>
      <c r="I117" s="75" t="s">
        <v>324</v>
      </c>
      <c r="J117" s="72">
        <v>2019</v>
      </c>
      <c r="K117" s="75" t="s">
        <v>507</v>
      </c>
      <c r="L117" s="76" t="s">
        <v>643</v>
      </c>
    </row>
    <row r="118" spans="1:12" hidden="1" x14ac:dyDescent="0.25">
      <c r="A118" s="85">
        <v>43266</v>
      </c>
      <c r="B118" s="75" t="s">
        <v>644</v>
      </c>
      <c r="C118" s="75" t="s">
        <v>645</v>
      </c>
      <c r="D118" s="75" t="s">
        <v>323</v>
      </c>
      <c r="E118" s="75">
        <v>68427709</v>
      </c>
      <c r="F118" s="89">
        <v>916666.66666666674</v>
      </c>
      <c r="G118" s="72" t="s">
        <v>498</v>
      </c>
      <c r="H118" s="75" t="s">
        <v>310</v>
      </c>
      <c r="I118" s="75" t="s">
        <v>329</v>
      </c>
      <c r="J118" s="72">
        <v>2019</v>
      </c>
      <c r="K118" s="75" t="s">
        <v>371</v>
      </c>
      <c r="L118" s="86" t="s">
        <v>646</v>
      </c>
    </row>
    <row r="119" spans="1:12" hidden="1" x14ac:dyDescent="0.25">
      <c r="A119" s="78">
        <v>43266</v>
      </c>
      <c r="B119" s="75" t="s">
        <v>647</v>
      </c>
      <c r="C119" s="75" t="s">
        <v>648</v>
      </c>
      <c r="D119" s="75" t="s">
        <v>323</v>
      </c>
      <c r="E119" s="75">
        <v>68427709</v>
      </c>
      <c r="F119" s="89">
        <v>1800000</v>
      </c>
      <c r="G119" s="75" t="s">
        <v>309</v>
      </c>
      <c r="H119" s="75" t="s">
        <v>310</v>
      </c>
      <c r="I119" s="75" t="s">
        <v>329</v>
      </c>
      <c r="J119" s="75">
        <v>2019</v>
      </c>
      <c r="K119" s="75" t="s">
        <v>649</v>
      </c>
      <c r="L119" s="75" t="s">
        <v>650</v>
      </c>
    </row>
    <row r="120" spans="1:12" hidden="1" x14ac:dyDescent="0.25">
      <c r="A120" s="78">
        <v>43266</v>
      </c>
      <c r="B120" s="75" t="s">
        <v>651</v>
      </c>
      <c r="C120" s="75" t="s">
        <v>648</v>
      </c>
      <c r="D120" s="75" t="s">
        <v>323</v>
      </c>
      <c r="E120" s="75">
        <v>68427709</v>
      </c>
      <c r="F120" s="89">
        <v>200000</v>
      </c>
      <c r="G120" s="75" t="s">
        <v>309</v>
      </c>
      <c r="H120" s="75" t="s">
        <v>310</v>
      </c>
      <c r="I120" s="75" t="s">
        <v>329</v>
      </c>
      <c r="J120" s="75">
        <v>2019</v>
      </c>
      <c r="K120" s="75" t="s">
        <v>649</v>
      </c>
      <c r="L120" s="75" t="s">
        <v>652</v>
      </c>
    </row>
    <row r="121" spans="1:12" hidden="1" x14ac:dyDescent="0.25">
      <c r="A121" s="78">
        <v>43266</v>
      </c>
      <c r="B121" s="75" t="s">
        <v>653</v>
      </c>
      <c r="C121" s="75" t="s">
        <v>654</v>
      </c>
      <c r="D121" s="75" t="s">
        <v>548</v>
      </c>
      <c r="E121" s="75">
        <v>68427709</v>
      </c>
      <c r="F121" s="89">
        <v>70000</v>
      </c>
      <c r="G121" s="75" t="s">
        <v>309</v>
      </c>
      <c r="H121" s="75" t="s">
        <v>310</v>
      </c>
      <c r="I121" s="75" t="s">
        <v>329</v>
      </c>
      <c r="J121" s="75">
        <v>2019</v>
      </c>
      <c r="K121" s="75" t="s">
        <v>507</v>
      </c>
      <c r="L121" s="75"/>
    </row>
    <row r="122" spans="1:12" hidden="1" x14ac:dyDescent="0.25">
      <c r="A122" s="78">
        <v>43266</v>
      </c>
      <c r="B122" s="75" t="s">
        <v>655</v>
      </c>
      <c r="C122" s="75" t="s">
        <v>656</v>
      </c>
      <c r="D122" s="75" t="s">
        <v>657</v>
      </c>
      <c r="E122" s="75">
        <v>68427709</v>
      </c>
      <c r="F122" s="89">
        <v>185000</v>
      </c>
      <c r="G122" s="75" t="s">
        <v>498</v>
      </c>
      <c r="H122" s="75" t="s">
        <v>310</v>
      </c>
      <c r="I122" s="75" t="s">
        <v>329</v>
      </c>
      <c r="J122" s="75">
        <v>2019</v>
      </c>
      <c r="K122" s="75" t="s">
        <v>486</v>
      </c>
      <c r="L122" s="75" t="s">
        <v>658</v>
      </c>
    </row>
    <row r="123" spans="1:12" hidden="1" x14ac:dyDescent="0.25">
      <c r="A123" s="78">
        <v>43270</v>
      </c>
      <c r="B123" s="75" t="s">
        <v>659</v>
      </c>
      <c r="C123" s="75" t="s">
        <v>444</v>
      </c>
      <c r="D123" s="75" t="s">
        <v>0</v>
      </c>
      <c r="E123" s="75">
        <v>68427709</v>
      </c>
      <c r="F123" s="89">
        <v>50000</v>
      </c>
      <c r="G123" s="75" t="s">
        <v>309</v>
      </c>
      <c r="H123" s="75" t="s">
        <v>310</v>
      </c>
      <c r="I123" s="75" t="s">
        <v>444</v>
      </c>
      <c r="J123" s="75">
        <v>2019</v>
      </c>
      <c r="K123" s="75" t="s">
        <v>557</v>
      </c>
      <c r="L123" s="75" t="s">
        <v>660</v>
      </c>
    </row>
    <row r="124" spans="1:12" hidden="1" x14ac:dyDescent="0.25">
      <c r="A124" s="78">
        <v>43270</v>
      </c>
      <c r="B124" s="75" t="s">
        <v>659</v>
      </c>
      <c r="C124" s="75" t="s">
        <v>661</v>
      </c>
      <c r="D124" s="75" t="s">
        <v>0</v>
      </c>
      <c r="E124" s="75">
        <v>68427709</v>
      </c>
      <c r="F124" s="89">
        <v>150000</v>
      </c>
      <c r="G124" s="75" t="s">
        <v>309</v>
      </c>
      <c r="H124" s="75" t="s">
        <v>310</v>
      </c>
      <c r="I124" s="75" t="s">
        <v>329</v>
      </c>
      <c r="J124" s="75">
        <v>2019</v>
      </c>
      <c r="K124" s="75" t="s">
        <v>557</v>
      </c>
      <c r="L124" s="75" t="s">
        <v>662</v>
      </c>
    </row>
    <row r="125" spans="1:12" hidden="1" x14ac:dyDescent="0.25">
      <c r="A125" s="78">
        <v>43272</v>
      </c>
      <c r="B125" s="75" t="s">
        <v>548</v>
      </c>
      <c r="C125" s="75" t="s">
        <v>663</v>
      </c>
      <c r="D125" s="75" t="s">
        <v>548</v>
      </c>
      <c r="E125" s="75">
        <v>68427709</v>
      </c>
      <c r="F125" s="89">
        <v>22000</v>
      </c>
      <c r="G125" s="75" t="s">
        <v>309</v>
      </c>
      <c r="H125" s="75" t="s">
        <v>310</v>
      </c>
      <c r="I125" s="75" t="s">
        <v>329</v>
      </c>
      <c r="J125" s="75">
        <v>2019</v>
      </c>
      <c r="K125" s="75" t="s">
        <v>312</v>
      </c>
      <c r="L125" s="75" t="s">
        <v>664</v>
      </c>
    </row>
    <row r="126" spans="1:12" hidden="1" x14ac:dyDescent="0.25">
      <c r="A126" s="78">
        <v>43278</v>
      </c>
      <c r="B126" s="75" t="s">
        <v>432</v>
      </c>
      <c r="C126" s="75" t="s">
        <v>665</v>
      </c>
      <c r="D126" s="75" t="s">
        <v>0</v>
      </c>
      <c r="E126" s="75">
        <v>68427709</v>
      </c>
      <c r="F126" s="89">
        <v>125000</v>
      </c>
      <c r="G126" s="75" t="s">
        <v>309</v>
      </c>
      <c r="H126" s="75" t="s">
        <v>310</v>
      </c>
      <c r="I126" s="75" t="s">
        <v>400</v>
      </c>
      <c r="J126" s="75">
        <v>2019</v>
      </c>
      <c r="K126" s="75" t="s">
        <v>434</v>
      </c>
      <c r="L126" s="75" t="s">
        <v>666</v>
      </c>
    </row>
    <row r="127" spans="1:12" hidden="1" x14ac:dyDescent="0.25">
      <c r="A127" s="78">
        <v>43279</v>
      </c>
      <c r="B127" s="75" t="s">
        <v>667</v>
      </c>
      <c r="C127" s="75" t="s">
        <v>668</v>
      </c>
      <c r="D127" s="75" t="s">
        <v>323</v>
      </c>
      <c r="E127" s="75">
        <v>68427709</v>
      </c>
      <c r="F127" s="89">
        <v>116000</v>
      </c>
      <c r="G127" s="75" t="s">
        <v>309</v>
      </c>
      <c r="H127" s="75" t="s">
        <v>310</v>
      </c>
      <c r="I127" s="75" t="s">
        <v>400</v>
      </c>
      <c r="J127" s="75">
        <v>2019</v>
      </c>
      <c r="K127" s="75" t="s">
        <v>312</v>
      </c>
      <c r="L127" s="75" t="s">
        <v>669</v>
      </c>
    </row>
    <row r="128" spans="1:12" hidden="1" x14ac:dyDescent="0.25">
      <c r="A128" s="78">
        <v>43280</v>
      </c>
      <c r="B128" s="75" t="s">
        <v>670</v>
      </c>
      <c r="C128" s="75" t="s">
        <v>671</v>
      </c>
      <c r="D128" s="75" t="s">
        <v>0</v>
      </c>
      <c r="E128" s="75">
        <v>68427709</v>
      </c>
      <c r="F128" s="89">
        <v>60000</v>
      </c>
      <c r="G128" s="75" t="s">
        <v>309</v>
      </c>
      <c r="H128" s="75" t="s">
        <v>310</v>
      </c>
      <c r="I128" s="75" t="s">
        <v>444</v>
      </c>
      <c r="J128" s="75">
        <v>2019</v>
      </c>
      <c r="K128" s="75" t="s">
        <v>486</v>
      </c>
      <c r="L128" s="75" t="s">
        <v>672</v>
      </c>
    </row>
    <row r="129" spans="1:12" hidden="1" x14ac:dyDescent="0.25">
      <c r="A129" s="78">
        <v>43280</v>
      </c>
      <c r="B129" s="75" t="s">
        <v>673</v>
      </c>
      <c r="C129" s="75" t="s">
        <v>674</v>
      </c>
      <c r="D129" s="75" t="s">
        <v>657</v>
      </c>
      <c r="E129" s="75">
        <v>68427709</v>
      </c>
      <c r="F129" s="89">
        <f>96000+120000</f>
        <v>216000</v>
      </c>
      <c r="G129" s="75" t="s">
        <v>309</v>
      </c>
      <c r="H129" s="75" t="s">
        <v>310</v>
      </c>
      <c r="I129" s="75" t="s">
        <v>444</v>
      </c>
      <c r="J129" s="75">
        <v>2019</v>
      </c>
      <c r="K129" s="75" t="s">
        <v>475</v>
      </c>
      <c r="L129" s="75" t="s">
        <v>675</v>
      </c>
    </row>
    <row r="130" spans="1:12" hidden="1" x14ac:dyDescent="0.25">
      <c r="A130" s="78">
        <v>43285</v>
      </c>
      <c r="B130" s="75" t="s">
        <v>480</v>
      </c>
      <c r="C130" s="75" t="s">
        <v>676</v>
      </c>
      <c r="D130" s="75" t="s">
        <v>0</v>
      </c>
      <c r="E130" s="75">
        <v>68427709</v>
      </c>
      <c r="F130" s="89">
        <v>5000</v>
      </c>
      <c r="G130" s="75" t="s">
        <v>309</v>
      </c>
      <c r="H130" s="75" t="s">
        <v>310</v>
      </c>
      <c r="I130" s="75" t="s">
        <v>400</v>
      </c>
      <c r="J130" s="75">
        <v>2019</v>
      </c>
      <c r="K130" s="75" t="s">
        <v>677</v>
      </c>
      <c r="L130" s="75" t="s">
        <v>678</v>
      </c>
    </row>
    <row r="131" spans="1:12" hidden="1" x14ac:dyDescent="0.25">
      <c r="A131" s="78">
        <v>43286</v>
      </c>
      <c r="B131" s="75" t="s">
        <v>679</v>
      </c>
      <c r="C131" s="75" t="s">
        <v>680</v>
      </c>
      <c r="D131" s="75" t="s">
        <v>0</v>
      </c>
      <c r="E131" s="75">
        <v>68427709</v>
      </c>
      <c r="F131" s="89">
        <v>150000</v>
      </c>
      <c r="G131" s="75" t="s">
        <v>309</v>
      </c>
      <c r="H131" s="75" t="s">
        <v>310</v>
      </c>
      <c r="I131" s="75" t="s">
        <v>329</v>
      </c>
      <c r="J131" s="75">
        <v>2019</v>
      </c>
      <c r="K131" s="75" t="s">
        <v>312</v>
      </c>
      <c r="L131" s="75" t="s">
        <v>681</v>
      </c>
    </row>
    <row r="132" spans="1:12" hidden="1" x14ac:dyDescent="0.25">
      <c r="A132" s="78">
        <v>43286</v>
      </c>
      <c r="B132" s="75" t="s">
        <v>682</v>
      </c>
      <c r="C132" s="75" t="s">
        <v>683</v>
      </c>
      <c r="D132" s="75" t="s">
        <v>0</v>
      </c>
      <c r="E132" s="75">
        <v>68427709</v>
      </c>
      <c r="F132" s="89">
        <v>70000</v>
      </c>
      <c r="G132" s="75" t="s">
        <v>309</v>
      </c>
      <c r="H132" s="75" t="s">
        <v>310</v>
      </c>
      <c r="I132" s="75" t="s">
        <v>444</v>
      </c>
      <c r="J132" s="75">
        <v>2019</v>
      </c>
      <c r="K132" s="75" t="s">
        <v>312</v>
      </c>
      <c r="L132" s="75" t="s">
        <v>684</v>
      </c>
    </row>
    <row r="133" spans="1:12" hidden="1" x14ac:dyDescent="0.25">
      <c r="A133" s="78">
        <v>43286</v>
      </c>
      <c r="B133" s="75" t="s">
        <v>685</v>
      </c>
      <c r="C133" s="75" t="s">
        <v>686</v>
      </c>
      <c r="D133" s="75" t="s">
        <v>0</v>
      </c>
      <c r="E133" s="75">
        <v>68427709</v>
      </c>
      <c r="F133" s="89">
        <v>50000</v>
      </c>
      <c r="G133" s="75" t="s">
        <v>309</v>
      </c>
      <c r="H133" s="75" t="s">
        <v>310</v>
      </c>
      <c r="I133" s="75" t="s">
        <v>687</v>
      </c>
      <c r="J133" s="75">
        <v>2019</v>
      </c>
      <c r="K133" s="75" t="s">
        <v>312</v>
      </c>
      <c r="L133" s="75" t="s">
        <v>688</v>
      </c>
    </row>
    <row r="134" spans="1:12" hidden="1" x14ac:dyDescent="0.25">
      <c r="A134" s="78">
        <v>43286</v>
      </c>
      <c r="B134" s="75" t="s">
        <v>689</v>
      </c>
      <c r="C134" s="75" t="s">
        <v>690</v>
      </c>
      <c r="D134" s="75" t="s">
        <v>0</v>
      </c>
      <c r="E134" s="75">
        <v>68427709</v>
      </c>
      <c r="F134" s="89">
        <v>150000</v>
      </c>
      <c r="G134" s="75" t="s">
        <v>309</v>
      </c>
      <c r="H134" s="75" t="s">
        <v>310</v>
      </c>
      <c r="I134" s="75" t="s">
        <v>687</v>
      </c>
      <c r="J134" s="75">
        <v>2019</v>
      </c>
      <c r="K134" s="75" t="s">
        <v>572</v>
      </c>
      <c r="L134" s="75" t="s">
        <v>691</v>
      </c>
    </row>
    <row r="135" spans="1:12" hidden="1" x14ac:dyDescent="0.25">
      <c r="A135" s="78">
        <v>43286</v>
      </c>
      <c r="B135" s="75" t="s">
        <v>692</v>
      </c>
      <c r="C135" s="75" t="s">
        <v>692</v>
      </c>
      <c r="D135" s="75" t="s">
        <v>693</v>
      </c>
      <c r="E135" s="75">
        <v>68427709</v>
      </c>
      <c r="F135" s="89">
        <v>-10000</v>
      </c>
      <c r="G135" s="75" t="s">
        <v>309</v>
      </c>
      <c r="H135" s="75" t="s">
        <v>310</v>
      </c>
      <c r="I135" s="75" t="s">
        <v>329</v>
      </c>
      <c r="J135" s="75">
        <v>2019</v>
      </c>
      <c r="K135" s="75" t="s">
        <v>572</v>
      </c>
      <c r="L135" s="75" t="s">
        <v>694</v>
      </c>
    </row>
    <row r="136" spans="1:12" hidden="1" x14ac:dyDescent="0.25">
      <c r="A136" s="78">
        <v>43286</v>
      </c>
      <c r="B136" s="75" t="s">
        <v>695</v>
      </c>
      <c r="C136" s="75" t="s">
        <v>696</v>
      </c>
      <c r="D136" s="75" t="s">
        <v>693</v>
      </c>
      <c r="E136" s="75">
        <v>68427709</v>
      </c>
      <c r="F136" s="89">
        <v>-10000</v>
      </c>
      <c r="G136" s="75" t="s">
        <v>309</v>
      </c>
      <c r="H136" s="75" t="s">
        <v>310</v>
      </c>
      <c r="I136" s="75" t="s">
        <v>329</v>
      </c>
      <c r="J136" s="75">
        <v>2019</v>
      </c>
      <c r="K136" s="75" t="s">
        <v>572</v>
      </c>
      <c r="L136" s="75" t="s">
        <v>694</v>
      </c>
    </row>
    <row r="137" spans="1:12" hidden="1" x14ac:dyDescent="0.25">
      <c r="A137" s="78">
        <v>43286</v>
      </c>
      <c r="B137" s="75" t="s">
        <v>697</v>
      </c>
      <c r="C137" s="75" t="s">
        <v>697</v>
      </c>
      <c r="D137" s="75" t="s">
        <v>0</v>
      </c>
      <c r="E137" s="75">
        <v>68427709</v>
      </c>
      <c r="F137" s="89">
        <v>-80000</v>
      </c>
      <c r="G137" s="75" t="s">
        <v>309</v>
      </c>
      <c r="H137" s="75" t="s">
        <v>310</v>
      </c>
      <c r="I137" s="75" t="s">
        <v>400</v>
      </c>
      <c r="J137" s="75">
        <v>2019</v>
      </c>
      <c r="K137" s="75" t="s">
        <v>572</v>
      </c>
      <c r="L137" s="75" t="s">
        <v>698</v>
      </c>
    </row>
    <row r="138" spans="1:12" hidden="1" x14ac:dyDescent="0.25">
      <c r="A138" s="78">
        <v>43286</v>
      </c>
      <c r="B138" s="75" t="s">
        <v>699</v>
      </c>
      <c r="C138" s="75" t="s">
        <v>700</v>
      </c>
      <c r="D138" s="75" t="s">
        <v>0</v>
      </c>
      <c r="E138" s="75">
        <v>68427709</v>
      </c>
      <c r="F138" s="89">
        <v>0</v>
      </c>
      <c r="G138" s="75" t="s">
        <v>498</v>
      </c>
      <c r="H138" s="75" t="s">
        <v>310</v>
      </c>
      <c r="I138" s="75" t="s">
        <v>318</v>
      </c>
      <c r="J138" s="75">
        <v>2019</v>
      </c>
      <c r="K138" s="75" t="s">
        <v>486</v>
      </c>
      <c r="L138" s="75" t="s">
        <v>701</v>
      </c>
    </row>
    <row r="139" spans="1:12" hidden="1" x14ac:dyDescent="0.25">
      <c r="A139" s="78">
        <v>43286</v>
      </c>
      <c r="B139" s="75" t="s">
        <v>702</v>
      </c>
      <c r="C139" s="75" t="s">
        <v>702</v>
      </c>
      <c r="D139" s="75" t="s">
        <v>0</v>
      </c>
      <c r="E139" s="75">
        <v>68427709</v>
      </c>
      <c r="F139" s="89">
        <v>100000</v>
      </c>
      <c r="G139" s="75" t="s">
        <v>498</v>
      </c>
      <c r="H139" s="75" t="s">
        <v>310</v>
      </c>
      <c r="I139" s="75" t="s">
        <v>687</v>
      </c>
      <c r="J139" s="75">
        <v>2019</v>
      </c>
      <c r="K139" s="75" t="s">
        <v>572</v>
      </c>
      <c r="L139" s="75" t="s">
        <v>703</v>
      </c>
    </row>
    <row r="140" spans="1:12" hidden="1" x14ac:dyDescent="0.25">
      <c r="A140" s="78">
        <v>43286</v>
      </c>
      <c r="B140" s="75" t="s">
        <v>704</v>
      </c>
      <c r="C140" s="75" t="s">
        <v>704</v>
      </c>
      <c r="D140" s="75" t="s">
        <v>0</v>
      </c>
      <c r="E140" s="75">
        <v>68427709</v>
      </c>
      <c r="F140" s="89">
        <v>150000</v>
      </c>
      <c r="G140" s="75" t="s">
        <v>498</v>
      </c>
      <c r="H140" s="75" t="s">
        <v>310</v>
      </c>
      <c r="I140" s="75" t="s">
        <v>687</v>
      </c>
      <c r="J140" s="75">
        <v>2019</v>
      </c>
      <c r="K140" s="75" t="s">
        <v>572</v>
      </c>
      <c r="L140" s="75" t="s">
        <v>705</v>
      </c>
    </row>
    <row r="141" spans="1:12" hidden="1" x14ac:dyDescent="0.25">
      <c r="A141" s="78">
        <v>43286</v>
      </c>
      <c r="B141" s="75" t="s">
        <v>706</v>
      </c>
      <c r="C141" s="75" t="s">
        <v>706</v>
      </c>
      <c r="D141" s="75" t="s">
        <v>0</v>
      </c>
      <c r="E141" s="75">
        <v>68427709</v>
      </c>
      <c r="F141" s="89">
        <v>118000</v>
      </c>
      <c r="G141" s="75" t="s">
        <v>309</v>
      </c>
      <c r="H141" s="75" t="s">
        <v>310</v>
      </c>
      <c r="I141" s="75" t="s">
        <v>400</v>
      </c>
      <c r="J141" s="75">
        <v>2019</v>
      </c>
      <c r="K141" s="75" t="s">
        <v>572</v>
      </c>
      <c r="L141" s="75" t="s">
        <v>707</v>
      </c>
    </row>
    <row r="142" spans="1:12" hidden="1" x14ac:dyDescent="0.25">
      <c r="A142" s="78">
        <v>43287</v>
      </c>
      <c r="B142" s="75" t="s">
        <v>708</v>
      </c>
      <c r="C142" s="75" t="s">
        <v>709</v>
      </c>
      <c r="D142" s="75" t="s">
        <v>0</v>
      </c>
      <c r="E142" s="75">
        <v>68427709</v>
      </c>
      <c r="F142" s="89">
        <v>100000</v>
      </c>
      <c r="G142" s="75" t="s">
        <v>309</v>
      </c>
      <c r="H142" s="75" t="s">
        <v>310</v>
      </c>
      <c r="I142" s="75" t="s">
        <v>329</v>
      </c>
      <c r="J142" s="75">
        <v>2019</v>
      </c>
      <c r="K142" s="75" t="s">
        <v>312</v>
      </c>
      <c r="L142" s="75" t="s">
        <v>710</v>
      </c>
    </row>
    <row r="143" spans="1:12" hidden="1" x14ac:dyDescent="0.25">
      <c r="A143" s="78">
        <v>43290</v>
      </c>
      <c r="B143" s="75" t="s">
        <v>711</v>
      </c>
      <c r="C143" s="75" t="s">
        <v>712</v>
      </c>
      <c r="D143" s="75" t="s">
        <v>0</v>
      </c>
      <c r="E143" s="75">
        <v>68427709</v>
      </c>
      <c r="F143" s="89">
        <v>36000</v>
      </c>
      <c r="G143" s="75" t="s">
        <v>498</v>
      </c>
      <c r="H143" s="75" t="s">
        <v>310</v>
      </c>
      <c r="I143" s="75" t="s">
        <v>444</v>
      </c>
      <c r="J143" s="75">
        <v>2019</v>
      </c>
      <c r="K143" s="75" t="s">
        <v>486</v>
      </c>
      <c r="L143" s="75" t="s">
        <v>713</v>
      </c>
    </row>
    <row r="144" spans="1:12" hidden="1" x14ac:dyDescent="0.25">
      <c r="A144" s="78">
        <v>43290</v>
      </c>
      <c r="B144" s="75" t="s">
        <v>714</v>
      </c>
      <c r="C144" s="75" t="s">
        <v>715</v>
      </c>
      <c r="D144" s="75" t="s">
        <v>0</v>
      </c>
      <c r="E144" s="75">
        <v>68427709</v>
      </c>
      <c r="F144" s="89">
        <v>-26900.000000000004</v>
      </c>
      <c r="G144" s="75" t="s">
        <v>498</v>
      </c>
      <c r="H144" s="75" t="s">
        <v>310</v>
      </c>
      <c r="I144" s="75" t="s">
        <v>400</v>
      </c>
      <c r="J144" s="75">
        <v>2019</v>
      </c>
      <c r="K144" s="75" t="s">
        <v>312</v>
      </c>
      <c r="L144" s="75" t="s">
        <v>716</v>
      </c>
    </row>
    <row r="145" spans="1:12" hidden="1" x14ac:dyDescent="0.25">
      <c r="A145" s="78">
        <v>43293</v>
      </c>
      <c r="B145" s="75" t="s">
        <v>717</v>
      </c>
      <c r="C145" s="75" t="s">
        <v>718</v>
      </c>
      <c r="D145" s="75" t="s">
        <v>0</v>
      </c>
      <c r="E145" s="75">
        <v>68427709</v>
      </c>
      <c r="F145" s="89">
        <v>120000</v>
      </c>
      <c r="G145" s="75" t="s">
        <v>309</v>
      </c>
      <c r="H145" s="75" t="s">
        <v>310</v>
      </c>
      <c r="I145" s="75" t="s">
        <v>400</v>
      </c>
      <c r="J145" s="75">
        <v>2019</v>
      </c>
      <c r="K145" s="75" t="s">
        <v>719</v>
      </c>
      <c r="L145" s="75" t="s">
        <v>720</v>
      </c>
    </row>
    <row r="146" spans="1:12" hidden="1" x14ac:dyDescent="0.25">
      <c r="A146" s="78">
        <v>43293</v>
      </c>
      <c r="B146" s="75" t="s">
        <v>721</v>
      </c>
      <c r="C146" s="75" t="s">
        <v>722</v>
      </c>
      <c r="D146" s="75" t="s">
        <v>0</v>
      </c>
      <c r="E146" s="75">
        <v>68427709</v>
      </c>
      <c r="F146" s="89">
        <v>-11000</v>
      </c>
      <c r="G146" s="75" t="s">
        <v>309</v>
      </c>
      <c r="H146" s="75" t="s">
        <v>310</v>
      </c>
      <c r="I146" s="75" t="s">
        <v>329</v>
      </c>
      <c r="J146" s="75">
        <v>2019</v>
      </c>
      <c r="K146" s="75" t="s">
        <v>375</v>
      </c>
      <c r="L146" s="75" t="s">
        <v>723</v>
      </c>
    </row>
    <row r="147" spans="1:12" hidden="1" x14ac:dyDescent="0.25">
      <c r="A147" s="78">
        <v>43293</v>
      </c>
      <c r="B147" s="75" t="s">
        <v>724</v>
      </c>
      <c r="C147" s="75" t="s">
        <v>725</v>
      </c>
      <c r="D147" s="75" t="s">
        <v>0</v>
      </c>
      <c r="E147" s="75">
        <v>68427709</v>
      </c>
      <c r="F147" s="89">
        <v>-2360</v>
      </c>
      <c r="G147" s="75" t="s">
        <v>309</v>
      </c>
      <c r="H147" s="75" t="s">
        <v>310</v>
      </c>
      <c r="I147" s="75" t="s">
        <v>400</v>
      </c>
      <c r="J147" s="75">
        <v>2019</v>
      </c>
      <c r="K147" s="75" t="s">
        <v>312</v>
      </c>
      <c r="L147" s="75"/>
    </row>
    <row r="148" spans="1:12" hidden="1" x14ac:dyDescent="0.25">
      <c r="A148" s="78">
        <v>43293</v>
      </c>
      <c r="B148" s="75" t="s">
        <v>726</v>
      </c>
      <c r="C148" s="75" t="s">
        <v>727</v>
      </c>
      <c r="D148" s="75" t="s">
        <v>0</v>
      </c>
      <c r="E148" s="75">
        <v>68427709</v>
      </c>
      <c r="F148" s="89">
        <v>150</v>
      </c>
      <c r="G148" s="75" t="s">
        <v>309</v>
      </c>
      <c r="H148" s="75" t="s">
        <v>310</v>
      </c>
      <c r="I148" s="75" t="s">
        <v>400</v>
      </c>
      <c r="J148" s="75">
        <v>2019</v>
      </c>
      <c r="K148" s="75" t="s">
        <v>312</v>
      </c>
      <c r="L148" s="75" t="s">
        <v>728</v>
      </c>
    </row>
    <row r="149" spans="1:12" hidden="1" x14ac:dyDescent="0.25">
      <c r="A149" s="78">
        <v>43297</v>
      </c>
      <c r="B149" s="75" t="s">
        <v>446</v>
      </c>
      <c r="C149" s="75" t="s">
        <v>729</v>
      </c>
      <c r="D149" s="75" t="s">
        <v>0</v>
      </c>
      <c r="E149" s="75">
        <v>68427709</v>
      </c>
      <c r="F149" s="89">
        <v>-10000</v>
      </c>
      <c r="G149" s="75" t="s">
        <v>309</v>
      </c>
      <c r="H149" s="75" t="s">
        <v>310</v>
      </c>
      <c r="I149" s="75" t="s">
        <v>400</v>
      </c>
      <c r="J149" s="75">
        <v>2019</v>
      </c>
      <c r="K149" s="75" t="s">
        <v>505</v>
      </c>
      <c r="L149" s="75" t="s">
        <v>730</v>
      </c>
    </row>
    <row r="150" spans="1:12" hidden="1" x14ac:dyDescent="0.25">
      <c r="A150" s="78">
        <v>43297</v>
      </c>
      <c r="B150" s="75" t="s">
        <v>503</v>
      </c>
      <c r="C150" s="75" t="s">
        <v>731</v>
      </c>
      <c r="D150" s="75" t="s">
        <v>0</v>
      </c>
      <c r="E150" s="75">
        <v>68427709</v>
      </c>
      <c r="F150" s="89">
        <v>30000</v>
      </c>
      <c r="G150" s="75" t="s">
        <v>309</v>
      </c>
      <c r="H150" s="75" t="s">
        <v>310</v>
      </c>
      <c r="I150" s="75" t="s">
        <v>400</v>
      </c>
      <c r="J150" s="75">
        <v>2019</v>
      </c>
      <c r="K150" s="75" t="s">
        <v>505</v>
      </c>
      <c r="L150" s="75" t="s">
        <v>732</v>
      </c>
    </row>
    <row r="151" spans="1:12" hidden="1" x14ac:dyDescent="0.25">
      <c r="A151" s="78">
        <v>43297</v>
      </c>
      <c r="B151" s="75" t="s">
        <v>733</v>
      </c>
      <c r="C151" s="75" t="s">
        <v>734</v>
      </c>
      <c r="D151" s="75" t="s">
        <v>0</v>
      </c>
      <c r="E151" s="75">
        <v>68427709</v>
      </c>
      <c r="F151" s="89">
        <v>-16850</v>
      </c>
      <c r="G151" s="75" t="s">
        <v>309</v>
      </c>
      <c r="H151" s="75" t="s">
        <v>310</v>
      </c>
      <c r="I151" s="75" t="s">
        <v>687</v>
      </c>
      <c r="J151" s="75">
        <v>2019</v>
      </c>
      <c r="K151" s="75" t="s">
        <v>312</v>
      </c>
      <c r="L151" s="75" t="s">
        <v>735</v>
      </c>
    </row>
    <row r="152" spans="1:12" hidden="1" x14ac:dyDescent="0.25">
      <c r="A152" s="78">
        <v>43300</v>
      </c>
      <c r="B152" s="75" t="s">
        <v>736</v>
      </c>
      <c r="C152" s="75" t="s">
        <v>737</v>
      </c>
      <c r="D152" s="75" t="s">
        <v>323</v>
      </c>
      <c r="E152" s="75">
        <v>68427709</v>
      </c>
      <c r="F152" s="89">
        <v>42000</v>
      </c>
      <c r="G152" s="75" t="s">
        <v>309</v>
      </c>
      <c r="H152" s="75" t="s">
        <v>310</v>
      </c>
      <c r="I152" s="75" t="s">
        <v>400</v>
      </c>
      <c r="J152" s="75">
        <v>2019</v>
      </c>
      <c r="K152" s="75" t="s">
        <v>738</v>
      </c>
      <c r="L152" s="75" t="s">
        <v>739</v>
      </c>
    </row>
    <row r="153" spans="1:12" hidden="1" x14ac:dyDescent="0.25">
      <c r="A153" s="78">
        <v>43300</v>
      </c>
      <c r="B153" s="75" t="s">
        <v>740</v>
      </c>
      <c r="C153" s="75" t="s">
        <v>741</v>
      </c>
      <c r="D153" s="75" t="s">
        <v>323</v>
      </c>
      <c r="E153" s="75">
        <v>68427709</v>
      </c>
      <c r="F153" s="89">
        <v>95000</v>
      </c>
      <c r="G153" s="75" t="s">
        <v>309</v>
      </c>
      <c r="H153" s="75" t="s">
        <v>310</v>
      </c>
      <c r="I153" s="75" t="s">
        <v>400</v>
      </c>
      <c r="J153" s="75">
        <v>2019</v>
      </c>
      <c r="K153" s="75" t="s">
        <v>738</v>
      </c>
      <c r="L153" s="75" t="s">
        <v>742</v>
      </c>
    </row>
    <row r="154" spans="1:12" hidden="1" x14ac:dyDescent="0.25">
      <c r="A154" s="78">
        <v>43300</v>
      </c>
      <c r="B154" s="75" t="s">
        <v>743</v>
      </c>
      <c r="C154" s="75" t="s">
        <v>744</v>
      </c>
      <c r="D154" s="75" t="s">
        <v>323</v>
      </c>
      <c r="E154" s="75">
        <v>68427709</v>
      </c>
      <c r="F154" s="89">
        <v>100000</v>
      </c>
      <c r="G154" s="75" t="s">
        <v>498</v>
      </c>
      <c r="H154" s="75" t="s">
        <v>310</v>
      </c>
      <c r="I154" s="75" t="s">
        <v>400</v>
      </c>
      <c r="J154" s="75">
        <v>2019</v>
      </c>
      <c r="K154" s="75" t="s">
        <v>312</v>
      </c>
      <c r="L154" s="75" t="s">
        <v>745</v>
      </c>
    </row>
    <row r="155" spans="1:12" hidden="1" x14ac:dyDescent="0.25">
      <c r="A155" s="78">
        <v>43304</v>
      </c>
      <c r="B155" s="75" t="s">
        <v>746</v>
      </c>
      <c r="C155" s="75" t="s">
        <v>747</v>
      </c>
      <c r="D155" s="75" t="s">
        <v>323</v>
      </c>
      <c r="E155" s="75">
        <v>68427709</v>
      </c>
      <c r="F155" s="89">
        <v>200000</v>
      </c>
      <c r="G155" s="75" t="s">
        <v>498</v>
      </c>
      <c r="H155" s="75" t="s">
        <v>310</v>
      </c>
      <c r="I155" s="75" t="s">
        <v>687</v>
      </c>
      <c r="J155" s="75">
        <v>2019</v>
      </c>
      <c r="K155" s="75" t="s">
        <v>312</v>
      </c>
      <c r="L155" s="75" t="s">
        <v>748</v>
      </c>
    </row>
    <row r="156" spans="1:12" hidden="1" x14ac:dyDescent="0.25">
      <c r="A156" s="78">
        <v>43305</v>
      </c>
      <c r="B156" s="75" t="s">
        <v>749</v>
      </c>
      <c r="C156" s="75" t="s">
        <v>750</v>
      </c>
      <c r="D156" s="75"/>
      <c r="E156" s="75">
        <v>68427709</v>
      </c>
      <c r="F156" s="89">
        <v>50000</v>
      </c>
      <c r="G156" s="75" t="s">
        <v>309</v>
      </c>
      <c r="H156" s="75" t="s">
        <v>310</v>
      </c>
      <c r="I156" s="75" t="s">
        <v>329</v>
      </c>
      <c r="J156" s="75">
        <v>2019</v>
      </c>
      <c r="K156" s="75" t="s">
        <v>751</v>
      </c>
      <c r="L156" s="75" t="s">
        <v>750</v>
      </c>
    </row>
    <row r="157" spans="1:12" hidden="1" x14ac:dyDescent="0.25">
      <c r="A157" s="78">
        <v>43305</v>
      </c>
      <c r="B157" s="75" t="s">
        <v>752</v>
      </c>
      <c r="C157" s="75" t="s">
        <v>753</v>
      </c>
      <c r="D157" s="75" t="s">
        <v>754</v>
      </c>
      <c r="E157" s="75">
        <v>68427709</v>
      </c>
      <c r="F157" s="89">
        <v>-127000</v>
      </c>
      <c r="G157" s="75" t="s">
        <v>309</v>
      </c>
      <c r="H157" s="75" t="s">
        <v>310</v>
      </c>
      <c r="I157" s="75" t="s">
        <v>400</v>
      </c>
      <c r="J157" s="75">
        <v>2019</v>
      </c>
      <c r="K157" s="75" t="s">
        <v>486</v>
      </c>
      <c r="L157" s="75" t="s">
        <v>755</v>
      </c>
    </row>
    <row r="158" spans="1:12" hidden="1" x14ac:dyDescent="0.25">
      <c r="A158" s="78">
        <v>43305</v>
      </c>
      <c r="B158" s="75" t="s">
        <v>633</v>
      </c>
      <c r="C158" s="28" t="s">
        <v>756</v>
      </c>
      <c r="D158" s="75" t="s">
        <v>0</v>
      </c>
      <c r="E158" s="75">
        <v>68427709</v>
      </c>
      <c r="F158" s="89">
        <v>-260000</v>
      </c>
      <c r="G158" s="75" t="s">
        <v>309</v>
      </c>
      <c r="H158" s="75" t="s">
        <v>310</v>
      </c>
      <c r="I158" s="75" t="s">
        <v>311</v>
      </c>
      <c r="J158" s="75">
        <v>2019</v>
      </c>
      <c r="K158" s="75" t="s">
        <v>312</v>
      </c>
      <c r="L158" s="75" t="s">
        <v>757</v>
      </c>
    </row>
    <row r="159" spans="1:12" hidden="1" x14ac:dyDescent="0.25">
      <c r="A159" s="78">
        <v>43309</v>
      </c>
      <c r="B159" s="75" t="s">
        <v>596</v>
      </c>
      <c r="C159" s="75" t="s">
        <v>758</v>
      </c>
      <c r="D159" s="75" t="s">
        <v>0</v>
      </c>
      <c r="E159" s="75">
        <v>68427709</v>
      </c>
      <c r="F159" s="89">
        <v>5000</v>
      </c>
      <c r="G159" s="75" t="s">
        <v>309</v>
      </c>
      <c r="H159" s="75" t="s">
        <v>310</v>
      </c>
      <c r="I159" s="75" t="s">
        <v>400</v>
      </c>
      <c r="J159" s="75">
        <v>2019</v>
      </c>
      <c r="K159" s="75" t="s">
        <v>312</v>
      </c>
      <c r="L159" s="75" t="s">
        <v>759</v>
      </c>
    </row>
    <row r="160" spans="1:12" hidden="1" x14ac:dyDescent="0.25">
      <c r="A160" s="78">
        <v>43311</v>
      </c>
      <c r="B160" s="75" t="s">
        <v>760</v>
      </c>
      <c r="C160" s="75" t="s">
        <v>761</v>
      </c>
      <c r="D160" s="75" t="s">
        <v>0</v>
      </c>
      <c r="E160" s="75">
        <v>68427709</v>
      </c>
      <c r="F160" s="89">
        <v>-16700</v>
      </c>
      <c r="G160" s="75" t="s">
        <v>309</v>
      </c>
      <c r="H160" s="75" t="s">
        <v>310</v>
      </c>
      <c r="I160" s="75" t="s">
        <v>400</v>
      </c>
      <c r="J160" s="75">
        <v>2019</v>
      </c>
      <c r="K160" s="75" t="s">
        <v>312</v>
      </c>
      <c r="L160" s="75" t="s">
        <v>762</v>
      </c>
    </row>
    <row r="161" spans="1:12" hidden="1" x14ac:dyDescent="0.25">
      <c r="A161" s="78">
        <v>43311</v>
      </c>
      <c r="B161" s="75" t="s">
        <v>763</v>
      </c>
      <c r="C161" s="75" t="s">
        <v>120</v>
      </c>
      <c r="D161" s="75" t="s">
        <v>657</v>
      </c>
      <c r="E161" s="75">
        <v>68427709</v>
      </c>
      <c r="F161" s="89">
        <v>250000</v>
      </c>
      <c r="G161" s="75" t="s">
        <v>498</v>
      </c>
      <c r="H161" s="75" t="s">
        <v>310</v>
      </c>
      <c r="I161" s="75" t="s">
        <v>444</v>
      </c>
      <c r="J161" s="75">
        <v>2019</v>
      </c>
      <c r="K161" s="75" t="s">
        <v>486</v>
      </c>
      <c r="L161" s="75" t="s">
        <v>764</v>
      </c>
    </row>
    <row r="162" spans="1:12" hidden="1" x14ac:dyDescent="0.25">
      <c r="A162" s="78">
        <v>43311</v>
      </c>
      <c r="B162" s="75" t="s">
        <v>763</v>
      </c>
      <c r="C162" s="75" t="s">
        <v>120</v>
      </c>
      <c r="D162" s="75" t="s">
        <v>548</v>
      </c>
      <c r="E162" s="75">
        <v>68427709</v>
      </c>
      <c r="F162" s="89">
        <v>250000</v>
      </c>
      <c r="G162" s="75" t="s">
        <v>498</v>
      </c>
      <c r="H162" s="75" t="s">
        <v>310</v>
      </c>
      <c r="I162" s="75" t="s">
        <v>444</v>
      </c>
      <c r="J162" s="75">
        <v>2019</v>
      </c>
      <c r="K162" s="75" t="s">
        <v>486</v>
      </c>
      <c r="L162" s="75" t="s">
        <v>765</v>
      </c>
    </row>
    <row r="163" spans="1:12" hidden="1" x14ac:dyDescent="0.25">
      <c r="A163" s="78">
        <v>43311</v>
      </c>
      <c r="B163" s="87" t="s">
        <v>766</v>
      </c>
      <c r="C163" s="87" t="s">
        <v>37</v>
      </c>
      <c r="D163" s="87" t="s">
        <v>657</v>
      </c>
      <c r="E163" s="87">
        <v>68427709</v>
      </c>
      <c r="F163" s="89">
        <v>20000</v>
      </c>
      <c r="G163" s="75" t="s">
        <v>309</v>
      </c>
      <c r="H163" s="75" t="s">
        <v>310</v>
      </c>
      <c r="I163" s="75" t="s">
        <v>444</v>
      </c>
      <c r="J163" s="75">
        <v>2019</v>
      </c>
      <c r="K163" s="75" t="s">
        <v>486</v>
      </c>
      <c r="L163" s="75"/>
    </row>
    <row r="164" spans="1:12" hidden="1" x14ac:dyDescent="0.25">
      <c r="A164" s="78">
        <v>43311</v>
      </c>
      <c r="B164" s="75" t="s">
        <v>767</v>
      </c>
      <c r="C164" s="75" t="s">
        <v>74</v>
      </c>
      <c r="D164" s="75" t="s">
        <v>768</v>
      </c>
      <c r="E164" s="75">
        <v>68427709</v>
      </c>
      <c r="F164" s="89">
        <v>750000</v>
      </c>
      <c r="G164" s="75" t="s">
        <v>498</v>
      </c>
      <c r="H164" s="75" t="s">
        <v>310</v>
      </c>
      <c r="I164" s="75" t="s">
        <v>318</v>
      </c>
      <c r="J164" s="75">
        <v>2019</v>
      </c>
      <c r="K164" s="75" t="s">
        <v>486</v>
      </c>
      <c r="L164" s="75" t="s">
        <v>769</v>
      </c>
    </row>
    <row r="165" spans="1:12" hidden="1" x14ac:dyDescent="0.25">
      <c r="A165" s="78">
        <v>43311</v>
      </c>
      <c r="B165" s="75" t="s">
        <v>770</v>
      </c>
      <c r="C165" s="75" t="s">
        <v>74</v>
      </c>
      <c r="D165" s="75" t="s">
        <v>768</v>
      </c>
      <c r="E165" s="75">
        <v>68427709</v>
      </c>
      <c r="F165" s="89">
        <v>489000</v>
      </c>
      <c r="G165" s="75" t="s">
        <v>498</v>
      </c>
      <c r="H165" s="75" t="s">
        <v>310</v>
      </c>
      <c r="I165" s="75" t="s">
        <v>318</v>
      </c>
      <c r="J165" s="75">
        <v>2019</v>
      </c>
      <c r="K165" s="75" t="s">
        <v>486</v>
      </c>
      <c r="L165" s="75" t="s">
        <v>769</v>
      </c>
    </row>
    <row r="166" spans="1:12" hidden="1" x14ac:dyDescent="0.25">
      <c r="A166" s="78">
        <v>43311</v>
      </c>
      <c r="B166" s="75" t="s">
        <v>42</v>
      </c>
      <c r="C166" s="75" t="s">
        <v>74</v>
      </c>
      <c r="D166" s="75" t="s">
        <v>768</v>
      </c>
      <c r="E166" s="75">
        <v>68427709</v>
      </c>
      <c r="F166" s="89">
        <v>355200</v>
      </c>
      <c r="G166" s="75" t="s">
        <v>309</v>
      </c>
      <c r="H166" s="75" t="s">
        <v>310</v>
      </c>
      <c r="I166" s="75" t="s">
        <v>318</v>
      </c>
      <c r="J166" s="75">
        <v>2019</v>
      </c>
      <c r="K166" s="75" t="s">
        <v>486</v>
      </c>
      <c r="L166" s="75" t="s">
        <v>769</v>
      </c>
    </row>
    <row r="167" spans="1:12" hidden="1" x14ac:dyDescent="0.25">
      <c r="A167" s="78">
        <v>43311</v>
      </c>
      <c r="B167" s="75" t="s">
        <v>771</v>
      </c>
      <c r="C167" s="75" t="s">
        <v>74</v>
      </c>
      <c r="D167" s="75" t="s">
        <v>768</v>
      </c>
      <c r="E167" s="75">
        <v>68427709</v>
      </c>
      <c r="F167" s="89">
        <v>488000</v>
      </c>
      <c r="G167" s="75" t="s">
        <v>498</v>
      </c>
      <c r="H167" s="75" t="s">
        <v>310</v>
      </c>
      <c r="I167" s="75" t="s">
        <v>318</v>
      </c>
      <c r="J167" s="75">
        <v>2019</v>
      </c>
      <c r="K167" s="75" t="s">
        <v>486</v>
      </c>
      <c r="L167" s="75" t="s">
        <v>769</v>
      </c>
    </row>
    <row r="168" spans="1:12" hidden="1" x14ac:dyDescent="0.25">
      <c r="A168" s="78">
        <v>43311</v>
      </c>
      <c r="B168" s="75" t="s">
        <v>772</v>
      </c>
      <c r="C168" s="75" t="s">
        <v>27</v>
      </c>
      <c r="D168" s="75" t="s">
        <v>0</v>
      </c>
      <c r="E168" s="75">
        <v>68427709</v>
      </c>
      <c r="F168" s="89">
        <v>245000</v>
      </c>
      <c r="G168" s="75" t="s">
        <v>309</v>
      </c>
      <c r="H168" s="75" t="s">
        <v>310</v>
      </c>
      <c r="I168" s="75" t="s">
        <v>318</v>
      </c>
      <c r="J168" s="75">
        <v>2019</v>
      </c>
      <c r="K168" s="75" t="s">
        <v>486</v>
      </c>
      <c r="L168" s="75" t="s">
        <v>773</v>
      </c>
    </row>
    <row r="169" spans="1:12" hidden="1" x14ac:dyDescent="0.25">
      <c r="A169" s="78">
        <v>43311</v>
      </c>
      <c r="B169" s="75" t="s">
        <v>774</v>
      </c>
      <c r="C169" s="75"/>
      <c r="D169" s="75" t="s">
        <v>768</v>
      </c>
      <c r="E169" s="75">
        <v>68427709</v>
      </c>
      <c r="F169" s="89">
        <v>96000</v>
      </c>
      <c r="G169" s="75" t="s">
        <v>309</v>
      </c>
      <c r="H169" s="75" t="s">
        <v>310</v>
      </c>
      <c r="I169" s="75" t="s">
        <v>318</v>
      </c>
      <c r="J169" s="75">
        <v>2019</v>
      </c>
      <c r="K169" s="75" t="s">
        <v>486</v>
      </c>
      <c r="L169" s="75" t="s">
        <v>769</v>
      </c>
    </row>
    <row r="170" spans="1:12" hidden="1" x14ac:dyDescent="0.25">
      <c r="A170" s="78">
        <v>43311</v>
      </c>
      <c r="B170" s="75" t="s">
        <v>775</v>
      </c>
      <c r="C170" s="75"/>
      <c r="D170" s="75" t="s">
        <v>0</v>
      </c>
      <c r="E170" s="75">
        <v>68427709</v>
      </c>
      <c r="F170" s="89">
        <v>36000</v>
      </c>
      <c r="G170" s="75" t="s">
        <v>309</v>
      </c>
      <c r="H170" s="75" t="s">
        <v>310</v>
      </c>
      <c r="I170" s="75" t="s">
        <v>318</v>
      </c>
      <c r="J170" s="75">
        <v>2019</v>
      </c>
      <c r="K170" s="75" t="s">
        <v>486</v>
      </c>
      <c r="L170" s="75"/>
    </row>
    <row r="171" spans="1:12" hidden="1" x14ac:dyDescent="0.25">
      <c r="A171" s="78">
        <v>43311</v>
      </c>
      <c r="B171" s="75" t="s">
        <v>776</v>
      </c>
      <c r="C171" s="75"/>
      <c r="D171" s="75" t="s">
        <v>0</v>
      </c>
      <c r="E171" s="75">
        <v>68427709</v>
      </c>
      <c r="F171" s="89">
        <v>12500</v>
      </c>
      <c r="G171" s="75" t="s">
        <v>309</v>
      </c>
      <c r="H171" s="75" t="s">
        <v>310</v>
      </c>
      <c r="I171" s="75" t="s">
        <v>329</v>
      </c>
      <c r="J171" s="75">
        <v>2019</v>
      </c>
      <c r="K171" s="75" t="s">
        <v>486</v>
      </c>
      <c r="L171" s="75" t="s">
        <v>777</v>
      </c>
    </row>
    <row r="172" spans="1:12" hidden="1" x14ac:dyDescent="0.25">
      <c r="A172" s="78">
        <v>43311</v>
      </c>
      <c r="B172" s="75" t="s">
        <v>778</v>
      </c>
      <c r="C172" s="75" t="s">
        <v>779</v>
      </c>
      <c r="D172" s="75" t="s">
        <v>0</v>
      </c>
      <c r="E172" s="75">
        <v>68427709</v>
      </c>
      <c r="F172" s="89">
        <v>175000</v>
      </c>
      <c r="G172" s="75" t="s">
        <v>309</v>
      </c>
      <c r="H172" s="75" t="s">
        <v>310</v>
      </c>
      <c r="I172" s="75" t="s">
        <v>400</v>
      </c>
      <c r="J172" s="75">
        <v>2019</v>
      </c>
      <c r="K172" s="75" t="s">
        <v>486</v>
      </c>
      <c r="L172" s="75"/>
    </row>
    <row r="173" spans="1:12" hidden="1" x14ac:dyDescent="0.25">
      <c r="A173" s="78">
        <v>43311</v>
      </c>
      <c r="B173" s="75" t="s">
        <v>780</v>
      </c>
      <c r="C173" s="75" t="s">
        <v>779</v>
      </c>
      <c r="D173" s="75" t="s">
        <v>0</v>
      </c>
      <c r="E173" s="75">
        <v>68427709</v>
      </c>
      <c r="F173" s="89">
        <v>139000</v>
      </c>
      <c r="G173" s="75" t="s">
        <v>309</v>
      </c>
      <c r="H173" s="75" t="s">
        <v>310</v>
      </c>
      <c r="I173" s="75" t="s">
        <v>400</v>
      </c>
      <c r="J173" s="75">
        <v>2019</v>
      </c>
      <c r="K173" s="75" t="s">
        <v>486</v>
      </c>
      <c r="L173" s="75" t="s">
        <v>781</v>
      </c>
    </row>
    <row r="174" spans="1:12" hidden="1" x14ac:dyDescent="0.25">
      <c r="A174" s="78">
        <v>43311</v>
      </c>
      <c r="B174" s="75" t="s">
        <v>782</v>
      </c>
      <c r="C174" s="75" t="s">
        <v>95</v>
      </c>
      <c r="D174" s="75" t="s">
        <v>754</v>
      </c>
      <c r="E174" s="75">
        <v>68427709</v>
      </c>
      <c r="F174" s="89">
        <v>115000</v>
      </c>
      <c r="G174" s="75" t="s">
        <v>309</v>
      </c>
      <c r="H174" s="75" t="s">
        <v>310</v>
      </c>
      <c r="I174" s="75" t="s">
        <v>329</v>
      </c>
      <c r="J174" s="75">
        <v>2019</v>
      </c>
      <c r="K174" s="75" t="s">
        <v>486</v>
      </c>
      <c r="L174" s="75" t="s">
        <v>783</v>
      </c>
    </row>
    <row r="175" spans="1:12" hidden="1" x14ac:dyDescent="0.25">
      <c r="A175" s="78">
        <v>43311</v>
      </c>
      <c r="B175" s="75" t="s">
        <v>784</v>
      </c>
      <c r="C175" s="75" t="s">
        <v>95</v>
      </c>
      <c r="D175" s="75" t="s">
        <v>754</v>
      </c>
      <c r="E175" s="75">
        <v>68427709</v>
      </c>
      <c r="F175" s="89">
        <v>1934000</v>
      </c>
      <c r="G175" s="75" t="s">
        <v>309</v>
      </c>
      <c r="H175" s="75" t="s">
        <v>310</v>
      </c>
      <c r="I175" s="75" t="s">
        <v>444</v>
      </c>
      <c r="J175" s="75">
        <v>2019</v>
      </c>
      <c r="K175" s="75" t="s">
        <v>486</v>
      </c>
      <c r="L175" s="75" t="s">
        <v>785</v>
      </c>
    </row>
    <row r="176" spans="1:12" hidden="1" x14ac:dyDescent="0.25">
      <c r="A176" s="78">
        <v>43311</v>
      </c>
      <c r="B176" s="75" t="s">
        <v>786</v>
      </c>
      <c r="C176" s="75" t="s">
        <v>95</v>
      </c>
      <c r="D176" s="75" t="s">
        <v>754</v>
      </c>
      <c r="E176" s="75">
        <v>68427709</v>
      </c>
      <c r="F176" s="89">
        <v>2974000</v>
      </c>
      <c r="G176" s="75" t="s">
        <v>309</v>
      </c>
      <c r="H176" s="75" t="s">
        <v>310</v>
      </c>
      <c r="I176" s="75" t="s">
        <v>444</v>
      </c>
      <c r="J176" s="75">
        <v>2019</v>
      </c>
      <c r="K176" s="75" t="s">
        <v>486</v>
      </c>
      <c r="L176" s="75" t="s">
        <v>785</v>
      </c>
    </row>
    <row r="177" spans="1:12" hidden="1" x14ac:dyDescent="0.25">
      <c r="A177" s="78">
        <v>43311</v>
      </c>
      <c r="B177" s="75" t="s">
        <v>787</v>
      </c>
      <c r="C177" s="75" t="s">
        <v>95</v>
      </c>
      <c r="D177" s="75" t="s">
        <v>754</v>
      </c>
      <c r="E177" s="75">
        <v>68427709</v>
      </c>
      <c r="F177" s="89">
        <v>265000</v>
      </c>
      <c r="G177" s="75" t="s">
        <v>309</v>
      </c>
      <c r="H177" s="75" t="s">
        <v>310</v>
      </c>
      <c r="I177" s="75" t="s">
        <v>444</v>
      </c>
      <c r="J177" s="75">
        <v>2019</v>
      </c>
      <c r="K177" s="75" t="s">
        <v>486</v>
      </c>
      <c r="L177" s="75" t="s">
        <v>785</v>
      </c>
    </row>
    <row r="178" spans="1:12" hidden="1" x14ac:dyDescent="0.25">
      <c r="A178" s="78">
        <v>43311</v>
      </c>
      <c r="B178" s="88" t="s">
        <v>16</v>
      </c>
      <c r="C178" s="6" t="s">
        <v>788</v>
      </c>
      <c r="D178" s="75" t="s">
        <v>0</v>
      </c>
      <c r="E178" s="75">
        <v>68427709</v>
      </c>
      <c r="F178" s="89">
        <v>-683000</v>
      </c>
      <c r="G178" s="75" t="s">
        <v>309</v>
      </c>
      <c r="H178" s="75" t="s">
        <v>310</v>
      </c>
      <c r="I178" s="75" t="s">
        <v>444</v>
      </c>
      <c r="J178" s="75">
        <v>2019</v>
      </c>
      <c r="K178" s="75" t="s">
        <v>486</v>
      </c>
      <c r="L178" s="75" t="s">
        <v>789</v>
      </c>
    </row>
    <row r="179" spans="1:12" hidden="1" x14ac:dyDescent="0.25">
      <c r="A179" s="78">
        <v>43311</v>
      </c>
      <c r="B179" s="88" t="s">
        <v>790</v>
      </c>
      <c r="C179" s="75" t="s">
        <v>791</v>
      </c>
      <c r="D179" s="75" t="s">
        <v>0</v>
      </c>
      <c r="E179" s="75">
        <v>68427709</v>
      </c>
      <c r="F179" s="89">
        <v>-2836000</v>
      </c>
      <c r="G179" s="75" t="s">
        <v>309</v>
      </c>
      <c r="H179" s="75" t="s">
        <v>310</v>
      </c>
      <c r="I179" s="75" t="s">
        <v>444</v>
      </c>
      <c r="J179" s="75">
        <v>2019</v>
      </c>
      <c r="K179" s="75" t="s">
        <v>486</v>
      </c>
      <c r="L179" s="75" t="s">
        <v>789</v>
      </c>
    </row>
    <row r="180" spans="1:12" hidden="1" x14ac:dyDescent="0.25">
      <c r="A180" s="78">
        <v>43311</v>
      </c>
      <c r="B180" s="88" t="s">
        <v>790</v>
      </c>
      <c r="C180" s="75" t="s">
        <v>791</v>
      </c>
      <c r="D180" s="75" t="s">
        <v>0</v>
      </c>
      <c r="E180" s="75">
        <v>68427709</v>
      </c>
      <c r="F180" s="89">
        <v>-284000</v>
      </c>
      <c r="G180" s="75" t="s">
        <v>309</v>
      </c>
      <c r="H180" s="75" t="s">
        <v>310</v>
      </c>
      <c r="I180" s="75" t="s">
        <v>444</v>
      </c>
      <c r="J180" s="75">
        <v>2019</v>
      </c>
      <c r="K180" s="75" t="s">
        <v>486</v>
      </c>
      <c r="L180" s="75" t="s">
        <v>789</v>
      </c>
    </row>
    <row r="181" spans="1:12" hidden="1" x14ac:dyDescent="0.25">
      <c r="A181" s="78">
        <v>43311</v>
      </c>
      <c r="B181" s="88" t="s">
        <v>790</v>
      </c>
      <c r="C181" s="75" t="s">
        <v>791</v>
      </c>
      <c r="D181" s="75" t="s">
        <v>0</v>
      </c>
      <c r="E181" s="75">
        <v>68427709</v>
      </c>
      <c r="F181" s="89">
        <v>-203000</v>
      </c>
      <c r="G181" s="75" t="s">
        <v>309</v>
      </c>
      <c r="H181" s="75" t="s">
        <v>310</v>
      </c>
      <c r="I181" s="75" t="s">
        <v>444</v>
      </c>
      <c r="J181" s="75">
        <v>2019</v>
      </c>
      <c r="K181" s="75" t="s">
        <v>486</v>
      </c>
      <c r="L181" s="75" t="s">
        <v>789</v>
      </c>
    </row>
    <row r="182" spans="1:12" hidden="1" x14ac:dyDescent="0.25">
      <c r="A182" s="78">
        <v>43311</v>
      </c>
      <c r="B182" s="75" t="s">
        <v>792</v>
      </c>
      <c r="C182" s="75" t="s">
        <v>754</v>
      </c>
      <c r="D182" s="75" t="s">
        <v>0</v>
      </c>
      <c r="E182" s="75">
        <v>68427709</v>
      </c>
      <c r="F182" s="89">
        <v>-105000</v>
      </c>
      <c r="G182" s="75" t="s">
        <v>309</v>
      </c>
      <c r="H182" s="75" t="s">
        <v>310</v>
      </c>
      <c r="I182" s="75" t="s">
        <v>329</v>
      </c>
      <c r="J182" s="75">
        <v>2019</v>
      </c>
      <c r="K182" s="75" t="s">
        <v>486</v>
      </c>
      <c r="L182" s="75" t="s">
        <v>789</v>
      </c>
    </row>
    <row r="183" spans="1:12" hidden="1" x14ac:dyDescent="0.25">
      <c r="A183" s="78">
        <v>43311</v>
      </c>
      <c r="B183" t="s">
        <v>793</v>
      </c>
      <c r="C183" s="75" t="s">
        <v>794</v>
      </c>
      <c r="D183" s="75" t="s">
        <v>323</v>
      </c>
      <c r="E183" s="75">
        <v>68427709</v>
      </c>
      <c r="F183" s="89">
        <v>40000</v>
      </c>
      <c r="G183" s="75" t="s">
        <v>309</v>
      </c>
      <c r="H183" s="75" t="s">
        <v>310</v>
      </c>
      <c r="I183" s="75" t="s">
        <v>400</v>
      </c>
      <c r="J183" s="75">
        <v>2019</v>
      </c>
      <c r="K183" s="75" t="s">
        <v>312</v>
      </c>
      <c r="L183" s="75" t="s">
        <v>795</v>
      </c>
    </row>
    <row r="184" spans="1:12" hidden="1" x14ac:dyDescent="0.25">
      <c r="A184" s="78">
        <v>43311</v>
      </c>
      <c r="B184" s="75" t="s">
        <v>796</v>
      </c>
      <c r="C184" s="75" t="s">
        <v>631</v>
      </c>
      <c r="D184" s="75" t="s">
        <v>323</v>
      </c>
      <c r="E184" s="75">
        <v>68427709</v>
      </c>
      <c r="F184" s="89">
        <v>50000</v>
      </c>
      <c r="G184" s="75" t="s">
        <v>309</v>
      </c>
      <c r="H184" s="75" t="s">
        <v>310</v>
      </c>
      <c r="I184" s="75" t="s">
        <v>400</v>
      </c>
      <c r="J184" s="75">
        <v>2019</v>
      </c>
      <c r="K184" s="75" t="s">
        <v>367</v>
      </c>
      <c r="L184" s="75" t="s">
        <v>797</v>
      </c>
    </row>
    <row r="185" spans="1:12" hidden="1" x14ac:dyDescent="0.25">
      <c r="A185" s="78">
        <v>43314</v>
      </c>
      <c r="B185" t="s">
        <v>798</v>
      </c>
      <c r="C185" t="s">
        <v>799</v>
      </c>
      <c r="D185" s="75" t="s">
        <v>0</v>
      </c>
      <c r="E185" s="75">
        <v>68427709</v>
      </c>
      <c r="F185" s="89">
        <v>600000</v>
      </c>
      <c r="G185" s="75" t="s">
        <v>309</v>
      </c>
      <c r="H185" s="75" t="s">
        <v>310</v>
      </c>
      <c r="I185" s="75" t="s">
        <v>329</v>
      </c>
      <c r="J185" s="75">
        <v>2019</v>
      </c>
      <c r="K185" s="75" t="s">
        <v>486</v>
      </c>
      <c r="L185" s="75" t="s">
        <v>800</v>
      </c>
    </row>
    <row r="186" spans="1:12" hidden="1" x14ac:dyDescent="0.25">
      <c r="A186" s="78">
        <v>43314</v>
      </c>
      <c r="B186" s="75" t="s">
        <v>801</v>
      </c>
      <c r="C186" s="75"/>
      <c r="D186" s="75" t="s">
        <v>0</v>
      </c>
      <c r="E186" s="75">
        <v>68427709</v>
      </c>
      <c r="F186" s="89">
        <v>204000</v>
      </c>
      <c r="G186" s="75" t="s">
        <v>309</v>
      </c>
      <c r="H186" s="75" t="s">
        <v>310</v>
      </c>
      <c r="I186" s="75" t="s">
        <v>329</v>
      </c>
      <c r="J186" s="75">
        <v>2019</v>
      </c>
      <c r="K186" s="75" t="s">
        <v>486</v>
      </c>
      <c r="L186" s="75" t="s">
        <v>800</v>
      </c>
    </row>
    <row r="187" spans="1:12" hidden="1" x14ac:dyDescent="0.25">
      <c r="A187" s="78">
        <v>43315</v>
      </c>
      <c r="B187" s="75" t="s">
        <v>802</v>
      </c>
      <c r="C187" s="75" t="s">
        <v>803</v>
      </c>
      <c r="D187" s="75" t="s">
        <v>0</v>
      </c>
      <c r="E187" s="75">
        <v>68427709</v>
      </c>
      <c r="F187" s="89">
        <v>-30000</v>
      </c>
      <c r="G187" s="75" t="s">
        <v>309</v>
      </c>
      <c r="H187" s="75" t="s">
        <v>310</v>
      </c>
      <c r="I187" s="75" t="s">
        <v>400</v>
      </c>
      <c r="J187" s="75">
        <v>2019</v>
      </c>
      <c r="K187" s="75" t="s">
        <v>312</v>
      </c>
      <c r="L187" s="75" t="s">
        <v>804</v>
      </c>
    </row>
    <row r="188" spans="1:12" hidden="1" x14ac:dyDescent="0.25">
      <c r="A188" s="78">
        <v>43315</v>
      </c>
      <c r="B188" s="75" t="s">
        <v>805</v>
      </c>
      <c r="C188" s="75" t="s">
        <v>806</v>
      </c>
      <c r="D188" s="75" t="s">
        <v>0</v>
      </c>
      <c r="E188" s="75">
        <v>68427709</v>
      </c>
      <c r="F188" s="89">
        <f>71280-14000</f>
        <v>57280</v>
      </c>
      <c r="G188" s="75" t="s">
        <v>309</v>
      </c>
      <c r="H188" s="75" t="s">
        <v>310</v>
      </c>
      <c r="I188" s="75" t="s">
        <v>400</v>
      </c>
      <c r="J188" s="75">
        <v>2019</v>
      </c>
      <c r="K188" s="75" t="s">
        <v>493</v>
      </c>
      <c r="L188" s="75" t="s">
        <v>807</v>
      </c>
    </row>
    <row r="189" spans="1:12" hidden="1" x14ac:dyDescent="0.25">
      <c r="A189" s="78">
        <v>43315</v>
      </c>
      <c r="B189" s="116" t="s">
        <v>808</v>
      </c>
      <c r="C189" s="75" t="s">
        <v>809</v>
      </c>
      <c r="D189" s="75" t="s">
        <v>810</v>
      </c>
      <c r="E189" s="75">
        <v>68427709</v>
      </c>
      <c r="F189" s="89">
        <v>150000</v>
      </c>
      <c r="G189" s="75" t="s">
        <v>309</v>
      </c>
      <c r="H189" s="75" t="s">
        <v>310</v>
      </c>
      <c r="I189" s="75" t="s">
        <v>400</v>
      </c>
      <c r="J189" s="75">
        <v>2019</v>
      </c>
      <c r="K189" s="75" t="s">
        <v>751</v>
      </c>
      <c r="L189" s="88" t="s">
        <v>809</v>
      </c>
    </row>
    <row r="190" spans="1:12" hidden="1" x14ac:dyDescent="0.25">
      <c r="A190" s="78">
        <v>43315</v>
      </c>
      <c r="B190" s="116" t="s">
        <v>811</v>
      </c>
      <c r="C190" s="75" t="s">
        <v>323</v>
      </c>
      <c r="D190" s="75" t="s">
        <v>548</v>
      </c>
      <c r="E190" s="75">
        <v>68427709</v>
      </c>
      <c r="F190" s="89">
        <v>80000</v>
      </c>
      <c r="G190" s="75" t="s">
        <v>309</v>
      </c>
      <c r="H190" s="75" t="s">
        <v>310</v>
      </c>
      <c r="I190" s="75" t="s">
        <v>329</v>
      </c>
      <c r="J190" s="75">
        <v>2019</v>
      </c>
      <c r="K190" s="75" t="s">
        <v>312</v>
      </c>
      <c r="L190" s="75"/>
    </row>
    <row r="191" spans="1:12" hidden="1" x14ac:dyDescent="0.25">
      <c r="A191" s="78">
        <v>43315</v>
      </c>
      <c r="B191" s="116" t="s">
        <v>812</v>
      </c>
      <c r="C191" s="75" t="s">
        <v>323</v>
      </c>
      <c r="D191" s="75" t="s">
        <v>548</v>
      </c>
      <c r="E191" s="75">
        <v>68427709</v>
      </c>
      <c r="F191" s="89">
        <v>120000</v>
      </c>
      <c r="G191" s="75" t="s">
        <v>309</v>
      </c>
      <c r="H191" s="75" t="s">
        <v>310</v>
      </c>
      <c r="I191" s="75" t="s">
        <v>329</v>
      </c>
      <c r="J191" s="75">
        <v>2019</v>
      </c>
      <c r="K191" s="75" t="s">
        <v>312</v>
      </c>
      <c r="L191" s="75"/>
    </row>
    <row r="192" spans="1:12" hidden="1" x14ac:dyDescent="0.25">
      <c r="A192" s="78">
        <v>43315</v>
      </c>
      <c r="B192" s="116" t="s">
        <v>813</v>
      </c>
      <c r="C192" s="75" t="s">
        <v>323</v>
      </c>
      <c r="D192" s="75" t="s">
        <v>548</v>
      </c>
      <c r="E192" s="75">
        <v>68427709</v>
      </c>
      <c r="F192" s="89">
        <v>50000</v>
      </c>
      <c r="G192" s="75" t="s">
        <v>309</v>
      </c>
      <c r="H192" s="75" t="s">
        <v>310</v>
      </c>
      <c r="I192" s="75" t="s">
        <v>329</v>
      </c>
      <c r="J192" s="75">
        <v>2019</v>
      </c>
      <c r="K192" s="75" t="s">
        <v>312</v>
      </c>
      <c r="L192" s="75"/>
    </row>
    <row r="193" spans="1:12" hidden="1" x14ac:dyDescent="0.25">
      <c r="A193" s="78">
        <v>43315</v>
      </c>
      <c r="B193" s="116" t="s">
        <v>814</v>
      </c>
      <c r="C193" s="75" t="s">
        <v>323</v>
      </c>
      <c r="D193" s="75" t="s">
        <v>548</v>
      </c>
      <c r="E193" s="75">
        <v>68427709</v>
      </c>
      <c r="F193" s="89">
        <v>80000</v>
      </c>
      <c r="G193" s="75" t="s">
        <v>309</v>
      </c>
      <c r="H193" s="75" t="s">
        <v>310</v>
      </c>
      <c r="I193" s="75" t="s">
        <v>329</v>
      </c>
      <c r="J193" s="75">
        <v>2019</v>
      </c>
      <c r="K193" s="75" t="s">
        <v>312</v>
      </c>
      <c r="L193" s="75"/>
    </row>
    <row r="194" spans="1:12" hidden="1" x14ac:dyDescent="0.25">
      <c r="A194" s="78">
        <v>43684</v>
      </c>
      <c r="B194" s="75" t="s">
        <v>815</v>
      </c>
      <c r="C194" s="75" t="s">
        <v>816</v>
      </c>
      <c r="D194" s="75" t="s">
        <v>0</v>
      </c>
      <c r="E194" s="75">
        <v>68427709</v>
      </c>
      <c r="F194" s="89">
        <v>49000</v>
      </c>
      <c r="G194" s="75" t="s">
        <v>309</v>
      </c>
      <c r="H194" s="75" t="s">
        <v>310</v>
      </c>
      <c r="I194" s="75" t="s">
        <v>329</v>
      </c>
      <c r="J194" s="75">
        <v>2019</v>
      </c>
      <c r="K194" s="75" t="s">
        <v>423</v>
      </c>
      <c r="L194" s="75"/>
    </row>
    <row r="195" spans="1:12" hidden="1" x14ac:dyDescent="0.25">
      <c r="A195" s="78">
        <v>43690</v>
      </c>
      <c r="B195" s="75" t="s">
        <v>817</v>
      </c>
      <c r="C195" s="75" t="s">
        <v>323</v>
      </c>
      <c r="D195" s="75"/>
      <c r="E195" s="75">
        <v>68427709</v>
      </c>
      <c r="F195" s="89">
        <v>30000</v>
      </c>
      <c r="G195" s="75" t="s">
        <v>309</v>
      </c>
      <c r="H195" s="75" t="s">
        <v>310</v>
      </c>
      <c r="I195" s="75" t="s">
        <v>400</v>
      </c>
      <c r="J195" s="75">
        <v>2019</v>
      </c>
      <c r="K195" s="75" t="s">
        <v>507</v>
      </c>
      <c r="L195" s="88" t="s">
        <v>818</v>
      </c>
    </row>
    <row r="196" spans="1:12" hidden="1" x14ac:dyDescent="0.25">
      <c r="A196" s="78">
        <v>43691</v>
      </c>
      <c r="B196" s="75" t="s">
        <v>819</v>
      </c>
      <c r="C196" s="75" t="s">
        <v>323</v>
      </c>
      <c r="D196" s="75"/>
      <c r="E196" s="75">
        <v>68427709</v>
      </c>
      <c r="F196" s="89">
        <v>700000</v>
      </c>
      <c r="G196" s="75" t="s">
        <v>309</v>
      </c>
      <c r="H196" s="75" t="s">
        <v>310</v>
      </c>
      <c r="I196" s="75" t="s">
        <v>400</v>
      </c>
      <c r="J196" s="75">
        <v>2019</v>
      </c>
      <c r="K196" s="75" t="s">
        <v>367</v>
      </c>
      <c r="L196" s="75" t="s">
        <v>820</v>
      </c>
    </row>
    <row r="197" spans="1:12" hidden="1" x14ac:dyDescent="0.25">
      <c r="A197" s="78">
        <v>43328</v>
      </c>
      <c r="B197" s="75" t="s">
        <v>821</v>
      </c>
      <c r="C197" s="75" t="s">
        <v>822</v>
      </c>
      <c r="D197" s="75"/>
      <c r="E197" s="75">
        <v>68427709</v>
      </c>
      <c r="F197" s="89">
        <v>150000</v>
      </c>
      <c r="G197" s="75" t="s">
        <v>309</v>
      </c>
      <c r="H197" s="75" t="s">
        <v>310</v>
      </c>
      <c r="I197" s="75" t="s">
        <v>400</v>
      </c>
      <c r="J197" s="75">
        <v>2019</v>
      </c>
      <c r="K197" s="75" t="s">
        <v>751</v>
      </c>
      <c r="L197" s="75" t="s">
        <v>823</v>
      </c>
    </row>
    <row r="198" spans="1:12" hidden="1" x14ac:dyDescent="0.25">
      <c r="A198" s="78">
        <v>43328</v>
      </c>
      <c r="B198" t="s">
        <v>824</v>
      </c>
      <c r="C198" s="75" t="s">
        <v>825</v>
      </c>
      <c r="D198" s="75"/>
      <c r="E198" s="75">
        <v>68427709</v>
      </c>
      <c r="F198" s="89">
        <v>-14000</v>
      </c>
      <c r="G198" s="75" t="s">
        <v>309</v>
      </c>
      <c r="H198" s="75" t="s">
        <v>310</v>
      </c>
      <c r="I198" s="75" t="s">
        <v>400</v>
      </c>
      <c r="J198" s="75">
        <v>2019</v>
      </c>
      <c r="K198" s="75" t="s">
        <v>751</v>
      </c>
      <c r="L198" s="75" t="s">
        <v>826</v>
      </c>
    </row>
    <row r="199" spans="1:12" hidden="1" x14ac:dyDescent="0.25">
      <c r="A199" s="78">
        <v>43328</v>
      </c>
      <c r="B199" s="75" t="s">
        <v>827</v>
      </c>
      <c r="C199" s="75" t="s">
        <v>828</v>
      </c>
      <c r="D199" s="75"/>
      <c r="E199" s="75">
        <v>68427709</v>
      </c>
      <c r="F199" s="89">
        <v>-1000</v>
      </c>
      <c r="G199" s="75" t="s">
        <v>309</v>
      </c>
      <c r="H199" s="75" t="s">
        <v>310</v>
      </c>
      <c r="I199" s="75" t="s">
        <v>400</v>
      </c>
      <c r="J199" s="75">
        <v>2019</v>
      </c>
      <c r="K199" s="75" t="s">
        <v>312</v>
      </c>
      <c r="L199" s="75" t="s">
        <v>829</v>
      </c>
    </row>
    <row r="200" spans="1:12" hidden="1" x14ac:dyDescent="0.25">
      <c r="A200" s="78">
        <v>43328</v>
      </c>
      <c r="B200" s="75" t="s">
        <v>830</v>
      </c>
      <c r="C200" s="75" t="s">
        <v>831</v>
      </c>
      <c r="D200" s="75" t="s">
        <v>0</v>
      </c>
      <c r="E200" s="75">
        <v>68427709</v>
      </c>
      <c r="F200" s="89">
        <v>94000</v>
      </c>
      <c r="G200" s="75" t="s">
        <v>309</v>
      </c>
      <c r="H200" s="75" t="s">
        <v>310</v>
      </c>
      <c r="I200" s="75" t="s">
        <v>400</v>
      </c>
      <c r="J200" s="75">
        <v>2019</v>
      </c>
      <c r="K200" s="75" t="s">
        <v>507</v>
      </c>
      <c r="L200" s="75" t="s">
        <v>832</v>
      </c>
    </row>
    <row r="201" spans="1:12" hidden="1" x14ac:dyDescent="0.25">
      <c r="A201" s="78">
        <v>43328</v>
      </c>
      <c r="B201" t="s">
        <v>833</v>
      </c>
      <c r="C201" s="133" t="s">
        <v>834</v>
      </c>
      <c r="D201" s="133"/>
      <c r="E201" s="133">
        <v>68427709</v>
      </c>
      <c r="F201" s="134">
        <v>300000</v>
      </c>
      <c r="G201" s="133" t="s">
        <v>309</v>
      </c>
      <c r="H201" s="133" t="s">
        <v>310</v>
      </c>
      <c r="I201" s="133" t="s">
        <v>400</v>
      </c>
      <c r="J201" s="133">
        <v>2019</v>
      </c>
      <c r="K201" s="133" t="s">
        <v>572</v>
      </c>
      <c r="L201" s="75"/>
    </row>
    <row r="202" spans="1:12" hidden="1" x14ac:dyDescent="0.25">
      <c r="A202" s="131">
        <v>43329</v>
      </c>
      <c r="B202" s="75" t="s">
        <v>835</v>
      </c>
      <c r="C202" s="75" t="s">
        <v>836</v>
      </c>
      <c r="D202" s="75"/>
      <c r="E202" s="75">
        <v>68427709</v>
      </c>
      <c r="F202" s="89">
        <v>0</v>
      </c>
      <c r="G202" s="75" t="s">
        <v>309</v>
      </c>
      <c r="H202" s="75" t="s">
        <v>310</v>
      </c>
      <c r="I202" s="75" t="s">
        <v>329</v>
      </c>
      <c r="J202" s="75">
        <v>2019</v>
      </c>
      <c r="K202" s="75" t="s">
        <v>486</v>
      </c>
      <c r="L202" s="132" t="s">
        <v>837</v>
      </c>
    </row>
    <row r="203" spans="1:12" hidden="1" x14ac:dyDescent="0.25">
      <c r="A203" s="131">
        <v>43335</v>
      </c>
      <c r="B203" s="75" t="s">
        <v>838</v>
      </c>
      <c r="C203" s="75" t="s">
        <v>839</v>
      </c>
      <c r="D203" s="75"/>
      <c r="E203" s="75">
        <v>68427709</v>
      </c>
      <c r="F203" s="89">
        <v>-70000</v>
      </c>
      <c r="G203" s="75" t="s">
        <v>309</v>
      </c>
      <c r="H203" s="75" t="s">
        <v>310</v>
      </c>
      <c r="I203" s="75" t="s">
        <v>329</v>
      </c>
      <c r="J203" s="75">
        <v>2019</v>
      </c>
      <c r="K203" s="75" t="s">
        <v>840</v>
      </c>
      <c r="L203" s="132" t="s">
        <v>841</v>
      </c>
    </row>
    <row r="204" spans="1:12" hidden="1" x14ac:dyDescent="0.25">
      <c r="A204" s="131">
        <v>43335</v>
      </c>
      <c r="B204" s="75" t="s">
        <v>667</v>
      </c>
      <c r="C204" s="75" t="s">
        <v>839</v>
      </c>
      <c r="D204" s="75"/>
      <c r="E204" s="75">
        <v>68427709</v>
      </c>
      <c r="F204" s="89">
        <v>-100000</v>
      </c>
      <c r="G204" s="75" t="s">
        <v>309</v>
      </c>
      <c r="H204" s="75" t="s">
        <v>310</v>
      </c>
      <c r="I204" s="75" t="s">
        <v>400</v>
      </c>
      <c r="J204" s="75">
        <v>2019</v>
      </c>
      <c r="K204" s="75" t="s">
        <v>840</v>
      </c>
      <c r="L204" s="132" t="s">
        <v>842</v>
      </c>
    </row>
    <row r="205" spans="1:12" hidden="1" x14ac:dyDescent="0.25">
      <c r="A205" s="131">
        <v>43335</v>
      </c>
      <c r="B205" s="75" t="s">
        <v>331</v>
      </c>
      <c r="C205" s="75" t="s">
        <v>843</v>
      </c>
      <c r="D205" s="75" t="s">
        <v>0</v>
      </c>
      <c r="E205" s="75">
        <v>68427709</v>
      </c>
      <c r="F205" s="89">
        <v>84000</v>
      </c>
      <c r="G205" s="75" t="s">
        <v>309</v>
      </c>
      <c r="H205" s="75" t="s">
        <v>310</v>
      </c>
      <c r="I205" s="75" t="s">
        <v>400</v>
      </c>
      <c r="J205" s="75">
        <v>2019</v>
      </c>
      <c r="K205" s="75" t="s">
        <v>507</v>
      </c>
      <c r="L205" s="132" t="s">
        <v>844</v>
      </c>
    </row>
    <row r="206" spans="1:12" hidden="1" x14ac:dyDescent="0.25">
      <c r="A206" s="37">
        <v>43338</v>
      </c>
      <c r="B206" s="75" t="s">
        <v>784</v>
      </c>
      <c r="C206" s="75" t="s">
        <v>95</v>
      </c>
      <c r="D206" s="75" t="s">
        <v>754</v>
      </c>
      <c r="E206" s="75">
        <v>68427709</v>
      </c>
      <c r="F206" s="136">
        <f>1096000-F175</f>
        <v>-838000</v>
      </c>
      <c r="G206" s="75" t="s">
        <v>309</v>
      </c>
      <c r="H206" s="75" t="s">
        <v>845</v>
      </c>
      <c r="I206" s="75" t="s">
        <v>400</v>
      </c>
      <c r="J206" s="75">
        <v>2019</v>
      </c>
      <c r="K206" s="75" t="s">
        <v>486</v>
      </c>
      <c r="L206" s="135" t="s">
        <v>846</v>
      </c>
    </row>
    <row r="207" spans="1:12" hidden="1" x14ac:dyDescent="0.25">
      <c r="A207" s="37">
        <v>43339</v>
      </c>
      <c r="B207" s="75" t="s">
        <v>847</v>
      </c>
      <c r="C207" s="75" t="s">
        <v>323</v>
      </c>
      <c r="D207" s="75"/>
      <c r="E207" s="75">
        <v>68427709</v>
      </c>
      <c r="F207" s="136">
        <v>-2000000</v>
      </c>
      <c r="G207" s="75" t="s">
        <v>309</v>
      </c>
      <c r="H207" s="75" t="s">
        <v>310</v>
      </c>
      <c r="I207" s="75" t="s">
        <v>848</v>
      </c>
      <c r="J207" s="75">
        <v>2019</v>
      </c>
      <c r="K207" s="75" t="s">
        <v>840</v>
      </c>
      <c r="L207" s="135" t="s">
        <v>849</v>
      </c>
    </row>
    <row r="208" spans="1:12" hidden="1" x14ac:dyDescent="0.25">
      <c r="A208" s="37">
        <v>43339</v>
      </c>
      <c r="B208" s="75" t="s">
        <v>850</v>
      </c>
      <c r="C208" s="75" t="s">
        <v>851</v>
      </c>
      <c r="D208" s="75" t="s">
        <v>0</v>
      </c>
      <c r="E208" s="75">
        <v>68427709</v>
      </c>
      <c r="F208" s="89">
        <v>-38000</v>
      </c>
      <c r="G208" s="75" t="s">
        <v>309</v>
      </c>
      <c r="H208" s="75" t="s">
        <v>310</v>
      </c>
      <c r="I208" s="75" t="s">
        <v>400</v>
      </c>
      <c r="J208" s="75">
        <v>2019</v>
      </c>
      <c r="K208" s="75" t="s">
        <v>852</v>
      </c>
      <c r="L208" s="75" t="s">
        <v>853</v>
      </c>
    </row>
    <row r="209" spans="1:12" hidden="1" x14ac:dyDescent="0.25">
      <c r="A209" s="37">
        <v>43339</v>
      </c>
      <c r="B209" s="75" t="s">
        <v>854</v>
      </c>
      <c r="C209" s="75" t="s">
        <v>855</v>
      </c>
      <c r="D209" s="75" t="s">
        <v>657</v>
      </c>
      <c r="E209" s="75">
        <v>68427709</v>
      </c>
      <c r="F209" s="89">
        <v>-1314581</v>
      </c>
      <c r="G209" s="75" t="s">
        <v>309</v>
      </c>
      <c r="H209" s="75" t="s">
        <v>310</v>
      </c>
      <c r="I209" s="75" t="s">
        <v>444</v>
      </c>
      <c r="J209" s="75">
        <v>2019</v>
      </c>
      <c r="K209" s="75" t="s">
        <v>840</v>
      </c>
      <c r="L209" s="75" t="s">
        <v>856</v>
      </c>
    </row>
    <row r="210" spans="1:12" hidden="1" x14ac:dyDescent="0.25">
      <c r="A210" s="37">
        <v>43339</v>
      </c>
      <c r="B210" s="75" t="s">
        <v>857</v>
      </c>
      <c r="C210" s="75" t="s">
        <v>858</v>
      </c>
      <c r="D210" s="75" t="s">
        <v>323</v>
      </c>
      <c r="E210" s="75">
        <v>68427709</v>
      </c>
      <c r="F210" s="89">
        <v>-750000</v>
      </c>
      <c r="G210" s="75" t="s">
        <v>309</v>
      </c>
      <c r="H210" s="75" t="s">
        <v>310</v>
      </c>
      <c r="I210" s="75" t="s">
        <v>848</v>
      </c>
      <c r="J210" s="75">
        <v>2019</v>
      </c>
      <c r="K210" s="75" t="s">
        <v>840</v>
      </c>
      <c r="L210" s="75" t="s">
        <v>858</v>
      </c>
    </row>
    <row r="211" spans="1:12" hidden="1" x14ac:dyDescent="0.25">
      <c r="A211" s="137">
        <v>43339</v>
      </c>
      <c r="B211" s="80" t="s">
        <v>859</v>
      </c>
      <c r="C211" s="80" t="s">
        <v>860</v>
      </c>
      <c r="D211" s="80" t="s">
        <v>0</v>
      </c>
      <c r="E211" s="80">
        <v>68427709</v>
      </c>
      <c r="F211" s="115">
        <v>-35000</v>
      </c>
      <c r="G211" s="80" t="s">
        <v>309</v>
      </c>
      <c r="H211" s="80" t="s">
        <v>310</v>
      </c>
      <c r="I211" s="80" t="s">
        <v>400</v>
      </c>
      <c r="J211" s="80">
        <v>2019</v>
      </c>
      <c r="K211" s="80" t="s">
        <v>852</v>
      </c>
      <c r="L211" s="80" t="s">
        <v>861</v>
      </c>
    </row>
    <row r="212" spans="1:12" hidden="1" x14ac:dyDescent="0.25">
      <c r="A212" s="78">
        <v>43402</v>
      </c>
      <c r="B212" s="75" t="s">
        <v>862</v>
      </c>
      <c r="C212" s="75" t="s">
        <v>863</v>
      </c>
      <c r="D212" s="75" t="s">
        <v>864</v>
      </c>
      <c r="E212" s="75">
        <v>68427709</v>
      </c>
      <c r="F212" s="89">
        <v>2500</v>
      </c>
      <c r="G212" s="75" t="s">
        <v>309</v>
      </c>
      <c r="H212" s="75" t="s">
        <v>310</v>
      </c>
      <c r="I212" s="75" t="s">
        <v>400</v>
      </c>
      <c r="J212" s="75">
        <v>2020</v>
      </c>
      <c r="K212" s="75" t="s">
        <v>312</v>
      </c>
      <c r="L212" s="75" t="s">
        <v>865</v>
      </c>
    </row>
    <row r="213" spans="1:12" hidden="1" x14ac:dyDescent="0.25">
      <c r="A213" s="78">
        <v>43403</v>
      </c>
      <c r="B213" s="75" t="s">
        <v>866</v>
      </c>
      <c r="C213" s="75" t="s">
        <v>867</v>
      </c>
      <c r="D213" s="75" t="s">
        <v>0</v>
      </c>
      <c r="E213" s="75">
        <v>68427709</v>
      </c>
      <c r="F213" s="89">
        <v>-144000</v>
      </c>
      <c r="G213" s="75" t="s">
        <v>309</v>
      </c>
      <c r="H213" s="75" t="s">
        <v>310</v>
      </c>
      <c r="I213" s="75" t="s">
        <v>324</v>
      </c>
      <c r="J213" s="75">
        <v>2020</v>
      </c>
      <c r="K213" s="75" t="s">
        <v>868</v>
      </c>
      <c r="L213" s="75" t="s">
        <v>869</v>
      </c>
    </row>
    <row r="214" spans="1:12" hidden="1" x14ac:dyDescent="0.25">
      <c r="A214" s="78">
        <v>43420</v>
      </c>
      <c r="B214" s="75" t="s">
        <v>870</v>
      </c>
      <c r="C214" s="75" t="s">
        <v>871</v>
      </c>
      <c r="D214" s="75" t="s">
        <v>0</v>
      </c>
      <c r="E214" s="75">
        <v>68427709</v>
      </c>
      <c r="F214" s="89">
        <v>9000</v>
      </c>
      <c r="G214" s="75" t="s">
        <v>309</v>
      </c>
      <c r="H214" s="75" t="s">
        <v>310</v>
      </c>
      <c r="I214" s="75" t="s">
        <v>400</v>
      </c>
      <c r="J214" s="75">
        <v>2020</v>
      </c>
      <c r="K214" s="75" t="s">
        <v>629</v>
      </c>
      <c r="L214" s="75" t="s">
        <v>872</v>
      </c>
    </row>
    <row r="215" spans="1:12" hidden="1" x14ac:dyDescent="0.25">
      <c r="A215" s="78">
        <v>43433</v>
      </c>
      <c r="B215" s="75" t="s">
        <v>873</v>
      </c>
      <c r="C215" s="75" t="s">
        <v>874</v>
      </c>
      <c r="D215" s="75" t="s">
        <v>0</v>
      </c>
      <c r="E215" s="75">
        <v>68427709</v>
      </c>
      <c r="F215" s="89">
        <v>60000</v>
      </c>
      <c r="G215" s="75" t="s">
        <v>309</v>
      </c>
      <c r="H215" s="75" t="s">
        <v>310</v>
      </c>
      <c r="I215" s="75" t="s">
        <v>400</v>
      </c>
      <c r="J215" s="75">
        <v>2020</v>
      </c>
      <c r="K215" s="75" t="s">
        <v>312</v>
      </c>
      <c r="L215" s="75" t="s">
        <v>875</v>
      </c>
    </row>
    <row r="216" spans="1:12" hidden="1" x14ac:dyDescent="0.25">
      <c r="A216" s="78">
        <v>43437</v>
      </c>
      <c r="B216" s="75" t="s">
        <v>876</v>
      </c>
      <c r="C216" s="75" t="s">
        <v>877</v>
      </c>
      <c r="D216" s="75" t="s">
        <v>323</v>
      </c>
      <c r="E216" s="75">
        <v>68427719</v>
      </c>
      <c r="F216" s="89">
        <v>20000</v>
      </c>
      <c r="G216" s="75" t="s">
        <v>309</v>
      </c>
      <c r="H216" s="75" t="s">
        <v>310</v>
      </c>
      <c r="I216" s="75" t="s">
        <v>400</v>
      </c>
      <c r="J216" s="75">
        <v>2020</v>
      </c>
      <c r="K216" s="75" t="s">
        <v>312</v>
      </c>
      <c r="L216" s="75" t="s">
        <v>878</v>
      </c>
    </row>
    <row r="217" spans="1:12" hidden="1" x14ac:dyDescent="0.25">
      <c r="A217" s="78">
        <v>43445</v>
      </c>
      <c r="B217" s="75" t="s">
        <v>879</v>
      </c>
      <c r="C217" s="75" t="s">
        <v>880</v>
      </c>
      <c r="D217" s="75" t="s">
        <v>0</v>
      </c>
      <c r="E217" s="75">
        <v>68427709</v>
      </c>
      <c r="F217" s="89">
        <v>9000</v>
      </c>
      <c r="G217" s="75" t="s">
        <v>309</v>
      </c>
      <c r="H217" s="75" t="s">
        <v>310</v>
      </c>
      <c r="I217" s="75" t="s">
        <v>400</v>
      </c>
      <c r="J217" s="75">
        <v>2020</v>
      </c>
      <c r="K217" s="75" t="s">
        <v>629</v>
      </c>
      <c r="L217" s="75" t="s">
        <v>881</v>
      </c>
    </row>
    <row r="218" spans="1:12" hidden="1" x14ac:dyDescent="0.25">
      <c r="A218" s="78">
        <v>43451</v>
      </c>
      <c r="B218" s="75" t="s">
        <v>882</v>
      </c>
      <c r="C218" s="75" t="s">
        <v>883</v>
      </c>
      <c r="D218" s="75" t="s">
        <v>633</v>
      </c>
      <c r="E218" s="75">
        <v>68427709</v>
      </c>
      <c r="F218" s="89">
        <v>14000</v>
      </c>
      <c r="G218" s="75" t="s">
        <v>309</v>
      </c>
      <c r="H218" s="75" t="s">
        <v>310</v>
      </c>
      <c r="I218" s="75" t="s">
        <v>329</v>
      </c>
      <c r="J218" s="75">
        <v>2020</v>
      </c>
      <c r="K218" s="75" t="s">
        <v>312</v>
      </c>
      <c r="L218" s="75" t="s">
        <v>884</v>
      </c>
    </row>
    <row r="219" spans="1:12" hidden="1" x14ac:dyDescent="0.25">
      <c r="A219" s="78">
        <v>43451</v>
      </c>
      <c r="B219" s="75" t="s">
        <v>885</v>
      </c>
      <c r="C219" s="75" t="s">
        <v>886</v>
      </c>
      <c r="D219" s="75" t="s">
        <v>0</v>
      </c>
      <c r="E219" s="75">
        <v>68427709</v>
      </c>
      <c r="F219" s="89">
        <v>12000</v>
      </c>
      <c r="G219" s="75" t="s">
        <v>309</v>
      </c>
      <c r="H219" s="75" t="s">
        <v>310</v>
      </c>
      <c r="I219" s="75" t="s">
        <v>329</v>
      </c>
      <c r="J219" s="75">
        <v>2020</v>
      </c>
      <c r="K219" s="75" t="s">
        <v>423</v>
      </c>
      <c r="L219" s="75" t="s">
        <v>887</v>
      </c>
    </row>
    <row r="220" spans="1:12" hidden="1" x14ac:dyDescent="0.25">
      <c r="A220" s="78">
        <v>43454</v>
      </c>
      <c r="B220" s="75" t="s">
        <v>327</v>
      </c>
      <c r="C220" s="75" t="s">
        <v>888</v>
      </c>
      <c r="D220" s="75" t="s">
        <v>0</v>
      </c>
      <c r="E220" s="75">
        <v>68427709</v>
      </c>
      <c r="F220" s="89">
        <v>25000</v>
      </c>
      <c r="G220" s="75" t="s">
        <v>309</v>
      </c>
      <c r="H220" s="75" t="s">
        <v>310</v>
      </c>
      <c r="I220" s="75" t="s">
        <v>400</v>
      </c>
      <c r="J220" s="75">
        <v>2020</v>
      </c>
      <c r="K220" s="75" t="s">
        <v>423</v>
      </c>
      <c r="L220" s="75" t="s">
        <v>889</v>
      </c>
    </row>
    <row r="221" spans="1:12" hidden="1" x14ac:dyDescent="0.25">
      <c r="A221" s="78">
        <v>43467</v>
      </c>
      <c r="B221" s="75" t="s">
        <v>576</v>
      </c>
      <c r="C221" s="75" t="s">
        <v>890</v>
      </c>
      <c r="D221" s="75" t="s">
        <v>0</v>
      </c>
      <c r="E221" s="75">
        <v>68427709</v>
      </c>
      <c r="F221" s="89">
        <v>2500</v>
      </c>
      <c r="G221" s="75" t="s">
        <v>309</v>
      </c>
      <c r="H221" s="75" t="s">
        <v>310</v>
      </c>
      <c r="I221" s="75" t="s">
        <v>400</v>
      </c>
      <c r="J221" s="75">
        <v>2020</v>
      </c>
      <c r="K221" s="75" t="s">
        <v>738</v>
      </c>
      <c r="L221" s="75" t="s">
        <v>891</v>
      </c>
    </row>
    <row r="222" spans="1:12" hidden="1" x14ac:dyDescent="0.25">
      <c r="A222" s="78">
        <v>43468</v>
      </c>
      <c r="B222" s="75" t="s">
        <v>892</v>
      </c>
      <c r="C222" s="75" t="s">
        <v>893</v>
      </c>
      <c r="D222" s="75" t="s">
        <v>0</v>
      </c>
      <c r="E222" s="75">
        <v>68427709</v>
      </c>
      <c r="F222" s="89">
        <v>-110000</v>
      </c>
      <c r="G222" s="75" t="s">
        <v>309</v>
      </c>
      <c r="H222" s="75" t="s">
        <v>310</v>
      </c>
      <c r="I222" s="75" t="s">
        <v>324</v>
      </c>
      <c r="J222" s="75">
        <v>2020</v>
      </c>
      <c r="K222" s="75" t="s">
        <v>423</v>
      </c>
      <c r="L222" s="75" t="s">
        <v>894</v>
      </c>
    </row>
    <row r="223" spans="1:12" hidden="1" x14ac:dyDescent="0.25">
      <c r="A223" s="78">
        <v>43468</v>
      </c>
      <c r="B223" s="75" t="s">
        <v>895</v>
      </c>
      <c r="C223" s="75" t="s">
        <v>896</v>
      </c>
      <c r="D223" s="75" t="s">
        <v>0</v>
      </c>
      <c r="E223" s="75">
        <v>68427709</v>
      </c>
      <c r="F223" s="89">
        <v>50000</v>
      </c>
      <c r="G223" s="75" t="s">
        <v>309</v>
      </c>
      <c r="H223" s="75" t="s">
        <v>310</v>
      </c>
      <c r="I223" s="75" t="s">
        <v>329</v>
      </c>
      <c r="J223" s="75">
        <v>2020</v>
      </c>
      <c r="K223" s="75" t="s">
        <v>423</v>
      </c>
      <c r="L223" s="75" t="s">
        <v>897</v>
      </c>
    </row>
    <row r="224" spans="1:12" hidden="1" x14ac:dyDescent="0.25">
      <c r="A224" s="78">
        <v>43474</v>
      </c>
      <c r="B224" s="75" t="s">
        <v>898</v>
      </c>
      <c r="C224" s="75" t="s">
        <v>899</v>
      </c>
      <c r="D224" s="75" t="s">
        <v>0</v>
      </c>
      <c r="E224" s="75">
        <v>68427709</v>
      </c>
      <c r="F224" s="89">
        <v>8200</v>
      </c>
      <c r="G224" s="75" t="s">
        <v>309</v>
      </c>
      <c r="H224" s="75" t="s">
        <v>310</v>
      </c>
      <c r="I224" s="75" t="s">
        <v>400</v>
      </c>
      <c r="J224" s="75">
        <v>2020</v>
      </c>
      <c r="K224" s="75" t="s">
        <v>900</v>
      </c>
      <c r="L224" s="75" t="s">
        <v>901</v>
      </c>
    </row>
    <row r="225" spans="1:12" hidden="1" x14ac:dyDescent="0.25">
      <c r="A225" s="78">
        <v>43486</v>
      </c>
      <c r="B225" s="75" t="s">
        <v>902</v>
      </c>
      <c r="C225" s="75" t="s">
        <v>903</v>
      </c>
      <c r="D225" s="75" t="s">
        <v>0</v>
      </c>
      <c r="E225" s="75">
        <v>68427709</v>
      </c>
      <c r="F225" s="89">
        <f>135000*0.6</f>
        <v>81000</v>
      </c>
      <c r="G225" s="75" t="s">
        <v>498</v>
      </c>
      <c r="H225" s="75" t="s">
        <v>310</v>
      </c>
      <c r="I225" s="75" t="s">
        <v>329</v>
      </c>
      <c r="J225" s="75">
        <v>2020</v>
      </c>
      <c r="K225" s="75" t="s">
        <v>393</v>
      </c>
      <c r="L225" s="75" t="s">
        <v>904</v>
      </c>
    </row>
    <row r="226" spans="1:12" hidden="1" x14ac:dyDescent="0.25">
      <c r="A226" s="78">
        <v>43490</v>
      </c>
      <c r="B226" s="75" t="s">
        <v>898</v>
      </c>
      <c r="C226" s="75" t="s">
        <v>905</v>
      </c>
      <c r="D226" t="s">
        <v>0</v>
      </c>
      <c r="E226" s="75">
        <v>68427709</v>
      </c>
      <c r="F226" s="89">
        <v>3000</v>
      </c>
      <c r="G226" s="75" t="s">
        <v>309</v>
      </c>
      <c r="H226" s="75" t="s">
        <v>310</v>
      </c>
      <c r="I226" s="75" t="s">
        <v>400</v>
      </c>
      <c r="J226" s="75">
        <v>2020</v>
      </c>
      <c r="K226" s="75" t="s">
        <v>507</v>
      </c>
      <c r="L226" s="75" t="s">
        <v>906</v>
      </c>
    </row>
    <row r="227" spans="1:12" hidden="1" x14ac:dyDescent="0.25">
      <c r="A227" s="78">
        <v>43494</v>
      </c>
      <c r="B227" s="75" t="s">
        <v>907</v>
      </c>
      <c r="C227" s="75" t="s">
        <v>908</v>
      </c>
      <c r="D227" s="75" t="s">
        <v>323</v>
      </c>
      <c r="E227" s="75">
        <v>68427719</v>
      </c>
      <c r="F227" s="89">
        <v>52000</v>
      </c>
      <c r="G227" s="75" t="s">
        <v>309</v>
      </c>
      <c r="H227" s="75" t="s">
        <v>310</v>
      </c>
      <c r="I227" s="75" t="s">
        <v>400</v>
      </c>
      <c r="J227" s="75">
        <v>2020</v>
      </c>
      <c r="K227" s="75" t="s">
        <v>507</v>
      </c>
      <c r="L227" s="75" t="s">
        <v>909</v>
      </c>
    </row>
    <row r="228" spans="1:12" hidden="1" x14ac:dyDescent="0.25">
      <c r="A228" s="78">
        <v>43494</v>
      </c>
      <c r="B228" s="75" t="s">
        <v>910</v>
      </c>
      <c r="C228" s="75" t="s">
        <v>911</v>
      </c>
      <c r="D228" s="75" t="s">
        <v>323</v>
      </c>
      <c r="E228" s="75">
        <v>68427719</v>
      </c>
      <c r="F228" s="89">
        <v>90000</v>
      </c>
      <c r="G228" s="75" t="s">
        <v>309</v>
      </c>
      <c r="H228" s="75" t="s">
        <v>310</v>
      </c>
      <c r="I228" s="75" t="s">
        <v>400</v>
      </c>
      <c r="J228" s="75">
        <v>2020</v>
      </c>
      <c r="K228" s="75" t="s">
        <v>507</v>
      </c>
      <c r="L228" s="75" t="s">
        <v>912</v>
      </c>
    </row>
    <row r="229" spans="1:12" hidden="1" x14ac:dyDescent="0.25">
      <c r="A229" s="78">
        <v>43495</v>
      </c>
      <c r="B229" s="75" t="s">
        <v>913</v>
      </c>
      <c r="C229" s="75" t="s">
        <v>914</v>
      </c>
      <c r="D229" s="75" t="s">
        <v>323</v>
      </c>
      <c r="E229" s="75">
        <v>68427719</v>
      </c>
      <c r="F229" s="89">
        <v>49000</v>
      </c>
      <c r="G229" s="75" t="s">
        <v>309</v>
      </c>
      <c r="H229" s="75" t="s">
        <v>310</v>
      </c>
      <c r="I229" s="75" t="s">
        <v>400</v>
      </c>
      <c r="J229" s="75">
        <v>2020</v>
      </c>
      <c r="K229" s="75" t="s">
        <v>367</v>
      </c>
      <c r="L229" s="75" t="s">
        <v>915</v>
      </c>
    </row>
    <row r="230" spans="1:12" hidden="1" x14ac:dyDescent="0.25">
      <c r="A230" s="78">
        <v>43509</v>
      </c>
      <c r="B230" s="75" t="s">
        <v>321</v>
      </c>
      <c r="C230" s="75" t="s">
        <v>916</v>
      </c>
      <c r="D230" s="75" t="s">
        <v>323</v>
      </c>
      <c r="E230" s="75">
        <v>68427709</v>
      </c>
      <c r="F230" s="89">
        <v>2000</v>
      </c>
      <c r="G230" s="75" t="s">
        <v>309</v>
      </c>
      <c r="H230" s="75" t="s">
        <v>310</v>
      </c>
      <c r="I230" s="75" t="s">
        <v>400</v>
      </c>
      <c r="J230" s="75">
        <v>2020</v>
      </c>
      <c r="K230" s="75" t="s">
        <v>738</v>
      </c>
      <c r="L230" s="148" t="s">
        <v>917</v>
      </c>
    </row>
    <row r="231" spans="1:12" hidden="1" x14ac:dyDescent="0.25">
      <c r="A231" s="78">
        <v>43510</v>
      </c>
      <c r="B231" s="75" t="s">
        <v>918</v>
      </c>
      <c r="C231" s="75" t="s">
        <v>919</v>
      </c>
      <c r="D231" s="75" t="s">
        <v>0</v>
      </c>
      <c r="E231" s="75">
        <v>68427709</v>
      </c>
      <c r="F231" s="89">
        <v>-50000</v>
      </c>
      <c r="G231" s="75" t="s">
        <v>309</v>
      </c>
      <c r="H231" s="75" t="s">
        <v>310</v>
      </c>
      <c r="I231" s="75" t="s">
        <v>400</v>
      </c>
      <c r="J231" s="75">
        <v>2020</v>
      </c>
      <c r="K231" s="75" t="s">
        <v>868</v>
      </c>
      <c r="L231" s="75"/>
    </row>
    <row r="232" spans="1:12" hidden="1" x14ac:dyDescent="0.25">
      <c r="A232" s="78">
        <v>43515</v>
      </c>
      <c r="B232" s="75" t="s">
        <v>920</v>
      </c>
      <c r="C232" s="75" t="s">
        <v>921</v>
      </c>
      <c r="D232" s="75" t="s">
        <v>0</v>
      </c>
      <c r="E232" s="75">
        <v>68427709</v>
      </c>
      <c r="F232" s="89">
        <v>7000</v>
      </c>
      <c r="G232" s="75" t="s">
        <v>309</v>
      </c>
      <c r="H232" s="75" t="s">
        <v>310</v>
      </c>
      <c r="I232" s="75" t="s">
        <v>400</v>
      </c>
      <c r="J232" s="75">
        <v>2020</v>
      </c>
      <c r="K232" s="75" t="s">
        <v>493</v>
      </c>
      <c r="L232" s="75" t="s">
        <v>922</v>
      </c>
    </row>
    <row r="233" spans="1:12" hidden="1" x14ac:dyDescent="0.25">
      <c r="A233" s="78">
        <v>43515</v>
      </c>
      <c r="B233" s="75" t="s">
        <v>923</v>
      </c>
      <c r="C233" s="75" t="s">
        <v>924</v>
      </c>
      <c r="D233" s="75" t="s">
        <v>0</v>
      </c>
      <c r="E233" s="75">
        <v>68427709</v>
      </c>
      <c r="F233" s="89">
        <v>2600</v>
      </c>
      <c r="G233" s="75" t="s">
        <v>309</v>
      </c>
      <c r="H233" s="75" t="s">
        <v>310</v>
      </c>
      <c r="I233" s="75" t="s">
        <v>400</v>
      </c>
      <c r="J233" s="75">
        <v>2020</v>
      </c>
      <c r="K233" s="75" t="s">
        <v>925</v>
      </c>
      <c r="L233" s="75" t="s">
        <v>926</v>
      </c>
    </row>
    <row r="234" spans="1:12" hidden="1" x14ac:dyDescent="0.25">
      <c r="A234" s="78">
        <v>43517</v>
      </c>
      <c r="B234" s="75" t="s">
        <v>927</v>
      </c>
      <c r="C234" s="75" t="s">
        <v>928</v>
      </c>
      <c r="D234" s="75" t="s">
        <v>0</v>
      </c>
      <c r="E234" s="75">
        <v>68427709</v>
      </c>
      <c r="F234" s="89">
        <v>4000</v>
      </c>
      <c r="G234" s="75" t="s">
        <v>309</v>
      </c>
      <c r="H234" s="75" t="s">
        <v>310</v>
      </c>
      <c r="I234" s="75" t="s">
        <v>324</v>
      </c>
      <c r="J234" s="75">
        <v>2020</v>
      </c>
      <c r="K234" s="75" t="s">
        <v>389</v>
      </c>
      <c r="L234" s="75" t="s">
        <v>929</v>
      </c>
    </row>
    <row r="235" spans="1:12" hidden="1" x14ac:dyDescent="0.25">
      <c r="A235" s="78">
        <v>43528</v>
      </c>
      <c r="B235" s="75" t="s">
        <v>930</v>
      </c>
      <c r="C235" s="75" t="s">
        <v>931</v>
      </c>
      <c r="D235" s="75" t="s">
        <v>0</v>
      </c>
      <c r="E235" s="75">
        <v>68427709</v>
      </c>
      <c r="F235" s="89">
        <v>10000</v>
      </c>
      <c r="G235" s="75" t="s">
        <v>309</v>
      </c>
      <c r="H235" s="75" t="s">
        <v>310</v>
      </c>
      <c r="I235" s="75" t="s">
        <v>324</v>
      </c>
      <c r="J235" s="75">
        <v>2020</v>
      </c>
      <c r="K235" s="75" t="s">
        <v>312</v>
      </c>
      <c r="L235" s="75" t="s">
        <v>932</v>
      </c>
    </row>
    <row r="236" spans="1:12" hidden="1" x14ac:dyDescent="0.25">
      <c r="A236" s="78">
        <v>43528</v>
      </c>
      <c r="B236" s="75" t="s">
        <v>540</v>
      </c>
      <c r="C236" s="75" t="s">
        <v>933</v>
      </c>
      <c r="D236" s="75" t="s">
        <v>0</v>
      </c>
      <c r="E236" s="75">
        <v>68427709</v>
      </c>
      <c r="F236" s="89">
        <v>10000</v>
      </c>
      <c r="G236" s="75" t="s">
        <v>309</v>
      </c>
      <c r="H236" s="75" t="s">
        <v>310</v>
      </c>
      <c r="I236" s="75" t="s">
        <v>400</v>
      </c>
      <c r="J236" s="75">
        <v>2020</v>
      </c>
      <c r="K236" s="75" t="s">
        <v>934</v>
      </c>
      <c r="L236" s="75" t="s">
        <v>935</v>
      </c>
    </row>
    <row r="237" spans="1:12" hidden="1" x14ac:dyDescent="0.25">
      <c r="A237" s="78">
        <v>43535</v>
      </c>
      <c r="B237" s="75" t="s">
        <v>936</v>
      </c>
      <c r="C237" s="75" t="s">
        <v>937</v>
      </c>
      <c r="D237" s="75" t="s">
        <v>323</v>
      </c>
      <c r="E237" s="75">
        <v>68427719</v>
      </c>
      <c r="F237" s="89">
        <v>750000</v>
      </c>
      <c r="G237" s="75" t="s">
        <v>309</v>
      </c>
      <c r="H237" s="75" t="s">
        <v>310</v>
      </c>
      <c r="I237" s="75" t="s">
        <v>329</v>
      </c>
      <c r="J237" s="75">
        <v>2020</v>
      </c>
      <c r="K237" s="75" t="s">
        <v>738</v>
      </c>
      <c r="L237" s="75" t="s">
        <v>938</v>
      </c>
    </row>
    <row r="238" spans="1:12" hidden="1" x14ac:dyDescent="0.25">
      <c r="A238" s="78">
        <v>43535</v>
      </c>
      <c r="B238" s="75" t="s">
        <v>939</v>
      </c>
      <c r="C238" s="75" t="s">
        <v>940</v>
      </c>
      <c r="D238" s="75" t="s">
        <v>0</v>
      </c>
      <c r="E238" s="75">
        <v>68427709</v>
      </c>
      <c r="F238" s="89">
        <v>635000</v>
      </c>
      <c r="G238" s="75" t="s">
        <v>309</v>
      </c>
      <c r="H238" s="75" t="s">
        <v>310</v>
      </c>
      <c r="I238" s="75" t="s">
        <v>329</v>
      </c>
      <c r="J238" s="75">
        <v>2020</v>
      </c>
      <c r="K238" s="75" t="s">
        <v>738</v>
      </c>
      <c r="L238" s="148" t="s">
        <v>941</v>
      </c>
    </row>
    <row r="239" spans="1:12" hidden="1" x14ac:dyDescent="0.25">
      <c r="A239" s="78">
        <v>43535</v>
      </c>
      <c r="B239" s="116" t="s">
        <v>812</v>
      </c>
      <c r="C239" s="75" t="s">
        <v>942</v>
      </c>
      <c r="D239" s="75" t="s">
        <v>323</v>
      </c>
      <c r="E239" s="75">
        <v>68427709</v>
      </c>
      <c r="F239" s="89">
        <v>-120000</v>
      </c>
      <c r="G239" s="75" t="s">
        <v>309</v>
      </c>
      <c r="H239" s="75" t="s">
        <v>310</v>
      </c>
      <c r="I239" s="75" t="s">
        <v>329</v>
      </c>
      <c r="J239" s="75">
        <v>2020</v>
      </c>
      <c r="K239" s="75" t="s">
        <v>738</v>
      </c>
      <c r="L239" s="75" t="s">
        <v>943</v>
      </c>
    </row>
    <row r="240" spans="1:12" hidden="1" x14ac:dyDescent="0.25">
      <c r="A240" s="78">
        <v>43535</v>
      </c>
      <c r="B240" s="75" t="s">
        <v>521</v>
      </c>
      <c r="C240" s="75" t="s">
        <v>522</v>
      </c>
      <c r="D240" s="75" t="s">
        <v>0</v>
      </c>
      <c r="E240" s="75">
        <v>68427709</v>
      </c>
      <c r="F240" s="89">
        <v>-24000</v>
      </c>
      <c r="G240" s="75" t="s">
        <v>309</v>
      </c>
      <c r="H240" s="75" t="s">
        <v>310</v>
      </c>
      <c r="I240" s="75" t="s">
        <v>329</v>
      </c>
      <c r="J240" s="75">
        <v>2020</v>
      </c>
      <c r="K240" s="75" t="s">
        <v>738</v>
      </c>
      <c r="L240" s="75" t="s">
        <v>943</v>
      </c>
    </row>
    <row r="241" spans="1:12" hidden="1" x14ac:dyDescent="0.25">
      <c r="A241" s="78">
        <v>43535</v>
      </c>
      <c r="B241" s="75" t="s">
        <v>944</v>
      </c>
      <c r="C241" s="75" t="s">
        <v>945</v>
      </c>
      <c r="D241" s="75" t="s">
        <v>548</v>
      </c>
      <c r="E241" s="75">
        <v>68427709</v>
      </c>
      <c r="F241" s="89">
        <v>50000</v>
      </c>
      <c r="G241" s="75" t="s">
        <v>309</v>
      </c>
      <c r="H241" s="75" t="s">
        <v>310</v>
      </c>
      <c r="I241" s="75" t="s">
        <v>329</v>
      </c>
      <c r="J241" s="75">
        <v>2020</v>
      </c>
      <c r="K241" s="75" t="s">
        <v>738</v>
      </c>
      <c r="L241" s="75" t="s">
        <v>946</v>
      </c>
    </row>
    <row r="242" spans="1:12" hidden="1" x14ac:dyDescent="0.25">
      <c r="A242" s="78">
        <v>43535</v>
      </c>
      <c r="B242" s="75" t="s">
        <v>479</v>
      </c>
      <c r="C242" s="75" t="s">
        <v>947</v>
      </c>
      <c r="D242" s="75" t="s">
        <v>323</v>
      </c>
      <c r="E242" s="75">
        <v>68427709</v>
      </c>
      <c r="F242" s="89">
        <v>42000</v>
      </c>
      <c r="G242" s="75" t="s">
        <v>309</v>
      </c>
      <c r="H242" s="75" t="s">
        <v>310</v>
      </c>
      <c r="I242" s="75" t="s">
        <v>400</v>
      </c>
      <c r="J242" s="75">
        <v>2020</v>
      </c>
      <c r="K242" s="75" t="s">
        <v>312</v>
      </c>
      <c r="L242" s="75" t="s">
        <v>948</v>
      </c>
    </row>
    <row r="243" spans="1:12" hidden="1" x14ac:dyDescent="0.25">
      <c r="A243" s="78">
        <v>43536</v>
      </c>
      <c r="B243" s="75" t="s">
        <v>949</v>
      </c>
      <c r="C243" s="75" t="s">
        <v>950</v>
      </c>
      <c r="D243" s="75" t="s">
        <v>0</v>
      </c>
      <c r="E243" s="75">
        <v>68427709</v>
      </c>
      <c r="F243" s="89">
        <v>86000</v>
      </c>
      <c r="G243" s="75" t="s">
        <v>309</v>
      </c>
      <c r="H243" s="75" t="s">
        <v>310</v>
      </c>
      <c r="I243" s="75" t="s">
        <v>400</v>
      </c>
      <c r="J243" s="75">
        <v>2020</v>
      </c>
      <c r="K243" s="75" t="s">
        <v>434</v>
      </c>
      <c r="L243" s="75" t="s">
        <v>951</v>
      </c>
    </row>
    <row r="244" spans="1:12" hidden="1" x14ac:dyDescent="0.25">
      <c r="A244" s="78">
        <v>43538</v>
      </c>
      <c r="B244" s="75" t="s">
        <v>381</v>
      </c>
      <c r="C244" s="75" t="s">
        <v>952</v>
      </c>
      <c r="D244" s="75" t="s">
        <v>0</v>
      </c>
      <c r="E244" s="75">
        <v>68427709</v>
      </c>
      <c r="F244" s="89">
        <v>-220000</v>
      </c>
      <c r="G244" s="75" t="s">
        <v>309</v>
      </c>
      <c r="H244" s="75" t="s">
        <v>310</v>
      </c>
      <c r="I244" s="75" t="s">
        <v>329</v>
      </c>
      <c r="J244" s="75">
        <v>2020</v>
      </c>
      <c r="K244" s="75" t="s">
        <v>382</v>
      </c>
      <c r="L244" s="75" t="s">
        <v>953</v>
      </c>
    </row>
    <row r="245" spans="1:12" hidden="1" x14ac:dyDescent="0.25">
      <c r="A245" s="78">
        <v>43538</v>
      </c>
      <c r="B245" s="75" t="s">
        <v>954</v>
      </c>
      <c r="C245" s="75" t="s">
        <v>955</v>
      </c>
      <c r="D245" s="75" t="s">
        <v>0</v>
      </c>
      <c r="E245" s="75">
        <v>68427709</v>
      </c>
      <c r="F245" s="89">
        <v>315000</v>
      </c>
      <c r="G245" s="75" t="s">
        <v>309</v>
      </c>
      <c r="H245" s="75" t="s">
        <v>310</v>
      </c>
      <c r="I245" s="75" t="s">
        <v>329</v>
      </c>
      <c r="J245" s="75">
        <v>2020</v>
      </c>
      <c r="K245" s="75" t="s">
        <v>382</v>
      </c>
      <c r="L245" s="75"/>
    </row>
    <row r="246" spans="1:12" hidden="1" x14ac:dyDescent="0.25">
      <c r="A246" s="78">
        <v>43538</v>
      </c>
      <c r="B246" s="75" t="s">
        <v>956</v>
      </c>
      <c r="C246" s="75" t="s">
        <v>955</v>
      </c>
      <c r="D246" s="75" t="s">
        <v>0</v>
      </c>
      <c r="E246" s="75">
        <v>68427709</v>
      </c>
      <c r="F246" s="89">
        <v>120000</v>
      </c>
      <c r="G246" s="75" t="s">
        <v>309</v>
      </c>
      <c r="H246" s="75" t="s">
        <v>310</v>
      </c>
      <c r="I246" s="75" t="s">
        <v>329</v>
      </c>
      <c r="J246" s="75">
        <v>2020</v>
      </c>
      <c r="K246" s="75" t="s">
        <v>382</v>
      </c>
      <c r="L246" s="75"/>
    </row>
    <row r="247" spans="1:12" hidden="1" x14ac:dyDescent="0.25">
      <c r="A247" s="78">
        <v>43538</v>
      </c>
      <c r="B247" s="75" t="s">
        <v>384</v>
      </c>
      <c r="C247" s="75" t="s">
        <v>957</v>
      </c>
      <c r="D247" s="75" t="s">
        <v>0</v>
      </c>
      <c r="E247" s="75">
        <v>68427709</v>
      </c>
      <c r="F247" s="89">
        <v>0</v>
      </c>
      <c r="G247" s="75" t="s">
        <v>309</v>
      </c>
      <c r="H247" s="75" t="s">
        <v>310</v>
      </c>
      <c r="I247" s="75" t="s">
        <v>400</v>
      </c>
      <c r="J247" s="75">
        <v>2020</v>
      </c>
      <c r="K247" s="75" t="s">
        <v>382</v>
      </c>
      <c r="L247" s="75" t="s">
        <v>958</v>
      </c>
    </row>
    <row r="248" spans="1:12" hidden="1" x14ac:dyDescent="0.25">
      <c r="A248" s="78">
        <v>43538</v>
      </c>
      <c r="B248" s="75" t="s">
        <v>959</v>
      </c>
      <c r="C248" s="75" t="s">
        <v>960</v>
      </c>
      <c r="D248" s="75" t="s">
        <v>0</v>
      </c>
      <c r="E248" s="75">
        <v>68427709</v>
      </c>
      <c r="F248" s="115">
        <v>0</v>
      </c>
      <c r="G248" s="75" t="s">
        <v>498</v>
      </c>
      <c r="H248" s="75" t="s">
        <v>310</v>
      </c>
      <c r="I248" s="75" t="s">
        <v>329</v>
      </c>
      <c r="J248" s="75">
        <v>2020</v>
      </c>
      <c r="K248" s="75" t="s">
        <v>382</v>
      </c>
      <c r="L248" s="75" t="s">
        <v>961</v>
      </c>
    </row>
    <row r="249" spans="1:12" hidden="1" x14ac:dyDescent="0.25">
      <c r="A249" s="78">
        <v>43550</v>
      </c>
      <c r="B249" s="75" t="s">
        <v>962</v>
      </c>
      <c r="C249" s="75" t="s">
        <v>963</v>
      </c>
      <c r="D249" s="75" t="s">
        <v>0</v>
      </c>
      <c r="E249" s="75">
        <v>68427709</v>
      </c>
      <c r="F249" s="89">
        <v>9000</v>
      </c>
      <c r="G249" s="75" t="s">
        <v>309</v>
      </c>
      <c r="H249" s="75" t="s">
        <v>310</v>
      </c>
      <c r="I249" s="75" t="s">
        <v>400</v>
      </c>
      <c r="J249" s="75">
        <v>2020</v>
      </c>
      <c r="K249" s="75" t="s">
        <v>459</v>
      </c>
      <c r="L249" s="75" t="s">
        <v>964</v>
      </c>
    </row>
    <row r="250" spans="1:12" hidden="1" x14ac:dyDescent="0.25">
      <c r="A250" s="78">
        <v>43581</v>
      </c>
      <c r="B250" s="75" t="s">
        <v>965</v>
      </c>
      <c r="C250" s="75" t="s">
        <v>966</v>
      </c>
      <c r="D250" s="75" t="s">
        <v>323</v>
      </c>
      <c r="E250" s="75">
        <v>68427709</v>
      </c>
      <c r="F250" s="89">
        <v>30000</v>
      </c>
      <c r="G250" s="75" t="s">
        <v>309</v>
      </c>
      <c r="H250" s="75" t="s">
        <v>310</v>
      </c>
      <c r="I250" s="75" t="s">
        <v>400</v>
      </c>
      <c r="J250" s="75">
        <v>2020</v>
      </c>
      <c r="K250" s="75" t="s">
        <v>738</v>
      </c>
      <c r="L250" s="75" t="s">
        <v>967</v>
      </c>
    </row>
    <row r="251" spans="1:12" hidden="1" x14ac:dyDescent="0.25">
      <c r="A251" s="78">
        <v>43587</v>
      </c>
      <c r="B251" s="75" t="s">
        <v>968</v>
      </c>
      <c r="C251" s="75" t="s">
        <v>969</v>
      </c>
      <c r="D251" s="75" t="s">
        <v>970</v>
      </c>
      <c r="E251" s="75">
        <v>68427709</v>
      </c>
      <c r="F251" s="89">
        <v>40000</v>
      </c>
      <c r="G251" s="75" t="s">
        <v>309</v>
      </c>
      <c r="H251" s="75" t="s">
        <v>310</v>
      </c>
      <c r="I251" s="75" t="s">
        <v>329</v>
      </c>
      <c r="J251" s="75">
        <v>2020</v>
      </c>
      <c r="K251" s="75" t="s">
        <v>971</v>
      </c>
      <c r="L251" s="75" t="s">
        <v>972</v>
      </c>
    </row>
    <row r="252" spans="1:12" hidden="1" x14ac:dyDescent="0.25">
      <c r="A252" s="78">
        <v>43591</v>
      </c>
      <c r="B252" s="75" t="s">
        <v>973</v>
      </c>
      <c r="C252" s="75" t="s">
        <v>974</v>
      </c>
      <c r="D252" s="75" t="s">
        <v>323</v>
      </c>
      <c r="E252" s="75">
        <v>68427709</v>
      </c>
      <c r="F252" s="89">
        <v>20000</v>
      </c>
      <c r="G252" s="75" t="s">
        <v>309</v>
      </c>
      <c r="H252" s="75" t="s">
        <v>310</v>
      </c>
      <c r="I252" s="75" t="s">
        <v>400</v>
      </c>
      <c r="J252" s="75">
        <v>2020</v>
      </c>
      <c r="K252" s="75" t="s">
        <v>312</v>
      </c>
      <c r="L252" s="75" t="s">
        <v>975</v>
      </c>
    </row>
    <row r="253" spans="1:12" hidden="1" x14ac:dyDescent="0.25">
      <c r="A253" s="78">
        <v>43591</v>
      </c>
      <c r="B253" s="75" t="s">
        <v>976</v>
      </c>
      <c r="C253" s="75" t="s">
        <v>977</v>
      </c>
      <c r="D253" s="75" t="s">
        <v>848</v>
      </c>
      <c r="E253" s="75">
        <v>68427709</v>
      </c>
      <c r="F253" s="89">
        <v>30000</v>
      </c>
      <c r="G253" s="75" t="s">
        <v>498</v>
      </c>
      <c r="H253" s="75" t="s">
        <v>310</v>
      </c>
      <c r="I253" s="75" t="s">
        <v>687</v>
      </c>
      <c r="J253" s="75">
        <v>2020</v>
      </c>
      <c r="K253" s="75" t="s">
        <v>312</v>
      </c>
      <c r="L253" s="75" t="s">
        <v>978</v>
      </c>
    </row>
    <row r="254" spans="1:12" hidden="1" x14ac:dyDescent="0.25">
      <c r="A254" s="78">
        <v>43592</v>
      </c>
      <c r="B254" s="75" t="s">
        <v>979</v>
      </c>
      <c r="C254" s="75" t="s">
        <v>980</v>
      </c>
      <c r="D254" s="75" t="s">
        <v>0</v>
      </c>
      <c r="E254" s="75">
        <v>68427709</v>
      </c>
      <c r="F254" s="89">
        <v>-145000</v>
      </c>
      <c r="G254" s="75" t="s">
        <v>309</v>
      </c>
      <c r="H254" s="75" t="s">
        <v>310</v>
      </c>
      <c r="I254" s="75" t="s">
        <v>400</v>
      </c>
      <c r="J254" s="75">
        <v>2020</v>
      </c>
      <c r="K254" s="75" t="s">
        <v>459</v>
      </c>
      <c r="L254" s="75" t="s">
        <v>981</v>
      </c>
    </row>
    <row r="255" spans="1:12" hidden="1" x14ac:dyDescent="0.25">
      <c r="A255" s="78">
        <v>43593</v>
      </c>
      <c r="B255" s="75" t="s">
        <v>982</v>
      </c>
      <c r="C255" s="75" t="s">
        <v>983</v>
      </c>
      <c r="D255" s="75" t="s">
        <v>0</v>
      </c>
      <c r="E255" s="75">
        <v>68427709</v>
      </c>
      <c r="F255" s="89">
        <v>250000</v>
      </c>
      <c r="G255" s="75" t="s">
        <v>309</v>
      </c>
      <c r="H255" s="75" t="s">
        <v>310</v>
      </c>
      <c r="I255" s="75" t="s">
        <v>400</v>
      </c>
      <c r="J255" s="75">
        <v>2020</v>
      </c>
      <c r="K255" s="75" t="s">
        <v>751</v>
      </c>
      <c r="L255" s="75" t="s">
        <v>984</v>
      </c>
    </row>
    <row r="256" spans="1:12" hidden="1" x14ac:dyDescent="0.25">
      <c r="A256" s="78">
        <v>43593</v>
      </c>
      <c r="B256" s="75" t="s">
        <v>985</v>
      </c>
      <c r="C256" s="75" t="s">
        <v>986</v>
      </c>
      <c r="D256" s="75" t="s">
        <v>0</v>
      </c>
      <c r="E256" s="75">
        <v>68427709</v>
      </c>
      <c r="F256" s="89">
        <v>75000</v>
      </c>
      <c r="G256" s="75" t="s">
        <v>309</v>
      </c>
      <c r="H256" s="75" t="s">
        <v>310</v>
      </c>
      <c r="I256" s="75" t="s">
        <v>329</v>
      </c>
      <c r="J256" s="75">
        <v>2020</v>
      </c>
      <c r="K256" s="75" t="s">
        <v>751</v>
      </c>
      <c r="L256" s="75" t="s">
        <v>987</v>
      </c>
    </row>
    <row r="257" spans="1:12" hidden="1" x14ac:dyDescent="0.25">
      <c r="A257" s="78">
        <v>43593</v>
      </c>
      <c r="B257" s="75" t="s">
        <v>988</v>
      </c>
      <c r="C257" s="75" t="s">
        <v>989</v>
      </c>
      <c r="D257" s="75" t="s">
        <v>0</v>
      </c>
      <c r="E257" s="75">
        <v>68427709</v>
      </c>
      <c r="F257" s="89">
        <v>120000</v>
      </c>
      <c r="G257" s="75" t="s">
        <v>309</v>
      </c>
      <c r="H257" s="75" t="s">
        <v>310</v>
      </c>
      <c r="I257" s="75" t="s">
        <v>329</v>
      </c>
      <c r="J257" s="75">
        <v>2020</v>
      </c>
      <c r="K257" s="75" t="s">
        <v>751</v>
      </c>
      <c r="L257" s="75" t="s">
        <v>990</v>
      </c>
    </row>
    <row r="258" spans="1:12" hidden="1" x14ac:dyDescent="0.25">
      <c r="A258" s="78">
        <v>43593</v>
      </c>
      <c r="B258" s="75" t="s">
        <v>991</v>
      </c>
      <c r="C258" s="75" t="s">
        <v>992</v>
      </c>
      <c r="D258" s="75" t="s">
        <v>0</v>
      </c>
      <c r="E258" s="75">
        <v>68427709</v>
      </c>
      <c r="F258" s="115"/>
      <c r="G258" s="75" t="s">
        <v>993</v>
      </c>
      <c r="H258" s="75" t="s">
        <v>310</v>
      </c>
      <c r="I258" s="75" t="s">
        <v>329</v>
      </c>
      <c r="J258" s="75">
        <v>2020</v>
      </c>
      <c r="K258" s="75" t="s">
        <v>591</v>
      </c>
      <c r="L258" s="75" t="s">
        <v>994</v>
      </c>
    </row>
    <row r="259" spans="1:12" hidden="1" x14ac:dyDescent="0.25">
      <c r="A259" s="78">
        <v>43593</v>
      </c>
      <c r="B259" s="75" t="s">
        <v>995</v>
      </c>
      <c r="C259" s="75" t="s">
        <v>996</v>
      </c>
      <c r="D259" s="75" t="s">
        <v>323</v>
      </c>
      <c r="E259" s="75">
        <v>68427709</v>
      </c>
      <c r="F259" s="89">
        <v>20000</v>
      </c>
      <c r="G259" s="75" t="s">
        <v>498</v>
      </c>
      <c r="H259" s="75" t="s">
        <v>310</v>
      </c>
      <c r="I259" s="75" t="s">
        <v>400</v>
      </c>
      <c r="J259" s="75">
        <v>2020</v>
      </c>
      <c r="K259" s="75" t="s">
        <v>312</v>
      </c>
      <c r="L259" s="75" t="s">
        <v>997</v>
      </c>
    </row>
    <row r="260" spans="1:12" hidden="1" x14ac:dyDescent="0.25">
      <c r="A260" s="78">
        <v>43595</v>
      </c>
      <c r="B260" s="75" t="s">
        <v>998</v>
      </c>
      <c r="C260" s="75" t="s">
        <v>999</v>
      </c>
      <c r="D260" s="75" t="s">
        <v>0</v>
      </c>
      <c r="E260" s="75">
        <v>68427709</v>
      </c>
      <c r="F260" s="89">
        <v>100000</v>
      </c>
      <c r="G260" s="75" t="s">
        <v>309</v>
      </c>
      <c r="H260" s="75" t="s">
        <v>310</v>
      </c>
      <c r="I260" s="75" t="s">
        <v>329</v>
      </c>
      <c r="J260" s="75">
        <v>2020</v>
      </c>
      <c r="K260" s="75" t="s">
        <v>408</v>
      </c>
      <c r="L260" s="75" t="s">
        <v>990</v>
      </c>
    </row>
    <row r="261" spans="1:12" hidden="1" x14ac:dyDescent="0.25">
      <c r="A261" s="78">
        <v>43595</v>
      </c>
      <c r="B261" s="75" t="s">
        <v>1000</v>
      </c>
      <c r="C261" s="75" t="s">
        <v>1001</v>
      </c>
      <c r="D261" s="75" t="s">
        <v>0</v>
      </c>
      <c r="E261" s="75">
        <v>68427709</v>
      </c>
      <c r="F261" s="89">
        <v>250000</v>
      </c>
      <c r="G261" s="75" t="s">
        <v>309</v>
      </c>
      <c r="H261" s="75" t="s">
        <v>310</v>
      </c>
      <c r="I261" s="75" t="s">
        <v>329</v>
      </c>
      <c r="J261" s="75">
        <v>2020</v>
      </c>
      <c r="K261" s="75" t="s">
        <v>408</v>
      </c>
      <c r="L261" s="75" t="s">
        <v>1002</v>
      </c>
    </row>
    <row r="262" spans="1:12" hidden="1" x14ac:dyDescent="0.25">
      <c r="A262" s="78">
        <v>43595</v>
      </c>
      <c r="B262" s="75" t="s">
        <v>1003</v>
      </c>
      <c r="C262" s="75" t="s">
        <v>1004</v>
      </c>
      <c r="D262" s="75" t="s">
        <v>0</v>
      </c>
      <c r="E262" s="75">
        <v>68427709</v>
      </c>
      <c r="F262" s="89">
        <v>150000</v>
      </c>
      <c r="G262" s="75" t="s">
        <v>309</v>
      </c>
      <c r="H262" s="75" t="s">
        <v>310</v>
      </c>
      <c r="I262" s="75" t="s">
        <v>329</v>
      </c>
      <c r="J262" s="75">
        <v>2020</v>
      </c>
      <c r="K262" s="75" t="s">
        <v>408</v>
      </c>
      <c r="L262" s="75" t="s">
        <v>1005</v>
      </c>
    </row>
    <row r="263" spans="1:12" hidden="1" x14ac:dyDescent="0.25">
      <c r="A263" s="78">
        <v>43595</v>
      </c>
      <c r="B263" s="75" t="s">
        <v>1006</v>
      </c>
      <c r="C263" s="75" t="s">
        <v>1007</v>
      </c>
      <c r="D263" s="75" t="s">
        <v>323</v>
      </c>
      <c r="E263" s="75">
        <v>68427709</v>
      </c>
      <c r="F263" s="89">
        <v>50000</v>
      </c>
      <c r="G263" s="75" t="s">
        <v>498</v>
      </c>
      <c r="H263" s="75" t="s">
        <v>310</v>
      </c>
      <c r="I263" s="75" t="s">
        <v>329</v>
      </c>
      <c r="J263" s="75">
        <v>2020</v>
      </c>
      <c r="K263" s="75" t="s">
        <v>312</v>
      </c>
      <c r="L263" s="75" t="s">
        <v>997</v>
      </c>
    </row>
    <row r="264" spans="1:12" hidden="1" x14ac:dyDescent="0.25">
      <c r="A264" s="78">
        <v>43595</v>
      </c>
      <c r="B264" s="75" t="s">
        <v>1008</v>
      </c>
      <c r="C264" s="75" t="s">
        <v>1009</v>
      </c>
      <c r="D264" s="75" t="s">
        <v>323</v>
      </c>
      <c r="E264" s="75">
        <v>68427709</v>
      </c>
      <c r="F264" s="89">
        <v>0</v>
      </c>
      <c r="G264" s="75" t="s">
        <v>309</v>
      </c>
      <c r="H264" s="75" t="s">
        <v>310</v>
      </c>
      <c r="I264" s="75" t="s">
        <v>687</v>
      </c>
      <c r="J264" s="75">
        <v>2020</v>
      </c>
      <c r="K264" s="75" t="s">
        <v>312</v>
      </c>
      <c r="L264" s="75"/>
    </row>
    <row r="265" spans="1:12" hidden="1" x14ac:dyDescent="0.25">
      <c r="A265" s="78">
        <v>43600</v>
      </c>
      <c r="B265" s="75" t="s">
        <v>1010</v>
      </c>
      <c r="C265" s="75" t="s">
        <v>1011</v>
      </c>
      <c r="D265" s="75" t="s">
        <v>323</v>
      </c>
      <c r="E265" s="75">
        <v>68427709</v>
      </c>
      <c r="F265" s="89">
        <v>-170000</v>
      </c>
      <c r="G265" s="75" t="s">
        <v>309</v>
      </c>
      <c r="H265" s="75" t="s">
        <v>310</v>
      </c>
      <c r="I265" s="75" t="s">
        <v>400</v>
      </c>
      <c r="J265" s="75">
        <v>2020</v>
      </c>
      <c r="K265" s="75" t="s">
        <v>312</v>
      </c>
      <c r="L265" s="75"/>
    </row>
    <row r="266" spans="1:12" hidden="1" x14ac:dyDescent="0.25">
      <c r="A266" s="78">
        <v>43600</v>
      </c>
      <c r="B266" s="75" t="s">
        <v>1012</v>
      </c>
      <c r="C266" s="75" t="s">
        <v>1013</v>
      </c>
      <c r="D266" s="75" t="s">
        <v>548</v>
      </c>
      <c r="E266" s="75">
        <v>68427709</v>
      </c>
      <c r="F266" s="89">
        <v>30000</v>
      </c>
      <c r="G266" s="75" t="s">
        <v>498</v>
      </c>
      <c r="H266" s="75" t="s">
        <v>310</v>
      </c>
      <c r="I266" s="75" t="s">
        <v>329</v>
      </c>
      <c r="J266" s="75">
        <v>2020</v>
      </c>
      <c r="K266" s="75" t="s">
        <v>475</v>
      </c>
      <c r="L266" s="75" t="s">
        <v>1014</v>
      </c>
    </row>
    <row r="267" spans="1:12" hidden="1" x14ac:dyDescent="0.25">
      <c r="A267" s="78">
        <v>43600</v>
      </c>
      <c r="B267" s="75" t="s">
        <v>1015</v>
      </c>
      <c r="C267" s="75" t="s">
        <v>1016</v>
      </c>
      <c r="D267" s="75" t="s">
        <v>323</v>
      </c>
      <c r="E267" s="75">
        <v>68427709</v>
      </c>
      <c r="F267" s="89">
        <v>30000</v>
      </c>
      <c r="G267" s="75" t="s">
        <v>309</v>
      </c>
      <c r="H267" s="75" t="s">
        <v>310</v>
      </c>
      <c r="I267" s="75" t="s">
        <v>400</v>
      </c>
      <c r="J267" s="75">
        <v>2020</v>
      </c>
      <c r="K267" s="75" t="s">
        <v>312</v>
      </c>
      <c r="L267" s="75" t="s">
        <v>1017</v>
      </c>
    </row>
    <row r="268" spans="1:12" hidden="1" x14ac:dyDescent="0.25">
      <c r="A268" s="78">
        <v>43600</v>
      </c>
      <c r="B268" s="75" t="s">
        <v>1018</v>
      </c>
      <c r="C268" s="75" t="s">
        <v>1019</v>
      </c>
      <c r="D268" s="75" t="s">
        <v>548</v>
      </c>
      <c r="E268" s="75">
        <v>68427709</v>
      </c>
      <c r="F268" s="89">
        <v>80000</v>
      </c>
      <c r="G268" s="75" t="s">
        <v>309</v>
      </c>
      <c r="H268" s="75" t="s">
        <v>310</v>
      </c>
      <c r="I268" s="75" t="s">
        <v>329</v>
      </c>
      <c r="J268" s="75">
        <v>2020</v>
      </c>
      <c r="K268" s="75" t="s">
        <v>312</v>
      </c>
      <c r="L268" s="75" t="s">
        <v>1020</v>
      </c>
    </row>
    <row r="269" spans="1:12" hidden="1" x14ac:dyDescent="0.25">
      <c r="A269" s="78">
        <v>43601</v>
      </c>
      <c r="B269" s="75" t="s">
        <v>534</v>
      </c>
      <c r="C269" s="75" t="s">
        <v>1021</v>
      </c>
      <c r="D269" s="75" t="s">
        <v>0</v>
      </c>
      <c r="E269" s="75">
        <v>68427709</v>
      </c>
      <c r="F269" s="89">
        <v>-70000</v>
      </c>
      <c r="G269" s="75" t="s">
        <v>309</v>
      </c>
      <c r="H269" s="75" t="s">
        <v>310</v>
      </c>
      <c r="I269" s="75" t="s">
        <v>400</v>
      </c>
      <c r="J269" s="75">
        <v>2020</v>
      </c>
      <c r="K269" s="75" t="s">
        <v>1022</v>
      </c>
      <c r="L269" s="75" t="s">
        <v>1023</v>
      </c>
    </row>
    <row r="270" spans="1:12" hidden="1" x14ac:dyDescent="0.25">
      <c r="A270" s="78">
        <v>43613</v>
      </c>
      <c r="B270" s="75" t="s">
        <v>1024</v>
      </c>
      <c r="C270" s="75" t="s">
        <v>1025</v>
      </c>
      <c r="D270" s="75" t="s">
        <v>548</v>
      </c>
      <c r="E270" s="75">
        <v>68427709</v>
      </c>
      <c r="F270" s="89">
        <v>40000</v>
      </c>
      <c r="G270" s="75" t="s">
        <v>309</v>
      </c>
      <c r="H270" s="75" t="s">
        <v>310</v>
      </c>
      <c r="I270" s="75" t="s">
        <v>329</v>
      </c>
      <c r="J270" s="75">
        <v>2020</v>
      </c>
      <c r="K270" s="75" t="s">
        <v>900</v>
      </c>
      <c r="L270" s="75" t="s">
        <v>1026</v>
      </c>
    </row>
    <row r="271" spans="1:12" hidden="1" x14ac:dyDescent="0.25">
      <c r="A271" s="78">
        <v>43613</v>
      </c>
      <c r="B271" s="75" t="s">
        <v>784</v>
      </c>
      <c r="C271" s="75" t="s">
        <v>1027</v>
      </c>
      <c r="D271" s="75" t="s">
        <v>754</v>
      </c>
      <c r="E271" s="75">
        <v>68427709</v>
      </c>
      <c r="F271" s="89">
        <v>860000</v>
      </c>
      <c r="G271" s="75" t="s">
        <v>309</v>
      </c>
      <c r="H271" s="75" t="s">
        <v>310</v>
      </c>
      <c r="I271" s="75" t="s">
        <v>400</v>
      </c>
      <c r="J271" s="75">
        <v>2020</v>
      </c>
      <c r="K271" s="75" t="s">
        <v>572</v>
      </c>
      <c r="L271" s="75"/>
    </row>
    <row r="272" spans="1:12" hidden="1" x14ac:dyDescent="0.25">
      <c r="A272" s="78">
        <v>43620</v>
      </c>
      <c r="B272" s="75" t="s">
        <v>1028</v>
      </c>
      <c r="C272" s="75" t="s">
        <v>1029</v>
      </c>
      <c r="D272" s="75" t="s">
        <v>548</v>
      </c>
      <c r="E272" s="75">
        <v>68427709</v>
      </c>
      <c r="F272" s="89">
        <v>25000</v>
      </c>
      <c r="G272" s="75" t="s">
        <v>309</v>
      </c>
      <c r="H272" s="75" t="s">
        <v>310</v>
      </c>
      <c r="I272" s="75" t="s">
        <v>329</v>
      </c>
      <c r="J272" s="75">
        <v>2020</v>
      </c>
      <c r="K272" s="75" t="s">
        <v>1030</v>
      </c>
      <c r="L272" s="75" t="s">
        <v>1031</v>
      </c>
    </row>
    <row r="273" spans="1:12" hidden="1" x14ac:dyDescent="0.25">
      <c r="A273" s="78">
        <v>43622</v>
      </c>
      <c r="B273" s="75" t="s">
        <v>353</v>
      </c>
      <c r="C273" s="75" t="s">
        <v>1032</v>
      </c>
      <c r="D273" s="75" t="s">
        <v>0</v>
      </c>
      <c r="E273" s="75">
        <v>68427709</v>
      </c>
      <c r="F273" s="89">
        <v>20000</v>
      </c>
      <c r="G273" s="75" t="s">
        <v>309</v>
      </c>
      <c r="H273" s="75" t="s">
        <v>310</v>
      </c>
      <c r="I273" s="75" t="s">
        <v>400</v>
      </c>
      <c r="J273" s="75">
        <v>2020</v>
      </c>
      <c r="K273" s="75" t="s">
        <v>375</v>
      </c>
      <c r="L273" s="75" t="s">
        <v>1033</v>
      </c>
    </row>
    <row r="274" spans="1:12" hidden="1" x14ac:dyDescent="0.25">
      <c r="A274" s="78">
        <v>43622</v>
      </c>
      <c r="B274" s="75" t="s">
        <v>1034</v>
      </c>
      <c r="C274" s="75" t="s">
        <v>1035</v>
      </c>
      <c r="D274" s="75" t="s">
        <v>0</v>
      </c>
      <c r="E274" s="75">
        <v>68427709</v>
      </c>
      <c r="F274" s="89">
        <f>(187-143)*1000</f>
        <v>44000</v>
      </c>
      <c r="G274" s="75" t="s">
        <v>309</v>
      </c>
      <c r="H274" s="75" t="s">
        <v>310</v>
      </c>
      <c r="I274" s="75" t="s">
        <v>400</v>
      </c>
      <c r="J274" s="75">
        <v>2020</v>
      </c>
      <c r="K274" s="75" t="s">
        <v>557</v>
      </c>
      <c r="L274" s="75"/>
    </row>
    <row r="275" spans="1:12" hidden="1" x14ac:dyDescent="0.25">
      <c r="A275" s="78">
        <v>43622</v>
      </c>
      <c r="B275" s="75" t="s">
        <v>1036</v>
      </c>
      <c r="C275" s="75" t="s">
        <v>1037</v>
      </c>
      <c r="D275" s="75" t="s">
        <v>0</v>
      </c>
      <c r="E275" s="75">
        <v>68427709</v>
      </c>
      <c r="F275" s="89">
        <v>150000</v>
      </c>
      <c r="G275" s="75" t="s">
        <v>309</v>
      </c>
      <c r="H275" s="75" t="s">
        <v>310</v>
      </c>
      <c r="I275" s="75" t="s">
        <v>329</v>
      </c>
      <c r="J275" s="75">
        <v>2020</v>
      </c>
      <c r="K275" s="75" t="s">
        <v>557</v>
      </c>
      <c r="L275" s="75" t="s">
        <v>1038</v>
      </c>
    </row>
    <row r="276" spans="1:12" hidden="1" x14ac:dyDescent="0.25">
      <c r="A276" s="78">
        <v>43634</v>
      </c>
      <c r="B276" s="75" t="s">
        <v>1039</v>
      </c>
      <c r="C276" s="75" t="s">
        <v>1040</v>
      </c>
      <c r="D276" s="75" t="s">
        <v>0</v>
      </c>
      <c r="E276" s="75">
        <v>68427709</v>
      </c>
      <c r="F276" s="89">
        <v>9720</v>
      </c>
      <c r="G276" s="75" t="s">
        <v>309</v>
      </c>
      <c r="H276" s="75" t="s">
        <v>310</v>
      </c>
      <c r="I276" s="75" t="s">
        <v>400</v>
      </c>
      <c r="J276" s="75">
        <v>2020</v>
      </c>
      <c r="K276" s="75" t="s">
        <v>507</v>
      </c>
      <c r="L276" s="75"/>
    </row>
    <row r="277" spans="1:12" hidden="1" x14ac:dyDescent="0.25">
      <c r="A277" s="78">
        <v>43634</v>
      </c>
      <c r="B277" s="75" t="s">
        <v>1041</v>
      </c>
      <c r="C277" s="75" t="s">
        <v>1042</v>
      </c>
      <c r="D277" s="75" t="s">
        <v>0</v>
      </c>
      <c r="E277" s="75">
        <v>68427709</v>
      </c>
      <c r="F277" s="89">
        <v>72000</v>
      </c>
      <c r="G277" s="75" t="s">
        <v>309</v>
      </c>
      <c r="H277" s="75" t="s">
        <v>310</v>
      </c>
      <c r="I277" s="75" t="s">
        <v>329</v>
      </c>
      <c r="J277" s="75">
        <v>2020</v>
      </c>
      <c r="K277" s="75" t="s">
        <v>719</v>
      </c>
      <c r="L277" s="75" t="s">
        <v>1043</v>
      </c>
    </row>
    <row r="278" spans="1:12" hidden="1" x14ac:dyDescent="0.25">
      <c r="A278" s="78">
        <v>43634</v>
      </c>
      <c r="B278" s="75" t="s">
        <v>1044</v>
      </c>
      <c r="C278" s="75" t="s">
        <v>1045</v>
      </c>
      <c r="D278" s="75" t="s">
        <v>1046</v>
      </c>
      <c r="E278" s="75">
        <v>68427709</v>
      </c>
      <c r="F278" s="89">
        <v>100000</v>
      </c>
      <c r="G278" s="75" t="s">
        <v>498</v>
      </c>
      <c r="H278" s="75" t="s">
        <v>310</v>
      </c>
      <c r="I278" s="75" t="s">
        <v>329</v>
      </c>
      <c r="J278" s="75">
        <v>2020</v>
      </c>
      <c r="K278" s="75" t="s">
        <v>738</v>
      </c>
      <c r="L278" s="75" t="s">
        <v>997</v>
      </c>
    </row>
    <row r="279" spans="1:12" hidden="1" x14ac:dyDescent="0.25">
      <c r="A279" s="78">
        <v>43634</v>
      </c>
      <c r="B279" s="75" t="s">
        <v>1047</v>
      </c>
      <c r="C279" s="75" t="s">
        <v>1048</v>
      </c>
      <c r="D279" s="75" t="s">
        <v>1049</v>
      </c>
      <c r="E279" s="75">
        <v>68427709</v>
      </c>
      <c r="F279" s="89">
        <v>100000</v>
      </c>
      <c r="G279" s="75" t="s">
        <v>309</v>
      </c>
      <c r="H279" s="75" t="s">
        <v>310</v>
      </c>
      <c r="I279" s="75" t="s">
        <v>400</v>
      </c>
      <c r="J279" s="75">
        <v>2020</v>
      </c>
      <c r="K279" s="75" t="s">
        <v>751</v>
      </c>
    </row>
    <row r="280" spans="1:12" hidden="1" x14ac:dyDescent="0.25">
      <c r="A280" s="78">
        <v>43634</v>
      </c>
      <c r="B280" s="75" t="s">
        <v>1050</v>
      </c>
      <c r="C280" s="75" t="s">
        <v>1051</v>
      </c>
      <c r="D280" s="75" t="s">
        <v>1052</v>
      </c>
      <c r="E280" s="75">
        <v>68427709</v>
      </c>
      <c r="F280" s="89">
        <v>20000</v>
      </c>
      <c r="G280" s="75" t="s">
        <v>309</v>
      </c>
      <c r="H280" s="75" t="s">
        <v>310</v>
      </c>
      <c r="I280" s="75" t="s">
        <v>400</v>
      </c>
      <c r="J280" s="75">
        <v>2020</v>
      </c>
      <c r="K280" s="75" t="s">
        <v>751</v>
      </c>
      <c r="L280" s="75" t="s">
        <v>1053</v>
      </c>
    </row>
    <row r="281" spans="1:12" hidden="1" x14ac:dyDescent="0.25">
      <c r="A281" s="78">
        <v>43634</v>
      </c>
      <c r="B281" s="75" t="s">
        <v>1050</v>
      </c>
      <c r="C281" s="75" t="s">
        <v>1054</v>
      </c>
      <c r="D281" s="75" t="s">
        <v>1052</v>
      </c>
      <c r="E281" s="75">
        <v>68427709</v>
      </c>
      <c r="F281" s="89">
        <v>19000</v>
      </c>
      <c r="G281" s="75" t="s">
        <v>309</v>
      </c>
      <c r="H281" s="75" t="s">
        <v>310</v>
      </c>
      <c r="I281" s="75" t="s">
        <v>400</v>
      </c>
      <c r="J281" s="75">
        <v>2020</v>
      </c>
      <c r="K281" s="75" t="s">
        <v>751</v>
      </c>
      <c r="L281" s="75" t="s">
        <v>1053</v>
      </c>
    </row>
    <row r="282" spans="1:12" hidden="1" x14ac:dyDescent="0.25">
      <c r="A282" s="78">
        <v>43636</v>
      </c>
      <c r="B282" s="75" t="s">
        <v>331</v>
      </c>
      <c r="C282" s="75" t="s">
        <v>1055</v>
      </c>
      <c r="D282" s="75" t="s">
        <v>331</v>
      </c>
      <c r="E282" s="75">
        <v>68427709</v>
      </c>
      <c r="F282" s="89">
        <v>19000</v>
      </c>
      <c r="G282" s="75" t="s">
        <v>309</v>
      </c>
      <c r="H282" s="75" t="s">
        <v>310</v>
      </c>
      <c r="I282" s="75" t="s">
        <v>400</v>
      </c>
      <c r="J282" s="75">
        <v>2020</v>
      </c>
      <c r="K282" s="75" t="s">
        <v>868</v>
      </c>
      <c r="L282" s="75"/>
    </row>
    <row r="283" spans="1:12" hidden="1" x14ac:dyDescent="0.25">
      <c r="A283" s="78">
        <v>43636</v>
      </c>
      <c r="B283" s="75" t="s">
        <v>1056</v>
      </c>
      <c r="C283" s="75" t="s">
        <v>1057</v>
      </c>
      <c r="D283" s="75" t="s">
        <v>0</v>
      </c>
      <c r="E283" s="75">
        <v>68427709</v>
      </c>
      <c r="F283" s="89">
        <v>-3000</v>
      </c>
      <c r="G283" s="75" t="s">
        <v>309</v>
      </c>
      <c r="H283" s="75" t="s">
        <v>310</v>
      </c>
      <c r="I283" s="75" t="s">
        <v>400</v>
      </c>
      <c r="J283" s="75">
        <v>2020</v>
      </c>
      <c r="K283" s="75" t="s">
        <v>738</v>
      </c>
      <c r="L283" s="75"/>
    </row>
    <row r="284" spans="1:12" hidden="1" x14ac:dyDescent="0.25">
      <c r="A284" s="78">
        <v>43636</v>
      </c>
      <c r="B284" s="75" t="s">
        <v>1058</v>
      </c>
      <c r="C284" s="75" t="s">
        <v>1057</v>
      </c>
      <c r="D284" s="75" t="s">
        <v>0</v>
      </c>
      <c r="E284" s="75">
        <v>68427709</v>
      </c>
      <c r="F284" s="89">
        <v>-1700</v>
      </c>
      <c r="G284" s="75" t="s">
        <v>309</v>
      </c>
      <c r="H284" s="75" t="s">
        <v>310</v>
      </c>
      <c r="I284" s="75" t="s">
        <v>400</v>
      </c>
      <c r="J284" s="75">
        <v>2020</v>
      </c>
      <c r="K284" s="75" t="s">
        <v>738</v>
      </c>
      <c r="L284" s="75"/>
    </row>
    <row r="285" spans="1:12" hidden="1" x14ac:dyDescent="0.25">
      <c r="A285" s="78">
        <v>43637</v>
      </c>
      <c r="B285" s="75" t="s">
        <v>1059</v>
      </c>
      <c r="C285" s="75" t="s">
        <v>1060</v>
      </c>
      <c r="D285" s="75" t="s">
        <v>0</v>
      </c>
      <c r="E285" s="75">
        <v>68427709</v>
      </c>
      <c r="F285" s="115">
        <v>0</v>
      </c>
      <c r="G285" s="75" t="s">
        <v>498</v>
      </c>
      <c r="H285" s="75" t="s">
        <v>310</v>
      </c>
      <c r="I285" s="75" t="s">
        <v>400</v>
      </c>
      <c r="J285" s="75">
        <v>2020</v>
      </c>
      <c r="K285" s="75" t="s">
        <v>1061</v>
      </c>
      <c r="L285" s="75" t="s">
        <v>1062</v>
      </c>
    </row>
    <row r="286" spans="1:12" hidden="1" x14ac:dyDescent="0.25">
      <c r="A286" s="78">
        <v>43640</v>
      </c>
      <c r="B286" s="75" t="s">
        <v>1063</v>
      </c>
      <c r="C286" s="75" t="s">
        <v>1064</v>
      </c>
      <c r="D286" s="75" t="s">
        <v>0</v>
      </c>
      <c r="E286" s="75">
        <v>68427709</v>
      </c>
      <c r="F286" s="89">
        <v>165000</v>
      </c>
      <c r="G286" s="75" t="s">
        <v>309</v>
      </c>
      <c r="H286" s="75" t="s">
        <v>310</v>
      </c>
      <c r="I286" s="75" t="s">
        <v>400</v>
      </c>
      <c r="J286" s="75">
        <v>2020</v>
      </c>
      <c r="K286" s="75" t="s">
        <v>738</v>
      </c>
      <c r="L286" s="75"/>
    </row>
    <row r="287" spans="1:12" hidden="1" x14ac:dyDescent="0.25">
      <c r="A287" s="78">
        <v>43640</v>
      </c>
      <c r="B287" s="75" t="s">
        <v>1065</v>
      </c>
      <c r="C287" s="75" t="s">
        <v>1066</v>
      </c>
      <c r="D287" s="75" t="s">
        <v>657</v>
      </c>
      <c r="E287" s="75">
        <v>68427709</v>
      </c>
      <c r="F287" s="89">
        <v>100000</v>
      </c>
      <c r="G287" s="75" t="s">
        <v>309</v>
      </c>
      <c r="H287" s="75" t="s">
        <v>310</v>
      </c>
      <c r="I287" s="75" t="s">
        <v>444</v>
      </c>
      <c r="J287" s="75">
        <v>2020</v>
      </c>
      <c r="K287" s="75" t="s">
        <v>475</v>
      </c>
      <c r="L287" s="75"/>
    </row>
    <row r="288" spans="1:12" hidden="1" x14ac:dyDescent="0.25">
      <c r="A288" s="78">
        <v>43640</v>
      </c>
      <c r="B288" s="75" t="s">
        <v>1067</v>
      </c>
      <c r="C288" s="75" t="s">
        <v>1068</v>
      </c>
      <c r="D288" s="75" t="s">
        <v>548</v>
      </c>
      <c r="E288" s="75">
        <v>68427709</v>
      </c>
      <c r="F288" s="89">
        <v>20000</v>
      </c>
      <c r="G288" s="75" t="s">
        <v>309</v>
      </c>
      <c r="H288" s="75" t="s">
        <v>310</v>
      </c>
      <c r="I288" s="75" t="s">
        <v>329</v>
      </c>
      <c r="J288" s="75">
        <v>2020</v>
      </c>
      <c r="K288" s="75" t="s">
        <v>312</v>
      </c>
      <c r="L288" s="75" t="s">
        <v>1069</v>
      </c>
    </row>
    <row r="289" spans="1:12" hidden="1" x14ac:dyDescent="0.25">
      <c r="A289" s="78">
        <v>43640</v>
      </c>
      <c r="B289" s="75" t="s">
        <v>1070</v>
      </c>
      <c r="C289" s="75" t="s">
        <v>1070</v>
      </c>
      <c r="D289" s="75" t="s">
        <v>548</v>
      </c>
      <c r="E289" s="75">
        <v>68427709</v>
      </c>
      <c r="F289" s="89">
        <v>120000</v>
      </c>
      <c r="G289" s="75" t="s">
        <v>309</v>
      </c>
      <c r="H289" s="75" t="s">
        <v>310</v>
      </c>
      <c r="I289" s="75" t="s">
        <v>329</v>
      </c>
      <c r="J289" s="75">
        <v>2020</v>
      </c>
      <c r="K289" s="75" t="s">
        <v>312</v>
      </c>
      <c r="L289" s="75" t="s">
        <v>1071</v>
      </c>
    </row>
    <row r="290" spans="1:12" hidden="1" x14ac:dyDescent="0.25">
      <c r="A290" s="78">
        <v>43640</v>
      </c>
      <c r="B290" s="75" t="s">
        <v>1072</v>
      </c>
      <c r="C290" s="75" t="s">
        <v>1072</v>
      </c>
      <c r="D290" s="75" t="s">
        <v>548</v>
      </c>
      <c r="E290" s="75">
        <v>68427709</v>
      </c>
      <c r="F290" s="89">
        <v>130000</v>
      </c>
      <c r="G290" s="75" t="s">
        <v>309</v>
      </c>
      <c r="H290" s="75" t="s">
        <v>310</v>
      </c>
      <c r="I290" s="75" t="s">
        <v>329</v>
      </c>
      <c r="J290" s="75">
        <v>2020</v>
      </c>
      <c r="K290" s="75" t="s">
        <v>312</v>
      </c>
      <c r="L290" s="75" t="s">
        <v>1071</v>
      </c>
    </row>
    <row r="291" spans="1:12" hidden="1" x14ac:dyDescent="0.25">
      <c r="A291" s="78">
        <v>43640</v>
      </c>
      <c r="B291" s="75" t="s">
        <v>1073</v>
      </c>
      <c r="C291" s="75" t="s">
        <v>1073</v>
      </c>
      <c r="D291" s="75" t="s">
        <v>548</v>
      </c>
      <c r="E291" s="75">
        <v>68427709</v>
      </c>
      <c r="F291" s="89">
        <v>32000</v>
      </c>
      <c r="G291" s="75" t="s">
        <v>309</v>
      </c>
      <c r="H291" s="75" t="s">
        <v>310</v>
      </c>
      <c r="I291" s="75" t="s">
        <v>329</v>
      </c>
      <c r="J291" s="75">
        <v>2020</v>
      </c>
      <c r="K291" s="75" t="s">
        <v>312</v>
      </c>
      <c r="L291" s="75"/>
    </row>
    <row r="292" spans="1:12" hidden="1" x14ac:dyDescent="0.25">
      <c r="A292" s="78">
        <v>43640</v>
      </c>
      <c r="B292" s="75" t="s">
        <v>1074</v>
      </c>
      <c r="C292" s="75" t="s">
        <v>1074</v>
      </c>
      <c r="D292" s="75" t="s">
        <v>548</v>
      </c>
      <c r="E292" s="75">
        <v>68427709</v>
      </c>
      <c r="F292" s="89">
        <v>32000</v>
      </c>
      <c r="G292" s="75" t="s">
        <v>309</v>
      </c>
      <c r="H292" s="75" t="s">
        <v>310</v>
      </c>
      <c r="I292" s="75" t="s">
        <v>329</v>
      </c>
      <c r="J292" s="75">
        <v>2020</v>
      </c>
      <c r="K292" s="75" t="s">
        <v>312</v>
      </c>
      <c r="L292" s="75" t="s">
        <v>1075</v>
      </c>
    </row>
    <row r="293" spans="1:12" hidden="1" x14ac:dyDescent="0.25">
      <c r="A293" s="78">
        <v>43640</v>
      </c>
      <c r="B293" s="75" t="s">
        <v>1076</v>
      </c>
      <c r="C293" s="75" t="s">
        <v>1076</v>
      </c>
      <c r="D293" s="75" t="s">
        <v>548</v>
      </c>
      <c r="E293" s="75">
        <v>68427709</v>
      </c>
      <c r="F293" s="89">
        <v>7000</v>
      </c>
      <c r="G293" s="75" t="s">
        <v>309</v>
      </c>
      <c r="H293" s="75" t="s">
        <v>310</v>
      </c>
      <c r="I293" s="75" t="s">
        <v>329</v>
      </c>
      <c r="J293" s="75">
        <v>2020</v>
      </c>
      <c r="K293" s="75" t="s">
        <v>312</v>
      </c>
      <c r="L293" s="75"/>
    </row>
    <row r="294" spans="1:12" hidden="1" x14ac:dyDescent="0.25">
      <c r="A294" s="78">
        <v>43640</v>
      </c>
      <c r="B294" s="75" t="s">
        <v>1077</v>
      </c>
      <c r="C294" s="75" t="s">
        <v>1078</v>
      </c>
      <c r="D294" s="75" t="s">
        <v>0</v>
      </c>
      <c r="E294" s="75">
        <v>68427709</v>
      </c>
      <c r="F294" s="89">
        <v>63000</v>
      </c>
      <c r="G294" s="75" t="s">
        <v>309</v>
      </c>
      <c r="H294" s="75" t="s">
        <v>310</v>
      </c>
      <c r="I294" s="75" t="s">
        <v>329</v>
      </c>
      <c r="J294" s="75">
        <v>2020</v>
      </c>
      <c r="K294" s="75" t="s">
        <v>475</v>
      </c>
      <c r="L294" s="75" t="s">
        <v>1079</v>
      </c>
    </row>
    <row r="295" spans="1:12" hidden="1" x14ac:dyDescent="0.25">
      <c r="A295" s="78">
        <v>43640</v>
      </c>
      <c r="B295" s="144" t="s">
        <v>1080</v>
      </c>
      <c r="C295" s="144" t="s">
        <v>1080</v>
      </c>
      <c r="D295" s="75" t="s">
        <v>0</v>
      </c>
      <c r="E295" s="75">
        <v>68427709</v>
      </c>
      <c r="F295" s="89">
        <v>-130000</v>
      </c>
      <c r="G295" s="75" t="s">
        <v>309</v>
      </c>
      <c r="H295" s="75" t="s">
        <v>310</v>
      </c>
      <c r="I295" s="75" t="s">
        <v>329</v>
      </c>
      <c r="J295" s="75">
        <v>2020</v>
      </c>
      <c r="K295" s="75" t="s">
        <v>312</v>
      </c>
      <c r="L295" s="75" t="s">
        <v>1081</v>
      </c>
    </row>
    <row r="296" spans="1:12" hidden="1" x14ac:dyDescent="0.25">
      <c r="A296" s="78">
        <v>43640</v>
      </c>
      <c r="B296" s="75" t="s">
        <v>1082</v>
      </c>
      <c r="C296" s="75" t="s">
        <v>1082</v>
      </c>
      <c r="D296" s="75" t="s">
        <v>0</v>
      </c>
      <c r="E296" s="75">
        <v>68427709</v>
      </c>
      <c r="F296" s="89">
        <v>-120000</v>
      </c>
      <c r="G296" s="75" t="s">
        <v>309</v>
      </c>
      <c r="H296" s="75" t="s">
        <v>310</v>
      </c>
      <c r="I296" s="75" t="s">
        <v>329</v>
      </c>
      <c r="J296" s="75">
        <v>2020</v>
      </c>
      <c r="K296" s="75" t="s">
        <v>312</v>
      </c>
      <c r="L296" s="75" t="s">
        <v>1081</v>
      </c>
    </row>
    <row r="297" spans="1:12" hidden="1" x14ac:dyDescent="0.25">
      <c r="A297" s="78">
        <v>43640</v>
      </c>
      <c r="B297" s="144" t="s">
        <v>1083</v>
      </c>
      <c r="C297" s="144" t="s">
        <v>1083</v>
      </c>
      <c r="D297" s="75" t="s">
        <v>0</v>
      </c>
      <c r="E297" s="75">
        <v>68427709</v>
      </c>
      <c r="F297" s="89">
        <v>-120000</v>
      </c>
      <c r="G297" s="75" t="s">
        <v>309</v>
      </c>
      <c r="H297" s="75" t="s">
        <v>310</v>
      </c>
      <c r="I297" s="75" t="s">
        <v>329</v>
      </c>
      <c r="J297" s="75">
        <v>2020</v>
      </c>
      <c r="K297" s="75" t="s">
        <v>312</v>
      </c>
      <c r="L297" s="75" t="s">
        <v>1081</v>
      </c>
    </row>
    <row r="298" spans="1:12" hidden="1" x14ac:dyDescent="0.25">
      <c r="A298" s="78">
        <v>43641</v>
      </c>
      <c r="B298" s="75" t="s">
        <v>1084</v>
      </c>
      <c r="C298" s="75" t="s">
        <v>1085</v>
      </c>
      <c r="D298" s="75" t="s">
        <v>657</v>
      </c>
      <c r="E298" s="75">
        <v>68427709</v>
      </c>
      <c r="F298" s="89">
        <v>150000</v>
      </c>
      <c r="G298" s="75" t="s">
        <v>309</v>
      </c>
      <c r="H298" s="75" t="s">
        <v>310</v>
      </c>
      <c r="I298" s="75" t="s">
        <v>329</v>
      </c>
      <c r="J298" s="75">
        <v>2020</v>
      </c>
      <c r="K298" s="75" t="s">
        <v>312</v>
      </c>
      <c r="L298" s="75" t="s">
        <v>1086</v>
      </c>
    </row>
    <row r="299" spans="1:12" hidden="1" x14ac:dyDescent="0.25">
      <c r="A299" s="78">
        <v>43644</v>
      </c>
      <c r="B299" s="75" t="s">
        <v>1087</v>
      </c>
      <c r="C299" s="75" t="s">
        <v>1088</v>
      </c>
      <c r="D299" s="75" t="s">
        <v>1087</v>
      </c>
      <c r="E299" s="75">
        <v>68427709</v>
      </c>
      <c r="F299" s="89">
        <v>-60000</v>
      </c>
      <c r="G299" s="75" t="s">
        <v>309</v>
      </c>
      <c r="H299" s="75" t="s">
        <v>310</v>
      </c>
      <c r="I299" s="75" t="s">
        <v>400</v>
      </c>
      <c r="J299" s="75">
        <v>2020</v>
      </c>
      <c r="K299" s="75" t="s">
        <v>1089</v>
      </c>
      <c r="L299" s="75" t="s">
        <v>1090</v>
      </c>
    </row>
    <row r="300" spans="1:12" hidden="1" x14ac:dyDescent="0.25">
      <c r="A300" s="78">
        <v>43647</v>
      </c>
      <c r="B300" s="75" t="s">
        <v>1091</v>
      </c>
      <c r="C300" s="75" t="s">
        <v>1092</v>
      </c>
      <c r="D300" s="75" t="s">
        <v>633</v>
      </c>
      <c r="E300" s="75">
        <v>68427709</v>
      </c>
      <c r="F300" s="89">
        <v>2800</v>
      </c>
      <c r="G300" s="75" t="s">
        <v>309</v>
      </c>
      <c r="H300" s="75" t="s">
        <v>310</v>
      </c>
      <c r="I300" s="75" t="s">
        <v>400</v>
      </c>
      <c r="J300" s="75">
        <v>2020</v>
      </c>
      <c r="K300" s="75" t="s">
        <v>393</v>
      </c>
      <c r="L300" s="75" t="s">
        <v>1093</v>
      </c>
    </row>
    <row r="301" spans="1:12" hidden="1" x14ac:dyDescent="0.25">
      <c r="A301" s="78">
        <v>43648</v>
      </c>
      <c r="B301" s="75" t="s">
        <v>1094</v>
      </c>
      <c r="C301" s="75" t="s">
        <v>1095</v>
      </c>
      <c r="D301" s="75" t="s">
        <v>1096</v>
      </c>
      <c r="E301" s="75">
        <v>68427709</v>
      </c>
      <c r="F301" s="89">
        <v>30000</v>
      </c>
      <c r="G301" s="75" t="s">
        <v>309</v>
      </c>
      <c r="H301" s="75" t="s">
        <v>310</v>
      </c>
      <c r="I301" s="75" t="s">
        <v>400</v>
      </c>
      <c r="J301" s="75">
        <v>2020</v>
      </c>
      <c r="K301" s="75" t="s">
        <v>505</v>
      </c>
      <c r="L301" s="75" t="s">
        <v>1097</v>
      </c>
    </row>
    <row r="302" spans="1:12" hidden="1" x14ac:dyDescent="0.25">
      <c r="A302" s="78">
        <v>43648</v>
      </c>
      <c r="B302" s="75" t="s">
        <v>1098</v>
      </c>
      <c r="C302" s="75" t="s">
        <v>1099</v>
      </c>
      <c r="D302" s="75" t="s">
        <v>548</v>
      </c>
      <c r="E302" s="75">
        <v>68427709</v>
      </c>
      <c r="F302" s="89">
        <v>90000</v>
      </c>
      <c r="G302" s="75" t="s">
        <v>309</v>
      </c>
      <c r="H302" s="75" t="s">
        <v>310</v>
      </c>
      <c r="I302" s="75" t="s">
        <v>329</v>
      </c>
      <c r="J302" s="75">
        <v>2020</v>
      </c>
      <c r="K302" s="75" t="s">
        <v>1100</v>
      </c>
      <c r="L302" s="75" t="s">
        <v>1101</v>
      </c>
    </row>
    <row r="303" spans="1:12" hidden="1" x14ac:dyDescent="0.25">
      <c r="A303" s="78">
        <v>43648</v>
      </c>
      <c r="B303" s="75" t="s">
        <v>1102</v>
      </c>
      <c r="C303" s="75" t="s">
        <v>1103</v>
      </c>
      <c r="D303" s="75" t="s">
        <v>0</v>
      </c>
      <c r="E303" s="75">
        <v>68427709</v>
      </c>
      <c r="F303" s="89">
        <v>1200000</v>
      </c>
      <c r="G303" s="75" t="s">
        <v>309</v>
      </c>
      <c r="H303" s="75" t="s">
        <v>310</v>
      </c>
      <c r="I303" s="75" t="s">
        <v>329</v>
      </c>
      <c r="J303" s="75">
        <v>2020</v>
      </c>
      <c r="K303" s="75" t="s">
        <v>434</v>
      </c>
      <c r="L303" s="75" t="s">
        <v>1104</v>
      </c>
    </row>
    <row r="304" spans="1:12" hidden="1" x14ac:dyDescent="0.25">
      <c r="A304" s="78">
        <v>43649</v>
      </c>
      <c r="B304" s="75" t="s">
        <v>1105</v>
      </c>
      <c r="C304" s="75" t="s">
        <v>1106</v>
      </c>
      <c r="D304" s="75" t="s">
        <v>0</v>
      </c>
      <c r="E304" s="75">
        <v>68427709</v>
      </c>
      <c r="F304" s="89">
        <v>32000</v>
      </c>
      <c r="G304" s="75" t="s">
        <v>309</v>
      </c>
      <c r="H304" s="75" t="s">
        <v>310</v>
      </c>
      <c r="I304" s="75" t="s">
        <v>400</v>
      </c>
      <c r="J304" s="75">
        <v>2020</v>
      </c>
      <c r="K304" s="75" t="s">
        <v>448</v>
      </c>
      <c r="L304" s="75" t="s">
        <v>1107</v>
      </c>
    </row>
    <row r="305" spans="1:12" hidden="1" x14ac:dyDescent="0.25">
      <c r="A305" s="78">
        <v>43650</v>
      </c>
      <c r="B305" s="75" t="s">
        <v>1108</v>
      </c>
      <c r="C305" s="75" t="s">
        <v>1109</v>
      </c>
      <c r="D305" s="75" t="s">
        <v>323</v>
      </c>
      <c r="E305" s="75">
        <v>68427709</v>
      </c>
      <c r="F305" s="89">
        <v>50000</v>
      </c>
      <c r="G305" s="75" t="s">
        <v>309</v>
      </c>
      <c r="H305" s="75" t="s">
        <v>310</v>
      </c>
      <c r="I305" s="75" t="s">
        <v>329</v>
      </c>
      <c r="J305" s="75">
        <v>2020</v>
      </c>
      <c r="K305" s="75" t="s">
        <v>475</v>
      </c>
      <c r="L305" s="75" t="s">
        <v>1110</v>
      </c>
    </row>
    <row r="306" spans="1:12" hidden="1" x14ac:dyDescent="0.25">
      <c r="A306" s="78">
        <v>43655</v>
      </c>
      <c r="B306" s="75" t="s">
        <v>1111</v>
      </c>
      <c r="C306" s="75" t="s">
        <v>1112</v>
      </c>
      <c r="D306" s="75" t="s">
        <v>0</v>
      </c>
      <c r="E306" s="75">
        <v>68427709</v>
      </c>
      <c r="F306" s="89">
        <v>-15000</v>
      </c>
      <c r="G306" s="75" t="s">
        <v>309</v>
      </c>
      <c r="H306" s="75" t="s">
        <v>310</v>
      </c>
      <c r="I306" s="75" t="s">
        <v>400</v>
      </c>
      <c r="J306" s="75">
        <v>2020</v>
      </c>
      <c r="K306" s="75" t="s">
        <v>312</v>
      </c>
      <c r="L306" s="75" t="s">
        <v>1113</v>
      </c>
    </row>
    <row r="307" spans="1:12" hidden="1" x14ac:dyDescent="0.25">
      <c r="A307" s="78">
        <v>43657</v>
      </c>
      <c r="B307" s="75" t="s">
        <v>477</v>
      </c>
      <c r="C307" s="75" t="s">
        <v>1114</v>
      </c>
      <c r="D307" s="75" t="s">
        <v>323</v>
      </c>
      <c r="E307" s="75">
        <v>68427709</v>
      </c>
      <c r="F307" s="89">
        <v>4000</v>
      </c>
      <c r="G307" s="75" t="s">
        <v>309</v>
      </c>
      <c r="H307" s="75" t="s">
        <v>310</v>
      </c>
      <c r="I307" s="75" t="s">
        <v>400</v>
      </c>
      <c r="J307" s="75">
        <v>2020</v>
      </c>
      <c r="K307" s="75" t="s">
        <v>312</v>
      </c>
      <c r="L307" s="75"/>
    </row>
    <row r="308" spans="1:12" hidden="1" x14ac:dyDescent="0.25">
      <c r="A308" s="78">
        <v>43657</v>
      </c>
      <c r="B308" s="75" t="s">
        <v>1115</v>
      </c>
      <c r="C308" s="75" t="s">
        <v>1116</v>
      </c>
      <c r="D308" t="s">
        <v>0</v>
      </c>
      <c r="E308" s="75">
        <v>68427709</v>
      </c>
      <c r="F308" s="89">
        <v>-200000</v>
      </c>
      <c r="G308" s="75" t="s">
        <v>309</v>
      </c>
      <c r="H308" s="75" t="s">
        <v>310</v>
      </c>
      <c r="I308" s="75" t="s">
        <v>400</v>
      </c>
      <c r="J308" s="75">
        <v>2020</v>
      </c>
      <c r="K308" s="75" t="s">
        <v>868</v>
      </c>
      <c r="L308" s="75" t="s">
        <v>1117</v>
      </c>
    </row>
    <row r="309" spans="1:12" hidden="1" x14ac:dyDescent="0.25">
      <c r="A309" s="78">
        <v>43657</v>
      </c>
      <c r="B309" s="75" t="s">
        <v>1118</v>
      </c>
      <c r="C309" s="75" t="s">
        <v>1119</v>
      </c>
      <c r="D309" s="75" t="s">
        <v>42</v>
      </c>
      <c r="E309" s="75">
        <v>68427709</v>
      </c>
      <c r="F309" s="89">
        <v>42000</v>
      </c>
      <c r="G309" s="75" t="s">
        <v>309</v>
      </c>
      <c r="H309" s="75" t="s">
        <v>310</v>
      </c>
      <c r="I309" s="75" t="s">
        <v>329</v>
      </c>
      <c r="J309" s="75">
        <v>2020</v>
      </c>
      <c r="K309" s="75" t="s">
        <v>572</v>
      </c>
      <c r="L309" s="75"/>
    </row>
    <row r="310" spans="1:12" hidden="1" x14ac:dyDescent="0.25">
      <c r="A310" s="78">
        <v>43657</v>
      </c>
      <c r="B310" s="75" t="s">
        <v>1120</v>
      </c>
      <c r="C310" s="75" t="s">
        <v>1121</v>
      </c>
      <c r="D310" s="75" t="s">
        <v>0</v>
      </c>
      <c r="E310" s="75">
        <v>68427709</v>
      </c>
      <c r="F310" s="89">
        <v>-400</v>
      </c>
      <c r="G310" s="75" t="s">
        <v>309</v>
      </c>
      <c r="H310" s="75" t="s">
        <v>310</v>
      </c>
      <c r="I310" s="75" t="s">
        <v>324</v>
      </c>
      <c r="J310" s="75">
        <v>2020</v>
      </c>
      <c r="K310" s="75" t="s">
        <v>312</v>
      </c>
      <c r="L310" s="75" t="s">
        <v>1122</v>
      </c>
    </row>
    <row r="311" spans="1:12" hidden="1" x14ac:dyDescent="0.25">
      <c r="A311" s="78">
        <v>43657</v>
      </c>
      <c r="B311" s="75" t="s">
        <v>1123</v>
      </c>
      <c r="C311" s="75" t="s">
        <v>1124</v>
      </c>
      <c r="D311" s="75" t="s">
        <v>0</v>
      </c>
      <c r="E311" s="75">
        <v>68427709</v>
      </c>
      <c r="F311" s="89">
        <v>10000</v>
      </c>
      <c r="G311" s="75" t="s">
        <v>309</v>
      </c>
      <c r="H311" s="75" t="s">
        <v>310</v>
      </c>
      <c r="I311" s="75" t="s">
        <v>400</v>
      </c>
      <c r="J311" s="75">
        <v>2020</v>
      </c>
      <c r="K311" s="75" t="s">
        <v>459</v>
      </c>
      <c r="L311" s="75" t="s">
        <v>1125</v>
      </c>
    </row>
    <row r="312" spans="1:12" hidden="1" x14ac:dyDescent="0.25">
      <c r="A312" s="78">
        <v>43657</v>
      </c>
      <c r="B312" s="75" t="s">
        <v>1126</v>
      </c>
      <c r="C312" s="75" t="s">
        <v>1127</v>
      </c>
      <c r="D312" s="75" t="s">
        <v>0</v>
      </c>
      <c r="E312" s="75">
        <v>68427709</v>
      </c>
      <c r="F312" s="89">
        <v>0</v>
      </c>
      <c r="G312" s="75" t="s">
        <v>498</v>
      </c>
      <c r="H312" s="75" t="s">
        <v>310</v>
      </c>
      <c r="I312" s="75" t="s">
        <v>329</v>
      </c>
      <c r="J312" s="75">
        <v>2020</v>
      </c>
      <c r="K312" s="75" t="s">
        <v>475</v>
      </c>
      <c r="L312" s="75" t="s">
        <v>1128</v>
      </c>
    </row>
    <row r="313" spans="1:12" hidden="1" x14ac:dyDescent="0.25">
      <c r="A313" s="78">
        <v>43661</v>
      </c>
      <c r="B313" s="75" t="s">
        <v>1129</v>
      </c>
      <c r="C313" s="75" t="s">
        <v>1130</v>
      </c>
      <c r="D313" s="75" t="s">
        <v>548</v>
      </c>
      <c r="E313" s="75">
        <v>68427709</v>
      </c>
      <c r="F313" s="89">
        <f>50000+60000</f>
        <v>110000</v>
      </c>
      <c r="G313" s="75" t="s">
        <v>309</v>
      </c>
      <c r="H313" s="75" t="s">
        <v>310</v>
      </c>
      <c r="I313" s="75" t="s">
        <v>329</v>
      </c>
      <c r="J313" s="75">
        <v>2020</v>
      </c>
      <c r="K313" s="75" t="s">
        <v>312</v>
      </c>
      <c r="L313" s="75"/>
    </row>
    <row r="314" spans="1:12" hidden="1" x14ac:dyDescent="0.25">
      <c r="A314" s="78">
        <v>43661</v>
      </c>
      <c r="B314" s="75" t="s">
        <v>1131</v>
      </c>
      <c r="C314" s="75" t="s">
        <v>1132</v>
      </c>
      <c r="D314" s="75" t="s">
        <v>0</v>
      </c>
      <c r="E314" s="75">
        <v>68427709</v>
      </c>
      <c r="F314" s="89">
        <v>40000</v>
      </c>
      <c r="G314" s="75" t="s">
        <v>309</v>
      </c>
      <c r="H314" s="75" t="s">
        <v>310</v>
      </c>
      <c r="I314" s="75" t="s">
        <v>329</v>
      </c>
      <c r="J314" s="75">
        <v>2020</v>
      </c>
      <c r="K314" s="75" t="s">
        <v>629</v>
      </c>
      <c r="L314" s="75" t="s">
        <v>1133</v>
      </c>
    </row>
    <row r="315" spans="1:12" hidden="1" x14ac:dyDescent="0.25">
      <c r="A315" s="78">
        <v>43661</v>
      </c>
      <c r="B315" s="75" t="s">
        <v>1134</v>
      </c>
      <c r="C315" s="75" t="s">
        <v>1135</v>
      </c>
      <c r="D315" s="75" t="s">
        <v>548</v>
      </c>
      <c r="E315" s="75">
        <v>68427719</v>
      </c>
      <c r="F315" s="89">
        <v>440000</v>
      </c>
      <c r="G315" s="75" t="s">
        <v>309</v>
      </c>
      <c r="H315" s="75" t="s">
        <v>310</v>
      </c>
      <c r="I315" s="75" t="s">
        <v>329</v>
      </c>
      <c r="J315" s="75">
        <v>2020</v>
      </c>
      <c r="K315" s="75" t="s">
        <v>312</v>
      </c>
      <c r="L315" s="88" t="s">
        <v>1136</v>
      </c>
    </row>
    <row r="316" spans="1:12" hidden="1" x14ac:dyDescent="0.25">
      <c r="A316" s="78">
        <v>43661</v>
      </c>
      <c r="B316" s="75" t="s">
        <v>503</v>
      </c>
      <c r="C316" s="75" t="s">
        <v>1137</v>
      </c>
      <c r="D316" s="75" t="s">
        <v>0</v>
      </c>
      <c r="E316" s="75">
        <v>68427709</v>
      </c>
      <c r="F316" s="89">
        <v>60000</v>
      </c>
      <c r="G316" s="75" t="s">
        <v>309</v>
      </c>
      <c r="H316" s="75" t="s">
        <v>310</v>
      </c>
      <c r="I316" s="75" t="s">
        <v>377</v>
      </c>
      <c r="J316" s="75">
        <v>2020</v>
      </c>
      <c r="K316" s="75" t="s">
        <v>505</v>
      </c>
      <c r="L316" s="148"/>
    </row>
    <row r="317" spans="1:12" hidden="1" x14ac:dyDescent="0.25">
      <c r="A317" s="78">
        <v>43663</v>
      </c>
      <c r="B317" s="75" t="s">
        <v>1138</v>
      </c>
      <c r="C317" s="75" t="s">
        <v>1139</v>
      </c>
      <c r="D317" s="75" t="s">
        <v>0</v>
      </c>
      <c r="E317" s="75">
        <v>68427709</v>
      </c>
      <c r="F317" s="89">
        <v>176000</v>
      </c>
      <c r="G317" s="75" t="s">
        <v>309</v>
      </c>
      <c r="H317" s="75" t="s">
        <v>310</v>
      </c>
      <c r="I317" s="75" t="s">
        <v>377</v>
      </c>
      <c r="J317" s="75">
        <v>2020</v>
      </c>
      <c r="K317" s="75" t="s">
        <v>1140</v>
      </c>
      <c r="L317" s="75" t="s">
        <v>1141</v>
      </c>
    </row>
    <row r="318" spans="1:12" hidden="1" x14ac:dyDescent="0.25">
      <c r="A318" s="78">
        <v>43663</v>
      </c>
      <c r="B318" s="75" t="s">
        <v>1142</v>
      </c>
      <c r="C318" s="75" t="s">
        <v>1143</v>
      </c>
      <c r="D318" s="75" t="s">
        <v>0</v>
      </c>
      <c r="E318" s="75">
        <v>68427709</v>
      </c>
      <c r="F318" s="89">
        <v>400000</v>
      </c>
      <c r="G318" s="75" t="s">
        <v>498</v>
      </c>
      <c r="H318" s="75" t="s">
        <v>310</v>
      </c>
      <c r="I318" s="75" t="s">
        <v>1144</v>
      </c>
      <c r="J318" s="75">
        <v>2020</v>
      </c>
      <c r="K318" s="75" t="s">
        <v>505</v>
      </c>
      <c r="L318" s="75" t="s">
        <v>1145</v>
      </c>
    </row>
    <row r="319" spans="1:12" hidden="1" x14ac:dyDescent="0.25">
      <c r="A319" s="78">
        <v>43663</v>
      </c>
      <c r="B319" s="75" t="s">
        <v>1146</v>
      </c>
      <c r="C319" s="75" t="s">
        <v>1147</v>
      </c>
      <c r="D319" s="75" t="s">
        <v>42</v>
      </c>
      <c r="E319" s="75">
        <v>68427709</v>
      </c>
      <c r="F319" s="89">
        <v>75000</v>
      </c>
      <c r="G319" s="75" t="s">
        <v>309</v>
      </c>
      <c r="H319" s="75" t="s">
        <v>310</v>
      </c>
      <c r="I319" s="75" t="s">
        <v>42</v>
      </c>
      <c r="J319" s="75">
        <v>2020</v>
      </c>
      <c r="K319" s="75" t="s">
        <v>572</v>
      </c>
      <c r="L319" s="75"/>
    </row>
    <row r="320" spans="1:12" hidden="1" x14ac:dyDescent="0.25">
      <c r="A320" s="78">
        <v>43664</v>
      </c>
      <c r="B320" s="75" t="s">
        <v>1148</v>
      </c>
      <c r="C320" s="75" t="s">
        <v>1149</v>
      </c>
      <c r="D320" s="75" t="s">
        <v>376</v>
      </c>
      <c r="E320" s="75">
        <v>68427709</v>
      </c>
      <c r="F320" s="89">
        <v>40000</v>
      </c>
      <c r="G320" s="75" t="s">
        <v>309</v>
      </c>
      <c r="H320" s="75" t="s">
        <v>310</v>
      </c>
      <c r="I320" s="75" t="s">
        <v>377</v>
      </c>
      <c r="J320" s="75">
        <v>2020</v>
      </c>
      <c r="K320" s="75" t="s">
        <v>900</v>
      </c>
      <c r="L320" s="75"/>
    </row>
    <row r="321" spans="1:12" hidden="1" x14ac:dyDescent="0.25">
      <c r="A321" s="78">
        <v>43658</v>
      </c>
      <c r="B321" s="75" t="s">
        <v>327</v>
      </c>
      <c r="C321" s="75" t="s">
        <v>1150</v>
      </c>
      <c r="D321" s="75"/>
      <c r="E321" s="75">
        <v>68427709</v>
      </c>
      <c r="F321" s="89">
        <v>12000</v>
      </c>
      <c r="G321" s="75" t="s">
        <v>309</v>
      </c>
      <c r="H321" s="75" t="s">
        <v>310</v>
      </c>
      <c r="I321" s="75" t="s">
        <v>377</v>
      </c>
      <c r="J321" s="75">
        <v>2020</v>
      </c>
      <c r="K321" s="75" t="s">
        <v>423</v>
      </c>
      <c r="L321" s="75"/>
    </row>
    <row r="322" spans="1:12" hidden="1" x14ac:dyDescent="0.25">
      <c r="A322" s="78">
        <v>43677</v>
      </c>
      <c r="B322" s="75" t="s">
        <v>1151</v>
      </c>
      <c r="C322" s="75" t="s">
        <v>806</v>
      </c>
      <c r="D322" s="75" t="s">
        <v>0</v>
      </c>
      <c r="E322" s="75">
        <v>68427709</v>
      </c>
      <c r="F322" s="89">
        <v>2000</v>
      </c>
      <c r="G322" s="75" t="s">
        <v>309</v>
      </c>
      <c r="H322" s="75" t="s">
        <v>310</v>
      </c>
      <c r="I322" s="75" t="s">
        <v>377</v>
      </c>
      <c r="J322" s="75">
        <v>2020</v>
      </c>
      <c r="K322" s="75" t="s">
        <v>751</v>
      </c>
      <c r="L322" s="75"/>
    </row>
    <row r="323" spans="1:12" hidden="1" x14ac:dyDescent="0.25">
      <c r="A323" s="78">
        <v>43677</v>
      </c>
      <c r="B323" s="75" t="s">
        <v>1152</v>
      </c>
      <c r="C323" s="75" t="s">
        <v>1153</v>
      </c>
      <c r="D323" s="75" t="s">
        <v>0</v>
      </c>
      <c r="E323" s="75">
        <v>68427709</v>
      </c>
      <c r="F323" s="89">
        <v>-13000</v>
      </c>
      <c r="G323" s="75" t="s">
        <v>309</v>
      </c>
      <c r="H323" s="75" t="s">
        <v>310</v>
      </c>
      <c r="I323" s="75" t="s">
        <v>377</v>
      </c>
      <c r="J323" s="75">
        <v>2020</v>
      </c>
      <c r="K323" s="75" t="s">
        <v>367</v>
      </c>
      <c r="L323" s="75"/>
    </row>
    <row r="324" spans="1:12" hidden="1" x14ac:dyDescent="0.25">
      <c r="A324" s="78">
        <v>43677</v>
      </c>
      <c r="B324" s="75" t="s">
        <v>1154</v>
      </c>
      <c r="C324" s="75" t="s">
        <v>806</v>
      </c>
      <c r="D324" s="75" t="s">
        <v>1154</v>
      </c>
      <c r="E324" s="75">
        <v>68427709</v>
      </c>
      <c r="F324" s="89">
        <v>12000</v>
      </c>
      <c r="G324" s="75" t="s">
        <v>309</v>
      </c>
      <c r="H324" s="75" t="s">
        <v>310</v>
      </c>
      <c r="I324" s="75" t="s">
        <v>377</v>
      </c>
      <c r="J324" s="75">
        <v>2020</v>
      </c>
      <c r="K324" s="75" t="s">
        <v>393</v>
      </c>
      <c r="L324" s="75"/>
    </row>
    <row r="325" spans="1:12" hidden="1" x14ac:dyDescent="0.25">
      <c r="A325" s="78">
        <v>43675</v>
      </c>
      <c r="B325" s="75" t="s">
        <v>689</v>
      </c>
      <c r="C325" s="75" t="s">
        <v>1155</v>
      </c>
      <c r="D325" s="75" t="s">
        <v>42</v>
      </c>
      <c r="E325" s="75">
        <v>68427709</v>
      </c>
      <c r="F325" s="89">
        <v>-75000</v>
      </c>
      <c r="G325" s="75" t="s">
        <v>309</v>
      </c>
      <c r="H325" s="75" t="s">
        <v>310</v>
      </c>
      <c r="I325" s="75" t="s">
        <v>42</v>
      </c>
      <c r="J325" s="75">
        <v>2020</v>
      </c>
      <c r="K325" s="75" t="s">
        <v>572</v>
      </c>
      <c r="L325" s="75" t="s">
        <v>1156</v>
      </c>
    </row>
    <row r="326" spans="1:12" hidden="1" x14ac:dyDescent="0.25">
      <c r="A326" s="78">
        <v>43675</v>
      </c>
      <c r="B326" s="75" t="s">
        <v>689</v>
      </c>
      <c r="C326" s="75" t="s">
        <v>1157</v>
      </c>
      <c r="D326" s="75" t="s">
        <v>42</v>
      </c>
      <c r="E326" s="75">
        <v>68427709</v>
      </c>
      <c r="F326" s="89">
        <v>0</v>
      </c>
      <c r="G326" s="75" t="s">
        <v>309</v>
      </c>
      <c r="H326" s="75" t="s">
        <v>1158</v>
      </c>
      <c r="I326" s="75" t="s">
        <v>42</v>
      </c>
      <c r="J326" s="75">
        <v>2020</v>
      </c>
      <c r="K326" s="75" t="s">
        <v>572</v>
      </c>
      <c r="L326" s="75" t="s">
        <v>1159</v>
      </c>
    </row>
    <row r="327" spans="1:12" hidden="1" x14ac:dyDescent="0.25">
      <c r="A327" s="78">
        <v>43675</v>
      </c>
      <c r="B327" s="75" t="s">
        <v>1160</v>
      </c>
      <c r="C327" s="75" t="s">
        <v>1161</v>
      </c>
      <c r="D327" s="75" t="s">
        <v>42</v>
      </c>
      <c r="E327" s="75">
        <v>68427709</v>
      </c>
      <c r="F327" s="89">
        <v>0</v>
      </c>
      <c r="G327" s="75" t="s">
        <v>309</v>
      </c>
      <c r="H327" s="75" t="s">
        <v>310</v>
      </c>
      <c r="I327" s="75" t="s">
        <v>42</v>
      </c>
      <c r="J327" s="75">
        <v>2020</v>
      </c>
      <c r="K327" s="75" t="s">
        <v>572</v>
      </c>
      <c r="L327" s="75"/>
    </row>
    <row r="328" spans="1:12" hidden="1" x14ac:dyDescent="0.25">
      <c r="A328" s="78">
        <v>43675</v>
      </c>
      <c r="B328" s="75" t="s">
        <v>1162</v>
      </c>
      <c r="C328" s="75" t="s">
        <v>1157</v>
      </c>
      <c r="D328" s="75" t="s">
        <v>42</v>
      </c>
      <c r="E328" s="75">
        <v>68427709</v>
      </c>
      <c r="F328" s="89">
        <v>0</v>
      </c>
      <c r="G328" s="75" t="s">
        <v>309</v>
      </c>
      <c r="H328" s="75" t="s">
        <v>310</v>
      </c>
      <c r="I328" s="75" t="s">
        <v>42</v>
      </c>
      <c r="J328" s="75">
        <v>2020</v>
      </c>
      <c r="K328" s="75" t="s">
        <v>572</v>
      </c>
      <c r="L328" s="75" t="s">
        <v>1163</v>
      </c>
    </row>
    <row r="329" spans="1:12" hidden="1" x14ac:dyDescent="0.25">
      <c r="A329" s="78">
        <v>43675</v>
      </c>
      <c r="B329" s="75" t="s">
        <v>1164</v>
      </c>
      <c r="C329" s="75" t="s">
        <v>1165</v>
      </c>
      <c r="D329" s="75" t="s">
        <v>42</v>
      </c>
      <c r="E329" s="75">
        <v>68427709</v>
      </c>
      <c r="F329" s="89">
        <v>0</v>
      </c>
      <c r="G329" s="75" t="s">
        <v>309</v>
      </c>
      <c r="H329" s="75" t="s">
        <v>1158</v>
      </c>
      <c r="I329" s="75" t="s">
        <v>42</v>
      </c>
      <c r="J329" s="75">
        <v>2020</v>
      </c>
      <c r="K329" s="75" t="s">
        <v>572</v>
      </c>
      <c r="L329" s="75" t="s">
        <v>1166</v>
      </c>
    </row>
    <row r="330" spans="1:12" hidden="1" x14ac:dyDescent="0.25">
      <c r="A330" s="78">
        <v>43675</v>
      </c>
      <c r="B330" s="75" t="s">
        <v>1167</v>
      </c>
      <c r="C330" s="75" t="s">
        <v>1165</v>
      </c>
      <c r="D330" s="75" t="s">
        <v>42</v>
      </c>
      <c r="E330" s="75">
        <v>68427709</v>
      </c>
      <c r="F330" s="89">
        <v>0</v>
      </c>
      <c r="G330" s="75" t="s">
        <v>309</v>
      </c>
      <c r="H330" s="75" t="s">
        <v>310</v>
      </c>
      <c r="I330" s="75" t="s">
        <v>42</v>
      </c>
      <c r="J330" s="75">
        <v>2020</v>
      </c>
      <c r="K330" s="75" t="s">
        <v>572</v>
      </c>
      <c r="L330" s="75" t="s">
        <v>1166</v>
      </c>
    </row>
    <row r="331" spans="1:12" hidden="1" x14ac:dyDescent="0.25">
      <c r="A331" s="78">
        <v>43675</v>
      </c>
      <c r="B331" s="75" t="s">
        <v>1168</v>
      </c>
      <c r="C331" s="75" t="s">
        <v>1169</v>
      </c>
      <c r="D331" s="75" t="s">
        <v>0</v>
      </c>
      <c r="E331" s="75">
        <v>68427709</v>
      </c>
      <c r="F331" s="89">
        <v>-85000</v>
      </c>
      <c r="G331" s="75" t="s">
        <v>309</v>
      </c>
      <c r="H331" s="75" t="s">
        <v>310</v>
      </c>
      <c r="I331" s="75" t="s">
        <v>42</v>
      </c>
      <c r="J331" s="75">
        <v>2020</v>
      </c>
      <c r="K331" s="75" t="s">
        <v>572</v>
      </c>
      <c r="L331" s="75" t="s">
        <v>1170</v>
      </c>
    </row>
    <row r="332" spans="1:12" hidden="1" x14ac:dyDescent="0.25">
      <c r="A332" s="78">
        <v>43675</v>
      </c>
      <c r="B332" s="75" t="s">
        <v>1162</v>
      </c>
      <c r="C332" s="75" t="s">
        <v>1171</v>
      </c>
      <c r="D332" s="75" t="s">
        <v>42</v>
      </c>
      <c r="E332" s="75">
        <v>68427709</v>
      </c>
      <c r="F332" s="115"/>
      <c r="G332" s="75" t="s">
        <v>993</v>
      </c>
      <c r="H332" s="75" t="s">
        <v>310</v>
      </c>
      <c r="I332" s="75" t="s">
        <v>42</v>
      </c>
      <c r="J332" s="75">
        <v>2020</v>
      </c>
      <c r="K332" s="75" t="s">
        <v>572</v>
      </c>
      <c r="L332" s="75" t="s">
        <v>1172</v>
      </c>
    </row>
    <row r="333" spans="1:12" hidden="1" x14ac:dyDescent="0.25">
      <c r="A333" s="78">
        <v>43675</v>
      </c>
      <c r="B333" s="75" t="s">
        <v>1162</v>
      </c>
      <c r="C333" s="75" t="s">
        <v>1173</v>
      </c>
      <c r="D333" s="75" t="s">
        <v>42</v>
      </c>
      <c r="E333" s="75">
        <v>68427709</v>
      </c>
      <c r="F333" s="89">
        <v>55000</v>
      </c>
      <c r="G333" s="75" t="s">
        <v>309</v>
      </c>
      <c r="H333" s="75" t="s">
        <v>310</v>
      </c>
      <c r="I333" s="75" t="s">
        <v>42</v>
      </c>
      <c r="J333" s="75">
        <v>2020</v>
      </c>
      <c r="K333" s="75" t="s">
        <v>572</v>
      </c>
      <c r="L333" s="75"/>
    </row>
    <row r="334" spans="1:12" hidden="1" x14ac:dyDescent="0.25">
      <c r="A334" s="78">
        <v>43675</v>
      </c>
      <c r="B334" s="75" t="s">
        <v>1174</v>
      </c>
      <c r="C334" s="75" t="s">
        <v>1175</v>
      </c>
      <c r="D334" s="75" t="s">
        <v>42</v>
      </c>
      <c r="E334" s="75">
        <v>68427709</v>
      </c>
      <c r="F334" s="89">
        <v>3000</v>
      </c>
      <c r="G334" s="75" t="s">
        <v>309</v>
      </c>
      <c r="H334" s="75" t="s">
        <v>310</v>
      </c>
      <c r="I334" s="75" t="s">
        <v>42</v>
      </c>
      <c r="J334" s="75">
        <v>2020</v>
      </c>
      <c r="K334" s="75" t="s">
        <v>572</v>
      </c>
      <c r="L334" s="75" t="s">
        <v>1176</v>
      </c>
    </row>
    <row r="335" spans="1:12" hidden="1" x14ac:dyDescent="0.25">
      <c r="A335" s="78">
        <v>43675</v>
      </c>
      <c r="B335" s="75" t="s">
        <v>1177</v>
      </c>
      <c r="C335" s="75" t="s">
        <v>1178</v>
      </c>
      <c r="D335" s="75" t="s">
        <v>42</v>
      </c>
      <c r="E335" s="75">
        <v>68427709</v>
      </c>
      <c r="F335" s="89">
        <v>30000</v>
      </c>
      <c r="G335" s="75" t="s">
        <v>309</v>
      </c>
      <c r="H335" s="75" t="s">
        <v>310</v>
      </c>
      <c r="I335" s="75" t="s">
        <v>42</v>
      </c>
      <c r="J335" s="75">
        <v>2020</v>
      </c>
      <c r="K335" s="75" t="s">
        <v>572</v>
      </c>
      <c r="L335" s="75"/>
    </row>
    <row r="336" spans="1:12" hidden="1" x14ac:dyDescent="0.25">
      <c r="A336" s="78">
        <v>43678</v>
      </c>
      <c r="B336" s="75" t="s">
        <v>1179</v>
      </c>
      <c r="C336" s="75" t="s">
        <v>1180</v>
      </c>
      <c r="D336" s="75" t="s">
        <v>0</v>
      </c>
      <c r="E336" s="75">
        <v>68427709</v>
      </c>
      <c r="F336" s="89">
        <v>0</v>
      </c>
      <c r="G336" s="75" t="s">
        <v>309</v>
      </c>
      <c r="H336" s="75" t="s">
        <v>310</v>
      </c>
      <c r="I336" s="75" t="s">
        <v>329</v>
      </c>
      <c r="J336" s="75">
        <v>2020</v>
      </c>
      <c r="K336" s="75" t="s">
        <v>572</v>
      </c>
      <c r="L336" s="75" t="s">
        <v>1181</v>
      </c>
    </row>
    <row r="337" spans="1:12" hidden="1" x14ac:dyDescent="0.25">
      <c r="A337" s="78">
        <v>43678</v>
      </c>
      <c r="B337" s="75" t="s">
        <v>784</v>
      </c>
      <c r="C337" s="75" t="s">
        <v>1182</v>
      </c>
      <c r="D337" s="75" t="s">
        <v>0</v>
      </c>
      <c r="E337" s="75">
        <v>68427709</v>
      </c>
      <c r="F337" s="80">
        <v>0</v>
      </c>
      <c r="G337" s="75" t="s">
        <v>309</v>
      </c>
      <c r="H337" s="75" t="s">
        <v>310</v>
      </c>
      <c r="I337" s="75" t="s">
        <v>377</v>
      </c>
      <c r="J337" s="75">
        <v>2020</v>
      </c>
      <c r="K337" s="75" t="s">
        <v>572</v>
      </c>
      <c r="L337" s="75" t="s">
        <v>1183</v>
      </c>
    </row>
    <row r="338" spans="1:12" hidden="1" x14ac:dyDescent="0.25">
      <c r="A338" s="78">
        <v>43678</v>
      </c>
      <c r="B338" s="75" t="s">
        <v>1184</v>
      </c>
      <c r="C338" s="75" t="s">
        <v>1185</v>
      </c>
      <c r="D338" s="75" t="s">
        <v>0</v>
      </c>
      <c r="E338" s="75">
        <v>68427709</v>
      </c>
      <c r="F338" s="80"/>
      <c r="G338" s="75" t="s">
        <v>993</v>
      </c>
      <c r="H338" s="75" t="s">
        <v>310</v>
      </c>
      <c r="I338" s="75" t="s">
        <v>377</v>
      </c>
      <c r="J338" s="75">
        <v>2020</v>
      </c>
      <c r="K338" s="75" t="s">
        <v>572</v>
      </c>
      <c r="L338" s="75" t="s">
        <v>1186</v>
      </c>
    </row>
    <row r="339" spans="1:12" hidden="1" x14ac:dyDescent="0.25">
      <c r="A339" s="78">
        <v>43678</v>
      </c>
      <c r="B339" s="75" t="s">
        <v>1187</v>
      </c>
      <c r="C339" s="75" t="s">
        <v>1188</v>
      </c>
      <c r="D339" s="75" t="s">
        <v>0</v>
      </c>
      <c r="E339" s="75">
        <v>68427709</v>
      </c>
      <c r="F339" s="89">
        <v>-65000</v>
      </c>
      <c r="G339" s="75" t="s">
        <v>309</v>
      </c>
      <c r="H339" s="75" t="s">
        <v>310</v>
      </c>
      <c r="I339" s="75" t="s">
        <v>1189</v>
      </c>
      <c r="J339" s="75">
        <v>2020</v>
      </c>
      <c r="K339" s="75" t="s">
        <v>572</v>
      </c>
      <c r="L339" s="75"/>
    </row>
    <row r="340" spans="1:12" hidden="1" x14ac:dyDescent="0.25">
      <c r="A340" s="78">
        <v>43678</v>
      </c>
      <c r="B340" s="75" t="s">
        <v>859</v>
      </c>
      <c r="C340" s="75" t="s">
        <v>1190</v>
      </c>
      <c r="D340" s="75" t="s">
        <v>0</v>
      </c>
      <c r="E340" s="75">
        <v>68427709</v>
      </c>
      <c r="F340" s="89">
        <v>35000</v>
      </c>
      <c r="G340" s="75" t="s">
        <v>309</v>
      </c>
      <c r="H340" s="75" t="s">
        <v>310</v>
      </c>
      <c r="I340" s="75" t="s">
        <v>329</v>
      </c>
      <c r="J340" s="75">
        <v>2020</v>
      </c>
      <c r="K340" s="75" t="s">
        <v>572</v>
      </c>
      <c r="L340" s="75" t="s">
        <v>1191</v>
      </c>
    </row>
    <row r="341" spans="1:12" hidden="1" x14ac:dyDescent="0.25">
      <c r="A341" s="78">
        <v>43678</v>
      </c>
      <c r="B341" s="75" t="s">
        <v>1192</v>
      </c>
      <c r="C341" s="75" t="s">
        <v>1193</v>
      </c>
      <c r="D341" s="75" t="s">
        <v>0</v>
      </c>
      <c r="E341" s="75">
        <v>68427709</v>
      </c>
      <c r="F341" s="115"/>
      <c r="G341" s="75" t="s">
        <v>993</v>
      </c>
      <c r="H341" s="75" t="s">
        <v>310</v>
      </c>
      <c r="I341" s="75" t="s">
        <v>329</v>
      </c>
      <c r="J341" s="75">
        <v>2020</v>
      </c>
      <c r="K341" s="75" t="s">
        <v>572</v>
      </c>
      <c r="L341" s="75" t="s">
        <v>1194</v>
      </c>
    </row>
    <row r="342" spans="1:12" hidden="1" x14ac:dyDescent="0.25">
      <c r="A342" s="78">
        <v>43679</v>
      </c>
      <c r="B342" s="75" t="s">
        <v>1195</v>
      </c>
      <c r="C342" s="75" t="s">
        <v>1196</v>
      </c>
      <c r="D342" s="75" t="s">
        <v>0</v>
      </c>
      <c r="E342" s="75">
        <v>68427709</v>
      </c>
      <c r="F342" s="89">
        <v>39000</v>
      </c>
      <c r="G342" s="75" t="s">
        <v>309</v>
      </c>
      <c r="H342" s="75" t="s">
        <v>310</v>
      </c>
      <c r="I342" s="75" t="s">
        <v>377</v>
      </c>
      <c r="J342" s="75">
        <v>2020</v>
      </c>
      <c r="K342" s="75" t="s">
        <v>1100</v>
      </c>
      <c r="L342" s="75"/>
    </row>
    <row r="343" spans="1:12" hidden="1" x14ac:dyDescent="0.25">
      <c r="A343" s="78">
        <v>43682</v>
      </c>
      <c r="B343" s="75" t="s">
        <v>1197</v>
      </c>
      <c r="C343" s="75" t="s">
        <v>1198</v>
      </c>
      <c r="D343" s="75" t="s">
        <v>0</v>
      </c>
      <c r="E343" s="75">
        <v>68427709</v>
      </c>
      <c r="F343" s="89">
        <v>100000</v>
      </c>
      <c r="G343" s="75" t="s">
        <v>309</v>
      </c>
      <c r="H343" s="75" t="s">
        <v>310</v>
      </c>
      <c r="I343" s="75" t="s">
        <v>329</v>
      </c>
      <c r="J343" s="75">
        <v>2020</v>
      </c>
      <c r="K343" s="75" t="s">
        <v>557</v>
      </c>
      <c r="L343" s="75"/>
    </row>
    <row r="344" spans="1:12" hidden="1" x14ac:dyDescent="0.25">
      <c r="A344" s="78">
        <v>43683</v>
      </c>
      <c r="B344" s="75" t="s">
        <v>1199</v>
      </c>
      <c r="C344" s="75" t="s">
        <v>1200</v>
      </c>
      <c r="D344" s="75" t="s">
        <v>548</v>
      </c>
      <c r="E344" s="75">
        <v>68427709</v>
      </c>
      <c r="F344" s="89">
        <f>135000*0.6</f>
        <v>81000</v>
      </c>
      <c r="G344" s="75" t="s">
        <v>309</v>
      </c>
      <c r="H344" s="75" t="s">
        <v>310</v>
      </c>
      <c r="I344" s="75" t="s">
        <v>329</v>
      </c>
      <c r="J344" s="75">
        <v>2020</v>
      </c>
      <c r="K344" s="75" t="s">
        <v>312</v>
      </c>
      <c r="L344" s="75"/>
    </row>
    <row r="345" spans="1:12" hidden="1" x14ac:dyDescent="0.25">
      <c r="A345" s="78">
        <v>43683</v>
      </c>
      <c r="B345" s="75" t="s">
        <v>798</v>
      </c>
      <c r="C345" s="75" t="s">
        <v>1201</v>
      </c>
      <c r="D345" s="75" t="s">
        <v>0</v>
      </c>
      <c r="E345" s="75">
        <v>68427709</v>
      </c>
      <c r="F345" s="89">
        <v>-564609</v>
      </c>
      <c r="G345" s="75" t="s">
        <v>309</v>
      </c>
      <c r="H345" s="75" t="s">
        <v>310</v>
      </c>
      <c r="I345" s="75" t="s">
        <v>1144</v>
      </c>
      <c r="J345" s="75">
        <v>2020</v>
      </c>
      <c r="K345" s="75" t="s">
        <v>505</v>
      </c>
      <c r="L345" s="75" t="s">
        <v>1202</v>
      </c>
    </row>
    <row r="346" spans="1:12" hidden="1" x14ac:dyDescent="0.25">
      <c r="A346" s="78">
        <v>43683</v>
      </c>
      <c r="B346" s="75" t="s">
        <v>801</v>
      </c>
      <c r="C346" s="75" t="s">
        <v>1201</v>
      </c>
      <c r="D346" s="75" t="s">
        <v>0</v>
      </c>
      <c r="E346" s="75">
        <v>68427709</v>
      </c>
      <c r="F346" s="89">
        <v>335000</v>
      </c>
      <c r="G346" s="75" t="s">
        <v>309</v>
      </c>
      <c r="H346" s="75" t="s">
        <v>310</v>
      </c>
      <c r="I346" s="75" t="s">
        <v>1144</v>
      </c>
      <c r="J346" s="75">
        <v>2020</v>
      </c>
      <c r="K346" s="75" t="s">
        <v>505</v>
      </c>
      <c r="L346" s="75" t="s">
        <v>1203</v>
      </c>
    </row>
    <row r="347" spans="1:12" hidden="1" x14ac:dyDescent="0.25">
      <c r="A347" s="78">
        <v>43683</v>
      </c>
      <c r="B347" s="75" t="s">
        <v>1204</v>
      </c>
      <c r="C347" s="75" t="s">
        <v>1205</v>
      </c>
      <c r="D347" s="75" t="s">
        <v>42</v>
      </c>
      <c r="E347" s="75">
        <v>68427709</v>
      </c>
      <c r="F347" s="89">
        <v>0</v>
      </c>
      <c r="G347" s="75" t="s">
        <v>309</v>
      </c>
      <c r="H347" s="75" t="s">
        <v>1158</v>
      </c>
      <c r="I347" s="75" t="s">
        <v>42</v>
      </c>
      <c r="J347" s="75">
        <v>2020</v>
      </c>
      <c r="K347" s="75" t="s">
        <v>572</v>
      </c>
      <c r="L347" s="75"/>
    </row>
    <row r="348" spans="1:12" hidden="1" x14ac:dyDescent="0.25">
      <c r="A348" s="78">
        <v>43695</v>
      </c>
      <c r="B348" s="75" t="s">
        <v>793</v>
      </c>
      <c r="C348" s="75" t="s">
        <v>1206</v>
      </c>
      <c r="D348" s="75" t="s">
        <v>0</v>
      </c>
      <c r="E348" s="75">
        <v>68427709</v>
      </c>
      <c r="F348" s="89">
        <v>-40000</v>
      </c>
      <c r="G348" s="75" t="s">
        <v>309</v>
      </c>
      <c r="H348" s="75" t="s">
        <v>310</v>
      </c>
      <c r="I348" s="75" t="s">
        <v>377</v>
      </c>
      <c r="J348" s="75">
        <v>2020</v>
      </c>
      <c r="K348" s="75" t="s">
        <v>312</v>
      </c>
      <c r="L348" s="75" t="s">
        <v>1207</v>
      </c>
    </row>
    <row r="349" spans="1:12" hidden="1" x14ac:dyDescent="0.25">
      <c r="A349" s="78">
        <v>43696</v>
      </c>
      <c r="B349" s="75" t="s">
        <v>1208</v>
      </c>
      <c r="C349" s="75" t="s">
        <v>1209</v>
      </c>
      <c r="D349" s="75" t="s">
        <v>548</v>
      </c>
      <c r="E349" s="75">
        <v>68427709</v>
      </c>
      <c r="F349" s="89">
        <f>-65000*0.6</f>
        <v>-39000</v>
      </c>
      <c r="G349" s="75" t="s">
        <v>309</v>
      </c>
      <c r="H349" s="75" t="s">
        <v>310</v>
      </c>
      <c r="I349" s="75" t="s">
        <v>329</v>
      </c>
      <c r="J349" s="75">
        <v>2020</v>
      </c>
      <c r="K349" s="75" t="s">
        <v>312</v>
      </c>
      <c r="L349" s="75" t="s">
        <v>1210</v>
      </c>
    </row>
    <row r="350" spans="1:12" hidden="1" x14ac:dyDescent="0.25">
      <c r="A350" s="78">
        <v>43696</v>
      </c>
      <c r="B350" s="75" t="s">
        <v>1211</v>
      </c>
      <c r="C350" s="75" t="s">
        <v>1212</v>
      </c>
      <c r="D350" s="75" t="s">
        <v>376</v>
      </c>
      <c r="E350" s="75">
        <v>68427709</v>
      </c>
      <c r="F350" s="89">
        <v>25000</v>
      </c>
      <c r="G350" s="75" t="s">
        <v>309</v>
      </c>
      <c r="H350" s="75" t="s">
        <v>310</v>
      </c>
      <c r="I350" s="75" t="s">
        <v>329</v>
      </c>
      <c r="J350" s="75">
        <v>2020</v>
      </c>
      <c r="K350" s="75" t="s">
        <v>507</v>
      </c>
      <c r="L350" s="75"/>
    </row>
    <row r="351" spans="1:12" hidden="1" x14ac:dyDescent="0.25">
      <c r="A351" s="78">
        <v>43696</v>
      </c>
      <c r="B351" s="75" t="s">
        <v>425</v>
      </c>
      <c r="C351" s="75" t="s">
        <v>1213</v>
      </c>
      <c r="D351" s="75" t="s">
        <v>323</v>
      </c>
      <c r="E351" s="75">
        <v>68427719</v>
      </c>
      <c r="F351" s="89">
        <v>-8000</v>
      </c>
      <c r="G351" s="75" t="s">
        <v>309</v>
      </c>
      <c r="H351" s="75" t="s">
        <v>310</v>
      </c>
      <c r="I351" s="75" t="s">
        <v>377</v>
      </c>
      <c r="J351" s="75">
        <v>2020</v>
      </c>
      <c r="K351" s="75" t="s">
        <v>507</v>
      </c>
      <c r="L351" s="75" t="s">
        <v>1214</v>
      </c>
    </row>
    <row r="352" spans="1:12" hidden="1" x14ac:dyDescent="0.25">
      <c r="A352" s="78">
        <v>43696</v>
      </c>
      <c r="B352" s="75" t="s">
        <v>1215</v>
      </c>
      <c r="C352" s="75" t="s">
        <v>1216</v>
      </c>
      <c r="D352" s="75" t="s">
        <v>323</v>
      </c>
      <c r="E352" s="75">
        <v>68427719</v>
      </c>
      <c r="F352" s="89">
        <v>1235000</v>
      </c>
      <c r="G352" s="75" t="s">
        <v>309</v>
      </c>
      <c r="H352" s="75" t="s">
        <v>310</v>
      </c>
      <c r="I352" s="75" t="s">
        <v>329</v>
      </c>
      <c r="J352" s="75">
        <v>2020</v>
      </c>
      <c r="K352" s="75" t="s">
        <v>1217</v>
      </c>
      <c r="L352" s="88" t="s">
        <v>1136</v>
      </c>
    </row>
    <row r="353" spans="1:12" hidden="1" x14ac:dyDescent="0.25">
      <c r="A353" s="78">
        <v>43696</v>
      </c>
      <c r="B353" s="75" t="s">
        <v>1218</v>
      </c>
      <c r="C353" s="75" t="s">
        <v>1216</v>
      </c>
      <c r="D353" s="75" t="s">
        <v>323</v>
      </c>
      <c r="E353" s="75">
        <v>68427719</v>
      </c>
      <c r="F353" s="89">
        <v>1285000</v>
      </c>
      <c r="G353" s="75" t="s">
        <v>309</v>
      </c>
      <c r="H353" s="75" t="s">
        <v>310</v>
      </c>
      <c r="I353" s="75" t="s">
        <v>329</v>
      </c>
      <c r="J353" s="75">
        <v>2020</v>
      </c>
      <c r="K353" s="75" t="s">
        <v>1217</v>
      </c>
      <c r="L353" s="88" t="s">
        <v>1136</v>
      </c>
    </row>
    <row r="354" spans="1:12" hidden="1" x14ac:dyDescent="0.25">
      <c r="A354" s="78">
        <v>43696</v>
      </c>
      <c r="B354" s="75" t="s">
        <v>1219</v>
      </c>
      <c r="C354" s="75" t="s">
        <v>1216</v>
      </c>
      <c r="D354" s="75" t="s">
        <v>323</v>
      </c>
      <c r="E354" s="75">
        <v>68427719</v>
      </c>
      <c r="F354" s="89">
        <v>1970667</v>
      </c>
      <c r="G354" s="75" t="s">
        <v>309</v>
      </c>
      <c r="H354" s="75" t="s">
        <v>310</v>
      </c>
      <c r="I354" s="75" t="s">
        <v>329</v>
      </c>
      <c r="J354" s="75">
        <v>2020</v>
      </c>
      <c r="K354" s="75" t="s">
        <v>1217</v>
      </c>
      <c r="L354" s="88" t="s">
        <v>1220</v>
      </c>
    </row>
    <row r="355" spans="1:12" hidden="1" x14ac:dyDescent="0.25">
      <c r="A355" s="78">
        <v>43696</v>
      </c>
      <c r="B355" s="75" t="s">
        <v>857</v>
      </c>
      <c r="C355" s="75" t="s">
        <v>857</v>
      </c>
      <c r="D355" s="75" t="s">
        <v>323</v>
      </c>
      <c r="E355" s="75">
        <v>68427719</v>
      </c>
      <c r="F355" s="89">
        <v>-750000</v>
      </c>
      <c r="G355" s="75" t="s">
        <v>309</v>
      </c>
      <c r="H355" s="75" t="s">
        <v>310</v>
      </c>
      <c r="I355" s="75" t="s">
        <v>329</v>
      </c>
      <c r="J355" s="75">
        <v>2020</v>
      </c>
      <c r="K355" s="75" t="s">
        <v>1217</v>
      </c>
      <c r="L355" s="149" t="s">
        <v>1221</v>
      </c>
    </row>
    <row r="356" spans="1:12" hidden="1" x14ac:dyDescent="0.25">
      <c r="A356" s="78">
        <v>43696</v>
      </c>
      <c r="B356" s="116" t="s">
        <v>1222</v>
      </c>
      <c r="C356" s="116" t="s">
        <v>1222</v>
      </c>
      <c r="D356" s="75" t="s">
        <v>323</v>
      </c>
      <c r="E356" s="75">
        <v>68427719</v>
      </c>
      <c r="F356" s="89">
        <v>197000</v>
      </c>
      <c r="G356" s="75" t="s">
        <v>309</v>
      </c>
      <c r="H356" s="75" t="s">
        <v>310</v>
      </c>
      <c r="I356" s="75" t="s">
        <v>329</v>
      </c>
      <c r="J356" s="75">
        <v>2020</v>
      </c>
      <c r="K356" s="75" t="s">
        <v>1217</v>
      </c>
      <c r="L356" s="88" t="s">
        <v>1136</v>
      </c>
    </row>
    <row r="357" spans="1:12" hidden="1" x14ac:dyDescent="0.25">
      <c r="A357" s="78">
        <v>43696</v>
      </c>
      <c r="B357" s="75" t="s">
        <v>1223</v>
      </c>
      <c r="C357" s="75" t="s">
        <v>391</v>
      </c>
      <c r="D357" s="75" t="s">
        <v>323</v>
      </c>
      <c r="E357" s="75">
        <v>68427719</v>
      </c>
      <c r="F357" s="89">
        <v>884000</v>
      </c>
      <c r="G357" s="75" t="s">
        <v>309</v>
      </c>
      <c r="H357" s="75" t="s">
        <v>310</v>
      </c>
      <c r="I357" s="75" t="s">
        <v>377</v>
      </c>
      <c r="J357" s="75">
        <v>2020</v>
      </c>
      <c r="K357" s="75" t="s">
        <v>1217</v>
      </c>
      <c r="L357" s="75"/>
    </row>
    <row r="358" spans="1:12" hidden="1" x14ac:dyDescent="0.25">
      <c r="A358" s="78">
        <v>43696</v>
      </c>
      <c r="B358" s="75" t="s">
        <v>1224</v>
      </c>
      <c r="C358" s="75" t="s">
        <v>391</v>
      </c>
      <c r="D358" s="75" t="s">
        <v>323</v>
      </c>
      <c r="E358" s="75">
        <v>68427719</v>
      </c>
      <c r="F358" s="89">
        <v>716000</v>
      </c>
      <c r="G358" s="75" t="s">
        <v>309</v>
      </c>
      <c r="H358" s="75" t="s">
        <v>310</v>
      </c>
      <c r="I358" s="75" t="s">
        <v>377</v>
      </c>
      <c r="J358" s="75">
        <v>2020</v>
      </c>
      <c r="K358" s="75" t="s">
        <v>1217</v>
      </c>
      <c r="L358" s="75"/>
    </row>
    <row r="359" spans="1:12" hidden="1" x14ac:dyDescent="0.25">
      <c r="A359" s="78">
        <v>43696</v>
      </c>
      <c r="B359" s="75" t="s">
        <v>479</v>
      </c>
      <c r="C359" s="75" t="s">
        <v>391</v>
      </c>
      <c r="D359" s="75" t="s">
        <v>323</v>
      </c>
      <c r="E359" s="75">
        <v>68427719</v>
      </c>
      <c r="F359" s="89">
        <v>37333</v>
      </c>
      <c r="G359" s="75" t="s">
        <v>309</v>
      </c>
      <c r="H359" s="75" t="s">
        <v>310</v>
      </c>
      <c r="I359" s="75" t="s">
        <v>377</v>
      </c>
      <c r="J359" s="75">
        <v>2020</v>
      </c>
      <c r="K359" s="75" t="s">
        <v>312</v>
      </c>
      <c r="L359" s="75" t="s">
        <v>1225</v>
      </c>
    </row>
    <row r="360" spans="1:12" hidden="1" x14ac:dyDescent="0.25">
      <c r="A360" s="78">
        <v>43696</v>
      </c>
      <c r="B360" s="22" t="s">
        <v>1226</v>
      </c>
      <c r="C360" s="75" t="s">
        <v>1227</v>
      </c>
      <c r="D360" s="75" t="s">
        <v>323</v>
      </c>
      <c r="E360" s="75">
        <v>68427719</v>
      </c>
      <c r="F360" s="89">
        <v>-300000</v>
      </c>
      <c r="G360" s="75" t="s">
        <v>309</v>
      </c>
      <c r="H360" s="75" t="s">
        <v>310</v>
      </c>
      <c r="I360" s="75" t="s">
        <v>377</v>
      </c>
      <c r="J360" s="75">
        <v>2020</v>
      </c>
      <c r="K360" s="75" t="s">
        <v>1217</v>
      </c>
      <c r="L360" s="75" t="s">
        <v>1227</v>
      </c>
    </row>
    <row r="361" spans="1:12" hidden="1" x14ac:dyDescent="0.25">
      <c r="A361" s="78">
        <v>43697</v>
      </c>
      <c r="B361" s="75" t="s">
        <v>1228</v>
      </c>
      <c r="C361" s="75" t="s">
        <v>1229</v>
      </c>
      <c r="D361" s="75" t="s">
        <v>0</v>
      </c>
      <c r="E361" s="75">
        <v>68427709</v>
      </c>
      <c r="F361" s="89">
        <v>70000</v>
      </c>
      <c r="G361" s="75" t="s">
        <v>309</v>
      </c>
      <c r="H361" s="75" t="s">
        <v>310</v>
      </c>
      <c r="I361" s="75" t="s">
        <v>329</v>
      </c>
      <c r="J361" s="75">
        <v>2020</v>
      </c>
      <c r="K361" s="75" t="s">
        <v>557</v>
      </c>
      <c r="L361" s="75" t="s">
        <v>1230</v>
      </c>
    </row>
    <row r="362" spans="1:12" hidden="1" x14ac:dyDescent="0.25">
      <c r="A362" s="78">
        <v>43698</v>
      </c>
      <c r="B362" s="75" t="s">
        <v>1231</v>
      </c>
      <c r="C362" s="75" t="s">
        <v>1232</v>
      </c>
      <c r="D362" s="75" t="s">
        <v>0</v>
      </c>
      <c r="E362" s="75">
        <v>68427709</v>
      </c>
      <c r="F362" s="89">
        <v>-2000</v>
      </c>
      <c r="G362" s="75" t="s">
        <v>309</v>
      </c>
      <c r="H362" s="75" t="s">
        <v>310</v>
      </c>
      <c r="I362" s="75" t="s">
        <v>400</v>
      </c>
      <c r="J362" s="75">
        <v>2020</v>
      </c>
      <c r="K362" s="75" t="s">
        <v>312</v>
      </c>
      <c r="L362" s="75"/>
    </row>
    <row r="363" spans="1:12" hidden="1" x14ac:dyDescent="0.25">
      <c r="A363" s="78">
        <v>43700</v>
      </c>
      <c r="B363" s="75" t="s">
        <v>1233</v>
      </c>
      <c r="C363" s="75" t="s">
        <v>1234</v>
      </c>
      <c r="D363" s="75"/>
      <c r="E363" s="75">
        <v>68427709</v>
      </c>
      <c r="F363" s="89">
        <v>50000</v>
      </c>
      <c r="G363" s="75" t="s">
        <v>309</v>
      </c>
      <c r="H363" s="75" t="s">
        <v>310</v>
      </c>
      <c r="I363" s="75" t="s">
        <v>400</v>
      </c>
      <c r="J363" s="75">
        <v>2020</v>
      </c>
      <c r="K363" s="75" t="s">
        <v>738</v>
      </c>
      <c r="L363" s="75" t="s">
        <v>1235</v>
      </c>
    </row>
    <row r="364" spans="1:12" hidden="1" x14ac:dyDescent="0.25">
      <c r="A364" s="78">
        <v>43698</v>
      </c>
      <c r="B364" s="75" t="s">
        <v>1236</v>
      </c>
      <c r="C364" s="75" t="s">
        <v>1237</v>
      </c>
      <c r="D364" s="75"/>
      <c r="E364" s="75">
        <v>68427709</v>
      </c>
      <c r="F364" s="89">
        <v>0</v>
      </c>
      <c r="G364" s="75" t="s">
        <v>309</v>
      </c>
      <c r="H364" s="75" t="s">
        <v>310</v>
      </c>
      <c r="I364" s="75" t="s">
        <v>400</v>
      </c>
      <c r="J364" s="75">
        <v>2020</v>
      </c>
      <c r="K364" s="75" t="s">
        <v>312</v>
      </c>
      <c r="L364" s="75" t="s">
        <v>1238</v>
      </c>
    </row>
    <row r="365" spans="1:12" hidden="1" x14ac:dyDescent="0.25">
      <c r="A365" s="78">
        <v>43735</v>
      </c>
      <c r="B365" s="75" t="s">
        <v>1239</v>
      </c>
      <c r="C365" s="75" t="s">
        <v>1240</v>
      </c>
      <c r="D365" s="75" t="s">
        <v>0</v>
      </c>
      <c r="E365" s="75">
        <v>68427709</v>
      </c>
      <c r="F365" s="89">
        <v>-7000</v>
      </c>
      <c r="G365" s="75" t="s">
        <v>309</v>
      </c>
      <c r="H365" s="75" t="s">
        <v>310</v>
      </c>
      <c r="I365" s="75" t="s">
        <v>400</v>
      </c>
      <c r="J365" s="75">
        <v>2020</v>
      </c>
      <c r="K365" s="75" t="s">
        <v>475</v>
      </c>
      <c r="L365" s="75" t="s">
        <v>1241</v>
      </c>
    </row>
    <row r="366" spans="1:12" hidden="1" x14ac:dyDescent="0.25">
      <c r="A366" s="78">
        <v>43706</v>
      </c>
      <c r="B366" s="75" t="s">
        <v>1242</v>
      </c>
      <c r="C366" s="75" t="s">
        <v>1243</v>
      </c>
      <c r="D366" s="75" t="s">
        <v>0</v>
      </c>
      <c r="E366" s="75">
        <v>68427709</v>
      </c>
      <c r="F366" s="89">
        <v>32000</v>
      </c>
      <c r="G366" s="75" t="s">
        <v>309</v>
      </c>
      <c r="H366" s="75" t="s">
        <v>310</v>
      </c>
      <c r="I366" s="75" t="s">
        <v>324</v>
      </c>
      <c r="J366" s="75">
        <v>2020</v>
      </c>
      <c r="K366" s="75" t="s">
        <v>312</v>
      </c>
      <c r="L366" s="75" t="s">
        <v>1244</v>
      </c>
    </row>
    <row r="367" spans="1:12" hidden="1" x14ac:dyDescent="0.25">
      <c r="A367" s="79">
        <v>43707</v>
      </c>
      <c r="B367" s="80" t="s">
        <v>1245</v>
      </c>
      <c r="C367" s="80"/>
      <c r="D367" s="80" t="s">
        <v>0</v>
      </c>
      <c r="E367" s="80">
        <v>68427709</v>
      </c>
      <c r="F367" s="115">
        <v>-34391</v>
      </c>
      <c r="G367" s="80" t="s">
        <v>309</v>
      </c>
      <c r="H367" s="80" t="s">
        <v>310</v>
      </c>
      <c r="I367" s="80" t="s">
        <v>1144</v>
      </c>
      <c r="J367" s="80">
        <v>2020</v>
      </c>
      <c r="K367" s="80" t="s">
        <v>572</v>
      </c>
      <c r="L367" s="80" t="s">
        <v>1246</v>
      </c>
    </row>
    <row r="368" spans="1:12" hidden="1" x14ac:dyDescent="0.25">
      <c r="A368" s="78">
        <v>43718</v>
      </c>
      <c r="B368" s="75" t="s">
        <v>519</v>
      </c>
      <c r="C368" s="75" t="s">
        <v>1247</v>
      </c>
      <c r="D368" s="75"/>
      <c r="E368" s="75">
        <v>68427709</v>
      </c>
      <c r="F368" s="89">
        <v>80000</v>
      </c>
      <c r="G368" s="75" t="s">
        <v>309</v>
      </c>
      <c r="H368" s="75" t="s">
        <v>310</v>
      </c>
      <c r="I368" s="75" t="s">
        <v>400</v>
      </c>
      <c r="J368" s="75">
        <v>2021</v>
      </c>
      <c r="K368" s="75" t="s">
        <v>389</v>
      </c>
      <c r="L368" s="75" t="s">
        <v>1248</v>
      </c>
    </row>
    <row r="369" spans="1:12" hidden="1" x14ac:dyDescent="0.25">
      <c r="A369" s="78">
        <v>43802</v>
      </c>
      <c r="B369" s="75" t="s">
        <v>1249</v>
      </c>
      <c r="C369" s="75" t="s">
        <v>1250</v>
      </c>
      <c r="D369" s="75"/>
      <c r="E369" s="75">
        <v>68427709</v>
      </c>
      <c r="F369" s="89">
        <v>-9000</v>
      </c>
      <c r="G369" s="75" t="s">
        <v>309</v>
      </c>
      <c r="H369" s="75" t="s">
        <v>310</v>
      </c>
      <c r="I369" s="75" t="s">
        <v>400</v>
      </c>
      <c r="J369" s="75">
        <v>2021</v>
      </c>
      <c r="K369" s="75" t="s">
        <v>423</v>
      </c>
      <c r="L369" s="75" t="s">
        <v>1251</v>
      </c>
    </row>
    <row r="370" spans="1:12" hidden="1" x14ac:dyDescent="0.25">
      <c r="A370" s="78">
        <v>43815</v>
      </c>
      <c r="B370" s="75" t="s">
        <v>1252</v>
      </c>
      <c r="C370" s="75" t="s">
        <v>1253</v>
      </c>
      <c r="D370" s="75" t="s">
        <v>0</v>
      </c>
      <c r="E370" s="75">
        <v>68427709</v>
      </c>
      <c r="F370" s="89">
        <v>30000</v>
      </c>
      <c r="G370" s="75" t="s">
        <v>498</v>
      </c>
      <c r="H370" s="75" t="s">
        <v>310</v>
      </c>
      <c r="I370" s="75" t="s">
        <v>444</v>
      </c>
      <c r="J370" s="75">
        <v>2021</v>
      </c>
      <c r="K370" s="75" t="s">
        <v>312</v>
      </c>
      <c r="L370" s="75" t="s">
        <v>1254</v>
      </c>
    </row>
    <row r="371" spans="1:12" hidden="1" x14ac:dyDescent="0.25">
      <c r="A371" s="78">
        <v>43815</v>
      </c>
      <c r="B371" s="75" t="s">
        <v>1255</v>
      </c>
      <c r="C371" s="75" t="s">
        <v>1256</v>
      </c>
      <c r="D371" s="75" t="s">
        <v>0</v>
      </c>
      <c r="E371" s="75">
        <v>68427709</v>
      </c>
      <c r="F371" s="89">
        <v>-12000</v>
      </c>
      <c r="G371" s="75" t="s">
        <v>309</v>
      </c>
      <c r="H371" s="75" t="s">
        <v>310</v>
      </c>
      <c r="I371" s="75" t="s">
        <v>400</v>
      </c>
      <c r="J371" s="75">
        <v>2021</v>
      </c>
      <c r="K371" s="75" t="s">
        <v>312</v>
      </c>
      <c r="L371" s="75"/>
    </row>
    <row r="372" spans="1:12" hidden="1" x14ac:dyDescent="0.25">
      <c r="A372" s="78">
        <v>43817</v>
      </c>
      <c r="B372" s="75" t="s">
        <v>1257</v>
      </c>
      <c r="C372" s="75" t="s">
        <v>1258</v>
      </c>
      <c r="D372" s="75" t="s">
        <v>633</v>
      </c>
      <c r="E372" s="75">
        <v>68427709</v>
      </c>
      <c r="F372" s="89">
        <v>18700</v>
      </c>
      <c r="G372" s="75" t="s">
        <v>309</v>
      </c>
      <c r="H372" s="75" t="s">
        <v>310</v>
      </c>
      <c r="I372" s="75" t="s">
        <v>400</v>
      </c>
      <c r="J372" s="75">
        <v>2021</v>
      </c>
      <c r="K372" s="75" t="s">
        <v>1259</v>
      </c>
      <c r="L372" s="75"/>
    </row>
    <row r="373" spans="1:12" hidden="1" x14ac:dyDescent="0.25">
      <c r="A373" s="78">
        <v>43817</v>
      </c>
      <c r="B373" s="75" t="s">
        <v>1260</v>
      </c>
      <c r="C373" s="75" t="s">
        <v>1261</v>
      </c>
      <c r="D373" s="75" t="s">
        <v>633</v>
      </c>
      <c r="E373" s="75">
        <v>68427709</v>
      </c>
      <c r="F373" s="89">
        <v>107000</v>
      </c>
      <c r="G373" s="75" t="s">
        <v>309</v>
      </c>
      <c r="H373" s="75" t="s">
        <v>310</v>
      </c>
      <c r="I373" s="75" t="s">
        <v>400</v>
      </c>
      <c r="J373" s="75">
        <v>2021</v>
      </c>
      <c r="K373" s="75" t="s">
        <v>840</v>
      </c>
      <c r="L373" s="75"/>
    </row>
    <row r="374" spans="1:12" hidden="1" x14ac:dyDescent="0.25">
      <c r="A374" s="78">
        <v>43839</v>
      </c>
      <c r="B374" s="75" t="s">
        <v>1262</v>
      </c>
      <c r="C374" s="75" t="s">
        <v>1263</v>
      </c>
      <c r="D374" s="75" t="s">
        <v>0</v>
      </c>
      <c r="E374" s="75">
        <v>68427709</v>
      </c>
      <c r="F374" s="89">
        <v>41000</v>
      </c>
      <c r="G374" s="75" t="s">
        <v>1264</v>
      </c>
      <c r="H374" s="75" t="s">
        <v>310</v>
      </c>
      <c r="I374" s="75" t="s">
        <v>329</v>
      </c>
      <c r="J374" s="75">
        <v>2021</v>
      </c>
      <c r="K374" s="75" t="s">
        <v>738</v>
      </c>
      <c r="L374" s="75" t="s">
        <v>1265</v>
      </c>
    </row>
    <row r="375" spans="1:12" hidden="1" x14ac:dyDescent="0.25">
      <c r="A375" s="78">
        <v>43839</v>
      </c>
      <c r="B375" s="75" t="s">
        <v>1262</v>
      </c>
      <c r="C375" s="75" t="s">
        <v>1266</v>
      </c>
      <c r="D375" s="75" t="s">
        <v>0</v>
      </c>
      <c r="E375" s="75">
        <v>68427709</v>
      </c>
      <c r="F375" s="89">
        <v>37500</v>
      </c>
      <c r="G375" s="75" t="s">
        <v>309</v>
      </c>
      <c r="H375" s="75" t="s">
        <v>310</v>
      </c>
      <c r="I375" s="75" t="s">
        <v>444</v>
      </c>
      <c r="J375" s="75">
        <v>2021</v>
      </c>
      <c r="K375" s="75" t="s">
        <v>738</v>
      </c>
      <c r="L375" s="75"/>
    </row>
    <row r="376" spans="1:12" hidden="1" x14ac:dyDescent="0.25">
      <c r="A376" s="78">
        <v>43843</v>
      </c>
      <c r="B376" s="75" t="s">
        <v>1267</v>
      </c>
      <c r="C376" s="75"/>
      <c r="D376" s="75"/>
      <c r="E376" s="75">
        <v>68427709</v>
      </c>
      <c r="F376" s="89">
        <v>0</v>
      </c>
      <c r="G376" s="75" t="s">
        <v>1264</v>
      </c>
      <c r="H376" s="75" t="s">
        <v>310</v>
      </c>
      <c r="I376" s="75" t="s">
        <v>400</v>
      </c>
      <c r="J376" s="75">
        <v>2021</v>
      </c>
      <c r="K376" s="75" t="s">
        <v>312</v>
      </c>
      <c r="L376" s="75" t="s">
        <v>1268</v>
      </c>
    </row>
    <row r="377" spans="1:12" hidden="1" x14ac:dyDescent="0.25">
      <c r="A377" s="78">
        <v>43844</v>
      </c>
      <c r="B377" s="75" t="s">
        <v>1269</v>
      </c>
      <c r="C377" s="75" t="s">
        <v>1270</v>
      </c>
      <c r="D377" s="75"/>
      <c r="E377" s="75">
        <v>68427709</v>
      </c>
      <c r="F377" s="89">
        <v>20000</v>
      </c>
      <c r="G377" s="75" t="s">
        <v>309</v>
      </c>
      <c r="H377" s="75" t="s">
        <v>310</v>
      </c>
      <c r="I377" s="75" t="s">
        <v>400</v>
      </c>
      <c r="J377" s="75">
        <v>2021</v>
      </c>
      <c r="K377" s="75" t="s">
        <v>1271</v>
      </c>
      <c r="L377" s="75" t="s">
        <v>1272</v>
      </c>
    </row>
    <row r="378" spans="1:12" hidden="1" x14ac:dyDescent="0.25">
      <c r="A378" s="78">
        <v>43846</v>
      </c>
      <c r="B378" s="75" t="s">
        <v>1273</v>
      </c>
      <c r="C378" s="75" t="s">
        <v>1274</v>
      </c>
      <c r="D378" s="75"/>
      <c r="E378" s="75">
        <v>68427709</v>
      </c>
      <c r="F378" s="89">
        <v>135000</v>
      </c>
      <c r="G378" s="75" t="s">
        <v>498</v>
      </c>
      <c r="H378" s="75" t="s">
        <v>310</v>
      </c>
      <c r="I378" s="75" t="s">
        <v>329</v>
      </c>
      <c r="J378" s="75">
        <v>2021</v>
      </c>
      <c r="K378" s="75" t="s">
        <v>1275</v>
      </c>
      <c r="L378" s="75" t="s">
        <v>1276</v>
      </c>
    </row>
    <row r="379" spans="1:12" hidden="1" x14ac:dyDescent="0.25">
      <c r="A379" s="78">
        <v>43846</v>
      </c>
      <c r="B379" s="75" t="s">
        <v>1277</v>
      </c>
      <c r="C379" s="75" t="s">
        <v>1278</v>
      </c>
      <c r="D379" s="75"/>
      <c r="E379" s="75">
        <v>68427709</v>
      </c>
      <c r="F379" s="89">
        <v>0</v>
      </c>
      <c r="G379" s="75" t="s">
        <v>309</v>
      </c>
      <c r="H379" s="75" t="s">
        <v>310</v>
      </c>
      <c r="I379" s="75" t="s">
        <v>329</v>
      </c>
      <c r="J379" s="75">
        <v>2021</v>
      </c>
      <c r="K379" s="75" t="s">
        <v>312</v>
      </c>
      <c r="L379" s="75" t="s">
        <v>1279</v>
      </c>
    </row>
    <row r="380" spans="1:12" hidden="1" x14ac:dyDescent="0.25">
      <c r="A380" s="78">
        <v>43858</v>
      </c>
      <c r="B380" s="75" t="s">
        <v>1280</v>
      </c>
      <c r="C380" s="75" t="s">
        <v>1281</v>
      </c>
      <c r="D380" s="75" t="s">
        <v>0</v>
      </c>
      <c r="E380" s="75">
        <v>68427709</v>
      </c>
      <c r="F380" s="89">
        <v>200000</v>
      </c>
      <c r="G380" s="75" t="s">
        <v>309</v>
      </c>
      <c r="H380" s="75" t="s">
        <v>310</v>
      </c>
      <c r="I380" s="75" t="s">
        <v>329</v>
      </c>
      <c r="J380" s="75">
        <v>2021</v>
      </c>
      <c r="K380" s="75" t="s">
        <v>557</v>
      </c>
      <c r="L380" s="75" t="s">
        <v>1282</v>
      </c>
    </row>
    <row r="381" spans="1:12" hidden="1" x14ac:dyDescent="0.25">
      <c r="A381" s="78">
        <v>43858</v>
      </c>
      <c r="B381" s="75" t="s">
        <v>1283</v>
      </c>
      <c r="C381" s="75" t="s">
        <v>1284</v>
      </c>
      <c r="D381" s="75"/>
      <c r="E381" s="75">
        <v>68427709</v>
      </c>
      <c r="F381" s="89">
        <v>22200</v>
      </c>
      <c r="G381" s="75" t="s">
        <v>309</v>
      </c>
      <c r="H381" s="75" t="s">
        <v>310</v>
      </c>
      <c r="I381" s="75" t="s">
        <v>400</v>
      </c>
      <c r="J381" s="75">
        <v>2021</v>
      </c>
      <c r="K381" s="75" t="s">
        <v>475</v>
      </c>
      <c r="L381" s="75" t="s">
        <v>1285</v>
      </c>
    </row>
    <row r="382" spans="1:12" hidden="1" x14ac:dyDescent="0.25">
      <c r="A382" s="78">
        <v>43879</v>
      </c>
      <c r="B382" s="75" t="s">
        <v>1286</v>
      </c>
      <c r="C382" s="75" t="s">
        <v>1287</v>
      </c>
      <c r="D382" s="75" t="s">
        <v>0</v>
      </c>
      <c r="E382" s="75">
        <v>68427709</v>
      </c>
      <c r="F382" s="89">
        <v>84000</v>
      </c>
      <c r="G382" s="75" t="s">
        <v>309</v>
      </c>
      <c r="H382" s="75" t="s">
        <v>310</v>
      </c>
      <c r="I382" s="75" t="s">
        <v>400</v>
      </c>
      <c r="J382" s="75">
        <v>2021</v>
      </c>
      <c r="K382" s="75" t="s">
        <v>1288</v>
      </c>
      <c r="L382" s="75"/>
    </row>
    <row r="383" spans="1:12" hidden="1" x14ac:dyDescent="0.25">
      <c r="A383" s="78">
        <v>43879</v>
      </c>
      <c r="B383" s="75" t="s">
        <v>1289</v>
      </c>
      <c r="C383" s="75" t="s">
        <v>1290</v>
      </c>
      <c r="D383" s="75" t="s">
        <v>548</v>
      </c>
      <c r="E383" s="75">
        <v>68427709</v>
      </c>
      <c r="F383" s="89">
        <v>128000</v>
      </c>
      <c r="G383" s="75" t="s">
        <v>309</v>
      </c>
      <c r="H383" s="75" t="s">
        <v>310</v>
      </c>
      <c r="I383" s="75" t="s">
        <v>329</v>
      </c>
      <c r="J383" s="75">
        <v>2021</v>
      </c>
      <c r="K383" s="75" t="s">
        <v>312</v>
      </c>
      <c r="L383" s="75"/>
    </row>
    <row r="384" spans="1:12" hidden="1" x14ac:dyDescent="0.25">
      <c r="A384" s="78">
        <v>43882</v>
      </c>
      <c r="B384" s="75" t="s">
        <v>1291</v>
      </c>
      <c r="C384" s="75" t="s">
        <v>1292</v>
      </c>
      <c r="D384" s="75"/>
      <c r="E384" s="75">
        <v>68427709</v>
      </c>
      <c r="F384" s="89">
        <v>8000</v>
      </c>
      <c r="G384" s="75" t="s">
        <v>309</v>
      </c>
      <c r="H384" s="75" t="s">
        <v>310</v>
      </c>
      <c r="I384" s="75" t="s">
        <v>329</v>
      </c>
      <c r="J384" s="75">
        <v>2021</v>
      </c>
      <c r="K384" s="75" t="s">
        <v>1030</v>
      </c>
      <c r="L384" s="75"/>
    </row>
    <row r="385" spans="1:12" hidden="1" x14ac:dyDescent="0.25">
      <c r="A385" s="78">
        <v>43888</v>
      </c>
      <c r="B385" s="75" t="s">
        <v>1293</v>
      </c>
      <c r="C385" s="75" t="s">
        <v>1294</v>
      </c>
      <c r="D385" s="75"/>
      <c r="E385" s="75">
        <v>68427709</v>
      </c>
      <c r="F385" s="89">
        <v>32000</v>
      </c>
      <c r="G385" s="75" t="s">
        <v>309</v>
      </c>
      <c r="H385" s="75" t="s">
        <v>310</v>
      </c>
      <c r="I385" s="75" t="s">
        <v>400</v>
      </c>
      <c r="J385" s="75">
        <v>2021</v>
      </c>
      <c r="K385" s="75" t="s">
        <v>1295</v>
      </c>
      <c r="L385" s="75" t="s">
        <v>1296</v>
      </c>
    </row>
    <row r="386" spans="1:12" hidden="1" x14ac:dyDescent="0.25">
      <c r="A386" s="78">
        <v>43902</v>
      </c>
      <c r="B386" s="75" t="s">
        <v>1297</v>
      </c>
      <c r="C386" s="75" t="s">
        <v>1298</v>
      </c>
      <c r="D386" s="75" t="s">
        <v>0</v>
      </c>
      <c r="E386" s="75">
        <v>68427709</v>
      </c>
      <c r="F386" s="89">
        <v>-90000</v>
      </c>
      <c r="G386" s="75" t="s">
        <v>309</v>
      </c>
      <c r="H386" s="75" t="s">
        <v>310</v>
      </c>
      <c r="I386" s="75" t="s">
        <v>400</v>
      </c>
      <c r="J386" s="75">
        <v>2021</v>
      </c>
      <c r="K386" s="75" t="s">
        <v>312</v>
      </c>
      <c r="L386" s="75"/>
    </row>
    <row r="387" spans="1:12" hidden="1" x14ac:dyDescent="0.25">
      <c r="A387" s="78">
        <v>43902</v>
      </c>
      <c r="B387" s="75" t="s">
        <v>1299</v>
      </c>
      <c r="C387" s="75" t="s">
        <v>1300</v>
      </c>
      <c r="D387" s="75" t="s">
        <v>0</v>
      </c>
      <c r="E387" s="75">
        <v>68427709</v>
      </c>
      <c r="F387" s="89">
        <v>-30000</v>
      </c>
      <c r="G387" s="75" t="s">
        <v>309</v>
      </c>
      <c r="H387" s="75" t="s">
        <v>310</v>
      </c>
      <c r="I387" s="75" t="s">
        <v>329</v>
      </c>
      <c r="J387" s="75">
        <v>2021</v>
      </c>
      <c r="K387" s="75" t="s">
        <v>312</v>
      </c>
      <c r="L387" s="75"/>
    </row>
    <row r="388" spans="1:12" hidden="1" x14ac:dyDescent="0.25">
      <c r="A388" s="78">
        <v>43874</v>
      </c>
      <c r="B388" s="75" t="s">
        <v>923</v>
      </c>
      <c r="C388" s="75" t="s">
        <v>1301</v>
      </c>
      <c r="D388" s="75" t="s">
        <v>0</v>
      </c>
      <c r="E388" s="75">
        <v>68427709</v>
      </c>
      <c r="F388" s="89">
        <v>-2600</v>
      </c>
      <c r="G388" s="75" t="s">
        <v>309</v>
      </c>
      <c r="H388" s="75" t="s">
        <v>310</v>
      </c>
      <c r="I388" s="75" t="s">
        <v>400</v>
      </c>
      <c r="J388" s="75">
        <v>2021</v>
      </c>
      <c r="K388" s="75" t="s">
        <v>312</v>
      </c>
      <c r="L388" s="75"/>
    </row>
    <row r="389" spans="1:12" hidden="1" x14ac:dyDescent="0.25">
      <c r="A389" s="78">
        <v>43907</v>
      </c>
      <c r="B389" s="75" t="s">
        <v>1302</v>
      </c>
      <c r="C389" s="75" t="s">
        <v>1303</v>
      </c>
      <c r="D389" s="75" t="s">
        <v>0</v>
      </c>
      <c r="E389" s="75">
        <v>68427709</v>
      </c>
      <c r="F389" s="89">
        <v>-2500</v>
      </c>
      <c r="G389" s="75" t="s">
        <v>309</v>
      </c>
      <c r="H389" s="75" t="s">
        <v>310</v>
      </c>
      <c r="I389" s="75" t="s">
        <v>400</v>
      </c>
      <c r="J389" s="75">
        <v>2021</v>
      </c>
      <c r="K389" s="75" t="s">
        <v>1295</v>
      </c>
      <c r="L389" s="75"/>
    </row>
    <row r="390" spans="1:12" ht="15" hidden="1" customHeight="1" x14ac:dyDescent="0.25">
      <c r="A390" s="78">
        <v>43913</v>
      </c>
      <c r="B390" s="75" t="s">
        <v>1304</v>
      </c>
      <c r="C390" s="75" t="s">
        <v>1305</v>
      </c>
      <c r="D390" s="75" t="s">
        <v>1304</v>
      </c>
      <c r="E390" s="75">
        <v>68427709</v>
      </c>
      <c r="F390" s="89">
        <v>65000</v>
      </c>
      <c r="G390" s="75" t="s">
        <v>309</v>
      </c>
      <c r="H390" s="75" t="s">
        <v>310</v>
      </c>
      <c r="I390" s="75" t="s">
        <v>400</v>
      </c>
      <c r="J390" s="75">
        <v>2021</v>
      </c>
      <c r="K390" s="75" t="s">
        <v>751</v>
      </c>
      <c r="L390" s="75" t="s">
        <v>1306</v>
      </c>
    </row>
    <row r="391" spans="1:12" hidden="1" x14ac:dyDescent="0.25">
      <c r="A391" s="78">
        <v>43916</v>
      </c>
      <c r="B391" s="75" t="s">
        <v>479</v>
      </c>
      <c r="C391" s="75" t="s">
        <v>1307</v>
      </c>
      <c r="D391" s="75" t="s">
        <v>479</v>
      </c>
      <c r="E391" s="75">
        <v>68427719</v>
      </c>
      <c r="F391" s="89">
        <v>-64000</v>
      </c>
      <c r="G391" s="75" t="s">
        <v>309</v>
      </c>
      <c r="H391" s="75" t="s">
        <v>310</v>
      </c>
      <c r="I391" s="75" t="s">
        <v>400</v>
      </c>
      <c r="J391" s="75">
        <v>2021</v>
      </c>
      <c r="K391" s="75" t="s">
        <v>312</v>
      </c>
      <c r="L391" s="75"/>
    </row>
    <row r="392" spans="1:12" hidden="1" x14ac:dyDescent="0.25">
      <c r="A392" s="78">
        <v>43920</v>
      </c>
      <c r="B392" s="75" t="s">
        <v>1308</v>
      </c>
      <c r="C392" s="75" t="s">
        <v>1309</v>
      </c>
      <c r="D392" s="75" t="s">
        <v>633</v>
      </c>
      <c r="E392" s="75">
        <v>68427709</v>
      </c>
      <c r="F392" s="89">
        <v>29000</v>
      </c>
      <c r="G392" s="75" t="s">
        <v>309</v>
      </c>
      <c r="H392" s="75" t="s">
        <v>310</v>
      </c>
      <c r="I392" s="75" t="s">
        <v>329</v>
      </c>
      <c r="J392" s="75">
        <v>2021</v>
      </c>
      <c r="K392" s="75" t="s">
        <v>312</v>
      </c>
      <c r="L392" s="75"/>
    </row>
    <row r="393" spans="1:12" hidden="1" x14ac:dyDescent="0.25">
      <c r="A393" s="78">
        <v>43921</v>
      </c>
      <c r="B393" s="75" t="s">
        <v>1310</v>
      </c>
      <c r="C393" s="75" t="s">
        <v>1311</v>
      </c>
      <c r="D393" s="75" t="s">
        <v>376</v>
      </c>
      <c r="E393" s="75">
        <v>68427709</v>
      </c>
      <c r="F393" s="89">
        <v>21000</v>
      </c>
      <c r="G393" s="75" t="s">
        <v>309</v>
      </c>
      <c r="H393" s="75" t="s">
        <v>310</v>
      </c>
      <c r="I393" s="75" t="s">
        <v>400</v>
      </c>
      <c r="J393" s="75">
        <v>2021</v>
      </c>
      <c r="K393" s="75" t="s">
        <v>507</v>
      </c>
      <c r="L393" s="75"/>
    </row>
    <row r="394" spans="1:12" hidden="1" x14ac:dyDescent="0.25">
      <c r="A394" s="78">
        <v>43923</v>
      </c>
      <c r="B394" s="75" t="s">
        <v>1312</v>
      </c>
      <c r="C394" s="75"/>
      <c r="D394" s="75" t="s">
        <v>0</v>
      </c>
      <c r="E394" s="75">
        <v>68427709</v>
      </c>
      <c r="F394" s="89">
        <v>0</v>
      </c>
      <c r="G394" s="75" t="s">
        <v>309</v>
      </c>
      <c r="H394" s="75" t="s">
        <v>310</v>
      </c>
      <c r="I394" s="75" t="s">
        <v>329</v>
      </c>
      <c r="J394" s="75">
        <v>2021</v>
      </c>
      <c r="K394" s="75" t="s">
        <v>312</v>
      </c>
      <c r="L394" s="75" t="s">
        <v>1313</v>
      </c>
    </row>
    <row r="395" spans="1:12" hidden="1" x14ac:dyDescent="0.25">
      <c r="A395" s="78">
        <v>43923</v>
      </c>
      <c r="B395" s="75" t="s">
        <v>1314</v>
      </c>
      <c r="C395" s="75" t="s">
        <v>1315</v>
      </c>
      <c r="D395" s="75" t="s">
        <v>1316</v>
      </c>
      <c r="E395" s="75">
        <v>68427709</v>
      </c>
      <c r="F395" s="89">
        <v>0</v>
      </c>
      <c r="G395" s="75" t="s">
        <v>309</v>
      </c>
      <c r="H395" s="75" t="s">
        <v>310</v>
      </c>
      <c r="I395" s="75" t="s">
        <v>1317</v>
      </c>
      <c r="J395" s="75">
        <v>2021</v>
      </c>
      <c r="K395" s="75" t="s">
        <v>312</v>
      </c>
      <c r="L395" s="75"/>
    </row>
    <row r="396" spans="1:12" hidden="1" x14ac:dyDescent="0.25">
      <c r="A396" s="78">
        <v>43923</v>
      </c>
      <c r="B396" s="75" t="s">
        <v>1318</v>
      </c>
      <c r="C396" s="75" t="s">
        <v>1319</v>
      </c>
      <c r="D396" s="75" t="s">
        <v>0</v>
      </c>
      <c r="E396" s="75">
        <v>68427709</v>
      </c>
      <c r="F396" s="89">
        <v>-50000</v>
      </c>
      <c r="G396" s="75" t="s">
        <v>309</v>
      </c>
      <c r="H396" s="75" t="s">
        <v>310</v>
      </c>
      <c r="I396" s="75" t="s">
        <v>400</v>
      </c>
      <c r="J396" s="75">
        <v>2021</v>
      </c>
      <c r="K396" s="75" t="s">
        <v>312</v>
      </c>
      <c r="L396" s="75" t="s">
        <v>1320</v>
      </c>
    </row>
    <row r="397" spans="1:12" hidden="1" x14ac:dyDescent="0.25">
      <c r="A397" s="78">
        <v>43923</v>
      </c>
      <c r="B397" s="75" t="s">
        <v>1321</v>
      </c>
      <c r="C397" s="75" t="s">
        <v>1322</v>
      </c>
      <c r="D397" s="75" t="s">
        <v>0</v>
      </c>
      <c r="E397" s="75">
        <v>68427709</v>
      </c>
      <c r="F397" s="89">
        <v>-100000</v>
      </c>
      <c r="G397" s="75" t="s">
        <v>309</v>
      </c>
      <c r="H397" s="75" t="s">
        <v>310</v>
      </c>
      <c r="I397" s="75" t="s">
        <v>329</v>
      </c>
      <c r="J397" s="75">
        <v>2021</v>
      </c>
      <c r="K397" s="75" t="s">
        <v>312</v>
      </c>
      <c r="L397" s="75" t="s">
        <v>1323</v>
      </c>
    </row>
    <row r="398" spans="1:12" hidden="1" x14ac:dyDescent="0.25">
      <c r="A398" s="78">
        <v>43935</v>
      </c>
      <c r="B398" s="75" t="s">
        <v>1324</v>
      </c>
      <c r="C398" s="75" t="s">
        <v>1325</v>
      </c>
      <c r="D398" s="75" t="s">
        <v>0</v>
      </c>
      <c r="E398" s="75">
        <v>68427709</v>
      </c>
      <c r="F398" s="89">
        <v>160000</v>
      </c>
      <c r="G398" s="75" t="s">
        <v>498</v>
      </c>
      <c r="H398" s="75" t="s">
        <v>310</v>
      </c>
      <c r="I398" s="75" t="s">
        <v>400</v>
      </c>
      <c r="J398" s="75">
        <v>2021</v>
      </c>
      <c r="K398" s="75" t="s">
        <v>423</v>
      </c>
      <c r="L398" s="75" t="s">
        <v>1326</v>
      </c>
    </row>
    <row r="399" spans="1:12" hidden="1" x14ac:dyDescent="0.25">
      <c r="A399" s="78">
        <v>43938</v>
      </c>
      <c r="B399" s="75" t="s">
        <v>1327</v>
      </c>
      <c r="C399" s="75" t="s">
        <v>1328</v>
      </c>
      <c r="D399" s="75" t="s">
        <v>0</v>
      </c>
      <c r="E399" s="75">
        <v>68427709</v>
      </c>
      <c r="F399" s="89">
        <v>24000</v>
      </c>
      <c r="G399" s="75" t="s">
        <v>309</v>
      </c>
      <c r="H399" s="75" t="s">
        <v>310</v>
      </c>
      <c r="I399" s="75" t="s">
        <v>400</v>
      </c>
      <c r="J399" s="75">
        <v>2021</v>
      </c>
      <c r="K399" s="75" t="s">
        <v>507</v>
      </c>
      <c r="L399" s="75"/>
    </row>
    <row r="400" spans="1:12" hidden="1" x14ac:dyDescent="0.25">
      <c r="A400" s="78">
        <v>43941</v>
      </c>
      <c r="B400" t="s">
        <v>1329</v>
      </c>
      <c r="C400" s="75" t="s">
        <v>1330</v>
      </c>
      <c r="D400" t="s">
        <v>1329</v>
      </c>
      <c r="E400" s="75">
        <v>68427709</v>
      </c>
      <c r="F400" s="89">
        <v>-2000</v>
      </c>
      <c r="G400" s="75" t="s">
        <v>309</v>
      </c>
      <c r="H400" s="75" t="s">
        <v>310</v>
      </c>
      <c r="I400" s="75" t="s">
        <v>400</v>
      </c>
      <c r="J400" s="75">
        <v>2021</v>
      </c>
      <c r="K400" s="75" t="s">
        <v>1331</v>
      </c>
      <c r="L400" s="75" t="s">
        <v>1332</v>
      </c>
    </row>
    <row r="401" spans="1:12" hidden="1" x14ac:dyDescent="0.25">
      <c r="A401" s="78">
        <v>43943</v>
      </c>
      <c r="B401" s="75" t="s">
        <v>1333</v>
      </c>
      <c r="C401" s="75" t="s">
        <v>1334</v>
      </c>
      <c r="D401" s="75" t="s">
        <v>1105</v>
      </c>
      <c r="E401" s="75">
        <v>68427709</v>
      </c>
      <c r="F401" s="89">
        <v>-32000</v>
      </c>
      <c r="G401" s="75" t="s">
        <v>309</v>
      </c>
      <c r="H401" s="75" t="s">
        <v>310</v>
      </c>
      <c r="I401" s="75" t="s">
        <v>324</v>
      </c>
      <c r="J401" s="75">
        <v>2021</v>
      </c>
      <c r="K401" s="75" t="s">
        <v>312</v>
      </c>
      <c r="L401" s="75" t="s">
        <v>1335</v>
      </c>
    </row>
    <row r="402" spans="1:12" hidden="1" x14ac:dyDescent="0.25">
      <c r="A402" s="78">
        <v>43943</v>
      </c>
      <c r="B402" s="75" t="s">
        <v>1336</v>
      </c>
      <c r="C402" s="75" t="s">
        <v>403</v>
      </c>
      <c r="D402" s="75"/>
      <c r="E402" s="75">
        <v>68427709</v>
      </c>
      <c r="F402" s="89">
        <v>7000</v>
      </c>
      <c r="G402" s="75" t="s">
        <v>309</v>
      </c>
      <c r="H402" s="75" t="s">
        <v>310</v>
      </c>
      <c r="I402" s="75" t="s">
        <v>400</v>
      </c>
      <c r="J402" s="75">
        <v>2021</v>
      </c>
      <c r="K402" s="75" t="s">
        <v>971</v>
      </c>
      <c r="L402" s="75" t="s">
        <v>1337</v>
      </c>
    </row>
    <row r="403" spans="1:12" hidden="1" x14ac:dyDescent="0.25">
      <c r="A403" s="78">
        <v>43955</v>
      </c>
      <c r="B403" s="75" t="s">
        <v>1338</v>
      </c>
      <c r="C403" s="75" t="s">
        <v>1339</v>
      </c>
      <c r="D403" s="75" t="s">
        <v>376</v>
      </c>
      <c r="E403" s="75">
        <v>68427709</v>
      </c>
      <c r="F403" s="89">
        <v>75000</v>
      </c>
      <c r="G403" s="75" t="s">
        <v>309</v>
      </c>
      <c r="H403" s="75" t="s">
        <v>310</v>
      </c>
      <c r="I403" s="75" t="s">
        <v>400</v>
      </c>
      <c r="J403" s="75">
        <v>2021</v>
      </c>
      <c r="K403" s="75" t="s">
        <v>312</v>
      </c>
      <c r="L403" s="75" t="s">
        <v>1340</v>
      </c>
    </row>
    <row r="404" spans="1:12" hidden="1" x14ac:dyDescent="0.25">
      <c r="A404" s="78">
        <v>43958</v>
      </c>
      <c r="B404" s="75" t="s">
        <v>1341</v>
      </c>
      <c r="C404" s="75" t="s">
        <v>758</v>
      </c>
      <c r="D404" s="75" t="s">
        <v>1342</v>
      </c>
      <c r="E404" s="75">
        <v>68427709</v>
      </c>
      <c r="F404" s="89">
        <v>5000</v>
      </c>
      <c r="G404" s="75" t="s">
        <v>1264</v>
      </c>
      <c r="H404" s="75" t="s">
        <v>310</v>
      </c>
      <c r="I404" s="75" t="s">
        <v>400</v>
      </c>
      <c r="J404" s="75">
        <v>2021</v>
      </c>
      <c r="K404" s="75" t="s">
        <v>312</v>
      </c>
      <c r="L404" s="75" t="s">
        <v>1343</v>
      </c>
    </row>
    <row r="405" spans="1:12" hidden="1" x14ac:dyDescent="0.25">
      <c r="A405" s="78">
        <v>43962</v>
      </c>
      <c r="B405" s="75" t="s">
        <v>1344</v>
      </c>
      <c r="C405" s="75" t="s">
        <v>1345</v>
      </c>
      <c r="D405" s="75"/>
      <c r="E405" s="75">
        <v>68427709</v>
      </c>
      <c r="F405" s="89">
        <v>0</v>
      </c>
      <c r="G405" s="75" t="s">
        <v>309</v>
      </c>
      <c r="H405" s="75" t="s">
        <v>310</v>
      </c>
      <c r="I405" s="75" t="s">
        <v>329</v>
      </c>
      <c r="J405" s="75">
        <v>2021</v>
      </c>
      <c r="K405" s="75" t="s">
        <v>312</v>
      </c>
      <c r="L405" s="75" t="s">
        <v>1346</v>
      </c>
    </row>
    <row r="406" spans="1:12" hidden="1" x14ac:dyDescent="0.25">
      <c r="A406" s="78">
        <v>43964</v>
      </c>
      <c r="B406" s="75" t="s">
        <v>1347</v>
      </c>
      <c r="C406" s="75" t="s">
        <v>1348</v>
      </c>
      <c r="D406" s="75"/>
      <c r="E406" s="75">
        <v>68427709</v>
      </c>
      <c r="F406" s="89">
        <v>0</v>
      </c>
      <c r="G406" s="75" t="s">
        <v>1264</v>
      </c>
      <c r="H406" s="75" t="s">
        <v>310</v>
      </c>
      <c r="I406" s="75" t="s">
        <v>1144</v>
      </c>
      <c r="J406" s="75">
        <v>2021</v>
      </c>
      <c r="K406" s="75" t="s">
        <v>568</v>
      </c>
      <c r="L406" s="75" t="s">
        <v>1349</v>
      </c>
    </row>
    <row r="407" spans="1:12" hidden="1" x14ac:dyDescent="0.25">
      <c r="A407" s="78">
        <v>43965</v>
      </c>
      <c r="B407" s="75" t="s">
        <v>1350</v>
      </c>
      <c r="C407" s="75"/>
      <c r="D407" s="75" t="s">
        <v>584</v>
      </c>
      <c r="E407" s="75">
        <v>68427709</v>
      </c>
      <c r="F407" s="89">
        <v>0</v>
      </c>
      <c r="G407" s="75" t="s">
        <v>1264</v>
      </c>
      <c r="H407" s="75" t="s">
        <v>310</v>
      </c>
      <c r="I407" s="75" t="s">
        <v>329</v>
      </c>
      <c r="J407" s="75">
        <v>2021</v>
      </c>
      <c r="K407" s="75" t="s">
        <v>475</v>
      </c>
      <c r="L407" s="75" t="s">
        <v>1351</v>
      </c>
    </row>
    <row r="408" spans="1:12" hidden="1" x14ac:dyDescent="0.25">
      <c r="A408" s="78">
        <v>43965</v>
      </c>
      <c r="B408" t="s">
        <v>1352</v>
      </c>
      <c r="C408" s="75" t="s">
        <v>1353</v>
      </c>
      <c r="D408" s="75" t="s">
        <v>740</v>
      </c>
      <c r="E408" s="75">
        <v>68427709</v>
      </c>
      <c r="F408" s="89">
        <v>-95000</v>
      </c>
      <c r="G408" s="75" t="s">
        <v>309</v>
      </c>
      <c r="H408" s="75" t="s">
        <v>310</v>
      </c>
      <c r="I408" s="75" t="s">
        <v>400</v>
      </c>
      <c r="J408" s="75">
        <v>2021</v>
      </c>
      <c r="K408" s="75" t="s">
        <v>738</v>
      </c>
      <c r="L408" s="75" t="s">
        <v>1354</v>
      </c>
    </row>
    <row r="409" spans="1:12" hidden="1" x14ac:dyDescent="0.25">
      <c r="A409" s="78">
        <v>43968</v>
      </c>
      <c r="B409" s="75" t="s">
        <v>1355</v>
      </c>
      <c r="C409" s="75" t="s">
        <v>1356</v>
      </c>
      <c r="D409" s="75" t="s">
        <v>314</v>
      </c>
      <c r="E409" s="75">
        <v>68427709</v>
      </c>
      <c r="F409" s="89">
        <v>-34000</v>
      </c>
      <c r="G409" s="75" t="s">
        <v>1264</v>
      </c>
      <c r="H409" s="75" t="s">
        <v>310</v>
      </c>
      <c r="I409" s="75" t="s">
        <v>400</v>
      </c>
      <c r="J409" s="75">
        <v>2021</v>
      </c>
      <c r="K409" s="75" t="s">
        <v>375</v>
      </c>
      <c r="L409" s="75" t="s">
        <v>1357</v>
      </c>
    </row>
    <row r="410" spans="1:12" hidden="1" x14ac:dyDescent="0.25">
      <c r="A410" s="78">
        <v>43979</v>
      </c>
      <c r="B410" s="75" t="s">
        <v>1358</v>
      </c>
      <c r="C410" s="75" t="s">
        <v>1359</v>
      </c>
      <c r="D410" s="75" t="s">
        <v>0</v>
      </c>
      <c r="E410" s="75">
        <v>68427709</v>
      </c>
      <c r="F410" s="89">
        <v>0</v>
      </c>
      <c r="G410" s="75" t="s">
        <v>1264</v>
      </c>
      <c r="H410" s="75" t="s">
        <v>310</v>
      </c>
      <c r="I410" s="75" t="s">
        <v>400</v>
      </c>
      <c r="J410" s="75">
        <v>2021</v>
      </c>
      <c r="K410" s="75" t="s">
        <v>629</v>
      </c>
      <c r="L410" s="75" t="s">
        <v>1360</v>
      </c>
    </row>
    <row r="411" spans="1:12" hidden="1" x14ac:dyDescent="0.25">
      <c r="A411" s="78">
        <v>43990</v>
      </c>
      <c r="B411" s="75" t="s">
        <v>1361</v>
      </c>
      <c r="C411" s="75" t="s">
        <v>1362</v>
      </c>
      <c r="D411" s="75" t="s">
        <v>548</v>
      </c>
      <c r="E411" s="75">
        <v>68427709</v>
      </c>
      <c r="F411" s="89">
        <v>-50000</v>
      </c>
      <c r="G411" s="75" t="s">
        <v>309</v>
      </c>
      <c r="H411" s="75" t="s">
        <v>310</v>
      </c>
      <c r="I411" s="75" t="s">
        <v>329</v>
      </c>
      <c r="J411" s="75">
        <v>2021</v>
      </c>
      <c r="K411" s="75" t="s">
        <v>312</v>
      </c>
      <c r="L411" s="75"/>
    </row>
    <row r="412" spans="1:12" hidden="1" x14ac:dyDescent="0.25">
      <c r="A412" s="78">
        <v>43990</v>
      </c>
      <c r="B412" s="75" t="s">
        <v>1018</v>
      </c>
      <c r="C412" s="75"/>
      <c r="D412" s="75" t="s">
        <v>548</v>
      </c>
      <c r="E412" s="75">
        <v>68427709</v>
      </c>
      <c r="F412" s="89">
        <v>-80000</v>
      </c>
      <c r="G412" s="75" t="s">
        <v>1264</v>
      </c>
      <c r="H412" s="75" t="s">
        <v>310</v>
      </c>
      <c r="I412" s="75" t="s">
        <v>329</v>
      </c>
      <c r="J412" s="75">
        <v>2021</v>
      </c>
      <c r="K412" s="75" t="s">
        <v>312</v>
      </c>
      <c r="L412" s="75"/>
    </row>
    <row r="413" spans="1:12" hidden="1" x14ac:dyDescent="0.25">
      <c r="A413" s="78">
        <v>43990</v>
      </c>
      <c r="B413" s="75" t="s">
        <v>988</v>
      </c>
      <c r="C413" s="75" t="s">
        <v>1362</v>
      </c>
      <c r="D413" s="75" t="s">
        <v>548</v>
      </c>
      <c r="E413" s="75">
        <v>68427709</v>
      </c>
      <c r="F413" s="89">
        <v>-120000</v>
      </c>
      <c r="G413" s="75" t="s">
        <v>309</v>
      </c>
      <c r="H413" s="75" t="s">
        <v>310</v>
      </c>
      <c r="I413" s="75" t="s">
        <v>329</v>
      </c>
      <c r="J413" s="75">
        <v>2021</v>
      </c>
      <c r="K413" s="75" t="s">
        <v>312</v>
      </c>
      <c r="L413" s="75"/>
    </row>
    <row r="414" spans="1:12" hidden="1" x14ac:dyDescent="0.25">
      <c r="A414" s="78">
        <v>43990</v>
      </c>
      <c r="B414" s="75" t="s">
        <v>1363</v>
      </c>
      <c r="C414" s="75" t="s">
        <v>1364</v>
      </c>
      <c r="D414" s="75" t="s">
        <v>548</v>
      </c>
      <c r="E414" s="75">
        <v>68427709</v>
      </c>
      <c r="F414" s="89">
        <v>-75000</v>
      </c>
      <c r="G414" s="75" t="s">
        <v>309</v>
      </c>
      <c r="H414" s="75" t="s">
        <v>310</v>
      </c>
      <c r="I414" s="75" t="s">
        <v>329</v>
      </c>
      <c r="J414" s="75">
        <v>2021</v>
      </c>
      <c r="K414" s="75" t="s">
        <v>312</v>
      </c>
      <c r="L414" s="75"/>
    </row>
    <row r="415" spans="1:12" hidden="1" x14ac:dyDescent="0.25">
      <c r="A415" s="78">
        <v>43990</v>
      </c>
      <c r="B415" s="75" t="s">
        <v>1365</v>
      </c>
      <c r="C415" s="75" t="s">
        <v>1366</v>
      </c>
      <c r="D415" s="75" t="s">
        <v>548</v>
      </c>
      <c r="E415" s="75">
        <v>68427709</v>
      </c>
      <c r="F415" s="89">
        <v>-50000</v>
      </c>
      <c r="G415" s="75" t="s">
        <v>309</v>
      </c>
      <c r="H415" s="75" t="s">
        <v>310</v>
      </c>
      <c r="I415" s="75" t="s">
        <v>329</v>
      </c>
      <c r="J415" s="75">
        <v>2021</v>
      </c>
      <c r="K415" s="75" t="s">
        <v>312</v>
      </c>
      <c r="L415" s="75"/>
    </row>
    <row r="416" spans="1:12" hidden="1" x14ac:dyDescent="0.25">
      <c r="A416" s="78">
        <v>43990</v>
      </c>
      <c r="B416" s="75" t="s">
        <v>1003</v>
      </c>
      <c r="C416" s="75" t="s">
        <v>1362</v>
      </c>
      <c r="D416" s="75" t="s">
        <v>548</v>
      </c>
      <c r="E416" s="75">
        <v>68427709</v>
      </c>
      <c r="F416" s="89">
        <v>-150000</v>
      </c>
      <c r="G416" s="75" t="s">
        <v>309</v>
      </c>
      <c r="H416" s="75" t="s">
        <v>310</v>
      </c>
      <c r="I416" s="75" t="s">
        <v>329</v>
      </c>
      <c r="J416" s="75">
        <v>2021</v>
      </c>
      <c r="K416" s="75" t="s">
        <v>312</v>
      </c>
      <c r="L416" s="75"/>
    </row>
    <row r="417" spans="1:12" hidden="1" x14ac:dyDescent="0.25">
      <c r="A417" s="78">
        <v>43990</v>
      </c>
      <c r="B417" s="75" t="s">
        <v>1367</v>
      </c>
      <c r="C417" s="75" t="s">
        <v>1368</v>
      </c>
      <c r="D417" s="75" t="s">
        <v>548</v>
      </c>
      <c r="E417" s="75">
        <v>68427709</v>
      </c>
      <c r="F417" s="89">
        <v>34000</v>
      </c>
      <c r="G417" s="75" t="s">
        <v>309</v>
      </c>
      <c r="H417" s="75" t="s">
        <v>310</v>
      </c>
      <c r="I417" s="75" t="s">
        <v>329</v>
      </c>
      <c r="J417" s="75">
        <v>2021</v>
      </c>
      <c r="K417" s="75" t="s">
        <v>312</v>
      </c>
      <c r="L417" s="75" t="s">
        <v>1369</v>
      </c>
    </row>
    <row r="418" spans="1:12" hidden="1" x14ac:dyDescent="0.25">
      <c r="A418" s="78">
        <v>43990</v>
      </c>
      <c r="B418" t="s">
        <v>1370</v>
      </c>
      <c r="C418" s="75" t="s">
        <v>1362</v>
      </c>
      <c r="D418" s="75" t="s">
        <v>548</v>
      </c>
      <c r="E418" s="75">
        <v>68427709</v>
      </c>
      <c r="F418" s="89">
        <v>-50000</v>
      </c>
      <c r="G418" s="75" t="s">
        <v>309</v>
      </c>
      <c r="H418" s="75" t="s">
        <v>310</v>
      </c>
      <c r="I418" s="75" t="s">
        <v>329</v>
      </c>
      <c r="J418" s="75">
        <v>2021</v>
      </c>
      <c r="K418" s="75" t="s">
        <v>312</v>
      </c>
      <c r="L418" s="75" t="s">
        <v>1371</v>
      </c>
    </row>
    <row r="419" spans="1:12" hidden="1" x14ac:dyDescent="0.25">
      <c r="A419" s="78">
        <v>43990</v>
      </c>
      <c r="B419" s="75" t="s">
        <v>1372</v>
      </c>
      <c r="C419" s="75" t="s">
        <v>1373</v>
      </c>
      <c r="D419" s="75" t="s">
        <v>548</v>
      </c>
      <c r="E419" s="75">
        <v>68427709</v>
      </c>
      <c r="F419" s="89">
        <v>6000</v>
      </c>
      <c r="G419" s="75" t="s">
        <v>309</v>
      </c>
      <c r="H419" s="75" t="s">
        <v>310</v>
      </c>
      <c r="I419" s="75" t="s">
        <v>329</v>
      </c>
      <c r="J419" s="75">
        <v>2021</v>
      </c>
      <c r="K419" s="75" t="s">
        <v>312</v>
      </c>
      <c r="L419" s="75" t="s">
        <v>1374</v>
      </c>
    </row>
    <row r="420" spans="1:12" hidden="1" x14ac:dyDescent="0.25">
      <c r="A420" s="78">
        <v>43990</v>
      </c>
      <c r="B420" s="75" t="s">
        <v>814</v>
      </c>
      <c r="C420" s="75" t="s">
        <v>1375</v>
      </c>
      <c r="D420" s="75" t="s">
        <v>548</v>
      </c>
      <c r="E420" s="75">
        <v>68427709</v>
      </c>
      <c r="F420" s="89">
        <v>-80000</v>
      </c>
      <c r="G420" s="75" t="s">
        <v>309</v>
      </c>
      <c r="H420" s="75" t="s">
        <v>310</v>
      </c>
      <c r="I420" s="75" t="s">
        <v>329</v>
      </c>
      <c r="J420" s="75">
        <v>2021</v>
      </c>
      <c r="K420" s="75" t="s">
        <v>312</v>
      </c>
      <c r="L420" s="75"/>
    </row>
    <row r="421" spans="1:12" hidden="1" x14ac:dyDescent="0.25">
      <c r="A421" s="78">
        <v>43990</v>
      </c>
      <c r="B421" s="75" t="s">
        <v>749</v>
      </c>
      <c r="C421" s="75" t="s">
        <v>1376</v>
      </c>
      <c r="D421" s="75" t="s">
        <v>548</v>
      </c>
      <c r="E421" s="75">
        <v>68427709</v>
      </c>
      <c r="F421" s="89">
        <v>70000</v>
      </c>
      <c r="G421" s="75" t="s">
        <v>1264</v>
      </c>
      <c r="H421" s="75" t="s">
        <v>310</v>
      </c>
      <c r="I421" s="75" t="s">
        <v>329</v>
      </c>
      <c r="J421" s="75">
        <v>2021</v>
      </c>
      <c r="K421" s="75" t="s">
        <v>751</v>
      </c>
      <c r="L421" s="75" t="s">
        <v>1377</v>
      </c>
    </row>
    <row r="422" spans="1:12" hidden="1" x14ac:dyDescent="0.25">
      <c r="A422" s="78">
        <v>43990</v>
      </c>
      <c r="B422" s="75" t="s">
        <v>1378</v>
      </c>
      <c r="C422" s="75" t="s">
        <v>1379</v>
      </c>
      <c r="D422" s="75" t="s">
        <v>0</v>
      </c>
      <c r="E422" s="75">
        <v>68427709</v>
      </c>
      <c r="F422" s="89">
        <f>320000-375000</f>
        <v>-55000</v>
      </c>
      <c r="G422" s="75" t="s">
        <v>309</v>
      </c>
      <c r="H422" s="75" t="s">
        <v>310</v>
      </c>
      <c r="I422" s="75" t="s">
        <v>329</v>
      </c>
      <c r="J422" s="75">
        <v>2021</v>
      </c>
      <c r="K422" s="75" t="s">
        <v>312</v>
      </c>
      <c r="L422" s="75" t="s">
        <v>1380</v>
      </c>
    </row>
    <row r="423" spans="1:12" hidden="1" x14ac:dyDescent="0.25">
      <c r="A423" s="78">
        <v>43990</v>
      </c>
      <c r="B423" s="75" t="s">
        <v>956</v>
      </c>
      <c r="C423" s="75" t="s">
        <v>1379</v>
      </c>
      <c r="D423" s="75" t="s">
        <v>0</v>
      </c>
      <c r="E423" s="75">
        <v>68427709</v>
      </c>
      <c r="F423" s="89">
        <v>55000</v>
      </c>
      <c r="G423" s="75" t="s">
        <v>309</v>
      </c>
      <c r="H423" s="75" t="s">
        <v>310</v>
      </c>
      <c r="I423" s="75" t="s">
        <v>329</v>
      </c>
      <c r="J423" s="75">
        <v>2021</v>
      </c>
      <c r="K423" s="75" t="s">
        <v>312</v>
      </c>
      <c r="L423" s="75" t="s">
        <v>1381</v>
      </c>
    </row>
    <row r="424" spans="1:12" hidden="1" x14ac:dyDescent="0.25">
      <c r="A424" s="78">
        <v>43990</v>
      </c>
      <c r="B424" t="s">
        <v>749</v>
      </c>
      <c r="C424" s="75" t="s">
        <v>1382</v>
      </c>
      <c r="D424" s="75" t="s">
        <v>1049</v>
      </c>
      <c r="E424" s="75">
        <v>68427709</v>
      </c>
      <c r="F424" s="89">
        <v>-50000</v>
      </c>
      <c r="G424" s="75" t="s">
        <v>309</v>
      </c>
      <c r="H424" s="75" t="s">
        <v>310</v>
      </c>
      <c r="I424" s="75" t="s">
        <v>329</v>
      </c>
      <c r="J424" s="75">
        <v>2021</v>
      </c>
      <c r="K424" s="75" t="s">
        <v>751</v>
      </c>
      <c r="L424" s="75" t="s">
        <v>1383</v>
      </c>
    </row>
    <row r="425" spans="1:12" hidden="1" x14ac:dyDescent="0.25">
      <c r="A425" s="78">
        <v>43990</v>
      </c>
      <c r="B425" s="75" t="s">
        <v>1384</v>
      </c>
      <c r="C425" s="75" t="s">
        <v>1385</v>
      </c>
      <c r="D425" s="75" t="s">
        <v>657</v>
      </c>
      <c r="E425" s="75">
        <v>68427709</v>
      </c>
      <c r="F425" s="89">
        <v>96000</v>
      </c>
      <c r="G425" s="75" t="s">
        <v>309</v>
      </c>
      <c r="H425" s="75" t="s">
        <v>310</v>
      </c>
      <c r="I425" s="75" t="s">
        <v>1144</v>
      </c>
      <c r="J425" s="75">
        <v>2021</v>
      </c>
      <c r="K425" s="75" t="s">
        <v>475</v>
      </c>
      <c r="L425" s="75" t="s">
        <v>1386</v>
      </c>
    </row>
    <row r="426" spans="1:12" hidden="1" x14ac:dyDescent="0.25">
      <c r="A426" s="78">
        <v>43990</v>
      </c>
      <c r="B426" s="75" t="s">
        <v>1387</v>
      </c>
      <c r="C426" s="75" t="s">
        <v>1388</v>
      </c>
      <c r="D426" s="75" t="s">
        <v>1387</v>
      </c>
      <c r="E426" s="75">
        <v>68427709</v>
      </c>
      <c r="F426" s="89">
        <v>15000</v>
      </c>
      <c r="G426" s="75" t="s">
        <v>309</v>
      </c>
      <c r="H426" s="75" t="s">
        <v>310</v>
      </c>
      <c r="I426" s="75" t="s">
        <v>400</v>
      </c>
      <c r="J426" s="75">
        <v>2021</v>
      </c>
      <c r="K426" s="75" t="s">
        <v>1100</v>
      </c>
      <c r="L426" s="75" t="s">
        <v>1389</v>
      </c>
    </row>
    <row r="427" spans="1:12" hidden="1" x14ac:dyDescent="0.25">
      <c r="A427" s="78">
        <v>43990</v>
      </c>
      <c r="B427" s="75" t="s">
        <v>1390</v>
      </c>
      <c r="C427" s="75" t="s">
        <v>1391</v>
      </c>
      <c r="D427" s="75" t="s">
        <v>0</v>
      </c>
      <c r="E427" s="75">
        <v>68427709</v>
      </c>
      <c r="F427" s="89">
        <v>36000</v>
      </c>
      <c r="G427" s="75" t="s">
        <v>309</v>
      </c>
      <c r="H427" s="75" t="s">
        <v>310</v>
      </c>
      <c r="I427" s="75" t="s">
        <v>400</v>
      </c>
      <c r="J427" s="75">
        <v>2021</v>
      </c>
      <c r="K427" s="75" t="s">
        <v>434</v>
      </c>
      <c r="L427" s="75" t="s">
        <v>1392</v>
      </c>
    </row>
    <row r="428" spans="1:12" hidden="1" x14ac:dyDescent="0.25">
      <c r="A428" s="78">
        <v>43990</v>
      </c>
      <c r="B428" s="75" t="s">
        <v>1390</v>
      </c>
      <c r="C428" s="75" t="s">
        <v>1393</v>
      </c>
      <c r="D428" s="75" t="s">
        <v>0</v>
      </c>
      <c r="E428" s="75">
        <v>68427709</v>
      </c>
      <c r="F428" s="89">
        <v>20000</v>
      </c>
      <c r="G428" s="75" t="s">
        <v>309</v>
      </c>
      <c r="H428" s="75" t="s">
        <v>310</v>
      </c>
      <c r="I428" s="75" t="s">
        <v>329</v>
      </c>
      <c r="J428" s="75">
        <v>2021</v>
      </c>
      <c r="K428" s="75" t="s">
        <v>434</v>
      </c>
      <c r="L428" s="75" t="s">
        <v>1394</v>
      </c>
    </row>
    <row r="429" spans="1:12" hidden="1" x14ac:dyDescent="0.25">
      <c r="A429" s="78">
        <v>43990</v>
      </c>
      <c r="B429" s="75" t="s">
        <v>1111</v>
      </c>
      <c r="C429" s="75" t="s">
        <v>1395</v>
      </c>
      <c r="D429" s="75" t="s">
        <v>0</v>
      </c>
      <c r="E429" s="75">
        <v>68427709</v>
      </c>
      <c r="F429" s="89">
        <v>-5000</v>
      </c>
      <c r="G429" s="75" t="s">
        <v>309</v>
      </c>
      <c r="H429" s="75" t="s">
        <v>310</v>
      </c>
      <c r="I429" s="75" t="s">
        <v>329</v>
      </c>
      <c r="J429" s="75">
        <v>2021</v>
      </c>
      <c r="K429" s="75" t="s">
        <v>312</v>
      </c>
      <c r="L429" s="75" t="s">
        <v>1396</v>
      </c>
    </row>
    <row r="430" spans="1:12" hidden="1" x14ac:dyDescent="0.25">
      <c r="A430" s="78">
        <v>43990</v>
      </c>
      <c r="B430" s="75" t="s">
        <v>1397</v>
      </c>
      <c r="C430" s="75" t="s">
        <v>1398</v>
      </c>
      <c r="D430" s="75" t="s">
        <v>657</v>
      </c>
      <c r="E430" s="75">
        <v>68427709</v>
      </c>
      <c r="F430" s="89">
        <v>0</v>
      </c>
      <c r="G430" s="75" t="s">
        <v>1264</v>
      </c>
      <c r="H430" s="75" t="s">
        <v>310</v>
      </c>
      <c r="I430" s="75" t="s">
        <v>1144</v>
      </c>
      <c r="J430" s="75">
        <v>2021</v>
      </c>
      <c r="K430" s="75" t="s">
        <v>1399</v>
      </c>
      <c r="L430" s="75" t="s">
        <v>1400</v>
      </c>
    </row>
    <row r="431" spans="1:12" hidden="1" x14ac:dyDescent="0.25">
      <c r="A431" s="78">
        <v>43990</v>
      </c>
      <c r="B431" s="75" t="s">
        <v>1401</v>
      </c>
      <c r="C431" s="75" t="s">
        <v>1402</v>
      </c>
      <c r="D431" s="75" t="s">
        <v>0</v>
      </c>
      <c r="E431" s="75">
        <v>68427709</v>
      </c>
      <c r="F431" s="89">
        <v>50000</v>
      </c>
      <c r="G431" s="75" t="s">
        <v>309</v>
      </c>
      <c r="H431" s="75" t="s">
        <v>310</v>
      </c>
      <c r="I431" s="75" t="s">
        <v>400</v>
      </c>
      <c r="J431" s="75">
        <v>2021</v>
      </c>
      <c r="K431" s="75" t="s">
        <v>1100</v>
      </c>
      <c r="L431" t="s">
        <v>1403</v>
      </c>
    </row>
    <row r="432" spans="1:12" hidden="1" x14ac:dyDescent="0.25">
      <c r="A432" s="78">
        <v>43990</v>
      </c>
      <c r="B432" s="75" t="s">
        <v>1404</v>
      </c>
      <c r="C432" s="75" t="s">
        <v>1405</v>
      </c>
      <c r="D432" s="75"/>
      <c r="E432" s="75">
        <v>68427709</v>
      </c>
      <c r="F432" s="89">
        <v>-2000</v>
      </c>
      <c r="G432" s="75" t="s">
        <v>309</v>
      </c>
      <c r="H432" s="75" t="s">
        <v>310</v>
      </c>
      <c r="I432" s="75" t="s">
        <v>400</v>
      </c>
      <c r="J432" s="75">
        <v>2021</v>
      </c>
      <c r="K432" s="75" t="s">
        <v>448</v>
      </c>
      <c r="L432" s="75"/>
    </row>
    <row r="433" spans="1:12" hidden="1" x14ac:dyDescent="0.25">
      <c r="A433" s="78">
        <v>43990</v>
      </c>
      <c r="B433" s="75" t="s">
        <v>1406</v>
      </c>
      <c r="C433" s="75" t="s">
        <v>1407</v>
      </c>
      <c r="D433" s="75" t="s">
        <v>0</v>
      </c>
      <c r="E433" s="75">
        <v>68427709</v>
      </c>
      <c r="F433" s="89">
        <v>-4000</v>
      </c>
      <c r="G433" s="75" t="s">
        <v>309</v>
      </c>
      <c r="H433" s="75" t="s">
        <v>310</v>
      </c>
      <c r="I433" s="75" t="s">
        <v>329</v>
      </c>
      <c r="J433" s="75">
        <v>2021</v>
      </c>
      <c r="K433" s="75" t="s">
        <v>375</v>
      </c>
      <c r="L433" s="75" t="s">
        <v>1408</v>
      </c>
    </row>
    <row r="434" spans="1:12" hidden="1" x14ac:dyDescent="0.25">
      <c r="A434" s="78">
        <v>43992</v>
      </c>
      <c r="B434" s="75" t="s">
        <v>15</v>
      </c>
      <c r="C434" s="75" t="s">
        <v>1409</v>
      </c>
      <c r="D434" s="75" t="s">
        <v>0</v>
      </c>
      <c r="E434" s="75">
        <v>68427709</v>
      </c>
      <c r="F434" s="89">
        <v>0</v>
      </c>
      <c r="G434" s="75" t="s">
        <v>309</v>
      </c>
      <c r="H434" s="75" t="s">
        <v>310</v>
      </c>
      <c r="I434" s="75" t="s">
        <v>329</v>
      </c>
      <c r="J434" s="75">
        <v>2021</v>
      </c>
      <c r="K434" s="75" t="s">
        <v>1399</v>
      </c>
      <c r="L434" s="75" t="s">
        <v>1410</v>
      </c>
    </row>
    <row r="435" spans="1:12" hidden="1" x14ac:dyDescent="0.25">
      <c r="A435" s="78">
        <v>43992</v>
      </c>
      <c r="B435" s="75" t="s">
        <v>1411</v>
      </c>
      <c r="C435" s="75" t="s">
        <v>1412</v>
      </c>
      <c r="D435" s="75" t="s">
        <v>754</v>
      </c>
      <c r="E435" s="75">
        <v>68427709</v>
      </c>
      <c r="F435" s="89"/>
      <c r="G435" s="75" t="s">
        <v>993</v>
      </c>
      <c r="H435" s="75" t="s">
        <v>310</v>
      </c>
      <c r="I435" s="75" t="s">
        <v>400</v>
      </c>
      <c r="J435" s="75">
        <v>2021</v>
      </c>
      <c r="K435" s="75" t="s">
        <v>1399</v>
      </c>
      <c r="L435" s="75"/>
    </row>
    <row r="436" spans="1:12" hidden="1" x14ac:dyDescent="0.25">
      <c r="A436" s="78">
        <v>43992</v>
      </c>
      <c r="B436" s="75" t="s">
        <v>1413</v>
      </c>
      <c r="C436" t="s">
        <v>835</v>
      </c>
      <c r="D436" s="75" t="s">
        <v>42</v>
      </c>
      <c r="E436" s="75">
        <v>68427709</v>
      </c>
      <c r="F436" s="89">
        <v>0</v>
      </c>
      <c r="G436" s="75" t="s">
        <v>309</v>
      </c>
      <c r="H436" s="75" t="s">
        <v>310</v>
      </c>
      <c r="I436" s="75" t="s">
        <v>1317</v>
      </c>
      <c r="J436" s="75">
        <v>2021</v>
      </c>
      <c r="K436" s="75" t="s">
        <v>1399</v>
      </c>
      <c r="L436" s="75" t="s">
        <v>1414</v>
      </c>
    </row>
    <row r="437" spans="1:12" hidden="1" x14ac:dyDescent="0.25">
      <c r="A437" s="78">
        <v>43992</v>
      </c>
      <c r="B437" s="75" t="s">
        <v>1413</v>
      </c>
      <c r="C437" t="s">
        <v>1415</v>
      </c>
      <c r="D437" s="75" t="s">
        <v>42</v>
      </c>
      <c r="E437" s="75">
        <v>68427709</v>
      </c>
      <c r="F437" s="89">
        <v>0</v>
      </c>
      <c r="G437" s="75" t="s">
        <v>309</v>
      </c>
      <c r="H437" s="75" t="s">
        <v>310</v>
      </c>
      <c r="I437" s="75" t="s">
        <v>1317</v>
      </c>
      <c r="J437" s="75">
        <v>2021</v>
      </c>
      <c r="K437" s="75" t="s">
        <v>1399</v>
      </c>
      <c r="L437" s="75" t="s">
        <v>1414</v>
      </c>
    </row>
    <row r="438" spans="1:12" hidden="1" x14ac:dyDescent="0.25">
      <c r="A438" s="78">
        <v>43992</v>
      </c>
      <c r="B438" s="75" t="s">
        <v>1413</v>
      </c>
      <c r="C438" t="s">
        <v>1416</v>
      </c>
      <c r="D438" s="75" t="s">
        <v>42</v>
      </c>
      <c r="E438" s="75">
        <v>68427709</v>
      </c>
      <c r="F438" s="89">
        <v>0</v>
      </c>
      <c r="G438" s="75" t="s">
        <v>309</v>
      </c>
      <c r="H438" s="75" t="s">
        <v>310</v>
      </c>
      <c r="I438" s="75" t="s">
        <v>1317</v>
      </c>
      <c r="J438" s="75">
        <v>2021</v>
      </c>
      <c r="K438" s="75" t="s">
        <v>1399</v>
      </c>
      <c r="L438" s="75" t="s">
        <v>1414</v>
      </c>
    </row>
    <row r="439" spans="1:12" hidden="1" x14ac:dyDescent="0.25">
      <c r="A439" s="78">
        <v>43992</v>
      </c>
      <c r="B439" s="75" t="s">
        <v>1417</v>
      </c>
      <c r="C439" s="75" t="s">
        <v>1418</v>
      </c>
      <c r="D439" s="75" t="s">
        <v>633</v>
      </c>
      <c r="E439" s="75">
        <v>68427709</v>
      </c>
      <c r="F439" s="89">
        <v>0</v>
      </c>
      <c r="G439" s="75" t="s">
        <v>309</v>
      </c>
      <c r="H439" s="75" t="s">
        <v>310</v>
      </c>
      <c r="I439" s="75" t="s">
        <v>400</v>
      </c>
      <c r="J439" s="75">
        <v>2021</v>
      </c>
      <c r="K439" s="75" t="s">
        <v>312</v>
      </c>
      <c r="L439" s="75" t="s">
        <v>1419</v>
      </c>
    </row>
    <row r="440" spans="1:12" hidden="1" x14ac:dyDescent="0.25">
      <c r="A440" s="78">
        <v>44000</v>
      </c>
      <c r="B440" s="75" t="s">
        <v>353</v>
      </c>
      <c r="C440" s="75" t="s">
        <v>1420</v>
      </c>
      <c r="D440" s="75" t="s">
        <v>353</v>
      </c>
      <c r="E440" s="75">
        <v>68427709</v>
      </c>
      <c r="F440" s="89">
        <v>0</v>
      </c>
      <c r="G440" s="75" t="s">
        <v>1264</v>
      </c>
      <c r="H440" s="75" t="s">
        <v>310</v>
      </c>
      <c r="I440" s="75" t="s">
        <v>329</v>
      </c>
      <c r="J440" s="75">
        <v>2021</v>
      </c>
      <c r="K440" s="75" t="s">
        <v>1421</v>
      </c>
      <c r="L440" s="75" t="s">
        <v>1422</v>
      </c>
    </row>
    <row r="441" spans="1:12" hidden="1" x14ac:dyDescent="0.25">
      <c r="A441" s="78">
        <v>44000</v>
      </c>
      <c r="B441" s="75" t="s">
        <v>1423</v>
      </c>
      <c r="C441" s="75" t="s">
        <v>1424</v>
      </c>
      <c r="D441" s="75" t="s">
        <v>1423</v>
      </c>
      <c r="E441" s="75">
        <v>68427709</v>
      </c>
      <c r="F441" s="89">
        <v>273840</v>
      </c>
      <c r="G441" s="75" t="s">
        <v>309</v>
      </c>
      <c r="H441" s="75" t="s">
        <v>310</v>
      </c>
      <c r="I441" s="75" t="s">
        <v>329</v>
      </c>
      <c r="J441" s="75">
        <v>2021</v>
      </c>
      <c r="K441" s="75" t="s">
        <v>1421</v>
      </c>
      <c r="L441" s="75" t="s">
        <v>1425</v>
      </c>
    </row>
    <row r="442" spans="1:12" hidden="1" x14ac:dyDescent="0.25">
      <c r="A442" s="78">
        <v>44000</v>
      </c>
      <c r="B442" s="75" t="s">
        <v>1426</v>
      </c>
      <c r="C442" s="75" t="s">
        <v>1427</v>
      </c>
      <c r="D442" s="75" t="s">
        <v>376</v>
      </c>
      <c r="E442" s="75">
        <v>68427709</v>
      </c>
      <c r="F442" s="89">
        <v>8100</v>
      </c>
      <c r="G442" s="75" t="s">
        <v>309</v>
      </c>
      <c r="H442" s="75" t="s">
        <v>310</v>
      </c>
      <c r="I442" s="75" t="s">
        <v>329</v>
      </c>
      <c r="J442" s="75">
        <v>2021</v>
      </c>
      <c r="K442" s="75" t="s">
        <v>900</v>
      </c>
      <c r="L442" s="75" t="s">
        <v>1428</v>
      </c>
    </row>
    <row r="443" spans="1:12" hidden="1" x14ac:dyDescent="0.25">
      <c r="A443" s="78">
        <v>44001</v>
      </c>
      <c r="B443" s="75" t="s">
        <v>1336</v>
      </c>
      <c r="C443" s="75" t="s">
        <v>1429</v>
      </c>
      <c r="D443" s="75" t="s">
        <v>1336</v>
      </c>
      <c r="E443" s="75">
        <v>68427709</v>
      </c>
      <c r="F443" s="89">
        <v>2000</v>
      </c>
      <c r="G443" s="75" t="s">
        <v>1264</v>
      </c>
      <c r="H443" s="75" t="s">
        <v>310</v>
      </c>
      <c r="I443" s="75" t="s">
        <v>329</v>
      </c>
      <c r="J443" s="75">
        <v>2021</v>
      </c>
      <c r="K443" s="75" t="s">
        <v>423</v>
      </c>
      <c r="L443" s="75" t="s">
        <v>1430</v>
      </c>
    </row>
    <row r="444" spans="1:12" hidden="1" x14ac:dyDescent="0.25">
      <c r="A444" s="78">
        <v>44006</v>
      </c>
      <c r="B444" s="75" t="s">
        <v>1431</v>
      </c>
      <c r="C444" s="75" t="s">
        <v>1432</v>
      </c>
      <c r="D444" s="75" t="s">
        <v>1096</v>
      </c>
      <c r="E444" s="75">
        <v>68427709</v>
      </c>
      <c r="F444" s="89">
        <v>-32000</v>
      </c>
      <c r="G444" s="75" t="s">
        <v>309</v>
      </c>
      <c r="H444" s="75" t="s">
        <v>310</v>
      </c>
      <c r="I444" s="75" t="s">
        <v>400</v>
      </c>
      <c r="J444" s="75">
        <v>2021</v>
      </c>
      <c r="K444" s="75" t="s">
        <v>312</v>
      </c>
      <c r="L444" s="75" t="s">
        <v>1379</v>
      </c>
    </row>
    <row r="445" spans="1:12" hidden="1" x14ac:dyDescent="0.25">
      <c r="A445" s="78">
        <v>44006</v>
      </c>
      <c r="B445" s="75" t="s">
        <v>1433</v>
      </c>
      <c r="C445" s="75" t="s">
        <v>1434</v>
      </c>
      <c r="D445" s="75" t="s">
        <v>1096</v>
      </c>
      <c r="E445" s="75">
        <v>68427709</v>
      </c>
      <c r="F445" s="89">
        <v>35000</v>
      </c>
      <c r="G445" s="75" t="s">
        <v>309</v>
      </c>
      <c r="H445" s="75" t="s">
        <v>310</v>
      </c>
      <c r="I445" s="75" t="s">
        <v>400</v>
      </c>
      <c r="J445" s="75">
        <v>2021</v>
      </c>
      <c r="K445" s="75" t="s">
        <v>312</v>
      </c>
      <c r="L445" s="75" t="s">
        <v>1435</v>
      </c>
    </row>
    <row r="446" spans="1:12" hidden="1" x14ac:dyDescent="0.25">
      <c r="A446" s="78">
        <v>44007</v>
      </c>
      <c r="B446" s="75" t="s">
        <v>1436</v>
      </c>
      <c r="C446" s="75" t="s">
        <v>1437</v>
      </c>
      <c r="D446" s="75" t="s">
        <v>548</v>
      </c>
      <c r="E446" s="75">
        <v>68427709</v>
      </c>
      <c r="F446" s="89">
        <v>70000</v>
      </c>
      <c r="G446" s="75" t="s">
        <v>1264</v>
      </c>
      <c r="H446" s="75" t="s">
        <v>310</v>
      </c>
      <c r="I446" s="75" t="s">
        <v>329</v>
      </c>
      <c r="J446" s="75">
        <v>2021</v>
      </c>
      <c r="K446" s="75" t="s">
        <v>971</v>
      </c>
      <c r="L446" s="75" t="s">
        <v>1438</v>
      </c>
    </row>
    <row r="447" spans="1:12" hidden="1" x14ac:dyDescent="0.25">
      <c r="A447" s="78">
        <v>44007</v>
      </c>
      <c r="B447" s="75" t="s">
        <v>1439</v>
      </c>
      <c r="C447" s="75" t="s">
        <v>1440</v>
      </c>
      <c r="D447" s="75" t="s">
        <v>548</v>
      </c>
      <c r="E447" s="75">
        <v>68427709</v>
      </c>
      <c r="F447" s="89">
        <v>100000</v>
      </c>
      <c r="G447" s="75" t="s">
        <v>1264</v>
      </c>
      <c r="H447" s="75" t="s">
        <v>310</v>
      </c>
      <c r="I447" s="75" t="s">
        <v>329</v>
      </c>
      <c r="J447" s="75">
        <v>2021</v>
      </c>
      <c r="K447" s="75" t="s">
        <v>971</v>
      </c>
      <c r="L447" s="75" t="s">
        <v>1441</v>
      </c>
    </row>
    <row r="448" spans="1:12" hidden="1" x14ac:dyDescent="0.25">
      <c r="A448" s="78">
        <v>44007</v>
      </c>
      <c r="B448" s="75" t="s">
        <v>1442</v>
      </c>
      <c r="C448" s="75" t="s">
        <v>1443</v>
      </c>
      <c r="D448" s="75" t="s">
        <v>548</v>
      </c>
      <c r="E448" s="75">
        <v>68427709</v>
      </c>
      <c r="F448" s="89">
        <v>50000</v>
      </c>
      <c r="G448" s="75" t="s">
        <v>1264</v>
      </c>
      <c r="H448" s="75" t="s">
        <v>1444</v>
      </c>
      <c r="I448" s="75" t="s">
        <v>329</v>
      </c>
      <c r="J448" s="75">
        <v>2021</v>
      </c>
      <c r="K448" s="75" t="s">
        <v>557</v>
      </c>
      <c r="L448" s="75" t="s">
        <v>1445</v>
      </c>
    </row>
    <row r="449" spans="1:12" ht="15" hidden="1" customHeight="1" x14ac:dyDescent="0.25">
      <c r="A449" s="78">
        <v>44011</v>
      </c>
      <c r="B449" s="75" t="s">
        <v>1446</v>
      </c>
      <c r="C449" s="75" t="s">
        <v>1447</v>
      </c>
      <c r="D449" s="75" t="s">
        <v>0</v>
      </c>
      <c r="E449" s="75">
        <v>68427709</v>
      </c>
      <c r="F449" s="89">
        <v>84000</v>
      </c>
      <c r="G449" s="75" t="s">
        <v>309</v>
      </c>
      <c r="H449" s="75" t="s">
        <v>310</v>
      </c>
      <c r="I449" s="75" t="s">
        <v>400</v>
      </c>
      <c r="J449" s="75">
        <v>2021</v>
      </c>
      <c r="K449" s="75" t="s">
        <v>557</v>
      </c>
      <c r="L449" s="75" t="s">
        <v>1448</v>
      </c>
    </row>
    <row r="450" spans="1:12" ht="15.75" hidden="1" customHeight="1" x14ac:dyDescent="0.25">
      <c r="A450" s="78">
        <v>44011</v>
      </c>
      <c r="B450" s="75" t="s">
        <v>1449</v>
      </c>
      <c r="C450" s="75" t="s">
        <v>1450</v>
      </c>
      <c r="D450" s="75" t="s">
        <v>659</v>
      </c>
      <c r="E450" s="75">
        <v>68427709</v>
      </c>
      <c r="F450" s="89">
        <v>-285000</v>
      </c>
      <c r="G450" s="75" t="s">
        <v>309</v>
      </c>
      <c r="H450" s="75" t="s">
        <v>310</v>
      </c>
      <c r="I450" s="75" t="s">
        <v>329</v>
      </c>
      <c r="J450" s="75">
        <v>2021</v>
      </c>
      <c r="K450" s="75" t="s">
        <v>557</v>
      </c>
      <c r="L450" s="75" t="s">
        <v>1451</v>
      </c>
    </row>
    <row r="451" spans="1:12" hidden="1" x14ac:dyDescent="0.25">
      <c r="A451" s="78">
        <v>44011</v>
      </c>
      <c r="B451" s="75" t="s">
        <v>1452</v>
      </c>
      <c r="C451" s="75" t="s">
        <v>1450</v>
      </c>
      <c r="D451" s="75" t="s">
        <v>659</v>
      </c>
      <c r="E451" s="75">
        <v>68427709</v>
      </c>
      <c r="F451" s="89">
        <v>-165000</v>
      </c>
      <c r="G451" s="75" t="s">
        <v>309</v>
      </c>
      <c r="H451" s="75" t="s">
        <v>310</v>
      </c>
      <c r="I451" s="75" t="s">
        <v>329</v>
      </c>
      <c r="J451" s="75">
        <v>2021</v>
      </c>
      <c r="K451" s="75" t="s">
        <v>557</v>
      </c>
      <c r="L451" s="75" t="s">
        <v>1451</v>
      </c>
    </row>
    <row r="452" spans="1:12" hidden="1" x14ac:dyDescent="0.25">
      <c r="A452" s="78">
        <v>44011</v>
      </c>
      <c r="B452" s="75" t="s">
        <v>1453</v>
      </c>
      <c r="C452" s="75" t="s">
        <v>1454</v>
      </c>
      <c r="D452" s="75" t="s">
        <v>1455</v>
      </c>
      <c r="E452" s="75">
        <v>68427709</v>
      </c>
      <c r="F452" s="89">
        <v>-150000</v>
      </c>
      <c r="G452" s="75" t="s">
        <v>309</v>
      </c>
      <c r="H452" s="75" t="s">
        <v>310</v>
      </c>
      <c r="I452" s="75" t="s">
        <v>329</v>
      </c>
      <c r="J452" s="75">
        <v>2021</v>
      </c>
      <c r="K452" s="75" t="s">
        <v>557</v>
      </c>
      <c r="L452" s="75" t="s">
        <v>1456</v>
      </c>
    </row>
    <row r="453" spans="1:12" hidden="1" x14ac:dyDescent="0.25">
      <c r="A453" s="78">
        <v>44011</v>
      </c>
      <c r="B453" s="75" t="s">
        <v>1457</v>
      </c>
      <c r="C453" s="75" t="s">
        <v>1458</v>
      </c>
      <c r="D453" s="75" t="s">
        <v>1459</v>
      </c>
      <c r="E453" s="75">
        <v>68427709</v>
      </c>
      <c r="F453" s="89">
        <v>100000</v>
      </c>
      <c r="G453" s="75" t="s">
        <v>1264</v>
      </c>
      <c r="H453" s="75" t="s">
        <v>1444</v>
      </c>
      <c r="I453" s="75" t="s">
        <v>329</v>
      </c>
      <c r="J453" s="75">
        <v>2021</v>
      </c>
      <c r="K453" s="75" t="s">
        <v>557</v>
      </c>
      <c r="L453" s="75" t="s">
        <v>997</v>
      </c>
    </row>
    <row r="454" spans="1:12" hidden="1" x14ac:dyDescent="0.25">
      <c r="A454" s="78">
        <v>44012</v>
      </c>
      <c r="B454" s="75" t="s">
        <v>1460</v>
      </c>
      <c r="C454" s="75" t="s">
        <v>1461</v>
      </c>
      <c r="D454" s="75" t="s">
        <v>633</v>
      </c>
      <c r="E454" s="75">
        <v>68427709</v>
      </c>
      <c r="F454" s="89">
        <v>14000</v>
      </c>
      <c r="G454" s="75" t="s">
        <v>309</v>
      </c>
      <c r="H454" s="75" t="s">
        <v>310</v>
      </c>
      <c r="I454" s="75" t="s">
        <v>400</v>
      </c>
      <c r="J454" s="75">
        <v>2021</v>
      </c>
      <c r="K454" s="75" t="s">
        <v>367</v>
      </c>
      <c r="L454" s="75"/>
    </row>
    <row r="455" spans="1:12" hidden="1" x14ac:dyDescent="0.25">
      <c r="A455" s="78">
        <v>44012</v>
      </c>
      <c r="B455" s="75" t="s">
        <v>1462</v>
      </c>
      <c r="C455" s="75" t="s">
        <v>1463</v>
      </c>
      <c r="D455" s="75" t="s">
        <v>1462</v>
      </c>
      <c r="E455" s="75">
        <v>68427709</v>
      </c>
      <c r="F455" s="89">
        <v>50000</v>
      </c>
      <c r="G455" s="75" t="s">
        <v>309</v>
      </c>
      <c r="H455" s="75" t="s">
        <v>310</v>
      </c>
      <c r="I455" s="75" t="s">
        <v>400</v>
      </c>
      <c r="J455" s="75">
        <v>2021</v>
      </c>
      <c r="K455" s="75" t="s">
        <v>751</v>
      </c>
      <c r="L455" s="75"/>
    </row>
    <row r="456" spans="1:12" hidden="1" x14ac:dyDescent="0.25">
      <c r="A456" s="78">
        <v>44012</v>
      </c>
      <c r="B456" s="75" t="s">
        <v>1464</v>
      </c>
      <c r="C456" s="75" t="s">
        <v>403</v>
      </c>
      <c r="D456" s="75" t="s">
        <v>1464</v>
      </c>
      <c r="E456" s="75">
        <v>68427709</v>
      </c>
      <c r="F456" s="89">
        <v>10000</v>
      </c>
      <c r="G456" s="75" t="s">
        <v>309</v>
      </c>
      <c r="H456" s="75" t="s">
        <v>310</v>
      </c>
      <c r="I456" s="75" t="s">
        <v>400</v>
      </c>
      <c r="J456" s="75">
        <v>2021</v>
      </c>
      <c r="K456" s="75" t="s">
        <v>751</v>
      </c>
      <c r="L456" s="75" t="s">
        <v>1465</v>
      </c>
    </row>
    <row r="457" spans="1:12" hidden="1" x14ac:dyDescent="0.25">
      <c r="A457" s="78">
        <v>44012</v>
      </c>
      <c r="B457" s="75" t="s">
        <v>1466</v>
      </c>
      <c r="C457" s="75" t="s">
        <v>1467</v>
      </c>
      <c r="D457" s="75" t="s">
        <v>1466</v>
      </c>
      <c r="E457" s="75">
        <v>68427709</v>
      </c>
      <c r="F457" s="89">
        <v>60000</v>
      </c>
      <c r="G457" s="75" t="s">
        <v>1264</v>
      </c>
      <c r="H457" s="75" t="s">
        <v>310</v>
      </c>
      <c r="I457" s="75" t="s">
        <v>400</v>
      </c>
      <c r="J457" s="75">
        <v>2021</v>
      </c>
      <c r="K457" s="75" t="s">
        <v>900</v>
      </c>
      <c r="L457" s="75" t="s">
        <v>1468</v>
      </c>
    </row>
    <row r="458" spans="1:12" hidden="1" x14ac:dyDescent="0.25">
      <c r="A458" s="78">
        <v>44012</v>
      </c>
      <c r="B458" s="75" t="s">
        <v>962</v>
      </c>
      <c r="C458" s="75" t="s">
        <v>1469</v>
      </c>
      <c r="D458" s="75" t="s">
        <v>962</v>
      </c>
      <c r="E458" s="75">
        <v>68427709</v>
      </c>
      <c r="F458" s="89">
        <v>-12000</v>
      </c>
      <c r="G458" s="75" t="s">
        <v>309</v>
      </c>
      <c r="H458" s="75" t="s">
        <v>310</v>
      </c>
      <c r="I458" s="75" t="s">
        <v>400</v>
      </c>
      <c r="J458" s="75">
        <v>2021</v>
      </c>
      <c r="K458" s="75" t="s">
        <v>971</v>
      </c>
      <c r="L458" s="75"/>
    </row>
    <row r="459" spans="1:12" hidden="1" x14ac:dyDescent="0.25">
      <c r="A459" s="78">
        <v>44012</v>
      </c>
      <c r="B459" s="75" t="s">
        <v>1470</v>
      </c>
      <c r="C459" s="75" t="s">
        <v>1471</v>
      </c>
      <c r="D459" s="75" t="s">
        <v>0</v>
      </c>
      <c r="E459" s="75">
        <v>68427709</v>
      </c>
      <c r="F459" s="89">
        <v>70000</v>
      </c>
      <c r="G459" s="75" t="s">
        <v>309</v>
      </c>
      <c r="H459" s="75" t="s">
        <v>310</v>
      </c>
      <c r="I459" s="75" t="s">
        <v>400</v>
      </c>
      <c r="J459" s="75">
        <v>2021</v>
      </c>
      <c r="K459" s="75" t="s">
        <v>738</v>
      </c>
      <c r="L459" s="75" t="s">
        <v>1472</v>
      </c>
    </row>
    <row r="460" spans="1:12" hidden="1" x14ac:dyDescent="0.25">
      <c r="A460" s="78">
        <v>44012</v>
      </c>
      <c r="B460" s="75" t="s">
        <v>1473</v>
      </c>
      <c r="C460" s="165" t="s">
        <v>1474</v>
      </c>
      <c r="D460" s="75" t="s">
        <v>1096</v>
      </c>
      <c r="E460" s="75">
        <v>68427709</v>
      </c>
      <c r="F460" s="89">
        <v>-81000</v>
      </c>
      <c r="G460" s="75" t="s">
        <v>309</v>
      </c>
      <c r="H460" s="75" t="s">
        <v>310</v>
      </c>
      <c r="I460" s="75" t="s">
        <v>400</v>
      </c>
      <c r="J460" s="75">
        <v>2021</v>
      </c>
      <c r="K460" s="75" t="s">
        <v>1475</v>
      </c>
      <c r="L460" s="75" t="s">
        <v>1476</v>
      </c>
    </row>
    <row r="461" spans="1:12" hidden="1" x14ac:dyDescent="0.25">
      <c r="A461" s="78">
        <v>44013</v>
      </c>
      <c r="B461" s="75" t="s">
        <v>1477</v>
      </c>
      <c r="C461" s="75" t="s">
        <v>1478</v>
      </c>
      <c r="D461" s="75" t="s">
        <v>0</v>
      </c>
      <c r="E461" s="75">
        <v>68427709</v>
      </c>
      <c r="F461" s="89">
        <v>45000</v>
      </c>
      <c r="G461" s="75" t="s">
        <v>309</v>
      </c>
      <c r="H461" s="75" t="s">
        <v>310</v>
      </c>
      <c r="I461" s="75" t="s">
        <v>400</v>
      </c>
      <c r="J461" s="75">
        <v>2021</v>
      </c>
      <c r="K461" s="75" t="s">
        <v>1479</v>
      </c>
      <c r="L461" s="75" t="s">
        <v>1480</v>
      </c>
    </row>
    <row r="462" spans="1:12" hidden="1" x14ac:dyDescent="0.25">
      <c r="A462" s="78">
        <v>44015</v>
      </c>
      <c r="B462" s="75" t="s">
        <v>1481</v>
      </c>
      <c r="C462" s="75" t="s">
        <v>1482</v>
      </c>
      <c r="D462" s="75" t="s">
        <v>1481</v>
      </c>
      <c r="E462" s="75">
        <v>68427709</v>
      </c>
      <c r="F462" s="89">
        <v>30000</v>
      </c>
      <c r="G462" s="75" t="s">
        <v>309</v>
      </c>
      <c r="H462" s="75" t="s">
        <v>310</v>
      </c>
      <c r="I462" s="75" t="s">
        <v>400</v>
      </c>
      <c r="J462" s="75">
        <v>2021</v>
      </c>
      <c r="K462" s="75" t="s">
        <v>900</v>
      </c>
      <c r="L462" s="75"/>
    </row>
    <row r="463" spans="1:12" hidden="1" x14ac:dyDescent="0.25">
      <c r="A463" s="78">
        <v>44015</v>
      </c>
      <c r="B463" s="75" t="s">
        <v>1483</v>
      </c>
      <c r="C463" s="75" t="s">
        <v>1484</v>
      </c>
      <c r="D463" s="75" t="s">
        <v>633</v>
      </c>
      <c r="E463" s="75">
        <v>68427709</v>
      </c>
      <c r="F463" s="89">
        <v>-2800</v>
      </c>
      <c r="G463" s="75" t="s">
        <v>309</v>
      </c>
      <c r="H463" s="75" t="s">
        <v>310</v>
      </c>
      <c r="I463" s="75" t="s">
        <v>400</v>
      </c>
      <c r="J463" s="75">
        <v>2021</v>
      </c>
      <c r="K463" s="75" t="s">
        <v>312</v>
      </c>
      <c r="L463" s="75" t="s">
        <v>1485</v>
      </c>
    </row>
    <row r="464" spans="1:12" hidden="1" x14ac:dyDescent="0.25">
      <c r="A464" s="78">
        <v>44019</v>
      </c>
      <c r="B464" s="75" t="s">
        <v>1486</v>
      </c>
      <c r="C464" s="75" t="s">
        <v>1487</v>
      </c>
      <c r="D464" s="75" t="s">
        <v>1488</v>
      </c>
      <c r="E464" s="75">
        <v>68427709</v>
      </c>
      <c r="F464" s="89">
        <v>34000</v>
      </c>
      <c r="G464" s="75" t="s">
        <v>309</v>
      </c>
      <c r="H464" s="75" t="s">
        <v>310</v>
      </c>
      <c r="I464" s="75" t="s">
        <v>400</v>
      </c>
      <c r="J464" s="75">
        <v>2021</v>
      </c>
      <c r="K464" s="75" t="s">
        <v>1489</v>
      </c>
      <c r="L464" s="75" t="s">
        <v>1490</v>
      </c>
    </row>
    <row r="465" spans="1:12" hidden="1" x14ac:dyDescent="0.25">
      <c r="A465" s="78">
        <v>44019</v>
      </c>
      <c r="B465" s="75" t="s">
        <v>1491</v>
      </c>
      <c r="C465" s="75"/>
      <c r="D465" s="75" t="s">
        <v>633</v>
      </c>
      <c r="E465" s="75">
        <v>68427709</v>
      </c>
      <c r="F465" s="89">
        <v>10000</v>
      </c>
      <c r="G465" s="75" t="s">
        <v>1264</v>
      </c>
      <c r="H465" s="75" t="s">
        <v>310</v>
      </c>
      <c r="I465" s="75" t="s">
        <v>329</v>
      </c>
      <c r="J465" s="75">
        <v>2021</v>
      </c>
      <c r="K465" s="75" t="s">
        <v>475</v>
      </c>
      <c r="L465" s="75" t="s">
        <v>1492</v>
      </c>
    </row>
    <row r="466" spans="1:12" hidden="1" x14ac:dyDescent="0.25">
      <c r="A466" s="78">
        <v>44019</v>
      </c>
      <c r="B466" s="75" t="s">
        <v>1493</v>
      </c>
      <c r="C466" s="75" t="s">
        <v>1494</v>
      </c>
      <c r="D466" s="75" t="s">
        <v>633</v>
      </c>
      <c r="E466" s="75">
        <v>68427709</v>
      </c>
      <c r="F466" s="89">
        <v>-45000</v>
      </c>
      <c r="G466" s="75" t="s">
        <v>309</v>
      </c>
      <c r="H466" s="75" t="s">
        <v>310</v>
      </c>
      <c r="I466" s="75" t="s">
        <v>400</v>
      </c>
      <c r="J466" s="75">
        <v>2021</v>
      </c>
      <c r="K466" s="75" t="s">
        <v>1489</v>
      </c>
      <c r="L466" s="75"/>
    </row>
    <row r="467" spans="1:12" hidden="1" x14ac:dyDescent="0.25">
      <c r="A467" s="78">
        <v>44019</v>
      </c>
      <c r="B467" s="75" t="s">
        <v>1495</v>
      </c>
      <c r="C467" s="75" t="s">
        <v>1496</v>
      </c>
      <c r="D467" s="75" t="s">
        <v>633</v>
      </c>
      <c r="E467" s="75">
        <v>68427709</v>
      </c>
      <c r="F467" s="89">
        <v>30000</v>
      </c>
      <c r="G467" s="75" t="s">
        <v>309</v>
      </c>
      <c r="H467" s="75" t="s">
        <v>310</v>
      </c>
      <c r="I467" s="75" t="s">
        <v>400</v>
      </c>
      <c r="J467" s="75">
        <v>2021</v>
      </c>
      <c r="K467" s="75" t="s">
        <v>1489</v>
      </c>
      <c r="L467" s="75"/>
    </row>
    <row r="468" spans="1:12" hidden="1" x14ac:dyDescent="0.25">
      <c r="A468" s="78">
        <v>44020</v>
      </c>
      <c r="B468" s="91" t="s">
        <v>1497</v>
      </c>
      <c r="C468" t="s">
        <v>1498</v>
      </c>
      <c r="D468" s="75"/>
      <c r="E468" s="75">
        <v>68427709</v>
      </c>
      <c r="F468" s="89">
        <v>0</v>
      </c>
      <c r="G468" s="75" t="s">
        <v>309</v>
      </c>
      <c r="H468" s="75" t="s">
        <v>310</v>
      </c>
      <c r="I468" s="75" t="s">
        <v>329</v>
      </c>
      <c r="J468" s="75">
        <v>2021</v>
      </c>
      <c r="K468" s="75" t="s">
        <v>505</v>
      </c>
      <c r="L468" s="75" t="s">
        <v>1499</v>
      </c>
    </row>
    <row r="469" spans="1:12" hidden="1" x14ac:dyDescent="0.25">
      <c r="A469" s="78">
        <v>44020</v>
      </c>
      <c r="B469" s="75" t="s">
        <v>1500</v>
      </c>
      <c r="C469" s="75" t="s">
        <v>758</v>
      </c>
      <c r="D469" s="75" t="s">
        <v>1500</v>
      </c>
      <c r="E469" s="75">
        <v>68427709</v>
      </c>
      <c r="F469" s="89">
        <v>1000</v>
      </c>
      <c r="G469" s="75" t="s">
        <v>309</v>
      </c>
      <c r="H469" s="75" t="s">
        <v>310</v>
      </c>
      <c r="I469" s="75" t="s">
        <v>400</v>
      </c>
      <c r="J469" s="75">
        <v>2021</v>
      </c>
      <c r="K469" s="75" t="s">
        <v>505</v>
      </c>
      <c r="L469" s="75" t="s">
        <v>1501</v>
      </c>
    </row>
    <row r="470" spans="1:12" hidden="1" x14ac:dyDescent="0.25">
      <c r="A470" s="78">
        <v>44020</v>
      </c>
      <c r="B470" s="75" t="s">
        <v>446</v>
      </c>
      <c r="C470" s="75"/>
      <c r="D470" s="75"/>
      <c r="E470" s="75">
        <v>68427709</v>
      </c>
      <c r="F470" s="89">
        <v>0</v>
      </c>
      <c r="G470" s="75" t="s">
        <v>1264</v>
      </c>
      <c r="H470" s="75" t="s">
        <v>310</v>
      </c>
      <c r="I470" s="75" t="s">
        <v>400</v>
      </c>
      <c r="J470" s="75">
        <v>2021</v>
      </c>
      <c r="K470" s="75" t="s">
        <v>505</v>
      </c>
      <c r="L470" s="75"/>
    </row>
    <row r="471" spans="1:12" hidden="1" x14ac:dyDescent="0.25">
      <c r="A471" s="78">
        <v>44020</v>
      </c>
      <c r="B471" s="75" t="s">
        <v>778</v>
      </c>
      <c r="C471" s="75"/>
      <c r="D471" s="75" t="s">
        <v>0</v>
      </c>
      <c r="E471" s="75">
        <v>68427709</v>
      </c>
      <c r="F471" s="89">
        <v>25000</v>
      </c>
      <c r="G471" s="75" t="s">
        <v>309</v>
      </c>
      <c r="H471" s="75" t="s">
        <v>310</v>
      </c>
      <c r="I471" s="75" t="s">
        <v>400</v>
      </c>
      <c r="J471" s="75">
        <v>2021</v>
      </c>
      <c r="K471" s="75" t="s">
        <v>505</v>
      </c>
      <c r="L471" s="75" t="s">
        <v>1502</v>
      </c>
    </row>
    <row r="472" spans="1:12" hidden="1" x14ac:dyDescent="0.25">
      <c r="A472" s="78">
        <v>44020</v>
      </c>
      <c r="B472" t="s">
        <v>782</v>
      </c>
      <c r="C472" s="75" t="s">
        <v>1503</v>
      </c>
      <c r="D472" s="75"/>
      <c r="E472" s="75">
        <v>68427709</v>
      </c>
      <c r="F472" s="89">
        <v>33000</v>
      </c>
      <c r="G472" s="75" t="s">
        <v>309</v>
      </c>
      <c r="H472" s="75" t="s">
        <v>310</v>
      </c>
      <c r="I472" s="75" t="s">
        <v>329</v>
      </c>
      <c r="J472" s="75">
        <v>2021</v>
      </c>
      <c r="K472" s="75" t="s">
        <v>505</v>
      </c>
      <c r="L472" s="75" t="s">
        <v>1504</v>
      </c>
    </row>
    <row r="473" spans="1:12" hidden="1" x14ac:dyDescent="0.25">
      <c r="A473" s="78">
        <v>44020</v>
      </c>
      <c r="B473" s="75" t="s">
        <v>1505</v>
      </c>
      <c r="C473" s="75" t="s">
        <v>1506</v>
      </c>
      <c r="D473" s="75" t="s">
        <v>0</v>
      </c>
      <c r="E473" s="75">
        <v>68427709</v>
      </c>
      <c r="F473" s="89">
        <v>90000</v>
      </c>
      <c r="G473" s="75" t="s">
        <v>309</v>
      </c>
      <c r="H473" s="75" t="s">
        <v>310</v>
      </c>
      <c r="I473" s="75" t="s">
        <v>329</v>
      </c>
      <c r="J473" s="75">
        <v>2021</v>
      </c>
      <c r="K473" s="75" t="s">
        <v>505</v>
      </c>
      <c r="L473" s="75" t="s">
        <v>1507</v>
      </c>
    </row>
    <row r="474" spans="1:12" hidden="1" x14ac:dyDescent="0.25">
      <c r="A474" s="78">
        <v>44025</v>
      </c>
      <c r="B474" s="75" t="s">
        <v>1508</v>
      </c>
      <c r="C474" t="s">
        <v>1509</v>
      </c>
      <c r="D474" s="75" t="s">
        <v>1508</v>
      </c>
      <c r="E474" s="75">
        <v>68427709</v>
      </c>
      <c r="F474" s="166">
        <v>34600</v>
      </c>
      <c r="G474" s="75" t="s">
        <v>309</v>
      </c>
      <c r="H474" s="75" t="s">
        <v>310</v>
      </c>
      <c r="I474" s="75" t="s">
        <v>400</v>
      </c>
      <c r="J474" s="75">
        <v>2021</v>
      </c>
      <c r="K474" s="75" t="s">
        <v>475</v>
      </c>
      <c r="L474" s="75"/>
    </row>
    <row r="475" spans="1:12" ht="15" hidden="1" customHeight="1" x14ac:dyDescent="0.25">
      <c r="A475" s="79">
        <v>44025</v>
      </c>
      <c r="B475" s="80" t="s">
        <v>1508</v>
      </c>
      <c r="C475" s="80" t="s">
        <v>1510</v>
      </c>
      <c r="D475" s="80" t="s">
        <v>1508</v>
      </c>
      <c r="E475" s="80">
        <v>68427709</v>
      </c>
      <c r="F475" s="175">
        <v>37000</v>
      </c>
      <c r="G475" s="80" t="s">
        <v>309</v>
      </c>
      <c r="H475" s="80" t="s">
        <v>310</v>
      </c>
      <c r="I475" s="80" t="s">
        <v>329</v>
      </c>
      <c r="J475" s="80">
        <v>2021</v>
      </c>
      <c r="K475" s="80" t="s">
        <v>475</v>
      </c>
      <c r="L475" s="80"/>
    </row>
    <row r="476" spans="1:12" hidden="1" x14ac:dyDescent="0.25">
      <c r="A476" s="78">
        <v>44025</v>
      </c>
      <c r="B476" s="75" t="s">
        <v>1511</v>
      </c>
      <c r="C476" s="75" t="s">
        <v>1512</v>
      </c>
      <c r="D476" s="75" t="s">
        <v>1513</v>
      </c>
      <c r="E476" s="75">
        <v>68427719</v>
      </c>
      <c r="F476" s="89">
        <v>-500000</v>
      </c>
      <c r="G476" s="75" t="s">
        <v>309</v>
      </c>
      <c r="H476" s="75" t="s">
        <v>310</v>
      </c>
      <c r="I476" s="75" t="s">
        <v>329</v>
      </c>
      <c r="J476" s="75">
        <v>2021</v>
      </c>
      <c r="K476" s="75" t="s">
        <v>738</v>
      </c>
      <c r="L476" s="75" t="s">
        <v>1514</v>
      </c>
    </row>
    <row r="477" spans="1:12" hidden="1" x14ac:dyDescent="0.25">
      <c r="A477" s="78">
        <v>44025</v>
      </c>
      <c r="B477" s="75" t="s">
        <v>1515</v>
      </c>
      <c r="C477" s="75" t="s">
        <v>1516</v>
      </c>
      <c r="D477" s="75" t="s">
        <v>1515</v>
      </c>
      <c r="E477" s="75">
        <v>68427709</v>
      </c>
      <c r="F477" s="89">
        <v>-82000</v>
      </c>
      <c r="G477" s="75" t="s">
        <v>309</v>
      </c>
      <c r="H477" s="75" t="s">
        <v>310</v>
      </c>
      <c r="I477" s="75" t="s">
        <v>400</v>
      </c>
      <c r="J477" s="75">
        <v>2021</v>
      </c>
      <c r="K477" s="75" t="s">
        <v>1100</v>
      </c>
      <c r="L477" s="75"/>
    </row>
    <row r="478" spans="1:12" hidden="1" x14ac:dyDescent="0.25">
      <c r="A478" s="78">
        <v>44025</v>
      </c>
      <c r="B478" s="75" t="s">
        <v>1517</v>
      </c>
      <c r="C478" s="75" t="s">
        <v>1518</v>
      </c>
      <c r="D478" s="75" t="s">
        <v>0</v>
      </c>
      <c r="E478" s="75">
        <v>68427709</v>
      </c>
      <c r="F478" s="166">
        <v>60000</v>
      </c>
      <c r="G478" s="75" t="s">
        <v>309</v>
      </c>
      <c r="H478" s="75" t="s">
        <v>310</v>
      </c>
      <c r="I478" s="75" t="s">
        <v>329</v>
      </c>
      <c r="J478" s="75">
        <v>2021</v>
      </c>
      <c r="K478" s="75" t="s">
        <v>1100</v>
      </c>
      <c r="L478" s="75" t="s">
        <v>1468</v>
      </c>
    </row>
    <row r="479" spans="1:12" hidden="1" x14ac:dyDescent="0.25">
      <c r="A479" s="78">
        <v>44025</v>
      </c>
      <c r="B479" s="75" t="s">
        <v>1519</v>
      </c>
      <c r="C479" s="75" t="s">
        <v>1520</v>
      </c>
      <c r="D479" s="75"/>
      <c r="E479" s="75">
        <v>68427709</v>
      </c>
      <c r="F479" s="166">
        <v>50000</v>
      </c>
      <c r="G479" s="75" t="s">
        <v>309</v>
      </c>
      <c r="H479" s="75" t="s">
        <v>310</v>
      </c>
      <c r="I479" s="75" t="s">
        <v>329</v>
      </c>
      <c r="J479" s="75">
        <v>2021</v>
      </c>
      <c r="K479" s="75" t="s">
        <v>1100</v>
      </c>
      <c r="L479" t="s">
        <v>1521</v>
      </c>
    </row>
    <row r="480" spans="1:12" hidden="1" x14ac:dyDescent="0.25">
      <c r="A480" s="78">
        <v>44025</v>
      </c>
      <c r="B480" s="75" t="s">
        <v>1522</v>
      </c>
      <c r="C480" s="75" t="s">
        <v>1523</v>
      </c>
      <c r="D480" s="75"/>
      <c r="E480" s="75">
        <v>68427709</v>
      </c>
      <c r="F480" s="89">
        <v>39000</v>
      </c>
      <c r="G480" s="75" t="s">
        <v>309</v>
      </c>
      <c r="H480" s="75" t="s">
        <v>310</v>
      </c>
      <c r="I480" s="75" t="s">
        <v>631</v>
      </c>
      <c r="J480" s="75">
        <v>2021</v>
      </c>
      <c r="K480" s="75" t="s">
        <v>434</v>
      </c>
      <c r="L480" t="s">
        <v>1524</v>
      </c>
    </row>
    <row r="481" spans="1:12" hidden="1" x14ac:dyDescent="0.25">
      <c r="A481" s="78">
        <v>44025</v>
      </c>
      <c r="B481" t="s">
        <v>1525</v>
      </c>
      <c r="C481" s="75" t="s">
        <v>1526</v>
      </c>
      <c r="D481" s="75"/>
      <c r="E481" s="75">
        <v>68427709</v>
      </c>
      <c r="F481" s="166">
        <v>16000</v>
      </c>
      <c r="G481" s="75" t="s">
        <v>309</v>
      </c>
      <c r="H481" s="75" t="s">
        <v>310</v>
      </c>
      <c r="I481" s="75" t="s">
        <v>329</v>
      </c>
      <c r="J481" s="75">
        <v>2021</v>
      </c>
      <c r="K481" s="75" t="s">
        <v>434</v>
      </c>
      <c r="L481" t="s">
        <v>1527</v>
      </c>
    </row>
    <row r="482" spans="1:12" hidden="1" x14ac:dyDescent="0.25">
      <c r="A482" s="78">
        <v>44025</v>
      </c>
      <c r="B482" s="75" t="s">
        <v>1528</v>
      </c>
      <c r="C482" s="75" t="s">
        <v>1529</v>
      </c>
      <c r="D482" s="75"/>
      <c r="E482" s="75">
        <v>68427709</v>
      </c>
      <c r="F482" s="166">
        <v>30000</v>
      </c>
      <c r="G482" s="75" t="s">
        <v>309</v>
      </c>
      <c r="H482" s="75" t="s">
        <v>310</v>
      </c>
      <c r="I482" s="75" t="s">
        <v>329</v>
      </c>
      <c r="J482" s="75">
        <v>2021</v>
      </c>
      <c r="K482" s="75" t="s">
        <v>434</v>
      </c>
      <c r="L482" t="s">
        <v>1530</v>
      </c>
    </row>
    <row r="483" spans="1:12" hidden="1" x14ac:dyDescent="0.25">
      <c r="A483" s="78">
        <v>44025</v>
      </c>
      <c r="B483" s="75" t="s">
        <v>1531</v>
      </c>
      <c r="C483" s="75" t="s">
        <v>1532</v>
      </c>
      <c r="D483" s="75"/>
      <c r="E483" s="75">
        <v>68427709</v>
      </c>
      <c r="F483" s="166">
        <v>50000</v>
      </c>
      <c r="G483" s="75" t="s">
        <v>1264</v>
      </c>
      <c r="H483" s="75" t="s">
        <v>310</v>
      </c>
      <c r="I483" s="75" t="s">
        <v>631</v>
      </c>
      <c r="J483" s="75">
        <v>2021</v>
      </c>
      <c r="K483" s="75" t="s">
        <v>1275</v>
      </c>
      <c r="L483" s="75" t="s">
        <v>1533</v>
      </c>
    </row>
    <row r="484" spans="1:12" hidden="1" x14ac:dyDescent="0.25">
      <c r="A484" s="78">
        <v>44025</v>
      </c>
      <c r="B484" s="75" t="s">
        <v>1415</v>
      </c>
      <c r="C484" s="75"/>
      <c r="D484" s="75" t="s">
        <v>42</v>
      </c>
      <c r="E484" s="75">
        <v>68427709</v>
      </c>
      <c r="F484" s="89">
        <v>-279000</v>
      </c>
      <c r="G484" s="75" t="s">
        <v>309</v>
      </c>
      <c r="H484" s="75" t="s">
        <v>310</v>
      </c>
      <c r="I484" s="75" t="s">
        <v>1317</v>
      </c>
      <c r="J484" s="75">
        <v>2021</v>
      </c>
      <c r="K484" s="75" t="s">
        <v>1399</v>
      </c>
      <c r="L484" s="75" t="s">
        <v>1534</v>
      </c>
    </row>
    <row r="485" spans="1:12" hidden="1" x14ac:dyDescent="0.25">
      <c r="A485" s="78">
        <v>44025</v>
      </c>
      <c r="B485" t="s">
        <v>786</v>
      </c>
      <c r="C485" s="75" t="s">
        <v>1535</v>
      </c>
      <c r="D485" s="75" t="s">
        <v>754</v>
      </c>
      <c r="E485" s="75">
        <v>68427709</v>
      </c>
      <c r="F485" s="89">
        <v>344000</v>
      </c>
      <c r="G485" s="75" t="s">
        <v>309</v>
      </c>
      <c r="H485" s="75" t="s">
        <v>310</v>
      </c>
      <c r="I485" s="75" t="s">
        <v>631</v>
      </c>
      <c r="J485" s="75">
        <v>2021</v>
      </c>
      <c r="K485" s="75" t="s">
        <v>1399</v>
      </c>
      <c r="L485" s="75" t="s">
        <v>1536</v>
      </c>
    </row>
    <row r="486" spans="1:12" hidden="1" x14ac:dyDescent="0.25">
      <c r="A486" s="78">
        <v>44025</v>
      </c>
      <c r="B486" s="75" t="s">
        <v>782</v>
      </c>
      <c r="C486" s="75" t="s">
        <v>1537</v>
      </c>
      <c r="D486" s="75" t="s">
        <v>754</v>
      </c>
      <c r="E486" s="75">
        <v>68427709</v>
      </c>
      <c r="F486" s="89">
        <v>35000</v>
      </c>
      <c r="G486" s="75" t="s">
        <v>1264</v>
      </c>
      <c r="H486" s="75" t="s">
        <v>310</v>
      </c>
      <c r="I486" s="75" t="s">
        <v>329</v>
      </c>
      <c r="J486" s="75">
        <v>2021</v>
      </c>
      <c r="K486" s="75" t="s">
        <v>1399</v>
      </c>
      <c r="L486" s="75" t="s">
        <v>1538</v>
      </c>
    </row>
    <row r="487" spans="1:12" hidden="1" x14ac:dyDescent="0.25">
      <c r="A487" s="78">
        <v>44025</v>
      </c>
      <c r="B487" s="75" t="s">
        <v>1539</v>
      </c>
      <c r="C487" s="75" t="s">
        <v>1540</v>
      </c>
      <c r="D487" s="75" t="s">
        <v>0</v>
      </c>
      <c r="E487" s="75">
        <v>68427709</v>
      </c>
      <c r="F487" s="89">
        <v>-847000</v>
      </c>
      <c r="G487" s="75" t="s">
        <v>309</v>
      </c>
      <c r="H487" s="75" t="s">
        <v>310</v>
      </c>
      <c r="I487" s="75"/>
      <c r="J487" s="75">
        <v>2021</v>
      </c>
      <c r="K487" s="75" t="s">
        <v>1399</v>
      </c>
      <c r="L487" s="75" t="s">
        <v>1541</v>
      </c>
    </row>
    <row r="488" spans="1:12" hidden="1" x14ac:dyDescent="0.25">
      <c r="A488" s="78">
        <v>44025</v>
      </c>
      <c r="B488" s="75" t="s">
        <v>1542</v>
      </c>
      <c r="C488" s="75" t="s">
        <v>1543</v>
      </c>
      <c r="D488" s="75" t="s">
        <v>1316</v>
      </c>
      <c r="E488" s="75">
        <v>68427709</v>
      </c>
      <c r="F488" s="167">
        <v>2990000</v>
      </c>
      <c r="G488" s="75" t="s">
        <v>309</v>
      </c>
      <c r="H488" s="75" t="s">
        <v>310</v>
      </c>
      <c r="I488" s="75" t="s">
        <v>1317</v>
      </c>
      <c r="J488" s="75">
        <v>2021</v>
      </c>
      <c r="K488" s="75" t="s">
        <v>1399</v>
      </c>
      <c r="L488" s="75" t="s">
        <v>1543</v>
      </c>
    </row>
    <row r="489" spans="1:12" hidden="1" x14ac:dyDescent="0.25">
      <c r="A489" s="78">
        <v>44025</v>
      </c>
      <c r="B489" s="75" t="s">
        <v>1544</v>
      </c>
      <c r="C489" s="75" t="s">
        <v>1543</v>
      </c>
      <c r="D489" s="75" t="s">
        <v>768</v>
      </c>
      <c r="E489" s="75">
        <v>68427709</v>
      </c>
      <c r="F489" s="89">
        <v>-880000</v>
      </c>
      <c r="G489" s="75" t="s">
        <v>309</v>
      </c>
      <c r="H489" s="75" t="s">
        <v>310</v>
      </c>
      <c r="I489" s="75" t="s">
        <v>1317</v>
      </c>
      <c r="J489" s="75">
        <v>2021</v>
      </c>
      <c r="K489" s="75" t="s">
        <v>1399</v>
      </c>
      <c r="L489" s="75"/>
    </row>
    <row r="490" spans="1:12" hidden="1" x14ac:dyDescent="0.25">
      <c r="A490" s="78">
        <v>44026</v>
      </c>
      <c r="B490" s="75" t="s">
        <v>1545</v>
      </c>
      <c r="C490" s="75" t="s">
        <v>1546</v>
      </c>
      <c r="D490" s="75" t="s">
        <v>768</v>
      </c>
      <c r="E490" s="75">
        <v>68427709</v>
      </c>
      <c r="F490" s="89">
        <v>-1082000</v>
      </c>
      <c r="G490" s="75" t="s">
        <v>309</v>
      </c>
      <c r="H490" s="75" t="s">
        <v>310</v>
      </c>
      <c r="I490" s="75" t="s">
        <v>1317</v>
      </c>
      <c r="J490" s="75">
        <v>2021</v>
      </c>
      <c r="K490" s="75" t="s">
        <v>1399</v>
      </c>
      <c r="L490" s="75"/>
    </row>
    <row r="491" spans="1:12" hidden="1" x14ac:dyDescent="0.25">
      <c r="A491" s="78">
        <v>44026</v>
      </c>
      <c r="B491" s="75" t="s">
        <v>771</v>
      </c>
      <c r="C491" s="75" t="s">
        <v>1547</v>
      </c>
      <c r="D491" s="75" t="s">
        <v>0</v>
      </c>
      <c r="E491" s="75">
        <v>68427709</v>
      </c>
      <c r="F491" s="167">
        <v>-1800000</v>
      </c>
      <c r="G491" s="75" t="s">
        <v>309</v>
      </c>
      <c r="H491" s="75" t="s">
        <v>310</v>
      </c>
      <c r="I491" s="75" t="s">
        <v>1317</v>
      </c>
      <c r="J491" s="75">
        <v>2021</v>
      </c>
      <c r="K491" s="75" t="s">
        <v>1399</v>
      </c>
      <c r="L491" s="75"/>
    </row>
    <row r="492" spans="1:12" hidden="1" x14ac:dyDescent="0.25">
      <c r="A492" s="78">
        <v>44026</v>
      </c>
      <c r="B492" s="75" t="s">
        <v>1548</v>
      </c>
      <c r="C492" s="75" t="s">
        <v>1549</v>
      </c>
      <c r="D492" s="75" t="s">
        <v>0</v>
      </c>
      <c r="E492" s="75">
        <v>68427709</v>
      </c>
      <c r="F492" s="89">
        <v>-90000</v>
      </c>
      <c r="G492" s="75" t="s">
        <v>309</v>
      </c>
      <c r="H492" s="75" t="s">
        <v>310</v>
      </c>
      <c r="I492" s="75" t="s">
        <v>1317</v>
      </c>
      <c r="J492" s="75">
        <v>2021</v>
      </c>
      <c r="K492" s="75" t="s">
        <v>1399</v>
      </c>
      <c r="L492" s="75" t="s">
        <v>1550</v>
      </c>
    </row>
    <row r="493" spans="1:12" hidden="1" x14ac:dyDescent="0.25">
      <c r="A493" s="78">
        <v>44026</v>
      </c>
      <c r="B493" s="75" t="s">
        <v>1551</v>
      </c>
      <c r="C493" s="75" t="s">
        <v>1552</v>
      </c>
      <c r="D493" s="75" t="s">
        <v>799</v>
      </c>
      <c r="E493" s="75">
        <v>68427709</v>
      </c>
      <c r="F493" s="89">
        <v>-24960</v>
      </c>
      <c r="G493" s="75" t="s">
        <v>309</v>
      </c>
      <c r="H493" s="75" t="s">
        <v>310</v>
      </c>
      <c r="I493" s="75" t="s">
        <v>1317</v>
      </c>
      <c r="J493" s="75">
        <v>2021</v>
      </c>
      <c r="K493" s="75" t="s">
        <v>1399</v>
      </c>
      <c r="L493" s="75"/>
    </row>
    <row r="494" spans="1:12" hidden="1" x14ac:dyDescent="0.25">
      <c r="A494" s="78">
        <v>44026</v>
      </c>
      <c r="B494" s="75" t="s">
        <v>1553</v>
      </c>
      <c r="C494" s="75" t="s">
        <v>1554</v>
      </c>
      <c r="D494" s="75" t="s">
        <v>768</v>
      </c>
      <c r="E494" s="75">
        <v>68427709</v>
      </c>
      <c r="F494" s="89">
        <v>-10000</v>
      </c>
      <c r="G494" s="75" t="s">
        <v>309</v>
      </c>
      <c r="H494" s="75" t="s">
        <v>310</v>
      </c>
      <c r="I494" s="75" t="s">
        <v>1317</v>
      </c>
      <c r="J494" s="75">
        <v>2021</v>
      </c>
      <c r="K494" s="75" t="s">
        <v>1399</v>
      </c>
      <c r="L494" s="75"/>
    </row>
    <row r="495" spans="1:12" hidden="1" x14ac:dyDescent="0.25">
      <c r="A495" s="78">
        <v>44026</v>
      </c>
      <c r="B495" s="75" t="s">
        <v>1555</v>
      </c>
      <c r="C495" s="75" t="s">
        <v>1556</v>
      </c>
      <c r="D495" s="75" t="s">
        <v>768</v>
      </c>
      <c r="E495" s="75">
        <v>68427709</v>
      </c>
      <c r="F495" s="89">
        <v>-522420</v>
      </c>
      <c r="G495" s="75" t="s">
        <v>309</v>
      </c>
      <c r="H495" s="75" t="s">
        <v>310</v>
      </c>
      <c r="I495" s="75" t="s">
        <v>1317</v>
      </c>
      <c r="J495" s="75">
        <v>2021</v>
      </c>
      <c r="K495" s="75" t="s">
        <v>1399</v>
      </c>
      <c r="L495" s="75" t="s">
        <v>1557</v>
      </c>
    </row>
    <row r="496" spans="1:12" hidden="1" x14ac:dyDescent="0.25">
      <c r="A496" s="78">
        <v>44026</v>
      </c>
      <c r="B496" s="75" t="s">
        <v>1558</v>
      </c>
      <c r="C496" s="75" t="s">
        <v>1559</v>
      </c>
      <c r="D496" s="75" t="s">
        <v>473</v>
      </c>
      <c r="E496" s="75">
        <v>68427709</v>
      </c>
      <c r="F496" s="89">
        <v>-359531</v>
      </c>
      <c r="G496" s="75" t="s">
        <v>309</v>
      </c>
      <c r="H496" s="75" t="s">
        <v>310</v>
      </c>
      <c r="I496" s="75"/>
      <c r="J496" s="75">
        <v>2021</v>
      </c>
      <c r="K496" s="75" t="s">
        <v>1399</v>
      </c>
      <c r="L496" s="75" t="s">
        <v>33</v>
      </c>
    </row>
    <row r="497" spans="1:12" hidden="1" x14ac:dyDescent="0.25">
      <c r="A497" s="78">
        <v>44026</v>
      </c>
      <c r="B497" s="75" t="s">
        <v>1560</v>
      </c>
      <c r="C497" s="75" t="s">
        <v>1561</v>
      </c>
      <c r="D497" s="75" t="s">
        <v>799</v>
      </c>
      <c r="E497" s="75">
        <v>68427709</v>
      </c>
      <c r="F497" s="89">
        <v>4000</v>
      </c>
      <c r="G497" s="75" t="s">
        <v>309</v>
      </c>
      <c r="H497" s="75" t="s">
        <v>310</v>
      </c>
      <c r="I497" s="75"/>
      <c r="J497" s="75">
        <v>2021</v>
      </c>
      <c r="K497" s="75" t="s">
        <v>1399</v>
      </c>
      <c r="L497" s="75" t="s">
        <v>33</v>
      </c>
    </row>
    <row r="498" spans="1:12" hidden="1" x14ac:dyDescent="0.25">
      <c r="A498" s="78">
        <v>44026</v>
      </c>
      <c r="B498" s="75" t="s">
        <v>1562</v>
      </c>
      <c r="C498" s="75" t="s">
        <v>1563</v>
      </c>
      <c r="D498" s="75" t="s">
        <v>799</v>
      </c>
      <c r="E498" s="75">
        <v>68427709</v>
      </c>
      <c r="F498" s="89">
        <v>-4000</v>
      </c>
      <c r="G498" s="75" t="s">
        <v>309</v>
      </c>
      <c r="H498" s="75" t="s">
        <v>310</v>
      </c>
      <c r="I498" s="75"/>
      <c r="J498" s="75">
        <v>2021</v>
      </c>
      <c r="K498" s="75" t="s">
        <v>1399</v>
      </c>
      <c r="L498" s="75" t="s">
        <v>33</v>
      </c>
    </row>
    <row r="499" spans="1:12" hidden="1" x14ac:dyDescent="0.25">
      <c r="A499" s="78">
        <v>44026</v>
      </c>
      <c r="B499" s="75" t="s">
        <v>1564</v>
      </c>
      <c r="C499" s="75" t="s">
        <v>1565</v>
      </c>
      <c r="D499" s="75" t="s">
        <v>473</v>
      </c>
      <c r="E499" s="75">
        <v>68427709</v>
      </c>
      <c r="F499" s="89">
        <v>359531</v>
      </c>
      <c r="G499" s="75" t="s">
        <v>309</v>
      </c>
      <c r="H499" s="75" t="s">
        <v>310</v>
      </c>
      <c r="I499" s="75"/>
      <c r="J499" s="75">
        <v>2021</v>
      </c>
      <c r="K499" s="75" t="s">
        <v>1399</v>
      </c>
      <c r="L499" s="75" t="s">
        <v>33</v>
      </c>
    </row>
    <row r="500" spans="1:12" hidden="1" x14ac:dyDescent="0.25">
      <c r="A500" s="78">
        <v>44026</v>
      </c>
      <c r="B500" s="75" t="s">
        <v>1566</v>
      </c>
      <c r="C500" s="75" t="s">
        <v>1567</v>
      </c>
      <c r="D500" s="75" t="s">
        <v>1568</v>
      </c>
      <c r="E500" s="75">
        <v>68427709</v>
      </c>
      <c r="F500" s="89">
        <v>0</v>
      </c>
      <c r="G500" s="75" t="s">
        <v>309</v>
      </c>
      <c r="H500" s="75" t="s">
        <v>310</v>
      </c>
      <c r="I500" s="75"/>
      <c r="J500" s="75">
        <v>2021</v>
      </c>
      <c r="K500" s="75" t="s">
        <v>1399</v>
      </c>
      <c r="L500" s="75" t="s">
        <v>33</v>
      </c>
    </row>
    <row r="501" spans="1:12" hidden="1" x14ac:dyDescent="0.25">
      <c r="A501" s="78">
        <v>44026</v>
      </c>
      <c r="B501" s="75" t="s">
        <v>1569</v>
      </c>
      <c r="C501" s="75" t="s">
        <v>1570</v>
      </c>
      <c r="D501" s="75" t="s">
        <v>799</v>
      </c>
      <c r="E501" s="75">
        <v>68427709</v>
      </c>
      <c r="F501" s="89">
        <v>50000</v>
      </c>
      <c r="G501" s="75" t="s">
        <v>309</v>
      </c>
      <c r="H501" s="75" t="s">
        <v>310</v>
      </c>
      <c r="I501" s="75"/>
      <c r="J501" s="75">
        <v>2021</v>
      </c>
      <c r="K501" s="75" t="s">
        <v>1399</v>
      </c>
      <c r="L501" s="75" t="s">
        <v>33</v>
      </c>
    </row>
    <row r="502" spans="1:12" hidden="1" x14ac:dyDescent="0.25">
      <c r="A502" s="78">
        <v>44026</v>
      </c>
      <c r="B502" s="75" t="s">
        <v>1571</v>
      </c>
      <c r="C502" s="75" t="s">
        <v>1572</v>
      </c>
      <c r="D502" s="75" t="s">
        <v>1573</v>
      </c>
      <c r="E502" s="75">
        <v>68427709</v>
      </c>
      <c r="F502" s="89">
        <v>150000</v>
      </c>
      <c r="G502" s="75" t="s">
        <v>309</v>
      </c>
      <c r="H502" s="75" t="s">
        <v>310</v>
      </c>
      <c r="I502" s="75" t="s">
        <v>329</v>
      </c>
      <c r="J502" s="75">
        <v>2021</v>
      </c>
      <c r="K502" s="75" t="s">
        <v>1399</v>
      </c>
      <c r="L502" s="75" t="s">
        <v>33</v>
      </c>
    </row>
    <row r="503" spans="1:12" hidden="1" x14ac:dyDescent="0.25">
      <c r="A503" s="78">
        <v>44026</v>
      </c>
      <c r="B503" s="75" t="s">
        <v>1574</v>
      </c>
      <c r="C503" s="75" t="s">
        <v>1575</v>
      </c>
      <c r="D503" s="75" t="s">
        <v>1575</v>
      </c>
      <c r="E503" s="75">
        <v>68427709</v>
      </c>
      <c r="F503" s="89">
        <v>45000</v>
      </c>
      <c r="G503" s="75" t="s">
        <v>309</v>
      </c>
      <c r="H503" s="75" t="s">
        <v>310</v>
      </c>
      <c r="I503" s="75" t="s">
        <v>329</v>
      </c>
      <c r="J503" s="75">
        <v>2021</v>
      </c>
      <c r="K503" s="75" t="s">
        <v>1399</v>
      </c>
      <c r="L503" s="75" t="s">
        <v>33</v>
      </c>
    </row>
    <row r="504" spans="1:12" ht="14.1" hidden="1" customHeight="1" x14ac:dyDescent="0.25">
      <c r="A504" s="78">
        <v>44026</v>
      </c>
      <c r="B504" s="75" t="s">
        <v>1342</v>
      </c>
      <c r="C504" s="75" t="s">
        <v>1576</v>
      </c>
      <c r="D504" s="75" t="s">
        <v>1342</v>
      </c>
      <c r="E504" s="75">
        <v>68427709</v>
      </c>
      <c r="F504" s="89">
        <v>26000</v>
      </c>
      <c r="G504" s="75" t="s">
        <v>309</v>
      </c>
      <c r="H504" s="75" t="s">
        <v>310</v>
      </c>
      <c r="I504" s="75" t="s">
        <v>329</v>
      </c>
      <c r="J504" s="75">
        <v>2021</v>
      </c>
      <c r="K504" s="75" t="s">
        <v>1399</v>
      </c>
      <c r="L504" s="75" t="s">
        <v>1577</v>
      </c>
    </row>
    <row r="505" spans="1:12" hidden="1" x14ac:dyDescent="0.25">
      <c r="A505" s="78">
        <v>44026</v>
      </c>
      <c r="B505" s="75" t="s">
        <v>1390</v>
      </c>
      <c r="C505" s="75" t="s">
        <v>1578</v>
      </c>
      <c r="D505" s="75" t="s">
        <v>1390</v>
      </c>
      <c r="E505" s="75">
        <v>68427709</v>
      </c>
      <c r="F505" s="89">
        <v>20000</v>
      </c>
      <c r="G505" s="75" t="s">
        <v>1264</v>
      </c>
      <c r="H505" s="75" t="s">
        <v>310</v>
      </c>
      <c r="I505" s="75" t="s">
        <v>329</v>
      </c>
      <c r="J505" s="75">
        <v>2021</v>
      </c>
      <c r="K505" s="75" t="s">
        <v>1399</v>
      </c>
      <c r="L505" s="75" t="s">
        <v>1579</v>
      </c>
    </row>
    <row r="506" spans="1:12" hidden="1" x14ac:dyDescent="0.25">
      <c r="A506" s="78">
        <v>44026</v>
      </c>
      <c r="B506" s="75" t="s">
        <v>1580</v>
      </c>
      <c r="C506" s="75" t="s">
        <v>1581</v>
      </c>
      <c r="D506" s="75" t="s">
        <v>0</v>
      </c>
      <c r="E506" s="75">
        <v>68427709</v>
      </c>
      <c r="F506" s="89">
        <v>800000</v>
      </c>
      <c r="G506" s="75" t="s">
        <v>309</v>
      </c>
      <c r="H506" s="75" t="s">
        <v>310</v>
      </c>
      <c r="I506" s="75"/>
      <c r="J506" s="75">
        <v>2021</v>
      </c>
      <c r="K506" s="75" t="s">
        <v>1399</v>
      </c>
      <c r="L506" s="75" t="s">
        <v>33</v>
      </c>
    </row>
    <row r="507" spans="1:12" hidden="1" x14ac:dyDescent="0.25">
      <c r="A507" s="78">
        <v>44028</v>
      </c>
      <c r="B507" t="s">
        <v>1582</v>
      </c>
      <c r="C507" s="75" t="s">
        <v>1583</v>
      </c>
      <c r="D507" s="75" t="s">
        <v>432</v>
      </c>
      <c r="E507" s="75">
        <v>68427709</v>
      </c>
      <c r="F507" s="89">
        <v>0</v>
      </c>
      <c r="G507" s="75" t="s">
        <v>309</v>
      </c>
      <c r="H507" s="75" t="s">
        <v>310</v>
      </c>
      <c r="I507" s="75" t="s">
        <v>329</v>
      </c>
      <c r="J507" s="75">
        <v>2021</v>
      </c>
      <c r="K507" s="75" t="s">
        <v>312</v>
      </c>
      <c r="L507" s="75" t="s">
        <v>1584</v>
      </c>
    </row>
    <row r="508" spans="1:12" hidden="1" x14ac:dyDescent="0.25">
      <c r="A508" s="78">
        <v>44028</v>
      </c>
      <c r="B508" s="75" t="s">
        <v>1585</v>
      </c>
      <c r="C508" s="75" t="s">
        <v>1586</v>
      </c>
      <c r="D508" s="75" t="s">
        <v>432</v>
      </c>
      <c r="E508" s="75">
        <v>68427709</v>
      </c>
      <c r="F508" s="89">
        <v>0</v>
      </c>
      <c r="G508" s="75" t="s">
        <v>309</v>
      </c>
      <c r="H508" s="75" t="s">
        <v>310</v>
      </c>
      <c r="I508" s="75" t="s">
        <v>329</v>
      </c>
      <c r="J508" s="75">
        <v>2021</v>
      </c>
      <c r="K508" s="75" t="s">
        <v>312</v>
      </c>
      <c r="L508" s="75" t="s">
        <v>1584</v>
      </c>
    </row>
    <row r="509" spans="1:12" hidden="1" x14ac:dyDescent="0.25">
      <c r="A509" s="78">
        <v>44028</v>
      </c>
      <c r="B509" s="75" t="s">
        <v>1587</v>
      </c>
      <c r="C509" s="75" t="s">
        <v>1588</v>
      </c>
      <c r="D509" s="75" t="s">
        <v>0</v>
      </c>
      <c r="E509" s="75">
        <v>68427719</v>
      </c>
      <c r="F509" s="89">
        <v>0</v>
      </c>
      <c r="G509" s="75" t="s">
        <v>1264</v>
      </c>
      <c r="H509" s="75" t="s">
        <v>310</v>
      </c>
      <c r="I509" s="75" t="s">
        <v>329</v>
      </c>
      <c r="J509" s="75">
        <v>2021</v>
      </c>
      <c r="K509" s="75" t="s">
        <v>1589</v>
      </c>
      <c r="L509" s="75" t="s">
        <v>1590</v>
      </c>
    </row>
    <row r="510" spans="1:12" hidden="1" x14ac:dyDescent="0.25">
      <c r="A510" s="78">
        <v>44028</v>
      </c>
      <c r="B510" s="75" t="s">
        <v>1591</v>
      </c>
      <c r="C510" s="75" t="s">
        <v>1588</v>
      </c>
      <c r="D510" s="75" t="s">
        <v>1455</v>
      </c>
      <c r="E510" s="75">
        <v>68427719</v>
      </c>
      <c r="F510" s="89">
        <v>0</v>
      </c>
      <c r="G510" s="75" t="s">
        <v>1264</v>
      </c>
      <c r="H510" s="75" t="s">
        <v>310</v>
      </c>
      <c r="I510" s="75" t="s">
        <v>1144</v>
      </c>
      <c r="J510" s="75">
        <v>2021</v>
      </c>
      <c r="K510" s="75" t="s">
        <v>1589</v>
      </c>
      <c r="L510" s="75" t="s">
        <v>1590</v>
      </c>
    </row>
    <row r="511" spans="1:12" hidden="1" x14ac:dyDescent="0.25">
      <c r="A511" s="78">
        <v>44032</v>
      </c>
      <c r="B511" s="75" t="s">
        <v>1223</v>
      </c>
      <c r="C511" s="75" t="s">
        <v>1592</v>
      </c>
      <c r="D511" s="75" t="s">
        <v>379</v>
      </c>
      <c r="E511" s="75">
        <v>68427719</v>
      </c>
      <c r="F511" s="167">
        <v>648000</v>
      </c>
      <c r="G511" s="75" t="s">
        <v>309</v>
      </c>
      <c r="H511" s="75" t="s">
        <v>310</v>
      </c>
      <c r="I511" s="75" t="s">
        <v>631</v>
      </c>
      <c r="J511" s="75">
        <v>2021</v>
      </c>
      <c r="K511" s="75" t="s">
        <v>1593</v>
      </c>
      <c r="L511" s="75"/>
    </row>
    <row r="512" spans="1:12" hidden="1" x14ac:dyDescent="0.25">
      <c r="A512" s="78">
        <v>44032</v>
      </c>
      <c r="B512" s="75" t="s">
        <v>1594</v>
      </c>
      <c r="C512" s="75" t="s">
        <v>1595</v>
      </c>
      <c r="D512" s="75" t="s">
        <v>376</v>
      </c>
      <c r="E512" s="75">
        <v>68427719</v>
      </c>
      <c r="F512" s="167">
        <v>1159000</v>
      </c>
      <c r="G512" s="75" t="s">
        <v>309</v>
      </c>
      <c r="H512" s="75" t="s">
        <v>310</v>
      </c>
      <c r="I512" s="75" t="s">
        <v>631</v>
      </c>
      <c r="J512" s="75">
        <v>2021</v>
      </c>
      <c r="K512" s="75" t="s">
        <v>1593</v>
      </c>
      <c r="L512" s="75" t="s">
        <v>1596</v>
      </c>
    </row>
    <row r="513" spans="1:12" hidden="1" x14ac:dyDescent="0.25">
      <c r="A513" s="78">
        <v>44032</v>
      </c>
      <c r="B513" s="75" t="s">
        <v>1597</v>
      </c>
      <c r="C513" s="75" t="s">
        <v>1598</v>
      </c>
      <c r="D513" s="75" t="s">
        <v>380</v>
      </c>
      <c r="E513" s="75">
        <v>68427719</v>
      </c>
      <c r="F513" s="167">
        <v>98000</v>
      </c>
      <c r="G513" s="75" t="s">
        <v>309</v>
      </c>
      <c r="H513" s="75" t="s">
        <v>310</v>
      </c>
      <c r="I513" s="75" t="s">
        <v>631</v>
      </c>
      <c r="J513" s="75">
        <v>2021</v>
      </c>
      <c r="K513" s="75" t="s">
        <v>1593</v>
      </c>
      <c r="L513" s="75" t="s">
        <v>1599</v>
      </c>
    </row>
    <row r="514" spans="1:12" hidden="1" x14ac:dyDescent="0.25">
      <c r="A514" s="78">
        <v>44032</v>
      </c>
      <c r="B514" s="75" t="s">
        <v>1600</v>
      </c>
      <c r="C514" s="75" t="s">
        <v>1601</v>
      </c>
      <c r="D514" s="75" t="s">
        <v>376</v>
      </c>
      <c r="E514" s="75">
        <v>68427719</v>
      </c>
      <c r="F514" s="89">
        <v>-90000</v>
      </c>
      <c r="G514" s="75" t="s">
        <v>309</v>
      </c>
      <c r="H514" s="75" t="s">
        <v>310</v>
      </c>
      <c r="I514" s="75" t="s">
        <v>631</v>
      </c>
      <c r="J514" s="75">
        <v>2021</v>
      </c>
      <c r="K514" s="75" t="s">
        <v>1593</v>
      </c>
      <c r="L514" s="75"/>
    </row>
    <row r="515" spans="1:12" hidden="1" x14ac:dyDescent="0.25">
      <c r="A515" s="78">
        <v>44032</v>
      </c>
      <c r="B515" s="75" t="s">
        <v>1602</v>
      </c>
      <c r="C515" s="75" t="s">
        <v>1603</v>
      </c>
      <c r="D515" s="75" t="s">
        <v>586</v>
      </c>
      <c r="E515" s="75">
        <v>68427709</v>
      </c>
      <c r="F515" s="166">
        <v>100000</v>
      </c>
      <c r="G515" s="75" t="s">
        <v>309</v>
      </c>
      <c r="H515" s="75" t="s">
        <v>310</v>
      </c>
      <c r="I515" s="75" t="s">
        <v>631</v>
      </c>
      <c r="J515" s="75">
        <v>2021</v>
      </c>
      <c r="K515" s="75" t="s">
        <v>1604</v>
      </c>
      <c r="L515" s="75"/>
    </row>
    <row r="516" spans="1:12" hidden="1" x14ac:dyDescent="0.25">
      <c r="A516" s="78">
        <v>44036</v>
      </c>
      <c r="B516" s="75" t="s">
        <v>1605</v>
      </c>
      <c r="C516" s="75" t="s">
        <v>1606</v>
      </c>
      <c r="D516" s="75" t="s">
        <v>1105</v>
      </c>
      <c r="E516" s="75">
        <v>68427709</v>
      </c>
      <c r="F516" s="167">
        <v>11000</v>
      </c>
      <c r="G516" s="75" t="s">
        <v>309</v>
      </c>
      <c r="H516" s="75" t="s">
        <v>310</v>
      </c>
      <c r="I516" s="75" t="s">
        <v>631</v>
      </c>
      <c r="J516" s="75">
        <v>2021</v>
      </c>
      <c r="K516" s="75" t="s">
        <v>1607</v>
      </c>
      <c r="L516" s="75"/>
    </row>
    <row r="517" spans="1:12" hidden="1" x14ac:dyDescent="0.25">
      <c r="A517" s="78">
        <v>44039</v>
      </c>
      <c r="B517" s="75" t="s">
        <v>1608</v>
      </c>
      <c r="C517" s="75" t="s">
        <v>1606</v>
      </c>
      <c r="D517" s="75" t="s">
        <v>0</v>
      </c>
      <c r="E517" s="75">
        <v>68427709</v>
      </c>
      <c r="F517" s="167">
        <v>60000</v>
      </c>
      <c r="G517" s="75" t="s">
        <v>309</v>
      </c>
      <c r="H517" s="75" t="s">
        <v>310</v>
      </c>
      <c r="I517" s="75" t="s">
        <v>631</v>
      </c>
      <c r="J517" s="75">
        <v>2021</v>
      </c>
      <c r="K517" s="75" t="s">
        <v>423</v>
      </c>
      <c r="L517" s="75" t="s">
        <v>1609</v>
      </c>
    </row>
    <row r="518" spans="1:12" hidden="1" x14ac:dyDescent="0.25">
      <c r="A518" s="78">
        <v>44041</v>
      </c>
      <c r="B518" s="75" t="s">
        <v>1610</v>
      </c>
      <c r="C518" s="75" t="s">
        <v>1611</v>
      </c>
      <c r="D518" s="75" t="s">
        <v>0</v>
      </c>
      <c r="E518" s="75">
        <v>68427709</v>
      </c>
      <c r="F518" s="167">
        <v>20000</v>
      </c>
      <c r="G518" s="75" t="s">
        <v>309</v>
      </c>
      <c r="H518" s="75" t="s">
        <v>310</v>
      </c>
      <c r="I518" s="75" t="s">
        <v>631</v>
      </c>
      <c r="J518" s="75">
        <v>2021</v>
      </c>
      <c r="K518" s="75" t="s">
        <v>557</v>
      </c>
      <c r="L518" s="75"/>
    </row>
    <row r="519" spans="1:12" hidden="1" x14ac:dyDescent="0.25">
      <c r="A519" s="78">
        <v>44041</v>
      </c>
      <c r="B519" s="75" t="s">
        <v>1612</v>
      </c>
      <c r="C519" s="75" t="s">
        <v>1613</v>
      </c>
      <c r="D519" s="75" t="s">
        <v>1612</v>
      </c>
      <c r="E519" s="75">
        <v>68427709</v>
      </c>
      <c r="F519" s="167">
        <v>214000</v>
      </c>
      <c r="G519" s="75" t="s">
        <v>309</v>
      </c>
      <c r="H519" s="75" t="s">
        <v>310</v>
      </c>
      <c r="I519" s="75" t="s">
        <v>329</v>
      </c>
      <c r="J519" s="75">
        <v>2021</v>
      </c>
      <c r="K519" s="75" t="s">
        <v>557</v>
      </c>
      <c r="L519" s="75"/>
    </row>
    <row r="520" spans="1:12" hidden="1" x14ac:dyDescent="0.25">
      <c r="A520" s="78">
        <v>44041</v>
      </c>
      <c r="B520" s="75" t="s">
        <v>1614</v>
      </c>
      <c r="C520" s="75" t="s">
        <v>1615</v>
      </c>
      <c r="D520" s="75" t="s">
        <v>1616</v>
      </c>
      <c r="E520" s="75">
        <v>68427709</v>
      </c>
      <c r="F520" s="167">
        <v>-163000</v>
      </c>
      <c r="G520" s="75" t="s">
        <v>309</v>
      </c>
      <c r="H520" s="75" t="s">
        <v>310</v>
      </c>
      <c r="I520" s="75" t="s">
        <v>329</v>
      </c>
      <c r="J520" s="75">
        <v>2021</v>
      </c>
      <c r="K520" s="75" t="s">
        <v>557</v>
      </c>
      <c r="L520" s="75"/>
    </row>
    <row r="521" spans="1:12" hidden="1" x14ac:dyDescent="0.25">
      <c r="A521" s="78">
        <v>44041</v>
      </c>
      <c r="B521" s="75" t="s">
        <v>1455</v>
      </c>
      <c r="C521" s="75" t="s">
        <v>1617</v>
      </c>
      <c r="D521" s="75" t="s">
        <v>1455</v>
      </c>
      <c r="E521" s="75">
        <v>68427709</v>
      </c>
      <c r="F521" s="167">
        <v>30000</v>
      </c>
      <c r="G521" s="75" t="s">
        <v>309</v>
      </c>
      <c r="H521" s="75" t="s">
        <v>310</v>
      </c>
      <c r="I521" s="75" t="s">
        <v>329</v>
      </c>
      <c r="J521" s="75">
        <v>2021</v>
      </c>
      <c r="K521" s="75" t="s">
        <v>557</v>
      </c>
      <c r="L521" s="75"/>
    </row>
    <row r="522" spans="1:12" hidden="1" x14ac:dyDescent="0.25">
      <c r="A522" s="78">
        <v>44041</v>
      </c>
      <c r="B522" s="75" t="s">
        <v>1618</v>
      </c>
      <c r="C522" s="75" t="s">
        <v>1619</v>
      </c>
      <c r="D522" s="75" t="s">
        <v>0</v>
      </c>
      <c r="E522" s="75">
        <v>68427709</v>
      </c>
      <c r="F522" s="167"/>
      <c r="G522" s="75" t="s">
        <v>309</v>
      </c>
      <c r="H522" s="75" t="s">
        <v>310</v>
      </c>
      <c r="I522" s="75" t="s">
        <v>631</v>
      </c>
      <c r="J522" s="75">
        <v>2021</v>
      </c>
      <c r="K522" s="75" t="s">
        <v>557</v>
      </c>
      <c r="L522" s="75"/>
    </row>
    <row r="523" spans="1:12" hidden="1" x14ac:dyDescent="0.25">
      <c r="A523" s="78">
        <v>44041</v>
      </c>
      <c r="B523" s="75" t="s">
        <v>1616</v>
      </c>
      <c r="C523" s="75" t="s">
        <v>136</v>
      </c>
      <c r="D523" s="75" t="s">
        <v>1616</v>
      </c>
      <c r="E523" s="75">
        <v>68427709</v>
      </c>
      <c r="F523" s="167">
        <v>55000</v>
      </c>
      <c r="G523" s="75" t="s">
        <v>309</v>
      </c>
      <c r="H523" s="75" t="s">
        <v>310</v>
      </c>
      <c r="I523" s="75" t="s">
        <v>631</v>
      </c>
      <c r="J523" s="75">
        <v>2021</v>
      </c>
      <c r="K523" s="75" t="s">
        <v>557</v>
      </c>
      <c r="L523" s="75"/>
    </row>
    <row r="524" spans="1:12" hidden="1" x14ac:dyDescent="0.25">
      <c r="A524" s="78">
        <v>44041</v>
      </c>
      <c r="B524" s="75" t="s">
        <v>1620</v>
      </c>
      <c r="C524" s="75" t="s">
        <v>1615</v>
      </c>
      <c r="D524" s="75" t="s">
        <v>1620</v>
      </c>
      <c r="E524" s="75">
        <v>68427709</v>
      </c>
      <c r="F524" s="167">
        <v>0</v>
      </c>
      <c r="G524" s="75" t="s">
        <v>498</v>
      </c>
      <c r="H524" s="75" t="s">
        <v>310</v>
      </c>
      <c r="I524" s="75" t="s">
        <v>329</v>
      </c>
      <c r="J524" s="75">
        <v>2021</v>
      </c>
      <c r="K524" s="75" t="s">
        <v>1421</v>
      </c>
      <c r="L524" s="75"/>
    </row>
    <row r="525" spans="1:12" hidden="1" x14ac:dyDescent="0.25">
      <c r="A525" s="78">
        <v>44041</v>
      </c>
      <c r="B525" s="75" t="s">
        <v>1621</v>
      </c>
      <c r="C525" s="75" t="s">
        <v>1622</v>
      </c>
      <c r="D525" s="75" t="s">
        <v>1621</v>
      </c>
      <c r="E525" s="75">
        <v>68427709</v>
      </c>
      <c r="F525" s="167">
        <v>345000</v>
      </c>
      <c r="G525" s="75" t="s">
        <v>309</v>
      </c>
      <c r="H525" s="75" t="s">
        <v>310</v>
      </c>
      <c r="I525" s="75" t="s">
        <v>631</v>
      </c>
      <c r="J525" s="75">
        <v>2021</v>
      </c>
      <c r="K525" s="75" t="s">
        <v>1623</v>
      </c>
      <c r="L525" s="75" t="s">
        <v>42</v>
      </c>
    </row>
    <row r="526" spans="1:12" hidden="1" x14ac:dyDescent="0.25">
      <c r="A526" s="78">
        <v>44041</v>
      </c>
      <c r="B526" s="75" t="s">
        <v>1621</v>
      </c>
      <c r="C526" s="75" t="s">
        <v>1624</v>
      </c>
      <c r="D526" s="75" t="s">
        <v>1621</v>
      </c>
      <c r="E526" s="75">
        <v>68427709</v>
      </c>
      <c r="F526" s="167">
        <v>156000</v>
      </c>
      <c r="G526" s="75" t="s">
        <v>309</v>
      </c>
      <c r="H526" s="75" t="s">
        <v>310</v>
      </c>
      <c r="I526" s="75" t="s">
        <v>329</v>
      </c>
      <c r="J526" s="75">
        <v>2021</v>
      </c>
      <c r="K526" s="75" t="s">
        <v>1623</v>
      </c>
      <c r="L526" s="75"/>
    </row>
    <row r="527" spans="1:12" hidden="1" x14ac:dyDescent="0.25">
      <c r="A527" s="78">
        <v>44041</v>
      </c>
      <c r="B527" s="75" t="s">
        <v>1625</v>
      </c>
      <c r="C527" s="75" t="s">
        <v>1615</v>
      </c>
      <c r="D527" s="75"/>
      <c r="E527" s="75">
        <v>68427709</v>
      </c>
      <c r="F527" s="167">
        <v>-140000</v>
      </c>
      <c r="G527" s="75" t="s">
        <v>309</v>
      </c>
      <c r="H527" s="75" t="s">
        <v>310</v>
      </c>
      <c r="I527" s="75" t="s">
        <v>329</v>
      </c>
      <c r="J527" s="75">
        <v>2021</v>
      </c>
      <c r="K527" s="75" t="s">
        <v>1623</v>
      </c>
      <c r="L527" s="75"/>
    </row>
    <row r="528" spans="1:12" hidden="1" x14ac:dyDescent="0.25">
      <c r="A528" s="78">
        <v>44041</v>
      </c>
      <c r="B528" s="22" t="s">
        <v>1626</v>
      </c>
      <c r="C528" s="75" t="s">
        <v>1627</v>
      </c>
      <c r="D528" s="75"/>
      <c r="E528" s="75">
        <v>68427709</v>
      </c>
      <c r="F528" s="167">
        <v>-29000</v>
      </c>
      <c r="G528" s="75" t="s">
        <v>1264</v>
      </c>
      <c r="H528" s="75" t="s">
        <v>310</v>
      </c>
      <c r="I528" s="75" t="s">
        <v>329</v>
      </c>
      <c r="J528" s="75">
        <v>2021</v>
      </c>
      <c r="K528" s="75" t="s">
        <v>1623</v>
      </c>
      <c r="L528" s="75" t="s">
        <v>1628</v>
      </c>
    </row>
    <row r="529" spans="1:12" hidden="1" x14ac:dyDescent="0.25">
      <c r="A529" s="78">
        <v>44041</v>
      </c>
      <c r="B529" s="75" t="s">
        <v>1629</v>
      </c>
      <c r="C529" s="75" t="s">
        <v>1630</v>
      </c>
      <c r="D529" s="75"/>
      <c r="E529" s="75">
        <v>68427709</v>
      </c>
      <c r="F529" s="166">
        <v>12000</v>
      </c>
      <c r="G529" s="75" t="s">
        <v>309</v>
      </c>
      <c r="H529" s="75" t="s">
        <v>310</v>
      </c>
      <c r="I529" s="75" t="s">
        <v>329</v>
      </c>
      <c r="J529" s="75">
        <v>2021</v>
      </c>
      <c r="K529" s="75" t="s">
        <v>1631</v>
      </c>
      <c r="L529" s="75"/>
    </row>
    <row r="530" spans="1:12" hidden="1" x14ac:dyDescent="0.25">
      <c r="A530" s="78">
        <v>44045</v>
      </c>
      <c r="B530" s="75" t="s">
        <v>1632</v>
      </c>
      <c r="C530" s="75" t="s">
        <v>1633</v>
      </c>
      <c r="D530" s="75"/>
      <c r="E530" s="75">
        <v>68427719</v>
      </c>
      <c r="F530" s="167">
        <v>-440000</v>
      </c>
      <c r="G530" s="75" t="s">
        <v>309</v>
      </c>
      <c r="H530" s="75" t="s">
        <v>310</v>
      </c>
      <c r="I530" s="75" t="s">
        <v>329</v>
      </c>
      <c r="J530" s="75">
        <v>2021</v>
      </c>
      <c r="K530" s="75" t="s">
        <v>312</v>
      </c>
      <c r="L530" s="75" t="s">
        <v>1634</v>
      </c>
    </row>
    <row r="531" spans="1:12" hidden="1" x14ac:dyDescent="0.25">
      <c r="A531" s="78">
        <v>44045</v>
      </c>
      <c r="B531" s="75" t="s">
        <v>1635</v>
      </c>
      <c r="C531" s="75" t="s">
        <v>1636</v>
      </c>
      <c r="D531" s="75"/>
      <c r="E531" s="75">
        <v>68427709</v>
      </c>
      <c r="F531" s="167">
        <v>0</v>
      </c>
      <c r="G531" s="75" t="s">
        <v>309</v>
      </c>
      <c r="H531" s="75" t="s">
        <v>310</v>
      </c>
      <c r="I531" s="75" t="s">
        <v>329</v>
      </c>
      <c r="J531" s="75">
        <v>2021</v>
      </c>
      <c r="K531" s="75" t="s">
        <v>312</v>
      </c>
      <c r="L531" s="75"/>
    </row>
    <row r="532" spans="1:12" hidden="1" x14ac:dyDescent="0.25">
      <c r="A532" s="78">
        <v>44046</v>
      </c>
      <c r="B532" s="75" t="s">
        <v>1637</v>
      </c>
      <c r="C532" s="75" t="s">
        <v>1638</v>
      </c>
      <c r="D532" s="75" t="s">
        <v>548</v>
      </c>
      <c r="E532" s="75">
        <v>68427709</v>
      </c>
      <c r="F532" s="167">
        <v>50000</v>
      </c>
      <c r="G532" s="75" t="s">
        <v>309</v>
      </c>
      <c r="H532" s="75" t="s">
        <v>310</v>
      </c>
      <c r="I532" s="75" t="s">
        <v>329</v>
      </c>
      <c r="J532" s="75">
        <v>2021</v>
      </c>
      <c r="K532" s="75" t="s">
        <v>312</v>
      </c>
      <c r="L532" s="75" t="s">
        <v>1639</v>
      </c>
    </row>
    <row r="533" spans="1:12" hidden="1" x14ac:dyDescent="0.25">
      <c r="A533" s="78">
        <v>44046</v>
      </c>
      <c r="B533" s="75" t="s">
        <v>1640</v>
      </c>
      <c r="C533" s="75" t="s">
        <v>1641</v>
      </c>
      <c r="D533" s="75" t="s">
        <v>1455</v>
      </c>
      <c r="E533" s="75">
        <v>68427709</v>
      </c>
      <c r="F533" s="167">
        <v>-156000</v>
      </c>
      <c r="G533" s="75" t="s">
        <v>309</v>
      </c>
      <c r="H533" s="75" t="s">
        <v>310</v>
      </c>
      <c r="I533" s="75" t="s">
        <v>1144</v>
      </c>
      <c r="J533" s="75">
        <v>2021</v>
      </c>
      <c r="K533" s="75" t="s">
        <v>1399</v>
      </c>
      <c r="L533" s="75"/>
    </row>
    <row r="534" spans="1:12" hidden="1" x14ac:dyDescent="0.25">
      <c r="A534" s="78">
        <v>44046</v>
      </c>
      <c r="B534" s="75" t="s">
        <v>1642</v>
      </c>
      <c r="C534" s="75" t="s">
        <v>1643</v>
      </c>
      <c r="D534" s="75" t="s">
        <v>0</v>
      </c>
      <c r="E534" s="75">
        <v>68427709</v>
      </c>
      <c r="F534" s="167">
        <v>5040</v>
      </c>
      <c r="G534" s="75" t="s">
        <v>309</v>
      </c>
      <c r="H534" s="75" t="s">
        <v>310</v>
      </c>
      <c r="I534" s="75" t="s">
        <v>329</v>
      </c>
      <c r="J534" s="75">
        <v>2021</v>
      </c>
      <c r="K534" s="75" t="s">
        <v>1399</v>
      </c>
      <c r="L534" s="75"/>
    </row>
    <row r="535" spans="1:12" hidden="1" x14ac:dyDescent="0.25">
      <c r="A535" s="78">
        <v>44046</v>
      </c>
      <c r="B535" s="75" t="s">
        <v>1644</v>
      </c>
      <c r="C535" s="75" t="s">
        <v>1645</v>
      </c>
      <c r="D535" s="75"/>
      <c r="E535" s="75">
        <v>68427709</v>
      </c>
      <c r="F535" s="167">
        <v>0</v>
      </c>
      <c r="G535" s="75" t="s">
        <v>309</v>
      </c>
      <c r="H535" s="75"/>
      <c r="I535" s="75"/>
      <c r="J535" s="75">
        <v>2021</v>
      </c>
      <c r="K535" s="75" t="s">
        <v>312</v>
      </c>
      <c r="L535" s="75" t="s">
        <v>1646</v>
      </c>
    </row>
    <row r="536" spans="1:12" hidden="1" x14ac:dyDescent="0.25">
      <c r="A536" s="78">
        <v>44049</v>
      </c>
      <c r="B536" s="75" t="s">
        <v>1647</v>
      </c>
      <c r="C536" s="75" t="s">
        <v>1648</v>
      </c>
      <c r="D536" s="75"/>
      <c r="E536" s="75">
        <v>68427709</v>
      </c>
      <c r="F536" s="167">
        <v>0</v>
      </c>
      <c r="G536" s="75" t="s">
        <v>1264</v>
      </c>
      <c r="H536" s="75" t="s">
        <v>310</v>
      </c>
      <c r="I536" s="75"/>
      <c r="J536" s="75">
        <v>2021</v>
      </c>
      <c r="K536" s="75" t="s">
        <v>840</v>
      </c>
      <c r="L536" s="75"/>
    </row>
    <row r="537" spans="1:12" hidden="1" x14ac:dyDescent="0.25">
      <c r="A537" s="78">
        <v>44049</v>
      </c>
      <c r="B537" s="75" t="s">
        <v>1649</v>
      </c>
      <c r="C537" s="75" t="s">
        <v>1650</v>
      </c>
      <c r="D537" s="75" t="s">
        <v>0</v>
      </c>
      <c r="E537" s="75">
        <v>68427709</v>
      </c>
      <c r="F537" s="167">
        <v>530</v>
      </c>
      <c r="G537" s="75" t="s">
        <v>993</v>
      </c>
      <c r="H537" s="75" t="s">
        <v>310</v>
      </c>
      <c r="I537" s="75" t="s">
        <v>329</v>
      </c>
      <c r="J537" s="75">
        <v>2021</v>
      </c>
      <c r="K537" s="75" t="s">
        <v>1651</v>
      </c>
      <c r="L537" s="75" t="s">
        <v>1652</v>
      </c>
    </row>
    <row r="538" spans="1:12" hidden="1" x14ac:dyDescent="0.25">
      <c r="A538" s="78">
        <v>44049</v>
      </c>
      <c r="B538" s="75" t="s">
        <v>1423</v>
      </c>
      <c r="C538" s="75" t="s">
        <v>1653</v>
      </c>
      <c r="D538" s="75" t="s">
        <v>481</v>
      </c>
      <c r="E538" s="75">
        <v>68427709</v>
      </c>
      <c r="F538" s="167">
        <v>0</v>
      </c>
      <c r="G538" s="75" t="s">
        <v>309</v>
      </c>
      <c r="H538" s="75" t="s">
        <v>310</v>
      </c>
      <c r="I538" s="75"/>
      <c r="J538" s="75">
        <v>2021</v>
      </c>
      <c r="K538" s="75" t="s">
        <v>840</v>
      </c>
      <c r="L538" s="75"/>
    </row>
    <row r="539" spans="1:12" hidden="1" x14ac:dyDescent="0.25">
      <c r="A539" s="78">
        <v>44049</v>
      </c>
      <c r="B539" s="75" t="s">
        <v>1602</v>
      </c>
      <c r="C539" s="75" t="s">
        <v>1654</v>
      </c>
      <c r="D539" s="75" t="s">
        <v>0</v>
      </c>
      <c r="E539" s="75">
        <v>68427709</v>
      </c>
      <c r="F539" s="167">
        <v>0</v>
      </c>
      <c r="G539" s="75" t="s">
        <v>309</v>
      </c>
      <c r="H539" s="75" t="s">
        <v>310</v>
      </c>
      <c r="I539" s="75"/>
      <c r="J539" s="75">
        <v>2021</v>
      </c>
      <c r="K539" s="75" t="s">
        <v>840</v>
      </c>
      <c r="L539" s="75"/>
    </row>
    <row r="540" spans="1:12" hidden="1" x14ac:dyDescent="0.25">
      <c r="A540" s="78"/>
      <c r="B540" s="75"/>
      <c r="C540" s="75"/>
      <c r="D540" s="75"/>
      <c r="E540" s="75"/>
      <c r="F540" s="167"/>
      <c r="G540" s="75"/>
      <c r="H540" s="75"/>
      <c r="I540" s="75"/>
      <c r="J540" s="75">
        <v>2021</v>
      </c>
      <c r="K540" s="75"/>
      <c r="L540" s="146"/>
    </row>
    <row r="541" spans="1:12" hidden="1" x14ac:dyDescent="0.25">
      <c r="A541" s="78">
        <v>44056</v>
      </c>
      <c r="B541" s="75" t="s">
        <v>1655</v>
      </c>
      <c r="C541" s="75"/>
      <c r="D541" s="75" t="s">
        <v>0</v>
      </c>
      <c r="E541" s="75">
        <v>68427709</v>
      </c>
      <c r="F541" s="167">
        <v>596000</v>
      </c>
      <c r="G541" s="75" t="s">
        <v>993</v>
      </c>
      <c r="H541" s="75" t="s">
        <v>310</v>
      </c>
      <c r="I541" s="75" t="s">
        <v>377</v>
      </c>
      <c r="J541" s="75">
        <v>2021</v>
      </c>
      <c r="K541" s="75" t="s">
        <v>1623</v>
      </c>
      <c r="L541" s="75"/>
    </row>
    <row r="542" spans="1:12" hidden="1" x14ac:dyDescent="0.25">
      <c r="A542" s="78">
        <v>44074</v>
      </c>
      <c r="B542" s="75" t="s">
        <v>1041</v>
      </c>
      <c r="C542" s="75" t="s">
        <v>1656</v>
      </c>
      <c r="D542" s="75" t="s">
        <v>0</v>
      </c>
      <c r="E542" s="75">
        <v>68427709</v>
      </c>
      <c r="F542" s="89">
        <v>15000</v>
      </c>
      <c r="G542" s="75" t="s">
        <v>309</v>
      </c>
      <c r="H542" s="75" t="s">
        <v>310</v>
      </c>
      <c r="I542" s="75" t="s">
        <v>329</v>
      </c>
      <c r="J542" s="75">
        <v>2021</v>
      </c>
      <c r="K542" s="75" t="s">
        <v>719</v>
      </c>
      <c r="L542" s="75" t="s">
        <v>1657</v>
      </c>
    </row>
    <row r="543" spans="1:12" hidden="1" x14ac:dyDescent="0.25">
      <c r="A543" s="78">
        <v>44077</v>
      </c>
      <c r="B543" s="75" t="s">
        <v>1658</v>
      </c>
      <c r="C543" s="75" t="s">
        <v>1659</v>
      </c>
      <c r="D543" s="75" t="s">
        <v>0</v>
      </c>
      <c r="E543" s="75">
        <v>68427709</v>
      </c>
      <c r="F543" s="167">
        <v>-100000</v>
      </c>
      <c r="G543" s="75" t="s">
        <v>309</v>
      </c>
      <c r="H543" s="75" t="s">
        <v>310</v>
      </c>
      <c r="I543" s="75" t="s">
        <v>329</v>
      </c>
      <c r="J543" s="75">
        <v>2021</v>
      </c>
      <c r="K543" s="75" t="s">
        <v>312</v>
      </c>
      <c r="L543" s="75"/>
    </row>
    <row r="544" spans="1:12" hidden="1" x14ac:dyDescent="0.25">
      <c r="A544" s="78">
        <v>44077</v>
      </c>
      <c r="B544" s="75" t="s">
        <v>1660</v>
      </c>
      <c r="C544" s="75" t="s">
        <v>1661</v>
      </c>
      <c r="D544" s="75" t="s">
        <v>0</v>
      </c>
      <c r="E544" s="75">
        <v>68427709</v>
      </c>
      <c r="F544" s="167">
        <v>-100000</v>
      </c>
      <c r="G544" s="75" t="s">
        <v>309</v>
      </c>
      <c r="H544" s="75" t="s">
        <v>310</v>
      </c>
      <c r="I544" s="75" t="s">
        <v>329</v>
      </c>
      <c r="J544" s="75">
        <v>2021</v>
      </c>
      <c r="K544" s="75" t="s">
        <v>312</v>
      </c>
      <c r="L544" s="75"/>
    </row>
    <row r="545" spans="1:12" hidden="1" x14ac:dyDescent="0.25">
      <c r="A545" s="78">
        <v>44077</v>
      </c>
      <c r="B545" s="75" t="s">
        <v>1662</v>
      </c>
      <c r="C545" s="75" t="s">
        <v>1663</v>
      </c>
      <c r="D545" s="75" t="s">
        <v>548</v>
      </c>
      <c r="E545" s="75">
        <v>68427709</v>
      </c>
      <c r="F545" s="167">
        <v>-21000</v>
      </c>
      <c r="G545" s="75" t="s">
        <v>498</v>
      </c>
      <c r="H545" s="75" t="s">
        <v>310</v>
      </c>
      <c r="I545" s="75" t="s">
        <v>329</v>
      </c>
      <c r="J545" s="75">
        <v>2021</v>
      </c>
      <c r="K545" s="75" t="s">
        <v>312</v>
      </c>
      <c r="L545" s="75" t="s">
        <v>1639</v>
      </c>
    </row>
    <row r="546" spans="1:12" hidden="1" x14ac:dyDescent="0.25">
      <c r="A546" s="78">
        <v>44077</v>
      </c>
      <c r="B546" s="75" t="s">
        <v>1664</v>
      </c>
      <c r="C546" s="75" t="s">
        <v>1665</v>
      </c>
      <c r="D546" s="75" t="s">
        <v>548</v>
      </c>
      <c r="E546" s="75">
        <v>68427709</v>
      </c>
      <c r="F546" s="167">
        <v>-10000</v>
      </c>
      <c r="G546" s="75" t="s">
        <v>309</v>
      </c>
      <c r="H546" s="75" t="s">
        <v>310</v>
      </c>
      <c r="I546" s="75" t="s">
        <v>329</v>
      </c>
      <c r="J546" s="75">
        <v>2021</v>
      </c>
      <c r="K546" s="75" t="s">
        <v>312</v>
      </c>
      <c r="L546" s="75" t="s">
        <v>1639</v>
      </c>
    </row>
    <row r="547" spans="1:12" hidden="1" x14ac:dyDescent="0.25">
      <c r="A547" s="78">
        <v>44077</v>
      </c>
      <c r="B547" s="75" t="s">
        <v>1666</v>
      </c>
      <c r="C547" s="75" t="s">
        <v>1667</v>
      </c>
      <c r="D547" s="75" t="s">
        <v>548</v>
      </c>
      <c r="E547" s="75">
        <v>68427709</v>
      </c>
      <c r="F547" s="167">
        <v>-120000</v>
      </c>
      <c r="G547" s="75" t="s">
        <v>309</v>
      </c>
      <c r="H547" s="75" t="s">
        <v>310</v>
      </c>
      <c r="I547" s="75" t="s">
        <v>329</v>
      </c>
      <c r="J547" s="75">
        <v>2021</v>
      </c>
      <c r="K547" s="75" t="s">
        <v>312</v>
      </c>
      <c r="L547" s="75" t="s">
        <v>1639</v>
      </c>
    </row>
    <row r="548" spans="1:12" hidden="1" x14ac:dyDescent="0.25">
      <c r="A548" s="78">
        <v>44077</v>
      </c>
      <c r="B548" s="75" t="s">
        <v>1076</v>
      </c>
      <c r="C548" s="75" t="s">
        <v>1667</v>
      </c>
      <c r="D548" s="75" t="s">
        <v>548</v>
      </c>
      <c r="E548" s="75">
        <v>68427709</v>
      </c>
      <c r="F548" s="167">
        <v>-107000</v>
      </c>
      <c r="G548" s="75" t="s">
        <v>309</v>
      </c>
      <c r="H548" s="75" t="s">
        <v>310</v>
      </c>
      <c r="I548" s="75" t="s">
        <v>329</v>
      </c>
      <c r="J548" s="75">
        <v>2021</v>
      </c>
      <c r="K548" s="75" t="s">
        <v>312</v>
      </c>
      <c r="L548" s="75" t="s">
        <v>1639</v>
      </c>
    </row>
    <row r="549" spans="1:12" hidden="1" x14ac:dyDescent="0.25">
      <c r="A549" s="78">
        <v>44077</v>
      </c>
      <c r="B549" s="75" t="s">
        <v>1668</v>
      </c>
      <c r="C549" s="75" t="s">
        <v>1667</v>
      </c>
      <c r="D549" s="75" t="s">
        <v>548</v>
      </c>
      <c r="E549" s="75">
        <v>68427709</v>
      </c>
      <c r="F549" s="167">
        <v>-22000</v>
      </c>
      <c r="G549" s="75" t="s">
        <v>309</v>
      </c>
      <c r="H549" s="75" t="s">
        <v>310</v>
      </c>
      <c r="I549" s="75" t="s">
        <v>329</v>
      </c>
      <c r="J549" s="75">
        <v>2021</v>
      </c>
      <c r="K549" s="75" t="s">
        <v>312</v>
      </c>
      <c r="L549" s="75" t="s">
        <v>1639</v>
      </c>
    </row>
    <row r="550" spans="1:12" hidden="1" x14ac:dyDescent="0.25">
      <c r="A550" s="78">
        <v>44077</v>
      </c>
      <c r="B550" s="75" t="s">
        <v>1669</v>
      </c>
      <c r="C550" s="75" t="s">
        <v>1667</v>
      </c>
      <c r="D550" s="75" t="s">
        <v>548</v>
      </c>
      <c r="E550" s="75">
        <v>68427709</v>
      </c>
      <c r="F550" s="167">
        <v>-282000</v>
      </c>
      <c r="G550" s="75" t="s">
        <v>309</v>
      </c>
      <c r="H550" s="75" t="s">
        <v>310</v>
      </c>
      <c r="I550" s="75" t="s">
        <v>329</v>
      </c>
      <c r="J550" s="75">
        <v>2021</v>
      </c>
      <c r="K550" s="75" t="s">
        <v>312</v>
      </c>
      <c r="L550" s="75" t="s">
        <v>1639</v>
      </c>
    </row>
    <row r="551" spans="1:12" hidden="1" x14ac:dyDescent="0.25">
      <c r="A551" s="78">
        <v>44077</v>
      </c>
      <c r="B551" s="75" t="s">
        <v>1670</v>
      </c>
      <c r="C551" s="75" t="s">
        <v>1671</v>
      </c>
      <c r="D551" s="75" t="s">
        <v>548</v>
      </c>
      <c r="E551" s="75">
        <v>68427709</v>
      </c>
      <c r="F551" s="167">
        <v>-125000</v>
      </c>
      <c r="G551" s="75" t="s">
        <v>309</v>
      </c>
      <c r="H551" s="75" t="s">
        <v>310</v>
      </c>
      <c r="I551" s="75" t="s">
        <v>329</v>
      </c>
      <c r="J551" s="75">
        <v>2021</v>
      </c>
      <c r="K551" s="75" t="s">
        <v>312</v>
      </c>
      <c r="L551" s="75" t="s">
        <v>1639</v>
      </c>
    </row>
    <row r="552" spans="1:12" hidden="1" x14ac:dyDescent="0.25">
      <c r="A552" s="78">
        <v>44077</v>
      </c>
      <c r="B552" s="75" t="s">
        <v>1672</v>
      </c>
      <c r="C552" s="75" t="s">
        <v>1673</v>
      </c>
      <c r="D552" s="75" t="s">
        <v>548</v>
      </c>
      <c r="E552" s="75">
        <v>68427709</v>
      </c>
      <c r="F552" s="167">
        <v>-332000</v>
      </c>
      <c r="G552" s="75" t="s">
        <v>309</v>
      </c>
      <c r="H552" s="75" t="s">
        <v>310</v>
      </c>
      <c r="I552" s="75" t="s">
        <v>329</v>
      </c>
      <c r="J552" s="75">
        <v>2021</v>
      </c>
      <c r="K552" s="75" t="s">
        <v>312</v>
      </c>
      <c r="L552" s="75" t="s">
        <v>1639</v>
      </c>
    </row>
    <row r="553" spans="1:12" hidden="1" x14ac:dyDescent="0.25">
      <c r="A553" s="78">
        <v>44077</v>
      </c>
      <c r="B553" s="75" t="s">
        <v>1674</v>
      </c>
      <c r="C553" s="75" t="s">
        <v>1673</v>
      </c>
      <c r="D553" s="75" t="s">
        <v>548</v>
      </c>
      <c r="E553" s="75">
        <v>68427709</v>
      </c>
      <c r="F553" s="167">
        <v>-430000</v>
      </c>
      <c r="G553" s="75" t="s">
        <v>309</v>
      </c>
      <c r="H553" s="75" t="s">
        <v>310</v>
      </c>
      <c r="I553" s="75" t="s">
        <v>329</v>
      </c>
      <c r="J553" s="75">
        <v>2021</v>
      </c>
      <c r="K553" s="75" t="s">
        <v>312</v>
      </c>
      <c r="L553" s="75" t="s">
        <v>1639</v>
      </c>
    </row>
    <row r="554" spans="1:12" hidden="1" x14ac:dyDescent="0.25">
      <c r="A554" s="78">
        <v>44077</v>
      </c>
      <c r="B554" s="75" t="s">
        <v>1675</v>
      </c>
      <c r="C554" s="75" t="s">
        <v>1676</v>
      </c>
      <c r="D554" s="75" t="s">
        <v>548</v>
      </c>
      <c r="E554" s="75">
        <v>68427709</v>
      </c>
      <c r="F554" s="167">
        <v>625000</v>
      </c>
      <c r="G554" s="75" t="s">
        <v>309</v>
      </c>
      <c r="H554" s="75" t="s">
        <v>310</v>
      </c>
      <c r="I554" s="75" t="s">
        <v>329</v>
      </c>
      <c r="J554" s="75">
        <v>2021</v>
      </c>
      <c r="K554" s="75" t="s">
        <v>312</v>
      </c>
      <c r="L554" s="75" t="s">
        <v>1639</v>
      </c>
    </row>
    <row r="555" spans="1:12" hidden="1" x14ac:dyDescent="0.25">
      <c r="A555" s="78">
        <v>44077</v>
      </c>
      <c r="B555" s="75" t="s">
        <v>1677</v>
      </c>
      <c r="C555" s="75" t="s">
        <v>1678</v>
      </c>
      <c r="D555" s="75" t="s">
        <v>548</v>
      </c>
      <c r="E555" s="75">
        <v>68427709</v>
      </c>
      <c r="F555" s="167">
        <v>80000</v>
      </c>
      <c r="G555" s="75" t="s">
        <v>309</v>
      </c>
      <c r="H555" s="75" t="s">
        <v>310</v>
      </c>
      <c r="I555" s="75" t="s">
        <v>329</v>
      </c>
      <c r="J555" s="75">
        <v>2021</v>
      </c>
      <c r="K555" s="75" t="s">
        <v>312</v>
      </c>
      <c r="L555" s="75" t="s">
        <v>1639</v>
      </c>
    </row>
    <row r="556" spans="1:12" hidden="1" x14ac:dyDescent="0.25">
      <c r="A556" s="78">
        <v>44077</v>
      </c>
      <c r="B556" s="92" t="s">
        <v>1679</v>
      </c>
      <c r="C556" s="75" t="s">
        <v>1673</v>
      </c>
      <c r="D556" s="75" t="s">
        <v>548</v>
      </c>
      <c r="E556" s="75">
        <v>68427709</v>
      </c>
      <c r="F556" s="167">
        <v>85000</v>
      </c>
      <c r="G556" s="75" t="s">
        <v>309</v>
      </c>
      <c r="H556" s="75" t="s">
        <v>310</v>
      </c>
      <c r="I556" s="75" t="s">
        <v>329</v>
      </c>
      <c r="J556" s="75">
        <v>2021</v>
      </c>
      <c r="K556" s="75" t="s">
        <v>312</v>
      </c>
      <c r="L556" s="75" t="s">
        <v>1639</v>
      </c>
    </row>
    <row r="557" spans="1:12" hidden="1" x14ac:dyDescent="0.25">
      <c r="A557" s="168">
        <v>44077</v>
      </c>
      <c r="B557" s="92" t="s">
        <v>1680</v>
      </c>
      <c r="C557" s="133" t="s">
        <v>1681</v>
      </c>
      <c r="D557" s="133" t="s">
        <v>548</v>
      </c>
      <c r="E557" s="133">
        <v>68427709</v>
      </c>
      <c r="F557" s="169">
        <v>500000</v>
      </c>
      <c r="G557" s="133" t="s">
        <v>309</v>
      </c>
      <c r="H557" s="133" t="s">
        <v>310</v>
      </c>
      <c r="I557" s="133" t="s">
        <v>329</v>
      </c>
      <c r="J557" s="133">
        <v>2021</v>
      </c>
      <c r="K557" s="133" t="s">
        <v>312</v>
      </c>
      <c r="L557" s="133" t="s">
        <v>1639</v>
      </c>
    </row>
    <row r="558" spans="1:12" hidden="1" x14ac:dyDescent="0.25">
      <c r="A558" s="78">
        <v>44077</v>
      </c>
      <c r="B558" s="144" t="s">
        <v>1682</v>
      </c>
      <c r="C558" s="75" t="s">
        <v>1683</v>
      </c>
      <c r="D558" s="75" t="s">
        <v>548</v>
      </c>
      <c r="E558" s="75">
        <v>68427709</v>
      </c>
      <c r="F558" s="167">
        <v>170000</v>
      </c>
      <c r="G558" s="75" t="s">
        <v>309</v>
      </c>
      <c r="H558" s="75" t="s">
        <v>310</v>
      </c>
      <c r="I558" s="75" t="s">
        <v>329</v>
      </c>
      <c r="J558" s="75">
        <v>2021</v>
      </c>
      <c r="K558" s="75" t="s">
        <v>312</v>
      </c>
      <c r="L558" s="75" t="s">
        <v>1639</v>
      </c>
    </row>
    <row r="559" spans="1:12" hidden="1" x14ac:dyDescent="0.25">
      <c r="A559" s="78">
        <v>44077</v>
      </c>
      <c r="B559" s="75" t="s">
        <v>1684</v>
      </c>
      <c r="C559" s="75" t="s">
        <v>1685</v>
      </c>
      <c r="D559" s="75"/>
      <c r="E559" s="75">
        <v>68427709</v>
      </c>
      <c r="F559" s="167">
        <v>42000</v>
      </c>
      <c r="G559" s="75" t="s">
        <v>309</v>
      </c>
      <c r="H559" s="75" t="s">
        <v>310</v>
      </c>
      <c r="I559" s="75" t="s">
        <v>329</v>
      </c>
      <c r="J559" s="75">
        <v>2021</v>
      </c>
      <c r="K559" s="75" t="s">
        <v>1593</v>
      </c>
      <c r="L559" s="146" t="s">
        <v>1686</v>
      </c>
    </row>
    <row r="560" spans="1:12" hidden="1" x14ac:dyDescent="0.25">
      <c r="A560" s="78">
        <v>44082</v>
      </c>
      <c r="B560" s="144" t="s">
        <v>1687</v>
      </c>
      <c r="C560" s="75" t="s">
        <v>1688</v>
      </c>
      <c r="D560" s="75" t="s">
        <v>1687</v>
      </c>
      <c r="E560" s="75">
        <v>68427709</v>
      </c>
      <c r="F560" s="167">
        <v>-85000</v>
      </c>
      <c r="G560" s="75" t="s">
        <v>309</v>
      </c>
      <c r="H560" s="75" t="s">
        <v>310</v>
      </c>
      <c r="I560" s="75" t="s">
        <v>400</v>
      </c>
      <c r="J560" s="75">
        <v>2021</v>
      </c>
      <c r="K560" s="75" t="s">
        <v>505</v>
      </c>
      <c r="L560" s="75" t="s">
        <v>1689</v>
      </c>
    </row>
    <row r="561" spans="1:12" hidden="1" x14ac:dyDescent="0.25">
      <c r="A561" s="78">
        <v>44082</v>
      </c>
      <c r="B561" s="144" t="s">
        <v>1690</v>
      </c>
      <c r="C561" s="75" t="s">
        <v>1691</v>
      </c>
      <c r="D561" s="75" t="s">
        <v>697</v>
      </c>
      <c r="E561" s="75">
        <v>68427709</v>
      </c>
      <c r="F561" s="167">
        <v>-55000</v>
      </c>
      <c r="G561" s="75" t="s">
        <v>309</v>
      </c>
      <c r="H561" s="75" t="s">
        <v>310</v>
      </c>
      <c r="I561" s="75" t="s">
        <v>400</v>
      </c>
      <c r="J561" s="75">
        <v>2021</v>
      </c>
      <c r="K561" s="75" t="s">
        <v>312</v>
      </c>
      <c r="L561" s="75" t="s">
        <v>1692</v>
      </c>
    </row>
    <row r="562" spans="1:12" hidden="1" x14ac:dyDescent="0.25">
      <c r="A562" s="78">
        <v>44082</v>
      </c>
      <c r="B562" s="144" t="s">
        <v>1693</v>
      </c>
      <c r="C562" s="75" t="s">
        <v>1694</v>
      </c>
      <c r="D562" s="75" t="s">
        <v>1693</v>
      </c>
      <c r="E562" s="75">
        <v>68427709</v>
      </c>
      <c r="F562" s="167">
        <v>-12000</v>
      </c>
      <c r="G562" s="75" t="s">
        <v>309</v>
      </c>
      <c r="H562" s="75" t="s">
        <v>310</v>
      </c>
      <c r="I562" s="75" t="s">
        <v>400</v>
      </c>
      <c r="J562" s="75">
        <v>2021</v>
      </c>
      <c r="K562" s="75" t="s">
        <v>312</v>
      </c>
      <c r="L562" s="88" t="s">
        <v>1695</v>
      </c>
    </row>
    <row r="563" spans="1:12" hidden="1" x14ac:dyDescent="0.25">
      <c r="A563" s="78">
        <v>44082</v>
      </c>
      <c r="B563" s="144" t="s">
        <v>1696</v>
      </c>
      <c r="C563" s="75" t="s">
        <v>1697</v>
      </c>
      <c r="D563" s="75" t="s">
        <v>0</v>
      </c>
      <c r="E563" s="75">
        <v>68427709</v>
      </c>
      <c r="F563" s="167">
        <v>-10000</v>
      </c>
      <c r="G563" s="75" t="s">
        <v>309</v>
      </c>
      <c r="H563" s="75" t="s">
        <v>310</v>
      </c>
      <c r="I563" s="75" t="s">
        <v>400</v>
      </c>
      <c r="J563" s="75">
        <v>2021</v>
      </c>
      <c r="K563" s="75" t="s">
        <v>312</v>
      </c>
      <c r="L563" s="75" t="s">
        <v>1698</v>
      </c>
    </row>
    <row r="564" spans="1:12" hidden="1" x14ac:dyDescent="0.25">
      <c r="A564" s="78">
        <v>44082</v>
      </c>
      <c r="B564" s="144" t="s">
        <v>1123</v>
      </c>
      <c r="C564" s="88" t="s">
        <v>1699</v>
      </c>
      <c r="D564" s="75" t="s">
        <v>0</v>
      </c>
      <c r="E564" s="75">
        <v>68427709</v>
      </c>
      <c r="F564" s="167">
        <v>-10000</v>
      </c>
      <c r="G564" s="75" t="s">
        <v>309</v>
      </c>
      <c r="H564" s="75" t="s">
        <v>310</v>
      </c>
      <c r="I564" s="75" t="s">
        <v>400</v>
      </c>
      <c r="J564" s="75">
        <v>2021</v>
      </c>
      <c r="K564" s="75" t="s">
        <v>312</v>
      </c>
      <c r="L564" s="75" t="s">
        <v>1700</v>
      </c>
    </row>
    <row r="565" spans="1:12" hidden="1" x14ac:dyDescent="0.25">
      <c r="A565" s="78">
        <v>44082</v>
      </c>
      <c r="B565" s="144" t="s">
        <v>1701</v>
      </c>
      <c r="C565" s="88" t="s">
        <v>1699</v>
      </c>
      <c r="D565" s="75" t="s">
        <v>1702</v>
      </c>
      <c r="E565" s="75">
        <v>68427709</v>
      </c>
      <c r="F565" s="167">
        <v>-11000</v>
      </c>
      <c r="G565" s="75" t="s">
        <v>309</v>
      </c>
      <c r="H565" s="75" t="s">
        <v>310</v>
      </c>
      <c r="I565" s="75" t="s">
        <v>400</v>
      </c>
      <c r="J565" s="75">
        <v>2021</v>
      </c>
      <c r="K565" s="75" t="s">
        <v>312</v>
      </c>
      <c r="L565" s="75" t="s">
        <v>1700</v>
      </c>
    </row>
    <row r="566" spans="1:12" hidden="1" x14ac:dyDescent="0.25">
      <c r="A566" s="78">
        <v>44082</v>
      </c>
      <c r="B566" s="75" t="s">
        <v>1703</v>
      </c>
      <c r="C566" s="75" t="s">
        <v>1704</v>
      </c>
      <c r="D566" s="75" t="s">
        <v>1096</v>
      </c>
      <c r="E566" s="75">
        <v>68427709</v>
      </c>
      <c r="F566" s="167">
        <v>-30000</v>
      </c>
      <c r="G566" s="75" t="s">
        <v>309</v>
      </c>
      <c r="H566" s="75" t="s">
        <v>310</v>
      </c>
      <c r="I566" s="75" t="s">
        <v>400</v>
      </c>
      <c r="J566" s="75">
        <v>2021</v>
      </c>
      <c r="K566" s="75" t="s">
        <v>312</v>
      </c>
      <c r="L566" s="75" t="s">
        <v>1705</v>
      </c>
    </row>
    <row r="567" spans="1:12" hidden="1" x14ac:dyDescent="0.25">
      <c r="A567" s="78">
        <v>44082</v>
      </c>
      <c r="B567" s="144" t="s">
        <v>1706</v>
      </c>
      <c r="C567" s="75" t="s">
        <v>1707</v>
      </c>
      <c r="D567" s="75" t="s">
        <v>1706</v>
      </c>
      <c r="E567" s="75">
        <v>68427709</v>
      </c>
      <c r="F567" s="167">
        <v>-20000</v>
      </c>
      <c r="G567" s="75" t="s">
        <v>309</v>
      </c>
      <c r="H567" s="75" t="s">
        <v>310</v>
      </c>
      <c r="I567" s="75" t="s">
        <v>400</v>
      </c>
      <c r="J567" s="75">
        <v>2021</v>
      </c>
      <c r="K567" s="75" t="s">
        <v>312</v>
      </c>
      <c r="L567" s="88" t="s">
        <v>1695</v>
      </c>
    </row>
    <row r="568" spans="1:12" hidden="1" x14ac:dyDescent="0.25">
      <c r="A568" s="78">
        <v>44082</v>
      </c>
      <c r="B568" s="75" t="s">
        <v>1708</v>
      </c>
      <c r="C568" s="75" t="s">
        <v>1709</v>
      </c>
      <c r="D568" s="75" t="s">
        <v>1708</v>
      </c>
      <c r="E568" s="75">
        <v>68427709</v>
      </c>
      <c r="F568" s="167">
        <v>-27000</v>
      </c>
      <c r="G568" s="75" t="s">
        <v>309</v>
      </c>
      <c r="H568" s="75" t="s">
        <v>310</v>
      </c>
      <c r="I568" s="75" t="s">
        <v>400</v>
      </c>
      <c r="J568" s="75">
        <v>2021</v>
      </c>
      <c r="K568" s="75" t="s">
        <v>629</v>
      </c>
      <c r="L568" s="88" t="s">
        <v>1710</v>
      </c>
    </row>
    <row r="569" spans="1:12" hidden="1" x14ac:dyDescent="0.25">
      <c r="A569" s="78">
        <v>44082</v>
      </c>
      <c r="B569" s="75" t="s">
        <v>1711</v>
      </c>
      <c r="C569" s="75" t="s">
        <v>1712</v>
      </c>
      <c r="D569" s="75" t="s">
        <v>373</v>
      </c>
      <c r="E569" s="75">
        <v>68427709</v>
      </c>
      <c r="F569" s="167">
        <v>-22000</v>
      </c>
      <c r="G569" s="75" t="s">
        <v>309</v>
      </c>
      <c r="H569" s="75" t="s">
        <v>310</v>
      </c>
      <c r="I569" s="75" t="s">
        <v>400</v>
      </c>
      <c r="J569" s="75">
        <v>2021</v>
      </c>
      <c r="K569" s="75" t="s">
        <v>312</v>
      </c>
      <c r="L569" s="75" t="s">
        <v>1713</v>
      </c>
    </row>
    <row r="570" spans="1:12" hidden="1" x14ac:dyDescent="0.25">
      <c r="A570" s="78">
        <v>44082</v>
      </c>
      <c r="B570" s="170" t="s">
        <v>1714</v>
      </c>
      <c r="C570" s="75" t="s">
        <v>1715</v>
      </c>
      <c r="D570" s="75" t="s">
        <v>0</v>
      </c>
      <c r="E570" s="75">
        <v>68427709</v>
      </c>
      <c r="F570" s="167">
        <v>-120000</v>
      </c>
      <c r="G570" s="75" t="s">
        <v>309</v>
      </c>
      <c r="H570" s="75" t="s">
        <v>310</v>
      </c>
      <c r="I570" s="75" t="s">
        <v>400</v>
      </c>
      <c r="J570" s="75">
        <v>2021</v>
      </c>
      <c r="K570" s="75" t="s">
        <v>312</v>
      </c>
      <c r="L570" s="75" t="s">
        <v>1716</v>
      </c>
    </row>
    <row r="571" spans="1:12" hidden="1" x14ac:dyDescent="0.25">
      <c r="A571" s="78">
        <v>44082</v>
      </c>
      <c r="B571" s="75" t="s">
        <v>1717</v>
      </c>
      <c r="C571" s="75" t="s">
        <v>1718</v>
      </c>
      <c r="D571" s="75" t="s">
        <v>1717</v>
      </c>
      <c r="E571" s="75">
        <v>68427709</v>
      </c>
      <c r="F571" s="167">
        <v>-125000</v>
      </c>
      <c r="G571" s="75" t="s">
        <v>309</v>
      </c>
      <c r="H571" s="75" t="s">
        <v>310</v>
      </c>
      <c r="I571" s="75" t="s">
        <v>400</v>
      </c>
      <c r="J571" s="75">
        <v>2021</v>
      </c>
      <c r="K571" s="75" t="s">
        <v>312</v>
      </c>
      <c r="L571" s="75" t="s">
        <v>1719</v>
      </c>
    </row>
    <row r="572" spans="1:12" hidden="1" x14ac:dyDescent="0.25">
      <c r="A572" s="78">
        <v>44082</v>
      </c>
      <c r="B572" s="21" t="s">
        <v>1720</v>
      </c>
      <c r="C572" s="75" t="s">
        <v>1721</v>
      </c>
      <c r="D572" s="75" t="s">
        <v>0</v>
      </c>
      <c r="E572" s="75">
        <v>68427709</v>
      </c>
      <c r="F572" s="167">
        <v>-6500</v>
      </c>
      <c r="G572" s="75" t="s">
        <v>309</v>
      </c>
      <c r="H572" s="75" t="s">
        <v>310</v>
      </c>
      <c r="I572" s="75" t="s">
        <v>400</v>
      </c>
      <c r="J572" s="75">
        <v>2021</v>
      </c>
      <c r="K572" s="75" t="s">
        <v>312</v>
      </c>
      <c r="L572" s="75"/>
    </row>
    <row r="573" spans="1:12" hidden="1" x14ac:dyDescent="0.25">
      <c r="A573" s="78">
        <v>44082</v>
      </c>
      <c r="B573" t="s">
        <v>1722</v>
      </c>
      <c r="C573" s="75" t="s">
        <v>1723</v>
      </c>
      <c r="D573" s="75" t="s">
        <v>0</v>
      </c>
      <c r="E573" s="75">
        <v>68427709</v>
      </c>
      <c r="F573" s="167">
        <v>-225000</v>
      </c>
      <c r="G573" s="75" t="s">
        <v>309</v>
      </c>
      <c r="H573" s="75" t="s">
        <v>310</v>
      </c>
      <c r="I573" s="75" t="s">
        <v>400</v>
      </c>
      <c r="J573" s="75">
        <v>2021</v>
      </c>
      <c r="K573" s="75" t="s">
        <v>312</v>
      </c>
      <c r="L573" s="75" t="s">
        <v>1724</v>
      </c>
    </row>
    <row r="574" spans="1:12" hidden="1" x14ac:dyDescent="0.25">
      <c r="A574" s="78">
        <v>44088</v>
      </c>
      <c r="B574" s="75" t="s">
        <v>1725</v>
      </c>
      <c r="C574" s="75" t="s">
        <v>1726</v>
      </c>
      <c r="D574" s="75" t="s">
        <v>376</v>
      </c>
      <c r="E574" s="75">
        <v>68427719</v>
      </c>
      <c r="F574" s="167">
        <v>0</v>
      </c>
      <c r="G574" s="75" t="s">
        <v>498</v>
      </c>
      <c r="H574" s="75" t="s">
        <v>310</v>
      </c>
      <c r="I574" s="75" t="s">
        <v>400</v>
      </c>
      <c r="J574" s="75">
        <v>2021</v>
      </c>
      <c r="K574" s="75" t="s">
        <v>1593</v>
      </c>
      <c r="L574" s="75" t="s">
        <v>1590</v>
      </c>
    </row>
    <row r="575" spans="1:12" hidden="1" x14ac:dyDescent="0.25">
      <c r="A575" s="78">
        <v>44088</v>
      </c>
      <c r="B575" s="75" t="s">
        <v>1727</v>
      </c>
      <c r="C575" s="75" t="s">
        <v>1728</v>
      </c>
      <c r="D575" s="75" t="s">
        <v>42</v>
      </c>
      <c r="E575" s="75">
        <v>68427709</v>
      </c>
      <c r="F575" s="167">
        <v>0</v>
      </c>
      <c r="G575" s="75" t="s">
        <v>309</v>
      </c>
      <c r="H575" s="75" t="s">
        <v>310</v>
      </c>
      <c r="I575" s="75" t="s">
        <v>400</v>
      </c>
      <c r="J575" s="75">
        <v>2021</v>
      </c>
      <c r="K575" s="75" t="s">
        <v>1623</v>
      </c>
      <c r="L575" s="75"/>
    </row>
    <row r="576" spans="1:12" hidden="1" x14ac:dyDescent="0.25">
      <c r="A576" s="78">
        <v>44090</v>
      </c>
      <c r="B576" s="75" t="s">
        <v>1729</v>
      </c>
      <c r="C576" s="75" t="s">
        <v>1730</v>
      </c>
      <c r="D576" s="75" t="s">
        <v>1096</v>
      </c>
      <c r="E576" s="75">
        <v>68427709</v>
      </c>
      <c r="F576" s="167">
        <v>-106000</v>
      </c>
      <c r="G576" s="75" t="s">
        <v>309</v>
      </c>
      <c r="H576" s="75" t="s">
        <v>310</v>
      </c>
      <c r="I576" s="75" t="s">
        <v>400</v>
      </c>
      <c r="J576" s="75">
        <v>2021</v>
      </c>
      <c r="K576" s="75" t="s">
        <v>312</v>
      </c>
      <c r="L576" s="75" t="s">
        <v>1731</v>
      </c>
    </row>
    <row r="577" spans="1:12" hidden="1" x14ac:dyDescent="0.25">
      <c r="A577" s="78">
        <v>44090</v>
      </c>
      <c r="B577" s="75" t="s">
        <v>1732</v>
      </c>
      <c r="C577" s="75" t="s">
        <v>1733</v>
      </c>
      <c r="D577" s="75" t="s">
        <v>1096</v>
      </c>
      <c r="E577" s="75">
        <v>68427709</v>
      </c>
      <c r="F577" s="167">
        <v>9000</v>
      </c>
      <c r="G577" s="75" t="s">
        <v>309</v>
      </c>
      <c r="H577" s="75" t="s">
        <v>310</v>
      </c>
      <c r="I577" s="75" t="s">
        <v>400</v>
      </c>
      <c r="J577" s="75">
        <v>2021</v>
      </c>
      <c r="K577" s="75" t="s">
        <v>312</v>
      </c>
      <c r="L577" s="75"/>
    </row>
    <row r="578" spans="1:12" hidden="1" x14ac:dyDescent="0.25">
      <c r="A578" s="78">
        <v>44090</v>
      </c>
      <c r="B578" s="75" t="s">
        <v>503</v>
      </c>
      <c r="C578" s="75" t="s">
        <v>1734</v>
      </c>
      <c r="D578" s="75" t="s">
        <v>503</v>
      </c>
      <c r="E578" s="75">
        <v>68427709</v>
      </c>
      <c r="F578" s="167">
        <v>-30000</v>
      </c>
      <c r="G578" s="75" t="s">
        <v>309</v>
      </c>
      <c r="H578" s="75" t="s">
        <v>310</v>
      </c>
      <c r="I578" s="75" t="s">
        <v>400</v>
      </c>
      <c r="J578" s="75">
        <v>2021</v>
      </c>
      <c r="K578" s="75" t="s">
        <v>312</v>
      </c>
      <c r="L578" s="75"/>
    </row>
    <row r="579" spans="1:12" hidden="1" x14ac:dyDescent="0.25">
      <c r="A579" s="78">
        <v>44092</v>
      </c>
      <c r="B579" s="75" t="s">
        <v>1215</v>
      </c>
      <c r="C579" s="75" t="s">
        <v>1735</v>
      </c>
      <c r="D579" s="75" t="s">
        <v>376</v>
      </c>
      <c r="E579" s="75">
        <v>68427719</v>
      </c>
      <c r="F579" s="167">
        <v>-900000</v>
      </c>
      <c r="G579" s="75" t="s">
        <v>309</v>
      </c>
      <c r="H579" s="75" t="s">
        <v>310</v>
      </c>
      <c r="I579" s="75" t="s">
        <v>329</v>
      </c>
      <c r="J579" s="75">
        <v>2021</v>
      </c>
      <c r="K579" s="75" t="s">
        <v>1593</v>
      </c>
      <c r="L579" s="75"/>
    </row>
    <row r="580" spans="1:12" hidden="1" x14ac:dyDescent="0.25">
      <c r="A580" s="78">
        <v>44092</v>
      </c>
      <c r="B580" s="75" t="s">
        <v>1218</v>
      </c>
      <c r="C580" s="75" t="s">
        <v>1735</v>
      </c>
      <c r="D580" s="75" t="s">
        <v>380</v>
      </c>
      <c r="E580" s="75">
        <v>68427719</v>
      </c>
      <c r="F580" s="167">
        <v>-650000</v>
      </c>
      <c r="G580" s="75" t="s">
        <v>309</v>
      </c>
      <c r="H580" s="75" t="s">
        <v>310</v>
      </c>
      <c r="I580" s="75" t="s">
        <v>329</v>
      </c>
      <c r="J580" s="75">
        <v>2021</v>
      </c>
      <c r="K580" s="75" t="s">
        <v>1593</v>
      </c>
      <c r="L580" s="75"/>
    </row>
    <row r="581" spans="1:12" hidden="1" x14ac:dyDescent="0.25">
      <c r="A581" s="78">
        <v>44092</v>
      </c>
      <c r="B581" s="75" t="s">
        <v>1219</v>
      </c>
      <c r="C581" s="75" t="s">
        <v>1735</v>
      </c>
      <c r="D581" s="75" t="s">
        <v>379</v>
      </c>
      <c r="E581" s="75">
        <v>68427719</v>
      </c>
      <c r="F581" s="167">
        <v>-1400000</v>
      </c>
      <c r="G581" s="75" t="s">
        <v>309</v>
      </c>
      <c r="H581" s="75" t="s">
        <v>310</v>
      </c>
      <c r="I581" s="75" t="s">
        <v>329</v>
      </c>
      <c r="J581" s="75">
        <v>2021</v>
      </c>
      <c r="K581" s="75" t="s">
        <v>1593</v>
      </c>
      <c r="L581" s="75"/>
    </row>
    <row r="582" spans="1:12" hidden="1" x14ac:dyDescent="0.25">
      <c r="A582" s="78">
        <v>44098</v>
      </c>
      <c r="B582" s="75" t="s">
        <v>1736</v>
      </c>
      <c r="C582" s="75" t="s">
        <v>1737</v>
      </c>
      <c r="D582" s="75" t="s">
        <v>376</v>
      </c>
      <c r="E582" s="75">
        <v>68427709</v>
      </c>
      <c r="F582" s="167">
        <v>13000</v>
      </c>
      <c r="G582" s="75" t="s">
        <v>309</v>
      </c>
      <c r="H582" s="75" t="s">
        <v>310</v>
      </c>
      <c r="I582" s="75" t="s">
        <v>324</v>
      </c>
      <c r="J582" s="75">
        <v>2021</v>
      </c>
      <c r="K582" s="75" t="s">
        <v>1593</v>
      </c>
      <c r="L582" s="75"/>
    </row>
    <row r="583" spans="1:12" hidden="1" x14ac:dyDescent="0.25">
      <c r="A583" s="78">
        <v>44102</v>
      </c>
      <c r="B583" s="75" t="s">
        <v>1738</v>
      </c>
      <c r="C583" s="75" t="s">
        <v>1739</v>
      </c>
      <c r="D583" s="75" t="s">
        <v>1702</v>
      </c>
      <c r="E583" s="75">
        <v>68427709</v>
      </c>
      <c r="F583" s="167">
        <v>14000</v>
      </c>
      <c r="G583" s="75" t="s">
        <v>309</v>
      </c>
      <c r="H583" s="75" t="s">
        <v>310</v>
      </c>
      <c r="I583" s="75" t="s">
        <v>400</v>
      </c>
      <c r="J583" s="75">
        <v>2021</v>
      </c>
      <c r="K583" s="75" t="s">
        <v>423</v>
      </c>
      <c r="L583" s="75" t="s">
        <v>1740</v>
      </c>
    </row>
    <row r="584" spans="1:12" hidden="1" x14ac:dyDescent="0.25">
      <c r="A584" s="78">
        <v>44106</v>
      </c>
      <c r="B584" s="75" t="s">
        <v>1741</v>
      </c>
      <c r="C584" s="75" t="s">
        <v>1742</v>
      </c>
      <c r="D584" s="75" t="s">
        <v>1455</v>
      </c>
      <c r="E584" s="75">
        <v>68427709</v>
      </c>
      <c r="F584" s="167">
        <v>150000</v>
      </c>
      <c r="G584" s="75" t="s">
        <v>309</v>
      </c>
      <c r="H584" s="75" t="s">
        <v>310</v>
      </c>
      <c r="I584" s="75" t="s">
        <v>400</v>
      </c>
      <c r="J584" s="75">
        <v>2021</v>
      </c>
      <c r="K584" s="75" t="s">
        <v>557</v>
      </c>
      <c r="L584" s="75"/>
    </row>
    <row r="585" spans="1:12" hidden="1" x14ac:dyDescent="0.25">
      <c r="A585" s="78">
        <v>44106</v>
      </c>
      <c r="B585" s="75" t="s">
        <v>1743</v>
      </c>
      <c r="C585" s="75" t="s">
        <v>1744</v>
      </c>
      <c r="D585" s="75" t="s">
        <v>1513</v>
      </c>
      <c r="E585" s="75">
        <v>68427709</v>
      </c>
      <c r="F585" s="167">
        <v>677000</v>
      </c>
      <c r="G585" s="75" t="s">
        <v>309</v>
      </c>
      <c r="H585" s="75" t="s">
        <v>310</v>
      </c>
      <c r="I585" s="75" t="s">
        <v>329</v>
      </c>
      <c r="J585" s="75">
        <v>2021</v>
      </c>
      <c r="K585" s="75" t="s">
        <v>738</v>
      </c>
      <c r="L585" s="75" t="s">
        <v>1745</v>
      </c>
    </row>
    <row r="586" spans="1:12" hidden="1" x14ac:dyDescent="0.25">
      <c r="A586" s="78">
        <v>44133</v>
      </c>
      <c r="B586" s="75" t="s">
        <v>1746</v>
      </c>
      <c r="C586" s="75" t="s">
        <v>1747</v>
      </c>
      <c r="D586" s="75"/>
      <c r="E586" s="75">
        <v>68427709</v>
      </c>
      <c r="F586" s="167">
        <v>-10000</v>
      </c>
      <c r="G586" s="75" t="s">
        <v>309</v>
      </c>
      <c r="H586" s="75" t="s">
        <v>310</v>
      </c>
      <c r="I586" s="75"/>
      <c r="J586" s="75">
        <v>2021</v>
      </c>
      <c r="K586" s="75"/>
      <c r="L586" s="75" t="s">
        <v>1748</v>
      </c>
    </row>
    <row r="587" spans="1:12" hidden="1" x14ac:dyDescent="0.25">
      <c r="A587" s="78">
        <v>44133</v>
      </c>
      <c r="B587" s="75" t="s">
        <v>1749</v>
      </c>
      <c r="C587" s="75" t="s">
        <v>1747</v>
      </c>
      <c r="D587" s="75"/>
      <c r="E587" s="75">
        <v>68427709</v>
      </c>
      <c r="F587" s="167">
        <v>-25000</v>
      </c>
      <c r="G587" s="75" t="s">
        <v>309</v>
      </c>
      <c r="H587" s="75" t="s">
        <v>310</v>
      </c>
      <c r="I587" s="75"/>
      <c r="J587" s="75">
        <v>2021</v>
      </c>
      <c r="K587" s="75"/>
      <c r="L587" s="75" t="s">
        <v>1748</v>
      </c>
    </row>
    <row r="588" spans="1:12" hidden="1" x14ac:dyDescent="0.25">
      <c r="A588" s="78">
        <v>44133</v>
      </c>
      <c r="B588" t="s">
        <v>1146</v>
      </c>
      <c r="C588" s="75" t="s">
        <v>1747</v>
      </c>
      <c r="D588" s="75"/>
      <c r="E588" s="75">
        <v>68427709</v>
      </c>
      <c r="F588" s="167">
        <v>-25000</v>
      </c>
      <c r="G588" s="75" t="s">
        <v>309</v>
      </c>
      <c r="H588" s="75" t="s">
        <v>310</v>
      </c>
      <c r="I588" s="75"/>
      <c r="J588" s="75">
        <v>2021</v>
      </c>
      <c r="K588" s="75"/>
      <c r="L588" s="75" t="s">
        <v>1748</v>
      </c>
    </row>
    <row r="589" spans="1:12" hidden="1" x14ac:dyDescent="0.25">
      <c r="A589" s="78">
        <v>44133</v>
      </c>
      <c r="B589" s="75" t="s">
        <v>1750</v>
      </c>
      <c r="C589" s="75" t="s">
        <v>1747</v>
      </c>
      <c r="D589" s="75"/>
      <c r="E589" s="75">
        <v>68427709</v>
      </c>
      <c r="F589" s="167">
        <v>-230000</v>
      </c>
      <c r="G589" s="75" t="s">
        <v>309</v>
      </c>
      <c r="H589" s="75" t="s">
        <v>310</v>
      </c>
      <c r="I589" s="75"/>
      <c r="J589" s="75">
        <v>2021</v>
      </c>
      <c r="K589" s="75"/>
      <c r="L589" s="75" t="s">
        <v>1748</v>
      </c>
    </row>
    <row r="590" spans="1:12" hidden="1" x14ac:dyDescent="0.25">
      <c r="A590" s="78">
        <v>44133</v>
      </c>
      <c r="B590" t="s">
        <v>1751</v>
      </c>
      <c r="C590" s="75" t="s">
        <v>1747</v>
      </c>
      <c r="D590" s="75"/>
      <c r="E590" s="75">
        <v>68427709</v>
      </c>
      <c r="F590" s="167">
        <v>-80000</v>
      </c>
      <c r="G590" s="75" t="s">
        <v>309</v>
      </c>
      <c r="H590" s="75" t="s">
        <v>310</v>
      </c>
      <c r="I590" s="75"/>
      <c r="J590" s="75">
        <v>2021</v>
      </c>
      <c r="K590" s="75"/>
      <c r="L590" s="75" t="s">
        <v>1748</v>
      </c>
    </row>
    <row r="591" spans="1:12" hidden="1" x14ac:dyDescent="0.25">
      <c r="A591" s="78">
        <v>44133</v>
      </c>
      <c r="B591" s="75" t="s">
        <v>1752</v>
      </c>
      <c r="C591" s="75" t="s">
        <v>1747</v>
      </c>
      <c r="D591" s="75"/>
      <c r="E591" s="75">
        <v>68427709</v>
      </c>
      <c r="F591" s="167">
        <v>-40000</v>
      </c>
      <c r="G591" s="75" t="s">
        <v>309</v>
      </c>
      <c r="H591" s="75" t="s">
        <v>310</v>
      </c>
      <c r="I591" s="75"/>
      <c r="J591" s="75">
        <v>2021</v>
      </c>
      <c r="K591" s="75"/>
      <c r="L591" s="75" t="s">
        <v>1748</v>
      </c>
    </row>
    <row r="592" spans="1:12" hidden="1" x14ac:dyDescent="0.25">
      <c r="A592" s="78">
        <v>44133</v>
      </c>
      <c r="B592" s="75" t="s">
        <v>1727</v>
      </c>
      <c r="C592" s="75" t="s">
        <v>1747</v>
      </c>
      <c r="D592" s="75"/>
      <c r="E592" s="75">
        <v>68427709</v>
      </c>
      <c r="F592" s="167">
        <v>-56000</v>
      </c>
      <c r="G592" s="75" t="s">
        <v>309</v>
      </c>
      <c r="H592" s="75" t="s">
        <v>310</v>
      </c>
      <c r="I592" s="75"/>
      <c r="J592" s="75">
        <v>2021</v>
      </c>
      <c r="K592" s="75"/>
      <c r="L592" s="75" t="s">
        <v>1748</v>
      </c>
    </row>
    <row r="593" spans="1:12" hidden="1" x14ac:dyDescent="0.25">
      <c r="A593" s="78">
        <v>44137</v>
      </c>
      <c r="B593" s="75" t="s">
        <v>1753</v>
      </c>
      <c r="C593" s="75" t="s">
        <v>1747</v>
      </c>
      <c r="D593" s="75"/>
      <c r="E593" s="75">
        <v>68427709</v>
      </c>
      <c r="F593" s="167">
        <v>-245000</v>
      </c>
      <c r="G593" s="75" t="s">
        <v>309</v>
      </c>
      <c r="H593" s="75" t="s">
        <v>310</v>
      </c>
      <c r="I593" s="75"/>
      <c r="J593" s="75">
        <v>2021</v>
      </c>
      <c r="K593" s="75" t="s">
        <v>1399</v>
      </c>
      <c r="L593" s="75" t="s">
        <v>1754</v>
      </c>
    </row>
    <row r="594" spans="1:12" hidden="1" x14ac:dyDescent="0.25">
      <c r="A594" s="78">
        <v>44137</v>
      </c>
      <c r="B594" s="75" t="s">
        <v>1755</v>
      </c>
      <c r="C594" s="75" t="s">
        <v>1747</v>
      </c>
      <c r="D594" s="75"/>
      <c r="E594" s="75">
        <v>68427709</v>
      </c>
      <c r="F594" s="167">
        <v>-50000</v>
      </c>
      <c r="G594" s="75" t="s">
        <v>309</v>
      </c>
      <c r="H594" s="75" t="s">
        <v>310</v>
      </c>
      <c r="I594" s="75"/>
      <c r="J594" s="75">
        <v>2021</v>
      </c>
      <c r="K594" s="75" t="s">
        <v>1399</v>
      </c>
      <c r="L594" s="75" t="s">
        <v>1754</v>
      </c>
    </row>
    <row r="595" spans="1:12" hidden="1" x14ac:dyDescent="0.25">
      <c r="A595" s="78">
        <v>44137</v>
      </c>
      <c r="B595" s="75" t="s">
        <v>766</v>
      </c>
      <c r="C595" s="75" t="s">
        <v>1747</v>
      </c>
      <c r="D595" s="75"/>
      <c r="E595" s="75">
        <v>68427709</v>
      </c>
      <c r="F595" s="167">
        <v>-71430</v>
      </c>
      <c r="G595" s="75" t="s">
        <v>309</v>
      </c>
      <c r="H595" s="75" t="s">
        <v>310</v>
      </c>
      <c r="I595" s="75"/>
      <c r="J595" s="75">
        <v>2021</v>
      </c>
      <c r="K595" s="75" t="s">
        <v>1399</v>
      </c>
      <c r="L595" s="75" t="s">
        <v>1754</v>
      </c>
    </row>
    <row r="596" spans="1:12" hidden="1" x14ac:dyDescent="0.25">
      <c r="A596" s="78"/>
      <c r="C596" s="75"/>
      <c r="D596" s="75"/>
      <c r="E596" s="75"/>
      <c r="F596" s="167"/>
      <c r="G596" s="75"/>
      <c r="H596" s="75"/>
      <c r="I596" s="75"/>
      <c r="J596" s="75">
        <v>2022</v>
      </c>
      <c r="K596" s="75"/>
      <c r="L596" s="75"/>
    </row>
    <row r="597" spans="1:12" hidden="1" x14ac:dyDescent="0.25">
      <c r="A597" s="78">
        <v>44137</v>
      </c>
      <c r="B597" t="s">
        <v>1756</v>
      </c>
      <c r="C597" s="75" t="s">
        <v>1757</v>
      </c>
      <c r="D597" s="75" t="s">
        <v>1756</v>
      </c>
      <c r="E597" s="75">
        <v>68427709</v>
      </c>
      <c r="F597" s="167">
        <v>17000</v>
      </c>
      <c r="G597" s="75" t="s">
        <v>309</v>
      </c>
      <c r="H597" s="75" t="s">
        <v>310</v>
      </c>
      <c r="I597" s="75" t="s">
        <v>400</v>
      </c>
      <c r="J597" s="75">
        <v>2022</v>
      </c>
      <c r="K597" s="75" t="s">
        <v>751</v>
      </c>
      <c r="L597" s="75" t="s">
        <v>1758</v>
      </c>
    </row>
    <row r="598" spans="1:12" hidden="1" x14ac:dyDescent="0.25">
      <c r="A598" s="78">
        <v>44137</v>
      </c>
      <c r="B598" s="75" t="s">
        <v>331</v>
      </c>
      <c r="C598" s="75" t="s">
        <v>1759</v>
      </c>
      <c r="D598" s="75" t="s">
        <v>331</v>
      </c>
      <c r="E598" s="75">
        <v>68427709</v>
      </c>
      <c r="F598" s="167">
        <v>70000</v>
      </c>
      <c r="G598" s="75" t="s">
        <v>309</v>
      </c>
      <c r="H598" s="75" t="s">
        <v>310</v>
      </c>
      <c r="I598" s="75" t="s">
        <v>400</v>
      </c>
      <c r="J598" s="75">
        <v>2022</v>
      </c>
      <c r="K598" s="75" t="s">
        <v>1760</v>
      </c>
      <c r="L598" s="75" t="s">
        <v>1758</v>
      </c>
    </row>
    <row r="599" spans="1:12" hidden="1" x14ac:dyDescent="0.25">
      <c r="A599" s="78">
        <v>44140</v>
      </c>
      <c r="B599" s="75" t="s">
        <v>1761</v>
      </c>
      <c r="C599" s="75" t="s">
        <v>1762</v>
      </c>
      <c r="D599" s="75" t="s">
        <v>1763</v>
      </c>
      <c r="E599" s="75">
        <v>68427709</v>
      </c>
      <c r="F599" s="89">
        <v>210000</v>
      </c>
      <c r="G599" s="75" t="s">
        <v>309</v>
      </c>
      <c r="H599" s="75" t="s">
        <v>310</v>
      </c>
      <c r="I599" s="75" t="s">
        <v>329</v>
      </c>
      <c r="J599" s="75">
        <v>2022</v>
      </c>
      <c r="K599" s="75" t="s">
        <v>1764</v>
      </c>
      <c r="L599" s="75" t="s">
        <v>1765</v>
      </c>
    </row>
    <row r="600" spans="1:12" hidden="1" x14ac:dyDescent="0.25">
      <c r="A600" s="78">
        <v>44150</v>
      </c>
      <c r="B600" s="75" t="s">
        <v>1766</v>
      </c>
      <c r="C600" s="75" t="s">
        <v>1767</v>
      </c>
      <c r="D600" s="75" t="s">
        <v>1531</v>
      </c>
      <c r="E600" s="75">
        <v>68427709</v>
      </c>
      <c r="F600" s="89">
        <v>-150000</v>
      </c>
      <c r="G600" s="75" t="s">
        <v>309</v>
      </c>
      <c r="H600" s="75" t="s">
        <v>310</v>
      </c>
      <c r="I600" s="75" t="s">
        <v>400</v>
      </c>
      <c r="J600" s="75">
        <v>2022</v>
      </c>
      <c r="K600" s="75" t="s">
        <v>367</v>
      </c>
      <c r="L600" s="75" t="s">
        <v>1768</v>
      </c>
    </row>
    <row r="601" spans="1:12" hidden="1" x14ac:dyDescent="0.25">
      <c r="A601" s="78">
        <v>44150</v>
      </c>
      <c r="B601" s="75" t="s">
        <v>1769</v>
      </c>
      <c r="C601" s="75" t="s">
        <v>1770</v>
      </c>
      <c r="D601" s="75" t="s">
        <v>1771</v>
      </c>
      <c r="E601" s="75">
        <v>68427709</v>
      </c>
      <c r="F601" s="89">
        <v>25000</v>
      </c>
      <c r="G601" s="75" t="s">
        <v>309</v>
      </c>
      <c r="H601" s="75" t="s">
        <v>310</v>
      </c>
      <c r="I601" s="75" t="s">
        <v>329</v>
      </c>
      <c r="J601" s="75">
        <v>2022</v>
      </c>
      <c r="K601" s="75" t="s">
        <v>312</v>
      </c>
      <c r="L601" s="75" t="s">
        <v>1772</v>
      </c>
    </row>
    <row r="602" spans="1:12" hidden="1" x14ac:dyDescent="0.25">
      <c r="A602" s="78">
        <v>44150</v>
      </c>
      <c r="B602" s="75" t="s">
        <v>1773</v>
      </c>
      <c r="C602" s="75" t="s">
        <v>1774</v>
      </c>
      <c r="D602" s="75" t="s">
        <v>1773</v>
      </c>
      <c r="E602" s="75">
        <v>68427709</v>
      </c>
      <c r="F602" s="89">
        <v>25000</v>
      </c>
      <c r="G602" s="75" t="s">
        <v>309</v>
      </c>
      <c r="H602" s="75" t="s">
        <v>310</v>
      </c>
      <c r="I602" s="75" t="s">
        <v>400</v>
      </c>
      <c r="J602" s="75">
        <v>2022</v>
      </c>
      <c r="K602" s="75" t="s">
        <v>312</v>
      </c>
      <c r="L602" s="75" t="s">
        <v>1775</v>
      </c>
    </row>
    <row r="603" spans="1:12" hidden="1" x14ac:dyDescent="0.25">
      <c r="A603" s="78">
        <v>44150</v>
      </c>
      <c r="B603" s="75" t="s">
        <v>1776</v>
      </c>
      <c r="C603" s="75" t="s">
        <v>1777</v>
      </c>
      <c r="D603" s="75" t="s">
        <v>633</v>
      </c>
      <c r="E603" s="75">
        <v>68427709</v>
      </c>
      <c r="F603" s="89">
        <v>21250</v>
      </c>
      <c r="G603" s="75" t="s">
        <v>309</v>
      </c>
      <c r="H603" s="75" t="s">
        <v>310</v>
      </c>
      <c r="I603" s="75" t="s">
        <v>400</v>
      </c>
      <c r="J603" s="75">
        <v>2022</v>
      </c>
      <c r="K603" s="75" t="s">
        <v>367</v>
      </c>
      <c r="L603" s="75" t="s">
        <v>1778</v>
      </c>
    </row>
    <row r="604" spans="1:12" hidden="1" x14ac:dyDescent="0.25">
      <c r="A604" s="78">
        <v>44150</v>
      </c>
      <c r="B604" s="75" t="s">
        <v>1779</v>
      </c>
      <c r="C604" s="75" t="s">
        <v>1780</v>
      </c>
      <c r="D604" s="75" t="s">
        <v>1779</v>
      </c>
      <c r="E604" s="75">
        <v>68427709</v>
      </c>
      <c r="F604" s="89">
        <v>-50000</v>
      </c>
      <c r="G604" s="75" t="s">
        <v>309</v>
      </c>
      <c r="H604" s="75" t="s">
        <v>310</v>
      </c>
      <c r="I604" s="75" t="s">
        <v>400</v>
      </c>
      <c r="J604" s="75">
        <v>2022</v>
      </c>
      <c r="K604" s="75" t="s">
        <v>312</v>
      </c>
      <c r="L604" s="75" t="s">
        <v>1203</v>
      </c>
    </row>
    <row r="605" spans="1:12" hidden="1" x14ac:dyDescent="0.25">
      <c r="A605" s="78">
        <v>44209</v>
      </c>
      <c r="B605" s="75" t="s">
        <v>1781</v>
      </c>
      <c r="C605" s="75" t="s">
        <v>1782</v>
      </c>
      <c r="D605" s="75" t="s">
        <v>1783</v>
      </c>
      <c r="E605" s="75">
        <v>68427709</v>
      </c>
      <c r="F605" s="89">
        <v>0</v>
      </c>
      <c r="G605" s="75" t="s">
        <v>309</v>
      </c>
      <c r="H605" s="75" t="s">
        <v>310</v>
      </c>
      <c r="I605" s="75" t="s">
        <v>329</v>
      </c>
      <c r="J605" s="75">
        <v>2022</v>
      </c>
      <c r="K605" s="75" t="s">
        <v>1784</v>
      </c>
      <c r="L605" s="75" t="s">
        <v>1785</v>
      </c>
    </row>
    <row r="606" spans="1:12" hidden="1" x14ac:dyDescent="0.25">
      <c r="A606" s="78">
        <v>44210</v>
      </c>
      <c r="B606" s="75" t="s">
        <v>1786</v>
      </c>
      <c r="C606" s="75" t="s">
        <v>1787</v>
      </c>
      <c r="D606" s="75" t="s">
        <v>1786</v>
      </c>
      <c r="E606" s="75">
        <v>68427709</v>
      </c>
      <c r="F606" s="89">
        <v>85000</v>
      </c>
      <c r="G606" s="75" t="s">
        <v>309</v>
      </c>
      <c r="H606" s="75" t="s">
        <v>310</v>
      </c>
      <c r="I606" s="75" t="s">
        <v>329</v>
      </c>
      <c r="J606" s="75">
        <v>2022</v>
      </c>
      <c r="K606" s="75" t="s">
        <v>1479</v>
      </c>
      <c r="L606" s="75" t="s">
        <v>1788</v>
      </c>
    </row>
    <row r="607" spans="1:12" hidden="1" x14ac:dyDescent="0.25">
      <c r="A607" s="78">
        <v>44210</v>
      </c>
      <c r="B607" s="75" t="s">
        <v>1789</v>
      </c>
      <c r="C607" s="75" t="s">
        <v>1790</v>
      </c>
      <c r="D607" s="75" t="s">
        <v>1789</v>
      </c>
      <c r="E607" s="75">
        <v>68427709</v>
      </c>
      <c r="F607" s="89">
        <v>310000</v>
      </c>
      <c r="G607" s="75" t="s">
        <v>309</v>
      </c>
      <c r="H607" s="75" t="s">
        <v>310</v>
      </c>
      <c r="I607" s="75" t="s">
        <v>329</v>
      </c>
      <c r="J607" s="75">
        <v>2022</v>
      </c>
      <c r="K607" s="75" t="s">
        <v>1479</v>
      </c>
      <c r="L607" s="75" t="s">
        <v>1791</v>
      </c>
    </row>
    <row r="608" spans="1:12" hidden="1" x14ac:dyDescent="0.25">
      <c r="A608" s="78">
        <v>44214</v>
      </c>
      <c r="B608" s="75" t="s">
        <v>1792</v>
      </c>
      <c r="C608" s="75" t="s">
        <v>1793</v>
      </c>
      <c r="D608" s="75" t="s">
        <v>1789</v>
      </c>
      <c r="E608" s="75">
        <v>68427709</v>
      </c>
      <c r="F608" s="89">
        <v>-39000</v>
      </c>
      <c r="G608" s="75" t="s">
        <v>309</v>
      </c>
      <c r="H608" s="75" t="s">
        <v>310</v>
      </c>
      <c r="I608" s="75" t="s">
        <v>400</v>
      </c>
      <c r="J608" s="75">
        <v>2022</v>
      </c>
      <c r="K608" s="75" t="s">
        <v>1479</v>
      </c>
      <c r="L608" s="75"/>
    </row>
    <row r="609" spans="1:12" hidden="1" x14ac:dyDescent="0.25">
      <c r="A609" s="78">
        <v>44214</v>
      </c>
      <c r="B609" s="75" t="s">
        <v>1794</v>
      </c>
      <c r="C609" s="75" t="s">
        <v>1795</v>
      </c>
      <c r="D609" s="75" t="s">
        <v>1789</v>
      </c>
      <c r="E609" s="75">
        <v>68427709</v>
      </c>
      <c r="F609" s="89">
        <v>-111000</v>
      </c>
      <c r="G609" s="75" t="s">
        <v>309</v>
      </c>
      <c r="H609" s="75" t="s">
        <v>310</v>
      </c>
      <c r="I609" s="75" t="s">
        <v>400</v>
      </c>
      <c r="J609" s="75">
        <v>2022</v>
      </c>
      <c r="K609" s="75" t="s">
        <v>1479</v>
      </c>
      <c r="L609" s="75"/>
    </row>
    <row r="610" spans="1:12" hidden="1" x14ac:dyDescent="0.25">
      <c r="A610" s="78">
        <v>44214</v>
      </c>
      <c r="B610" s="75" t="s">
        <v>1796</v>
      </c>
      <c r="C610" s="75" t="s">
        <v>1797</v>
      </c>
      <c r="D610" s="75" t="s">
        <v>1789</v>
      </c>
      <c r="E610" s="75">
        <v>68427709</v>
      </c>
      <c r="F610" s="89">
        <v>-63000</v>
      </c>
      <c r="G610" s="75" t="s">
        <v>309</v>
      </c>
      <c r="H610" s="75" t="s">
        <v>310</v>
      </c>
      <c r="I610" s="75" t="s">
        <v>329</v>
      </c>
      <c r="J610" s="75">
        <v>2022</v>
      </c>
      <c r="K610" s="75" t="s">
        <v>1479</v>
      </c>
      <c r="L610" s="75"/>
    </row>
    <row r="611" spans="1:12" hidden="1" x14ac:dyDescent="0.25">
      <c r="A611" s="78">
        <v>44221</v>
      </c>
      <c r="B611" s="75" t="s">
        <v>1798</v>
      </c>
      <c r="C611" s="75" t="s">
        <v>1799</v>
      </c>
      <c r="D611" s="75" t="s">
        <v>1096</v>
      </c>
      <c r="E611" s="75">
        <v>68427709</v>
      </c>
      <c r="F611" s="89">
        <v>-832</v>
      </c>
      <c r="G611" s="75" t="s">
        <v>309</v>
      </c>
      <c r="H611" s="75" t="s">
        <v>310</v>
      </c>
      <c r="I611" s="75" t="s">
        <v>400</v>
      </c>
      <c r="J611" s="75">
        <v>2022</v>
      </c>
      <c r="K611" s="75" t="s">
        <v>312</v>
      </c>
      <c r="L611" s="75" t="s">
        <v>1800</v>
      </c>
    </row>
    <row r="612" spans="1:12" hidden="1" x14ac:dyDescent="0.25">
      <c r="A612" s="78">
        <v>44221</v>
      </c>
      <c r="B612" s="75" t="s">
        <v>1798</v>
      </c>
      <c r="C612" s="75" t="s">
        <v>1801</v>
      </c>
      <c r="D612" s="75" t="s">
        <v>1096</v>
      </c>
      <c r="E612" s="75">
        <v>68427709</v>
      </c>
      <c r="F612" s="89">
        <v>4300</v>
      </c>
      <c r="G612" s="75" t="s">
        <v>309</v>
      </c>
      <c r="H612" s="75" t="s">
        <v>310</v>
      </c>
      <c r="I612" s="75" t="s">
        <v>400</v>
      </c>
      <c r="J612" s="75">
        <v>2022</v>
      </c>
      <c r="K612" s="75" t="s">
        <v>312</v>
      </c>
      <c r="L612" s="75" t="s">
        <v>1802</v>
      </c>
    </row>
    <row r="613" spans="1:12" hidden="1" x14ac:dyDescent="0.25">
      <c r="A613" s="78">
        <v>44221</v>
      </c>
      <c r="B613" s="75" t="s">
        <v>1798</v>
      </c>
      <c r="C613" s="75" t="s">
        <v>1803</v>
      </c>
      <c r="D613" s="75" t="s">
        <v>1096</v>
      </c>
      <c r="E613" s="75">
        <v>68427709</v>
      </c>
      <c r="F613" s="89">
        <v>-12300</v>
      </c>
      <c r="G613" s="75" t="s">
        <v>309</v>
      </c>
      <c r="H613" s="75" t="s">
        <v>310</v>
      </c>
      <c r="I613" s="75" t="s">
        <v>400</v>
      </c>
      <c r="J613" s="75">
        <v>2022</v>
      </c>
      <c r="K613" s="75" t="s">
        <v>312</v>
      </c>
      <c r="L613" s="75" t="s">
        <v>1804</v>
      </c>
    </row>
    <row r="614" spans="1:12" hidden="1" x14ac:dyDescent="0.25">
      <c r="A614" s="78">
        <v>44221</v>
      </c>
      <c r="B614" s="75" t="s">
        <v>1798</v>
      </c>
      <c r="C614" s="75" t="s">
        <v>1805</v>
      </c>
      <c r="D614" s="75" t="s">
        <v>1096</v>
      </c>
      <c r="E614" s="75">
        <v>68427709</v>
      </c>
      <c r="F614" s="89">
        <v>300</v>
      </c>
      <c r="G614" s="75" t="s">
        <v>309</v>
      </c>
      <c r="H614" s="75" t="s">
        <v>310</v>
      </c>
      <c r="I614" s="75" t="s">
        <v>400</v>
      </c>
      <c r="J614" s="75">
        <v>2022</v>
      </c>
      <c r="K614" s="75" t="s">
        <v>312</v>
      </c>
      <c r="L614" s="75" t="s">
        <v>1802</v>
      </c>
    </row>
    <row r="615" spans="1:12" hidden="1" x14ac:dyDescent="0.25">
      <c r="A615" s="78">
        <v>44221</v>
      </c>
      <c r="B615" s="75" t="s">
        <v>1798</v>
      </c>
      <c r="C615" s="75" t="s">
        <v>1806</v>
      </c>
      <c r="D615" s="75" t="s">
        <v>1096</v>
      </c>
      <c r="E615" s="75">
        <v>68427709</v>
      </c>
      <c r="F615" s="89">
        <v>300</v>
      </c>
      <c r="G615" s="75" t="s">
        <v>309</v>
      </c>
      <c r="H615" s="75" t="s">
        <v>310</v>
      </c>
      <c r="I615" s="75" t="s">
        <v>400</v>
      </c>
      <c r="J615" s="75">
        <v>2022</v>
      </c>
      <c r="K615" s="75" t="s">
        <v>312</v>
      </c>
      <c r="L615" s="75" t="s">
        <v>1802</v>
      </c>
    </row>
    <row r="616" spans="1:12" hidden="1" x14ac:dyDescent="0.25">
      <c r="A616" s="78">
        <v>44221</v>
      </c>
      <c r="B616" s="75" t="s">
        <v>1798</v>
      </c>
      <c r="C616" s="75" t="s">
        <v>1807</v>
      </c>
      <c r="D616" s="75" t="s">
        <v>1096</v>
      </c>
      <c r="E616" s="75">
        <v>68427709</v>
      </c>
      <c r="F616" s="89">
        <v>61000</v>
      </c>
      <c r="G616" s="75" t="s">
        <v>309</v>
      </c>
      <c r="H616" s="75" t="s">
        <v>310</v>
      </c>
      <c r="I616" s="75" t="s">
        <v>400</v>
      </c>
      <c r="J616" s="75">
        <v>2022</v>
      </c>
      <c r="K616" s="75" t="s">
        <v>312</v>
      </c>
      <c r="L616" s="75" t="s">
        <v>1808</v>
      </c>
    </row>
    <row r="617" spans="1:12" hidden="1" x14ac:dyDescent="0.25">
      <c r="A617" s="78">
        <v>44221</v>
      </c>
      <c r="B617" s="75" t="s">
        <v>1798</v>
      </c>
      <c r="C617" s="75" t="s">
        <v>1809</v>
      </c>
      <c r="D617" s="75" t="s">
        <v>1096</v>
      </c>
      <c r="E617" s="75">
        <v>68427709</v>
      </c>
      <c r="F617" s="89">
        <v>-20800</v>
      </c>
      <c r="G617" s="75" t="s">
        <v>309</v>
      </c>
      <c r="H617" s="75" t="s">
        <v>310</v>
      </c>
      <c r="I617" s="75" t="s">
        <v>400</v>
      </c>
      <c r="J617" s="75">
        <v>2022</v>
      </c>
      <c r="K617" s="75" t="s">
        <v>312</v>
      </c>
      <c r="L617" s="75" t="s">
        <v>1800</v>
      </c>
    </row>
    <row r="618" spans="1:12" hidden="1" x14ac:dyDescent="0.25">
      <c r="A618" s="78">
        <v>44222</v>
      </c>
      <c r="B618" s="75" t="s">
        <v>1798</v>
      </c>
      <c r="C618" t="s">
        <v>1810</v>
      </c>
      <c r="D618" s="75" t="s">
        <v>1096</v>
      </c>
      <c r="E618" s="75">
        <v>68427709</v>
      </c>
      <c r="F618">
        <v>900</v>
      </c>
      <c r="G618" s="75" t="s">
        <v>309</v>
      </c>
      <c r="H618" s="75" t="s">
        <v>310</v>
      </c>
      <c r="I618" s="75" t="s">
        <v>400</v>
      </c>
      <c r="J618" s="75">
        <v>2022</v>
      </c>
      <c r="K618" s="75" t="s">
        <v>312</v>
      </c>
      <c r="L618" s="75" t="s">
        <v>1802</v>
      </c>
    </row>
    <row r="619" spans="1:12" hidden="1" x14ac:dyDescent="0.25">
      <c r="A619" s="78">
        <v>44222</v>
      </c>
      <c r="B619" s="75" t="s">
        <v>1798</v>
      </c>
      <c r="C619" s="75" t="s">
        <v>1811</v>
      </c>
      <c r="D619" s="75" t="s">
        <v>1096</v>
      </c>
      <c r="E619" s="75">
        <v>68427709</v>
      </c>
      <c r="F619" s="89">
        <v>1800</v>
      </c>
      <c r="G619" s="75" t="s">
        <v>309</v>
      </c>
      <c r="H619" s="75" t="s">
        <v>310</v>
      </c>
      <c r="I619" s="75" t="s">
        <v>400</v>
      </c>
      <c r="J619" s="75">
        <v>2022</v>
      </c>
      <c r="K619" s="75" t="s">
        <v>312</v>
      </c>
      <c r="L619" s="75" t="s">
        <v>1802</v>
      </c>
    </row>
    <row r="620" spans="1:12" hidden="1" x14ac:dyDescent="0.25">
      <c r="A620" s="78">
        <v>44224</v>
      </c>
      <c r="B620" s="75" t="s">
        <v>1812</v>
      </c>
      <c r="C620" s="75" t="s">
        <v>1813</v>
      </c>
      <c r="D620" s="75" t="s">
        <v>1814</v>
      </c>
      <c r="E620" s="75">
        <v>68427709</v>
      </c>
      <c r="F620" s="172">
        <v>215000</v>
      </c>
      <c r="G620" s="75" t="s">
        <v>309</v>
      </c>
      <c r="H620" s="75" t="s">
        <v>310</v>
      </c>
      <c r="I620" s="75" t="s">
        <v>400</v>
      </c>
      <c r="J620" s="75">
        <v>2022</v>
      </c>
      <c r="K620" s="75" t="s">
        <v>423</v>
      </c>
      <c r="L620" s="75" t="s">
        <v>1815</v>
      </c>
    </row>
    <row r="621" spans="1:12" ht="14.1" hidden="1" customHeight="1" x14ac:dyDescent="0.25">
      <c r="A621" s="78">
        <v>44252</v>
      </c>
      <c r="B621" s="75" t="s">
        <v>1816</v>
      </c>
      <c r="C621" s="75" t="s">
        <v>1817</v>
      </c>
      <c r="D621" s="75" t="s">
        <v>1818</v>
      </c>
      <c r="E621" s="75">
        <v>68427709</v>
      </c>
      <c r="F621" s="89">
        <v>360000</v>
      </c>
      <c r="G621" s="75" t="s">
        <v>309</v>
      </c>
      <c r="H621" s="75" t="s">
        <v>310</v>
      </c>
      <c r="I621" s="75" t="s">
        <v>400</v>
      </c>
      <c r="J621" s="75">
        <v>2022</v>
      </c>
      <c r="K621" s="75" t="s">
        <v>1819</v>
      </c>
      <c r="L621" s="75" t="s">
        <v>1820</v>
      </c>
    </row>
    <row r="622" spans="1:12" hidden="1" x14ac:dyDescent="0.25">
      <c r="A622" s="78">
        <v>44258</v>
      </c>
      <c r="B622" s="75" t="s">
        <v>1821</v>
      </c>
      <c r="C622" s="75" t="s">
        <v>1822</v>
      </c>
      <c r="D622" s="75" t="s">
        <v>633</v>
      </c>
      <c r="E622" s="75">
        <v>68427709</v>
      </c>
      <c r="F622" s="89">
        <v>62000</v>
      </c>
      <c r="G622" s="75" t="s">
        <v>498</v>
      </c>
      <c r="H622" s="75" t="s">
        <v>310</v>
      </c>
      <c r="I622" s="75" t="s">
        <v>400</v>
      </c>
      <c r="J622" s="75">
        <v>2022</v>
      </c>
      <c r="K622" s="75" t="s">
        <v>1623</v>
      </c>
      <c r="L622" s="75" t="s">
        <v>1823</v>
      </c>
    </row>
    <row r="623" spans="1:12" hidden="1" x14ac:dyDescent="0.25">
      <c r="A623" s="78">
        <v>44260</v>
      </c>
      <c r="B623" s="75" t="s">
        <v>1824</v>
      </c>
      <c r="C623" s="75" t="s">
        <v>1825</v>
      </c>
      <c r="D623" s="75" t="s">
        <v>633</v>
      </c>
      <c r="E623" s="75">
        <v>68427709</v>
      </c>
      <c r="F623" s="89">
        <v>29000</v>
      </c>
      <c r="G623" s="75" t="s">
        <v>309</v>
      </c>
      <c r="H623" s="75" t="s">
        <v>310</v>
      </c>
      <c r="I623" s="75" t="s">
        <v>400</v>
      </c>
      <c r="J623" s="75">
        <v>2022</v>
      </c>
      <c r="K623" s="75" t="s">
        <v>312</v>
      </c>
      <c r="L623" s="75"/>
    </row>
    <row r="624" spans="1:12" hidden="1" x14ac:dyDescent="0.25">
      <c r="A624" s="78">
        <v>44263</v>
      </c>
      <c r="B624" s="75" t="s">
        <v>1826</v>
      </c>
      <c r="C624" s="75" t="s">
        <v>1827</v>
      </c>
      <c r="D624" s="75" t="s">
        <v>480</v>
      </c>
      <c r="E624" s="75">
        <v>68427709</v>
      </c>
      <c r="F624" s="89">
        <v>32000</v>
      </c>
      <c r="G624" s="75" t="s">
        <v>309</v>
      </c>
      <c r="H624" s="75" t="s">
        <v>310</v>
      </c>
      <c r="I624" s="75" t="s">
        <v>400</v>
      </c>
      <c r="J624" s="75">
        <v>2022</v>
      </c>
      <c r="K624" s="75" t="s">
        <v>1331</v>
      </c>
      <c r="L624" s="75"/>
    </row>
    <row r="625" spans="1:12" hidden="1" x14ac:dyDescent="0.25">
      <c r="A625" s="78">
        <v>44271</v>
      </c>
      <c r="B625" s="75" t="s">
        <v>1828</v>
      </c>
      <c r="C625" s="75" t="s">
        <v>1829</v>
      </c>
      <c r="D625" s="75" t="s">
        <v>1828</v>
      </c>
      <c r="E625" s="75">
        <v>68427709</v>
      </c>
      <c r="F625" s="89">
        <v>20000</v>
      </c>
      <c r="G625" s="75" t="s">
        <v>309</v>
      </c>
      <c r="H625" s="75" t="s">
        <v>310</v>
      </c>
      <c r="I625" s="75"/>
      <c r="J625" s="75">
        <v>2022</v>
      </c>
      <c r="K625" s="75" t="s">
        <v>1830</v>
      </c>
      <c r="L625" s="75"/>
    </row>
    <row r="626" spans="1:12" hidden="1" x14ac:dyDescent="0.25">
      <c r="A626" s="78">
        <v>44271</v>
      </c>
      <c r="B626" s="75" t="s">
        <v>1831</v>
      </c>
      <c r="C626" s="75" t="s">
        <v>1832</v>
      </c>
      <c r="D626" s="75" t="s">
        <v>1831</v>
      </c>
      <c r="E626" s="75">
        <v>68427709</v>
      </c>
      <c r="F626" s="89">
        <v>40000</v>
      </c>
      <c r="G626" s="75" t="s">
        <v>309</v>
      </c>
      <c r="H626" s="75" t="s">
        <v>310</v>
      </c>
      <c r="I626" s="75" t="s">
        <v>400</v>
      </c>
      <c r="J626" s="75">
        <v>2022</v>
      </c>
      <c r="K626" s="75" t="s">
        <v>1830</v>
      </c>
      <c r="L626" s="75"/>
    </row>
    <row r="627" spans="1:12" hidden="1" x14ac:dyDescent="0.25">
      <c r="A627" s="78">
        <v>44284</v>
      </c>
      <c r="B627" s="75" t="s">
        <v>1833</v>
      </c>
      <c r="C627" s="75" t="s">
        <v>1834</v>
      </c>
      <c r="D627" s="75" t="s">
        <v>1835</v>
      </c>
      <c r="E627" s="75">
        <v>68427709</v>
      </c>
      <c r="F627" s="89">
        <v>7000</v>
      </c>
      <c r="G627" s="75" t="s">
        <v>309</v>
      </c>
      <c r="H627" s="75" t="s">
        <v>310</v>
      </c>
      <c r="I627" s="75" t="s">
        <v>400</v>
      </c>
      <c r="J627" s="75">
        <v>2022</v>
      </c>
      <c r="K627" s="75" t="s">
        <v>1836</v>
      </c>
      <c r="L627" s="75"/>
    </row>
    <row r="628" spans="1:12" hidden="1" x14ac:dyDescent="0.25">
      <c r="A628" s="78">
        <v>44284</v>
      </c>
      <c r="B628" s="75" t="s">
        <v>357</v>
      </c>
      <c r="C628" s="75" t="s">
        <v>1837</v>
      </c>
      <c r="D628" s="75" t="s">
        <v>357</v>
      </c>
      <c r="E628" s="75">
        <v>68427709</v>
      </c>
      <c r="F628" s="89">
        <v>0</v>
      </c>
      <c r="G628" s="75" t="s">
        <v>498</v>
      </c>
      <c r="H628" s="75" t="s">
        <v>310</v>
      </c>
      <c r="I628" s="75" t="s">
        <v>400</v>
      </c>
      <c r="J628" s="75">
        <v>2022</v>
      </c>
      <c r="K628" s="75" t="s">
        <v>423</v>
      </c>
      <c r="L628" s="75"/>
    </row>
    <row r="629" spans="1:12" hidden="1" x14ac:dyDescent="0.25">
      <c r="A629" s="78">
        <v>44292</v>
      </c>
      <c r="B629" s="75" t="s">
        <v>1838</v>
      </c>
      <c r="C629" s="75" t="s">
        <v>1839</v>
      </c>
      <c r="D629" s="75" t="s">
        <v>1838</v>
      </c>
      <c r="E629" s="75">
        <v>68427709</v>
      </c>
      <c r="F629" s="89">
        <v>36000</v>
      </c>
      <c r="G629" s="75" t="s">
        <v>309</v>
      </c>
      <c r="H629" s="75" t="s">
        <v>310</v>
      </c>
      <c r="I629" s="75" t="s">
        <v>400</v>
      </c>
      <c r="J629" s="75">
        <v>2022</v>
      </c>
      <c r="K629" s="75"/>
      <c r="L629" s="75"/>
    </row>
    <row r="630" spans="1:12" hidden="1" x14ac:dyDescent="0.25">
      <c r="A630" s="78">
        <v>44292</v>
      </c>
      <c r="B630" s="75" t="s">
        <v>1840</v>
      </c>
      <c r="C630" s="75" t="s">
        <v>1841</v>
      </c>
      <c r="D630" s="75" t="s">
        <v>1840</v>
      </c>
      <c r="E630" s="75">
        <v>68427709</v>
      </c>
      <c r="F630" s="89">
        <v>0</v>
      </c>
      <c r="G630" s="75" t="s">
        <v>498</v>
      </c>
      <c r="H630" s="75" t="s">
        <v>310</v>
      </c>
      <c r="I630" s="75" t="s">
        <v>400</v>
      </c>
      <c r="J630" s="75">
        <v>2022</v>
      </c>
      <c r="K630" s="75" t="s">
        <v>312</v>
      </c>
      <c r="L630" s="75"/>
    </row>
    <row r="631" spans="1:12" hidden="1" x14ac:dyDescent="0.25">
      <c r="A631" s="78">
        <v>44299</v>
      </c>
      <c r="B631" s="75" t="s">
        <v>1842</v>
      </c>
      <c r="C631" s="75" t="s">
        <v>1843</v>
      </c>
      <c r="D631" s="75" t="s">
        <v>1844</v>
      </c>
      <c r="E631" s="75">
        <v>68427709</v>
      </c>
      <c r="F631" s="89">
        <v>-19000</v>
      </c>
      <c r="G631" s="75" t="s">
        <v>309</v>
      </c>
      <c r="H631" s="75" t="s">
        <v>310</v>
      </c>
      <c r="I631" s="75" t="s">
        <v>329</v>
      </c>
      <c r="J631" s="75">
        <v>2022</v>
      </c>
      <c r="K631" s="75" t="s">
        <v>751</v>
      </c>
      <c r="L631" s="75"/>
    </row>
    <row r="632" spans="1:12" hidden="1" x14ac:dyDescent="0.25">
      <c r="A632" s="78">
        <v>44305</v>
      </c>
      <c r="B632" s="75" t="s">
        <v>1845</v>
      </c>
      <c r="C632" t="s">
        <v>1846</v>
      </c>
      <c r="D632" s="75" t="s">
        <v>0</v>
      </c>
      <c r="E632" s="75">
        <v>68427709</v>
      </c>
      <c r="F632" s="89">
        <v>206000</v>
      </c>
      <c r="G632" s="75" t="s">
        <v>498</v>
      </c>
      <c r="H632" s="75" t="s">
        <v>310</v>
      </c>
      <c r="I632" s="75" t="s">
        <v>400</v>
      </c>
      <c r="J632" s="75">
        <v>2022</v>
      </c>
      <c r="K632" s="75" t="s">
        <v>1217</v>
      </c>
      <c r="L632" s="75" t="s">
        <v>1847</v>
      </c>
    </row>
    <row r="633" spans="1:12" hidden="1" x14ac:dyDescent="0.25">
      <c r="A633" s="78">
        <v>44307</v>
      </c>
      <c r="B633" s="75" t="s">
        <v>1848</v>
      </c>
      <c r="C633" s="75" t="s">
        <v>1849</v>
      </c>
      <c r="D633" s="75" t="s">
        <v>473</v>
      </c>
      <c r="E633" s="75">
        <v>68427709</v>
      </c>
      <c r="F633" s="89">
        <v>5300</v>
      </c>
      <c r="G633" s="75" t="s">
        <v>309</v>
      </c>
      <c r="H633" s="75" t="s">
        <v>310</v>
      </c>
      <c r="I633" s="75" t="s">
        <v>400</v>
      </c>
      <c r="J633" s="75">
        <v>2022</v>
      </c>
      <c r="K633" s="75" t="s">
        <v>1830</v>
      </c>
      <c r="L633" s="75"/>
    </row>
    <row r="634" spans="1:12" hidden="1" x14ac:dyDescent="0.25">
      <c r="A634" s="78">
        <v>44307</v>
      </c>
      <c r="B634" s="75" t="s">
        <v>1850</v>
      </c>
      <c r="C634" s="75" t="s">
        <v>1851</v>
      </c>
      <c r="D634" s="75" t="s">
        <v>799</v>
      </c>
      <c r="E634" s="75"/>
      <c r="F634" s="89">
        <v>0</v>
      </c>
      <c r="G634" s="75" t="s">
        <v>309</v>
      </c>
      <c r="H634" s="75" t="s">
        <v>310</v>
      </c>
      <c r="I634" s="75"/>
      <c r="J634" s="75">
        <v>2022</v>
      </c>
      <c r="K634" s="75"/>
      <c r="L634" s="75"/>
    </row>
    <row r="635" spans="1:12" hidden="1" x14ac:dyDescent="0.25">
      <c r="A635" s="78">
        <v>44309</v>
      </c>
      <c r="B635" s="75" t="s">
        <v>1852</v>
      </c>
      <c r="C635" s="75" t="s">
        <v>1853</v>
      </c>
      <c r="D635" s="75" t="s">
        <v>0</v>
      </c>
      <c r="E635" s="75">
        <v>68427709</v>
      </c>
      <c r="F635" s="89">
        <v>0</v>
      </c>
      <c r="G635" s="75" t="s">
        <v>498</v>
      </c>
      <c r="H635" s="75" t="s">
        <v>310</v>
      </c>
      <c r="I635" s="75"/>
      <c r="J635" s="75">
        <v>2022</v>
      </c>
      <c r="K635" s="75" t="s">
        <v>557</v>
      </c>
      <c r="L635" s="75"/>
    </row>
    <row r="636" spans="1:12" hidden="1" x14ac:dyDescent="0.25">
      <c r="A636" s="78">
        <v>44334</v>
      </c>
      <c r="B636" s="75" t="s">
        <v>1854</v>
      </c>
      <c r="C636" s="75" t="s">
        <v>1852</v>
      </c>
      <c r="D636" s="75" t="s">
        <v>1854</v>
      </c>
      <c r="E636" s="75">
        <v>68427709</v>
      </c>
      <c r="F636" s="89">
        <v>0</v>
      </c>
      <c r="G636" s="75" t="s">
        <v>498</v>
      </c>
      <c r="H636" s="75" t="s">
        <v>310</v>
      </c>
      <c r="I636" s="75"/>
      <c r="J636" s="75">
        <v>2022</v>
      </c>
      <c r="K636" s="75" t="s">
        <v>557</v>
      </c>
      <c r="L636" s="75" t="s">
        <v>1855</v>
      </c>
    </row>
    <row r="637" spans="1:12" hidden="1" x14ac:dyDescent="0.25">
      <c r="A637" s="78">
        <v>44336</v>
      </c>
      <c r="B637" s="75" t="s">
        <v>1856</v>
      </c>
      <c r="C637" s="75" t="s">
        <v>1857</v>
      </c>
      <c r="D637" s="75" t="s">
        <v>633</v>
      </c>
      <c r="E637" s="75">
        <v>68427709</v>
      </c>
      <c r="F637" s="89">
        <v>-12000</v>
      </c>
      <c r="G637" s="75" t="s">
        <v>309</v>
      </c>
      <c r="H637" s="75" t="s">
        <v>310</v>
      </c>
      <c r="I637" s="75" t="s">
        <v>400</v>
      </c>
      <c r="J637" s="75">
        <v>2022</v>
      </c>
      <c r="K637" s="75" t="s">
        <v>475</v>
      </c>
      <c r="L637" s="75" t="s">
        <v>1858</v>
      </c>
    </row>
    <row r="638" spans="1:12" hidden="1" x14ac:dyDescent="0.25">
      <c r="A638" s="78">
        <v>44356</v>
      </c>
      <c r="B638" s="75" t="s">
        <v>1859</v>
      </c>
      <c r="C638" s="75" t="s">
        <v>1860</v>
      </c>
      <c r="D638" s="75" t="s">
        <v>1455</v>
      </c>
      <c r="E638" s="75">
        <v>68427709</v>
      </c>
      <c r="F638" s="89">
        <v>50000</v>
      </c>
      <c r="G638" s="75" t="s">
        <v>309</v>
      </c>
      <c r="H638" s="75" t="s">
        <v>310</v>
      </c>
      <c r="I638" s="75" t="s">
        <v>1144</v>
      </c>
      <c r="J638" s="75">
        <v>2022</v>
      </c>
      <c r="K638" s="75" t="s">
        <v>1288</v>
      </c>
      <c r="L638" s="75" t="s">
        <v>1861</v>
      </c>
    </row>
    <row r="639" spans="1:12" hidden="1" x14ac:dyDescent="0.25">
      <c r="A639" s="78">
        <v>44356</v>
      </c>
      <c r="B639" s="75" t="s">
        <v>1862</v>
      </c>
      <c r="C639" s="75" t="s">
        <v>1863</v>
      </c>
      <c r="D639" s="75" t="s">
        <v>1455</v>
      </c>
      <c r="E639" s="75">
        <v>68427709</v>
      </c>
      <c r="F639" s="89">
        <v>108000</v>
      </c>
      <c r="G639" s="75" t="s">
        <v>309</v>
      </c>
      <c r="H639" s="75" t="s">
        <v>310</v>
      </c>
      <c r="I639" s="75" t="s">
        <v>1144</v>
      </c>
      <c r="J639" s="75">
        <v>2022</v>
      </c>
      <c r="K639" s="75" t="s">
        <v>1288</v>
      </c>
      <c r="L639" s="75"/>
    </row>
    <row r="640" spans="1:12" hidden="1" x14ac:dyDescent="0.25">
      <c r="A640" s="78">
        <v>44356</v>
      </c>
      <c r="B640" s="75" t="s">
        <v>1864</v>
      </c>
      <c r="C640" s="75" t="s">
        <v>1865</v>
      </c>
      <c r="D640" s="75" t="s">
        <v>1866</v>
      </c>
      <c r="E640" s="75">
        <v>68427709</v>
      </c>
      <c r="F640" s="89">
        <v>5000</v>
      </c>
      <c r="G640" s="75" t="s">
        <v>309</v>
      </c>
      <c r="H640" s="75" t="s">
        <v>310</v>
      </c>
      <c r="I640" s="75" t="s">
        <v>1867</v>
      </c>
      <c r="J640" s="75">
        <v>2022</v>
      </c>
      <c r="K640" s="75" t="s">
        <v>751</v>
      </c>
      <c r="L640" s="75"/>
    </row>
    <row r="641" spans="1:12" hidden="1" x14ac:dyDescent="0.25">
      <c r="A641" s="78">
        <v>44361</v>
      </c>
      <c r="B641" s="75" t="s">
        <v>1868</v>
      </c>
      <c r="C641" s="75" t="s">
        <v>1869</v>
      </c>
      <c r="D641" s="75" t="s">
        <v>0</v>
      </c>
      <c r="E641" s="75">
        <v>68427709</v>
      </c>
      <c r="F641" s="89">
        <v>0</v>
      </c>
      <c r="G641" s="75" t="s">
        <v>498</v>
      </c>
      <c r="H641" s="75" t="s">
        <v>310</v>
      </c>
      <c r="I641" s="75" t="s">
        <v>1144</v>
      </c>
      <c r="J641" s="75">
        <v>2022</v>
      </c>
      <c r="K641" s="75" t="s">
        <v>1870</v>
      </c>
      <c r="L641" s="75"/>
    </row>
    <row r="642" spans="1:12" hidden="1" x14ac:dyDescent="0.25">
      <c r="A642" s="78">
        <v>44362</v>
      </c>
      <c r="B642" s="75" t="s">
        <v>1871</v>
      </c>
      <c r="C642" s="75" t="s">
        <v>1872</v>
      </c>
      <c r="D642" s="75" t="s">
        <v>481</v>
      </c>
      <c r="E642" s="75">
        <v>68427709</v>
      </c>
      <c r="F642" s="89">
        <v>0</v>
      </c>
      <c r="G642" s="75" t="s">
        <v>498</v>
      </c>
      <c r="H642" s="75" t="s">
        <v>310</v>
      </c>
      <c r="I642" s="75" t="s">
        <v>1867</v>
      </c>
      <c r="J642" s="75">
        <v>2022</v>
      </c>
      <c r="K642" s="75" t="s">
        <v>1873</v>
      </c>
      <c r="L642" s="75"/>
    </row>
    <row r="643" spans="1:12" hidden="1" x14ac:dyDescent="0.25">
      <c r="A643" s="78">
        <v>44362</v>
      </c>
      <c r="B643" s="75" t="s">
        <v>1874</v>
      </c>
      <c r="C643" s="75" t="s">
        <v>1875</v>
      </c>
      <c r="D643" s="75" t="s">
        <v>799</v>
      </c>
      <c r="E643" s="75">
        <v>68427709</v>
      </c>
      <c r="F643" s="89">
        <v>0</v>
      </c>
      <c r="G643" s="75" t="s">
        <v>498</v>
      </c>
      <c r="H643" s="75" t="s">
        <v>310</v>
      </c>
      <c r="I643" s="75" t="s">
        <v>329</v>
      </c>
      <c r="J643" s="75">
        <v>2022</v>
      </c>
      <c r="K643" s="75" t="s">
        <v>1873</v>
      </c>
      <c r="L643" s="75"/>
    </row>
    <row r="644" spans="1:12" hidden="1" x14ac:dyDescent="0.25">
      <c r="A644" s="78">
        <v>44363</v>
      </c>
      <c r="B644" s="75" t="s">
        <v>1876</v>
      </c>
      <c r="C644" s="75" t="s">
        <v>1877</v>
      </c>
      <c r="D644" s="75" t="s">
        <v>1876</v>
      </c>
      <c r="E644" s="75">
        <v>68427709</v>
      </c>
      <c r="F644" s="89">
        <v>0</v>
      </c>
      <c r="G644" s="75" t="s">
        <v>498</v>
      </c>
      <c r="H644" s="75" t="s">
        <v>310</v>
      </c>
      <c r="I644" s="75" t="s">
        <v>1878</v>
      </c>
      <c r="J644" s="75">
        <v>2022</v>
      </c>
      <c r="K644" s="75" t="s">
        <v>389</v>
      </c>
      <c r="L644" s="75" t="s">
        <v>1879</v>
      </c>
    </row>
    <row r="645" spans="1:12" hidden="1" x14ac:dyDescent="0.25">
      <c r="A645" s="78">
        <v>44372</v>
      </c>
      <c r="B645" s="75" t="s">
        <v>1880</v>
      </c>
      <c r="C645" s="75" t="s">
        <v>1881</v>
      </c>
      <c r="D645" s="75" t="s">
        <v>1612</v>
      </c>
      <c r="E645" s="75">
        <v>68427709</v>
      </c>
      <c r="F645" s="89">
        <v>55000</v>
      </c>
      <c r="G645" s="75" t="s">
        <v>309</v>
      </c>
      <c r="H645" s="75" t="s">
        <v>310</v>
      </c>
      <c r="I645" s="75" t="s">
        <v>1878</v>
      </c>
      <c r="J645" s="75">
        <v>2022</v>
      </c>
      <c r="K645" s="75" t="s">
        <v>557</v>
      </c>
      <c r="L645" s="75" t="s">
        <v>1882</v>
      </c>
    </row>
    <row r="646" spans="1:12" hidden="1" x14ac:dyDescent="0.25">
      <c r="A646" s="78">
        <v>44372</v>
      </c>
      <c r="B646" s="75" t="s">
        <v>1883</v>
      </c>
      <c r="C646" s="75" t="s">
        <v>1884</v>
      </c>
      <c r="D646" s="75" t="s">
        <v>768</v>
      </c>
      <c r="E646" s="75">
        <v>68427709</v>
      </c>
      <c r="F646" s="89">
        <v>-527772</v>
      </c>
      <c r="G646" s="75" t="s">
        <v>309</v>
      </c>
      <c r="H646" s="75" t="s">
        <v>310</v>
      </c>
      <c r="I646" s="75" t="s">
        <v>1878</v>
      </c>
      <c r="J646" s="75">
        <v>2022</v>
      </c>
      <c r="K646" s="75" t="s">
        <v>852</v>
      </c>
      <c r="L646" s="75"/>
    </row>
    <row r="647" spans="1:12" hidden="1" x14ac:dyDescent="0.25">
      <c r="A647" s="78">
        <v>44372</v>
      </c>
      <c r="B647" s="75" t="s">
        <v>1883</v>
      </c>
      <c r="C647" s="75" t="s">
        <v>1884</v>
      </c>
      <c r="D647" s="75" t="s">
        <v>768</v>
      </c>
      <c r="E647" s="75">
        <v>68427709</v>
      </c>
      <c r="F647" s="89">
        <v>-24960</v>
      </c>
      <c r="G647" s="75" t="s">
        <v>498</v>
      </c>
      <c r="H647" s="75" t="s">
        <v>310</v>
      </c>
      <c r="I647" s="75" t="s">
        <v>1878</v>
      </c>
      <c r="J647" s="75">
        <v>2022</v>
      </c>
      <c r="K647" s="75" t="s">
        <v>852</v>
      </c>
      <c r="L647" s="75" t="s">
        <v>1885</v>
      </c>
    </row>
    <row r="648" spans="1:12" hidden="1" x14ac:dyDescent="0.25">
      <c r="A648" s="78">
        <v>44372</v>
      </c>
      <c r="B648" s="75" t="s">
        <v>1886</v>
      </c>
      <c r="C648" s="75" t="s">
        <v>1768</v>
      </c>
      <c r="D648" s="75" t="s">
        <v>1886</v>
      </c>
      <c r="E648" s="75">
        <v>68427709</v>
      </c>
      <c r="F648" s="89">
        <v>-24000</v>
      </c>
      <c r="G648" s="75" t="s">
        <v>309</v>
      </c>
      <c r="H648" s="75" t="s">
        <v>310</v>
      </c>
      <c r="I648" s="75" t="s">
        <v>1878</v>
      </c>
      <c r="J648" s="75">
        <v>2022</v>
      </c>
      <c r="K648" s="75" t="s">
        <v>1784</v>
      </c>
      <c r="L648" s="75" t="s">
        <v>1887</v>
      </c>
    </row>
    <row r="649" spans="1:12" hidden="1" x14ac:dyDescent="0.25">
      <c r="A649" s="78">
        <v>44372</v>
      </c>
      <c r="B649" s="75" t="s">
        <v>1888</v>
      </c>
      <c r="C649" s="75"/>
      <c r="D649" s="75" t="s">
        <v>548</v>
      </c>
      <c r="E649" s="75">
        <v>68427709</v>
      </c>
      <c r="F649" s="89">
        <v>50000</v>
      </c>
      <c r="G649" s="75" t="s">
        <v>498</v>
      </c>
      <c r="H649" s="75" t="s">
        <v>310</v>
      </c>
      <c r="I649" s="75" t="s">
        <v>329</v>
      </c>
      <c r="J649" s="75">
        <v>2022</v>
      </c>
      <c r="K649" s="75" t="s">
        <v>1288</v>
      </c>
      <c r="L649" s="75" t="s">
        <v>1889</v>
      </c>
    </row>
    <row r="650" spans="1:12" hidden="1" x14ac:dyDescent="0.25">
      <c r="A650" s="78">
        <v>44372</v>
      </c>
      <c r="B650" s="75" t="s">
        <v>1890</v>
      </c>
      <c r="C650" s="75" t="s">
        <v>1891</v>
      </c>
      <c r="D650" s="75" t="s">
        <v>768</v>
      </c>
      <c r="E650" s="75">
        <v>68427709</v>
      </c>
      <c r="F650" s="89">
        <v>200000</v>
      </c>
      <c r="G650" s="75" t="s">
        <v>498</v>
      </c>
      <c r="H650" s="75" t="s">
        <v>310</v>
      </c>
      <c r="I650" s="75" t="s">
        <v>1878</v>
      </c>
      <c r="J650" s="75">
        <v>2022</v>
      </c>
      <c r="K650" s="75" t="s">
        <v>1892</v>
      </c>
      <c r="L650" s="75" t="s">
        <v>1893</v>
      </c>
    </row>
    <row r="651" spans="1:12" hidden="1" x14ac:dyDescent="0.25">
      <c r="A651" s="78">
        <v>44372</v>
      </c>
      <c r="B651" s="75" t="s">
        <v>1316</v>
      </c>
      <c r="C651" s="75" t="s">
        <v>1894</v>
      </c>
      <c r="D651" s="75" t="s">
        <v>0</v>
      </c>
      <c r="E651" s="75">
        <v>68427709</v>
      </c>
      <c r="F651" s="89">
        <v>36000</v>
      </c>
      <c r="G651" s="75" t="s">
        <v>498</v>
      </c>
      <c r="H651" s="75" t="s">
        <v>310</v>
      </c>
      <c r="I651" s="75" t="s">
        <v>1878</v>
      </c>
      <c r="J651" s="75">
        <v>2022</v>
      </c>
      <c r="K651" s="75" t="s">
        <v>1892</v>
      </c>
      <c r="L651" s="75"/>
    </row>
    <row r="652" spans="1:12" hidden="1" x14ac:dyDescent="0.25">
      <c r="A652" s="78">
        <v>44372</v>
      </c>
      <c r="B652" s="75" t="s">
        <v>1895</v>
      </c>
      <c r="C652" s="75" t="s">
        <v>1896</v>
      </c>
      <c r="D652" s="75" t="s">
        <v>754</v>
      </c>
      <c r="E652" s="75">
        <v>68427709</v>
      </c>
      <c r="F652" s="89">
        <v>0</v>
      </c>
      <c r="G652" s="75" t="s">
        <v>498</v>
      </c>
      <c r="H652" s="75" t="s">
        <v>310</v>
      </c>
      <c r="I652" s="75" t="s">
        <v>1878</v>
      </c>
      <c r="J652" s="75">
        <v>2022</v>
      </c>
      <c r="K652" s="75" t="s">
        <v>1892</v>
      </c>
      <c r="L652" s="75" t="s">
        <v>1897</v>
      </c>
    </row>
    <row r="653" spans="1:12" hidden="1" x14ac:dyDescent="0.25">
      <c r="A653" s="78">
        <v>44203</v>
      </c>
      <c r="B653" s="75" t="s">
        <v>327</v>
      </c>
      <c r="C653" s="75" t="s">
        <v>1898</v>
      </c>
      <c r="D653" s="75" t="s">
        <v>327</v>
      </c>
      <c r="E653" s="75">
        <v>68427709</v>
      </c>
      <c r="F653" s="89">
        <v>5000</v>
      </c>
      <c r="G653" s="75" t="s">
        <v>309</v>
      </c>
      <c r="H653" s="75" t="s">
        <v>310</v>
      </c>
      <c r="I653" s="75" t="s">
        <v>1878</v>
      </c>
      <c r="J653" s="75">
        <v>2022</v>
      </c>
      <c r="K653" s="75" t="s">
        <v>423</v>
      </c>
      <c r="L653" s="75"/>
    </row>
    <row r="654" spans="1:12" hidden="1" x14ac:dyDescent="0.25">
      <c r="A654" s="78">
        <v>44203</v>
      </c>
      <c r="B654" s="75" t="s">
        <v>970</v>
      </c>
      <c r="C654" s="75" t="s">
        <v>1203</v>
      </c>
      <c r="D654" s="75" t="s">
        <v>970</v>
      </c>
      <c r="E654" s="75">
        <v>68427709</v>
      </c>
      <c r="F654" s="89">
        <v>1000</v>
      </c>
      <c r="G654" s="75" t="s">
        <v>309</v>
      </c>
      <c r="H654" s="75" t="s">
        <v>310</v>
      </c>
      <c r="I654" s="75" t="s">
        <v>1878</v>
      </c>
      <c r="J654" s="75">
        <v>2022</v>
      </c>
      <c r="K654" s="75" t="s">
        <v>533</v>
      </c>
      <c r="L654" s="75"/>
    </row>
    <row r="655" spans="1:12" hidden="1" x14ac:dyDescent="0.25">
      <c r="A655" s="78">
        <v>44203</v>
      </c>
      <c r="B655" s="75" t="s">
        <v>314</v>
      </c>
      <c r="C655" s="75" t="s">
        <v>1899</v>
      </c>
      <c r="D655" s="75" t="s">
        <v>314</v>
      </c>
      <c r="E655" s="75">
        <v>68427709</v>
      </c>
      <c r="F655" s="89">
        <v>-34000</v>
      </c>
      <c r="G655" s="75" t="s">
        <v>309</v>
      </c>
      <c r="H655" s="75" t="s">
        <v>310</v>
      </c>
      <c r="I655" s="75" t="s">
        <v>1878</v>
      </c>
      <c r="J655" s="75">
        <v>2022</v>
      </c>
      <c r="K655" s="75" t="s">
        <v>1900</v>
      </c>
      <c r="L655" s="75"/>
    </row>
    <row r="656" spans="1:12" hidden="1" x14ac:dyDescent="0.25">
      <c r="A656" s="78">
        <v>44203</v>
      </c>
      <c r="B656" s="75" t="s">
        <v>353</v>
      </c>
      <c r="C656" s="75" t="s">
        <v>1901</v>
      </c>
      <c r="D656" s="75" t="s">
        <v>353</v>
      </c>
      <c r="E656" s="75">
        <v>68427709</v>
      </c>
      <c r="F656" s="89">
        <v>-220000</v>
      </c>
      <c r="G656" s="75" t="s">
        <v>309</v>
      </c>
      <c r="H656" s="75" t="s">
        <v>310</v>
      </c>
      <c r="I656" s="75" t="s">
        <v>1878</v>
      </c>
      <c r="J656" s="75">
        <v>2022</v>
      </c>
      <c r="K656" s="75" t="s">
        <v>1900</v>
      </c>
      <c r="L656" s="75"/>
    </row>
    <row r="657" spans="1:12" hidden="1" x14ac:dyDescent="0.25">
      <c r="A657" s="78">
        <v>44203</v>
      </c>
      <c r="B657" s="173" t="s">
        <v>1902</v>
      </c>
      <c r="C657" s="173" t="s">
        <v>1903</v>
      </c>
      <c r="D657" s="75" t="s">
        <v>1844</v>
      </c>
      <c r="E657" s="75">
        <v>68427709</v>
      </c>
      <c r="F657" s="89">
        <v>8000</v>
      </c>
      <c r="G657" s="75" t="s">
        <v>309</v>
      </c>
      <c r="H657" s="75" t="s">
        <v>310</v>
      </c>
      <c r="I657" s="75" t="s">
        <v>1189</v>
      </c>
      <c r="J657" s="75">
        <v>2022</v>
      </c>
      <c r="K657" s="75" t="s">
        <v>751</v>
      </c>
      <c r="L657" s="75"/>
    </row>
    <row r="658" spans="1:12" hidden="1" x14ac:dyDescent="0.25">
      <c r="A658" s="78">
        <v>44203</v>
      </c>
      <c r="B658" s="75" t="s">
        <v>1462</v>
      </c>
      <c r="C658" s="173" t="s">
        <v>1904</v>
      </c>
      <c r="D658" s="75" t="s">
        <v>1905</v>
      </c>
      <c r="E658" s="75">
        <v>68427709</v>
      </c>
      <c r="F658" s="89">
        <v>162000</v>
      </c>
      <c r="G658" s="75" t="s">
        <v>309</v>
      </c>
      <c r="H658" s="75" t="s">
        <v>310</v>
      </c>
      <c r="I658" s="75" t="s">
        <v>1878</v>
      </c>
      <c r="J658" s="75">
        <v>2022</v>
      </c>
      <c r="K658" s="75" t="s">
        <v>751</v>
      </c>
      <c r="L658" s="75"/>
    </row>
    <row r="659" spans="1:12" hidden="1" x14ac:dyDescent="0.25">
      <c r="A659" s="78">
        <v>44203</v>
      </c>
      <c r="B659" s="75" t="s">
        <v>1906</v>
      </c>
      <c r="C659" s="173" t="s">
        <v>1907</v>
      </c>
      <c r="D659" s="75" t="s">
        <v>799</v>
      </c>
      <c r="E659" s="75">
        <v>68427709</v>
      </c>
      <c r="F659" s="89">
        <v>30000</v>
      </c>
      <c r="G659" s="75" t="s">
        <v>309</v>
      </c>
      <c r="H659" s="75" t="s">
        <v>310</v>
      </c>
      <c r="I659" s="75" t="s">
        <v>1189</v>
      </c>
      <c r="J659" s="75">
        <v>2022</v>
      </c>
      <c r="K659" s="75" t="s">
        <v>751</v>
      </c>
      <c r="L659" s="75"/>
    </row>
    <row r="660" spans="1:12" hidden="1" x14ac:dyDescent="0.25">
      <c r="A660" s="78">
        <v>44203</v>
      </c>
      <c r="B660" s="75" t="s">
        <v>1908</v>
      </c>
      <c r="C660" s="173" t="s">
        <v>1909</v>
      </c>
      <c r="D660" s="75" t="s">
        <v>1910</v>
      </c>
      <c r="E660" s="75">
        <v>68427709</v>
      </c>
      <c r="F660" s="89">
        <v>-175000</v>
      </c>
      <c r="G660" s="75" t="s">
        <v>309</v>
      </c>
      <c r="H660" s="75" t="s">
        <v>310</v>
      </c>
      <c r="I660" s="75" t="s">
        <v>1878</v>
      </c>
      <c r="J660" s="75">
        <v>2022</v>
      </c>
      <c r="K660" s="75" t="s">
        <v>751</v>
      </c>
      <c r="L660" s="75"/>
    </row>
    <row r="661" spans="1:12" hidden="1" x14ac:dyDescent="0.25">
      <c r="A661" s="78">
        <v>44203</v>
      </c>
      <c r="B661" s="75" t="s">
        <v>1911</v>
      </c>
      <c r="C661" s="173" t="s">
        <v>1912</v>
      </c>
      <c r="D661" s="75" t="s">
        <v>1911</v>
      </c>
      <c r="E661" s="75">
        <v>68427709</v>
      </c>
      <c r="F661" s="89">
        <v>-10000</v>
      </c>
      <c r="G661" s="75" t="s">
        <v>309</v>
      </c>
      <c r="H661" s="75" t="s">
        <v>310</v>
      </c>
      <c r="I661" s="75" t="s">
        <v>1878</v>
      </c>
      <c r="J661" s="75">
        <v>2022</v>
      </c>
      <c r="K661" s="75" t="s">
        <v>751</v>
      </c>
      <c r="L661" s="75"/>
    </row>
    <row r="662" spans="1:12" hidden="1" x14ac:dyDescent="0.25">
      <c r="A662" s="78">
        <v>44203</v>
      </c>
      <c r="B662" s="174" t="s">
        <v>1913</v>
      </c>
      <c r="C662" s="173" t="s">
        <v>1914</v>
      </c>
      <c r="D662" s="75" t="s">
        <v>1915</v>
      </c>
      <c r="E662" s="75">
        <v>68427709</v>
      </c>
      <c r="F662" s="89">
        <v>10500</v>
      </c>
      <c r="G662" s="75" t="s">
        <v>309</v>
      </c>
      <c r="H662" s="75" t="s">
        <v>310</v>
      </c>
      <c r="I662" s="75" t="s">
        <v>1878</v>
      </c>
      <c r="J662" s="75">
        <v>2022</v>
      </c>
      <c r="K662" s="75" t="s">
        <v>751</v>
      </c>
      <c r="L662" s="75" t="s">
        <v>1916</v>
      </c>
    </row>
    <row r="663" spans="1:12" hidden="1" x14ac:dyDescent="0.25">
      <c r="A663" s="78">
        <v>44203</v>
      </c>
      <c r="B663" s="75" t="s">
        <v>1917</v>
      </c>
      <c r="C663" s="75" t="s">
        <v>1918</v>
      </c>
      <c r="D663" s="75" t="s">
        <v>1919</v>
      </c>
      <c r="E663" s="75">
        <v>68427709</v>
      </c>
      <c r="F663" s="89">
        <v>0</v>
      </c>
      <c r="G663" s="75" t="s">
        <v>309</v>
      </c>
      <c r="H663" s="75" t="s">
        <v>310</v>
      </c>
      <c r="I663" s="75" t="s">
        <v>1878</v>
      </c>
      <c r="J663" s="75">
        <v>2022</v>
      </c>
      <c r="K663" s="75" t="s">
        <v>312</v>
      </c>
      <c r="L663" s="75"/>
    </row>
    <row r="664" spans="1:12" hidden="1" x14ac:dyDescent="0.25">
      <c r="A664" s="78">
        <v>44384</v>
      </c>
      <c r="B664" s="75" t="s">
        <v>1327</v>
      </c>
      <c r="C664" s="75" t="s">
        <v>1920</v>
      </c>
      <c r="D664" s="75" t="s">
        <v>1327</v>
      </c>
      <c r="E664" s="75">
        <v>68427719</v>
      </c>
      <c r="F664" s="89">
        <v>0</v>
      </c>
      <c r="G664" s="75" t="s">
        <v>309</v>
      </c>
      <c r="H664" s="75" t="s">
        <v>310</v>
      </c>
      <c r="I664" s="75" t="s">
        <v>1878</v>
      </c>
      <c r="J664" s="75">
        <v>2022</v>
      </c>
      <c r="K664" s="75" t="s">
        <v>557</v>
      </c>
      <c r="L664" s="75"/>
    </row>
    <row r="665" spans="1:12" hidden="1" x14ac:dyDescent="0.25">
      <c r="A665" s="78">
        <v>44384</v>
      </c>
      <c r="B665" s="75" t="s">
        <v>331</v>
      </c>
      <c r="C665" s="75" t="s">
        <v>1921</v>
      </c>
      <c r="D665" s="75" t="s">
        <v>1922</v>
      </c>
      <c r="E665" s="75">
        <v>68427709</v>
      </c>
      <c r="F665" s="89">
        <v>0</v>
      </c>
      <c r="G665" s="75" t="s">
        <v>309</v>
      </c>
      <c r="H665" s="75" t="s">
        <v>310</v>
      </c>
      <c r="I665" s="75" t="s">
        <v>1878</v>
      </c>
      <c r="J665" s="75">
        <v>2022</v>
      </c>
      <c r="K665" s="75" t="s">
        <v>557</v>
      </c>
      <c r="L665" s="75"/>
    </row>
    <row r="666" spans="1:12" hidden="1" x14ac:dyDescent="0.25">
      <c r="A666" s="78">
        <v>44384</v>
      </c>
      <c r="B666" s="75" t="s">
        <v>1923</v>
      </c>
      <c r="C666" s="75" t="s">
        <v>1924</v>
      </c>
      <c r="D666" s="75" t="s">
        <v>548</v>
      </c>
      <c r="E666" s="75">
        <v>68427709</v>
      </c>
      <c r="F666" s="89">
        <v>260000</v>
      </c>
      <c r="G666" s="75" t="s">
        <v>309</v>
      </c>
      <c r="H666" s="75" t="s">
        <v>310</v>
      </c>
      <c r="I666" s="75" t="s">
        <v>329</v>
      </c>
      <c r="J666" s="75">
        <v>2022</v>
      </c>
      <c r="K666" s="75" t="s">
        <v>557</v>
      </c>
      <c r="L666" s="75"/>
    </row>
    <row r="667" spans="1:12" hidden="1" x14ac:dyDescent="0.25">
      <c r="A667" s="78">
        <v>44384</v>
      </c>
      <c r="B667" s="75" t="s">
        <v>1925</v>
      </c>
      <c r="C667" s="75" t="s">
        <v>1926</v>
      </c>
      <c r="D667" s="146" t="s">
        <v>1927</v>
      </c>
      <c r="E667" s="75">
        <v>68427709</v>
      </c>
      <c r="F667" s="89">
        <v>32000</v>
      </c>
      <c r="G667" s="75" t="s">
        <v>309</v>
      </c>
      <c r="H667" s="75" t="s">
        <v>310</v>
      </c>
      <c r="I667" s="75" t="s">
        <v>1867</v>
      </c>
      <c r="J667" s="75">
        <v>2022</v>
      </c>
      <c r="K667" s="75" t="s">
        <v>423</v>
      </c>
      <c r="L667" s="75"/>
    </row>
    <row r="668" spans="1:12" hidden="1" x14ac:dyDescent="0.25">
      <c r="A668" s="78">
        <v>44415</v>
      </c>
      <c r="B668" s="75" t="s">
        <v>1928</v>
      </c>
      <c r="C668" s="75" t="s">
        <v>1929</v>
      </c>
      <c r="D668" s="75" t="s">
        <v>799</v>
      </c>
      <c r="E668" s="75">
        <v>68427709</v>
      </c>
      <c r="F668" s="89">
        <v>-100000</v>
      </c>
      <c r="G668" s="75" t="s">
        <v>309</v>
      </c>
      <c r="H668" s="75" t="s">
        <v>310</v>
      </c>
      <c r="I668" s="75" t="s">
        <v>329</v>
      </c>
      <c r="J668" s="75">
        <v>2022</v>
      </c>
      <c r="K668" s="75" t="s">
        <v>1930</v>
      </c>
      <c r="L668" s="75"/>
    </row>
    <row r="669" spans="1:12" hidden="1" x14ac:dyDescent="0.25">
      <c r="A669" s="78">
        <v>44415</v>
      </c>
      <c r="B669" s="75" t="s">
        <v>1931</v>
      </c>
      <c r="C669" s="75" t="s">
        <v>1932</v>
      </c>
      <c r="D669" s="75" t="s">
        <v>799</v>
      </c>
      <c r="E669" s="75">
        <v>68427709</v>
      </c>
      <c r="F669" s="89">
        <v>-100000</v>
      </c>
      <c r="G669" s="75" t="s">
        <v>309</v>
      </c>
      <c r="H669" s="75" t="s">
        <v>310</v>
      </c>
      <c r="I669" s="75" t="s">
        <v>329</v>
      </c>
      <c r="J669" s="75">
        <v>2022</v>
      </c>
      <c r="K669" s="75" t="s">
        <v>1930</v>
      </c>
      <c r="L669" s="75"/>
    </row>
    <row r="670" spans="1:12" hidden="1" x14ac:dyDescent="0.25">
      <c r="A670" s="78">
        <v>44415</v>
      </c>
      <c r="B670" s="75" t="s">
        <v>469</v>
      </c>
      <c r="C670" t="s">
        <v>1933</v>
      </c>
      <c r="D670" s="75" t="s">
        <v>469</v>
      </c>
      <c r="E670" s="75">
        <v>68427709</v>
      </c>
      <c r="F670" s="89">
        <v>25000</v>
      </c>
      <c r="G670" s="75" t="s">
        <v>309</v>
      </c>
      <c r="H670" s="75" t="s">
        <v>310</v>
      </c>
      <c r="I670" s="75" t="s">
        <v>1867</v>
      </c>
      <c r="J670" s="75">
        <v>2022</v>
      </c>
      <c r="K670" s="75" t="s">
        <v>1930</v>
      </c>
      <c r="L670" s="75"/>
    </row>
    <row r="671" spans="1:12" hidden="1" x14ac:dyDescent="0.25">
      <c r="A671" s="78">
        <v>44415</v>
      </c>
      <c r="B671" s="75" t="s">
        <v>949</v>
      </c>
      <c r="C671" t="s">
        <v>1934</v>
      </c>
      <c r="D671" s="75" t="s">
        <v>1935</v>
      </c>
      <c r="E671" s="75">
        <v>68427709</v>
      </c>
      <c r="F671" s="89">
        <v>150000</v>
      </c>
      <c r="G671" s="75" t="s">
        <v>309</v>
      </c>
      <c r="H671" s="75" t="s">
        <v>310</v>
      </c>
      <c r="I671" s="75" t="s">
        <v>1867</v>
      </c>
      <c r="J671" s="75">
        <v>2022</v>
      </c>
      <c r="K671" s="75" t="s">
        <v>1930</v>
      </c>
      <c r="L671" s="75"/>
    </row>
    <row r="672" spans="1:12" hidden="1" x14ac:dyDescent="0.25">
      <c r="A672" s="78">
        <v>44415</v>
      </c>
      <c r="B672" s="75" t="s">
        <v>1390</v>
      </c>
      <c r="C672" s="75" t="s">
        <v>1936</v>
      </c>
      <c r="D672" s="75" t="s">
        <v>1390</v>
      </c>
      <c r="E672" s="75">
        <v>68427709</v>
      </c>
      <c r="F672" s="89">
        <v>20000</v>
      </c>
      <c r="G672" s="75" t="s">
        <v>309</v>
      </c>
      <c r="H672" s="75" t="s">
        <v>310</v>
      </c>
      <c r="I672" s="75" t="s">
        <v>329</v>
      </c>
      <c r="J672" s="75">
        <v>2022</v>
      </c>
      <c r="K672" s="75" t="s">
        <v>1930</v>
      </c>
      <c r="L672" s="75"/>
    </row>
    <row r="673" spans="1:12" hidden="1" x14ac:dyDescent="0.25">
      <c r="A673" s="78">
        <v>44537</v>
      </c>
      <c r="B673" s="75" t="s">
        <v>1387</v>
      </c>
      <c r="C673" s="75" t="s">
        <v>1937</v>
      </c>
      <c r="D673" s="75" t="s">
        <v>1387</v>
      </c>
      <c r="E673" s="75">
        <v>68427709</v>
      </c>
      <c r="F673" s="89">
        <v>20000</v>
      </c>
      <c r="G673" s="75" t="s">
        <v>309</v>
      </c>
      <c r="H673" s="75" t="s">
        <v>310</v>
      </c>
      <c r="I673" s="75" t="s">
        <v>1867</v>
      </c>
      <c r="J673" s="75">
        <v>2022</v>
      </c>
      <c r="K673" s="75" t="s">
        <v>1938</v>
      </c>
      <c r="L673" s="75"/>
    </row>
    <row r="674" spans="1:12" hidden="1" x14ac:dyDescent="0.25">
      <c r="A674" s="78">
        <v>44390</v>
      </c>
      <c r="B674" s="75" t="s">
        <v>1939</v>
      </c>
      <c r="C674" s="75" t="s">
        <v>1940</v>
      </c>
      <c r="D674" s="75" t="s">
        <v>153</v>
      </c>
      <c r="E674" s="75">
        <v>68427709</v>
      </c>
      <c r="F674" s="89">
        <v>60000</v>
      </c>
      <c r="G674" s="75" t="s">
        <v>309</v>
      </c>
      <c r="H674" s="75" t="s">
        <v>310</v>
      </c>
      <c r="I674" s="75" t="s">
        <v>1867</v>
      </c>
      <c r="J674" s="75">
        <v>2022</v>
      </c>
      <c r="K674" s="75" t="s">
        <v>1288</v>
      </c>
      <c r="L674" s="75"/>
    </row>
    <row r="675" spans="1:12" hidden="1" x14ac:dyDescent="0.25">
      <c r="A675" s="78">
        <v>44391</v>
      </c>
      <c r="B675" s="75" t="s">
        <v>1941</v>
      </c>
      <c r="C675" s="75" t="s">
        <v>1942</v>
      </c>
      <c r="D675" s="75" t="s">
        <v>473</v>
      </c>
      <c r="E675" s="75">
        <v>68427709</v>
      </c>
      <c r="F675" s="89">
        <v>0</v>
      </c>
      <c r="G675" s="75" t="s">
        <v>309</v>
      </c>
      <c r="H675" s="75" t="s">
        <v>310</v>
      </c>
      <c r="I675" s="75" t="s">
        <v>1144</v>
      </c>
      <c r="J675" s="75">
        <v>2022</v>
      </c>
      <c r="K675" s="75" t="s">
        <v>312</v>
      </c>
      <c r="L675" s="75" t="s">
        <v>1943</v>
      </c>
    </row>
    <row r="676" spans="1:12" hidden="1" x14ac:dyDescent="0.25">
      <c r="A676" s="78">
        <v>44391</v>
      </c>
      <c r="B676" s="75" t="s">
        <v>1944</v>
      </c>
      <c r="C676" s="75" t="s">
        <v>1945</v>
      </c>
      <c r="D676" s="75" t="s">
        <v>473</v>
      </c>
      <c r="E676" s="75">
        <v>68427709</v>
      </c>
      <c r="F676" s="89">
        <v>-48960</v>
      </c>
      <c r="G676" s="75" t="s">
        <v>309</v>
      </c>
      <c r="H676" s="75" t="s">
        <v>310</v>
      </c>
      <c r="I676" s="75" t="s">
        <v>1144</v>
      </c>
      <c r="J676" s="75">
        <v>2022</v>
      </c>
      <c r="K676" s="75" t="s">
        <v>312</v>
      </c>
      <c r="L676" s="75" t="s">
        <v>1946</v>
      </c>
    </row>
    <row r="677" spans="1:12" hidden="1" x14ac:dyDescent="0.25">
      <c r="A677" s="78">
        <v>44391</v>
      </c>
      <c r="B677" s="75" t="s">
        <v>1947</v>
      </c>
      <c r="C677" s="75" t="s">
        <v>1948</v>
      </c>
      <c r="D677" s="75" t="s">
        <v>473</v>
      </c>
      <c r="E677" s="75">
        <v>68427709</v>
      </c>
      <c r="F677" s="89">
        <v>11040</v>
      </c>
      <c r="G677" s="75" t="s">
        <v>309</v>
      </c>
      <c r="H677" s="75" t="s">
        <v>310</v>
      </c>
      <c r="I677" s="75" t="s">
        <v>1144</v>
      </c>
      <c r="J677" s="75">
        <v>2022</v>
      </c>
      <c r="K677" s="75" t="s">
        <v>312</v>
      </c>
      <c r="L677" s="75"/>
    </row>
    <row r="678" spans="1:12" hidden="1" x14ac:dyDescent="0.25">
      <c r="A678" s="78">
        <v>44391</v>
      </c>
      <c r="B678" s="75" t="s">
        <v>32</v>
      </c>
      <c r="C678" s="75" t="s">
        <v>1949</v>
      </c>
      <c r="D678" s="75" t="s">
        <v>473</v>
      </c>
      <c r="E678" s="75">
        <v>68427709</v>
      </c>
      <c r="F678" s="89">
        <v>-192000</v>
      </c>
      <c r="G678" s="75" t="s">
        <v>309</v>
      </c>
      <c r="H678" s="75" t="s">
        <v>310</v>
      </c>
      <c r="I678" s="75" t="s">
        <v>1144</v>
      </c>
      <c r="J678" s="75">
        <v>2022</v>
      </c>
      <c r="K678" s="75" t="s">
        <v>312</v>
      </c>
      <c r="L678" s="75" t="s">
        <v>1950</v>
      </c>
    </row>
    <row r="679" spans="1:12" hidden="1" x14ac:dyDescent="0.25">
      <c r="A679" s="78">
        <v>44391</v>
      </c>
      <c r="B679" s="75" t="s">
        <v>1951</v>
      </c>
      <c r="C679" s="75" t="s">
        <v>1952</v>
      </c>
      <c r="D679" s="75" t="s">
        <v>473</v>
      </c>
      <c r="E679" s="75">
        <v>68427709</v>
      </c>
      <c r="F679" s="89">
        <v>-37975</v>
      </c>
      <c r="G679" s="75" t="s">
        <v>498</v>
      </c>
      <c r="H679" s="75" t="s">
        <v>310</v>
      </c>
      <c r="I679" s="75" t="s">
        <v>1144</v>
      </c>
      <c r="J679" s="75">
        <v>2022</v>
      </c>
      <c r="K679" s="75" t="s">
        <v>312</v>
      </c>
      <c r="L679" s="75" t="s">
        <v>1953</v>
      </c>
    </row>
    <row r="680" spans="1:12" hidden="1" x14ac:dyDescent="0.25">
      <c r="A680" s="78">
        <v>44391</v>
      </c>
      <c r="B680" s="75" t="s">
        <v>766</v>
      </c>
      <c r="C680" s="75" t="s">
        <v>1952</v>
      </c>
      <c r="D680" s="75" t="s">
        <v>473</v>
      </c>
      <c r="E680" s="75">
        <v>68427709</v>
      </c>
      <c r="F680" s="89">
        <v>-50000</v>
      </c>
      <c r="G680" s="75" t="s">
        <v>309</v>
      </c>
      <c r="H680" s="75" t="s">
        <v>310</v>
      </c>
      <c r="I680" s="75" t="s">
        <v>1144</v>
      </c>
      <c r="J680" s="75">
        <v>2022</v>
      </c>
      <c r="K680" s="75" t="s">
        <v>312</v>
      </c>
      <c r="L680" s="75"/>
    </row>
    <row r="681" spans="1:12" hidden="1" x14ac:dyDescent="0.25">
      <c r="A681" s="78">
        <v>44391</v>
      </c>
      <c r="B681" s="75" t="s">
        <v>1954</v>
      </c>
      <c r="C681" s="75" t="s">
        <v>1952</v>
      </c>
      <c r="D681" s="75" t="s">
        <v>473</v>
      </c>
      <c r="E681" s="75">
        <v>68427709</v>
      </c>
      <c r="F681" s="89">
        <v>-61783</v>
      </c>
      <c r="G681" s="75" t="s">
        <v>309</v>
      </c>
      <c r="H681" s="75" t="s">
        <v>310</v>
      </c>
      <c r="I681" s="75" t="s">
        <v>1144</v>
      </c>
      <c r="J681" s="75">
        <v>2022</v>
      </c>
      <c r="K681" s="75" t="s">
        <v>312</v>
      </c>
      <c r="L681" s="75"/>
    </row>
    <row r="682" spans="1:12" hidden="1" x14ac:dyDescent="0.25">
      <c r="A682" s="78">
        <v>44391</v>
      </c>
      <c r="B682" s="75" t="s">
        <v>1955</v>
      </c>
      <c r="C682" s="75" t="s">
        <v>1949</v>
      </c>
      <c r="D682" s="75" t="s">
        <v>473</v>
      </c>
      <c r="E682" s="75">
        <v>68427709</v>
      </c>
      <c r="F682" s="89">
        <v>111783</v>
      </c>
      <c r="G682" s="75" t="s">
        <v>309</v>
      </c>
      <c r="H682" s="75" t="s">
        <v>310</v>
      </c>
      <c r="I682" s="75" t="s">
        <v>1144</v>
      </c>
      <c r="J682" s="75">
        <v>2022</v>
      </c>
      <c r="K682" s="75" t="s">
        <v>312</v>
      </c>
      <c r="L682" s="75" t="s">
        <v>1956</v>
      </c>
    </row>
    <row r="683" spans="1:12" hidden="1" x14ac:dyDescent="0.25">
      <c r="A683" s="78">
        <v>44391</v>
      </c>
      <c r="B683" s="75" t="s">
        <v>1957</v>
      </c>
      <c r="C683" s="75" t="s">
        <v>1958</v>
      </c>
      <c r="D683" s="75" t="s">
        <v>473</v>
      </c>
      <c r="E683" s="75">
        <v>68427709</v>
      </c>
      <c r="F683" s="89">
        <v>60000</v>
      </c>
      <c r="G683" s="75" t="s">
        <v>309</v>
      </c>
      <c r="H683" s="75" t="s">
        <v>310</v>
      </c>
      <c r="I683" s="75" t="s">
        <v>1144</v>
      </c>
      <c r="J683" s="75">
        <v>2022</v>
      </c>
      <c r="K683" s="75" t="s">
        <v>312</v>
      </c>
      <c r="L683" s="75" t="s">
        <v>1959</v>
      </c>
    </row>
    <row r="684" spans="1:12" hidden="1" x14ac:dyDescent="0.25">
      <c r="A684" s="78">
        <v>44392</v>
      </c>
      <c r="B684" s="75" t="s">
        <v>1960</v>
      </c>
      <c r="C684" s="75" t="s">
        <v>1961</v>
      </c>
      <c r="D684" s="75" t="s">
        <v>0</v>
      </c>
      <c r="E684" s="75">
        <v>68427709</v>
      </c>
      <c r="F684" s="89">
        <v>700000</v>
      </c>
      <c r="G684" s="75" t="s">
        <v>498</v>
      </c>
      <c r="H684" s="75" t="s">
        <v>310</v>
      </c>
      <c r="I684" s="75" t="s">
        <v>1867</v>
      </c>
      <c r="J684" s="75">
        <v>2022</v>
      </c>
      <c r="K684" s="75" t="s">
        <v>1784</v>
      </c>
      <c r="L684" s="75" t="s">
        <v>1823</v>
      </c>
    </row>
    <row r="685" spans="1:12" hidden="1" x14ac:dyDescent="0.25">
      <c r="A685" s="78">
        <v>44392</v>
      </c>
      <c r="B685" s="75" t="s">
        <v>1962</v>
      </c>
      <c r="C685" s="75" t="s">
        <v>1963</v>
      </c>
      <c r="D685" s="75"/>
      <c r="E685" s="75">
        <v>68427709</v>
      </c>
      <c r="F685" s="89">
        <v>300000</v>
      </c>
      <c r="G685" s="75" t="s">
        <v>498</v>
      </c>
      <c r="H685" s="75" t="s">
        <v>310</v>
      </c>
      <c r="I685" s="75" t="s">
        <v>1867</v>
      </c>
      <c r="J685" s="75">
        <v>2022</v>
      </c>
      <c r="K685" s="75" t="s">
        <v>1784</v>
      </c>
      <c r="L685" s="75" t="s">
        <v>1823</v>
      </c>
    </row>
    <row r="686" spans="1:12" hidden="1" x14ac:dyDescent="0.25">
      <c r="A686" s="78">
        <v>44392</v>
      </c>
      <c r="B686" s="75" t="s">
        <v>1964</v>
      </c>
      <c r="C686" s="75" t="s">
        <v>1965</v>
      </c>
      <c r="D686" s="75" t="s">
        <v>125</v>
      </c>
      <c r="E686" s="75">
        <v>68427709</v>
      </c>
      <c r="F686" s="89">
        <v>-118000</v>
      </c>
      <c r="G686" s="75" t="s">
        <v>309</v>
      </c>
      <c r="H686" s="75" t="s">
        <v>310</v>
      </c>
      <c r="I686" s="75" t="s">
        <v>1867</v>
      </c>
      <c r="J686" s="75">
        <v>2022</v>
      </c>
      <c r="K686" s="75" t="s">
        <v>1784</v>
      </c>
      <c r="L686" s="75"/>
    </row>
    <row r="687" spans="1:12" hidden="1" x14ac:dyDescent="0.25">
      <c r="A687" s="78">
        <v>44392</v>
      </c>
      <c r="B687" s="75" t="s">
        <v>1966</v>
      </c>
      <c r="C687" s="75" t="s">
        <v>1965</v>
      </c>
      <c r="D687" s="75" t="s">
        <v>125</v>
      </c>
      <c r="E687" s="75">
        <v>68427709</v>
      </c>
      <c r="F687" s="89">
        <v>-40000</v>
      </c>
      <c r="G687" s="75" t="s">
        <v>309</v>
      </c>
      <c r="H687" s="75" t="s">
        <v>310</v>
      </c>
      <c r="I687" s="75" t="s">
        <v>1867</v>
      </c>
      <c r="J687" s="75">
        <v>2022</v>
      </c>
      <c r="K687" s="75" t="s">
        <v>1784</v>
      </c>
      <c r="L687" s="75"/>
    </row>
    <row r="688" spans="1:12" hidden="1" x14ac:dyDescent="0.25">
      <c r="A688" s="78">
        <v>44392</v>
      </c>
      <c r="B688" s="75" t="s">
        <v>1967</v>
      </c>
      <c r="C688" s="75" t="s">
        <v>1968</v>
      </c>
      <c r="D688" s="75" t="s">
        <v>799</v>
      </c>
      <c r="E688" s="75">
        <v>68427709</v>
      </c>
      <c r="F688" s="89">
        <v>-53000</v>
      </c>
      <c r="G688" s="75" t="s">
        <v>498</v>
      </c>
      <c r="H688" s="75" t="s">
        <v>310</v>
      </c>
      <c r="I688" s="75" t="s">
        <v>1867</v>
      </c>
      <c r="J688" s="75">
        <v>2022</v>
      </c>
      <c r="K688" s="75" t="s">
        <v>1784</v>
      </c>
      <c r="L688" s="75" t="s">
        <v>1969</v>
      </c>
    </row>
    <row r="689" spans="1:12" hidden="1" x14ac:dyDescent="0.25">
      <c r="A689" s="78">
        <v>44392</v>
      </c>
      <c r="B689" s="75" t="s">
        <v>1970</v>
      </c>
      <c r="C689" s="75" t="s">
        <v>1971</v>
      </c>
      <c r="D689" s="75" t="s">
        <v>754</v>
      </c>
      <c r="E689" s="75">
        <v>68427709</v>
      </c>
      <c r="F689" s="89">
        <v>-345000</v>
      </c>
      <c r="G689" s="75" t="s">
        <v>309</v>
      </c>
      <c r="H689" s="75" t="s">
        <v>310</v>
      </c>
      <c r="I689" s="75" t="s">
        <v>1867</v>
      </c>
      <c r="J689" s="75">
        <v>2022</v>
      </c>
      <c r="K689" s="75" t="s">
        <v>1784</v>
      </c>
      <c r="L689" s="75"/>
    </row>
    <row r="690" spans="1:12" hidden="1" x14ac:dyDescent="0.25">
      <c r="A690" s="78">
        <v>44392</v>
      </c>
      <c r="B690" s="75" t="s">
        <v>1972</v>
      </c>
      <c r="C690" s="75" t="s">
        <v>1973</v>
      </c>
      <c r="D690" s="75" t="s">
        <v>1974</v>
      </c>
      <c r="E690" s="75">
        <v>68427709</v>
      </c>
      <c r="F690" s="89">
        <v>-250000</v>
      </c>
      <c r="G690" s="75" t="s">
        <v>309</v>
      </c>
      <c r="H690" s="75" t="s">
        <v>310</v>
      </c>
      <c r="I690" s="75" t="s">
        <v>1867</v>
      </c>
      <c r="J690" s="75">
        <v>2022</v>
      </c>
      <c r="K690" s="75" t="s">
        <v>1784</v>
      </c>
      <c r="L690" s="75"/>
    </row>
    <row r="691" spans="1:12" hidden="1" x14ac:dyDescent="0.25">
      <c r="A691" s="78">
        <v>44396</v>
      </c>
      <c r="B691" s="75" t="s">
        <v>1975</v>
      </c>
      <c r="C691" s="75" t="s">
        <v>1976</v>
      </c>
      <c r="D691" s="75" t="s">
        <v>1977</v>
      </c>
      <c r="E691" s="75">
        <v>68427709</v>
      </c>
      <c r="F691" s="89">
        <v>-30000</v>
      </c>
      <c r="G691" s="75" t="s">
        <v>309</v>
      </c>
      <c r="H691" s="75" t="s">
        <v>310</v>
      </c>
      <c r="I691" s="75" t="s">
        <v>1867</v>
      </c>
      <c r="J691" s="75">
        <v>2022</v>
      </c>
      <c r="K691" s="75" t="s">
        <v>475</v>
      </c>
      <c r="L691" s="75"/>
    </row>
    <row r="692" spans="1:12" hidden="1" x14ac:dyDescent="0.25">
      <c r="A692" s="78">
        <v>44396</v>
      </c>
      <c r="B692" s="75" t="s">
        <v>1978</v>
      </c>
      <c r="C692" s="75" t="s">
        <v>1979</v>
      </c>
      <c r="D692" s="75" t="s">
        <v>1977</v>
      </c>
      <c r="E692" s="75">
        <v>68427709</v>
      </c>
      <c r="F692" s="89">
        <v>95400</v>
      </c>
      <c r="G692" s="75" t="s">
        <v>309</v>
      </c>
      <c r="H692" s="75" t="s">
        <v>310</v>
      </c>
      <c r="I692" s="75" t="s">
        <v>1867</v>
      </c>
      <c r="J692" s="75">
        <v>2022</v>
      </c>
      <c r="K692" s="75" t="s">
        <v>475</v>
      </c>
      <c r="L692" s="75"/>
    </row>
    <row r="693" spans="1:12" hidden="1" x14ac:dyDescent="0.25">
      <c r="A693" s="78">
        <v>44396</v>
      </c>
      <c r="B693" s="75" t="s">
        <v>1980</v>
      </c>
      <c r="C693" s="75" t="s">
        <v>1981</v>
      </c>
      <c r="D693" s="75" t="s">
        <v>1980</v>
      </c>
      <c r="E693" s="75">
        <v>68427709</v>
      </c>
      <c r="F693" s="89">
        <v>8000</v>
      </c>
      <c r="G693" s="75" t="s">
        <v>309</v>
      </c>
      <c r="H693" s="75" t="s">
        <v>310</v>
      </c>
      <c r="I693" s="75" t="s">
        <v>1867</v>
      </c>
      <c r="J693" s="75">
        <v>2022</v>
      </c>
      <c r="K693" s="75" t="s">
        <v>1331</v>
      </c>
      <c r="L693" s="75"/>
    </row>
    <row r="694" spans="1:12" hidden="1" x14ac:dyDescent="0.25">
      <c r="A694" s="78">
        <v>44398</v>
      </c>
      <c r="B694" s="75" t="s">
        <v>1152</v>
      </c>
      <c r="C694" s="75" t="s">
        <v>1768</v>
      </c>
      <c r="D694" s="75" t="s">
        <v>1152</v>
      </c>
      <c r="E694" s="75">
        <v>68427709</v>
      </c>
      <c r="F694" s="89">
        <v>-10000</v>
      </c>
      <c r="G694" s="75" t="s">
        <v>309</v>
      </c>
      <c r="H694" s="75" t="s">
        <v>310</v>
      </c>
      <c r="I694" s="75" t="s">
        <v>1867</v>
      </c>
      <c r="J694" s="75">
        <v>2022</v>
      </c>
      <c r="K694" s="75" t="s">
        <v>751</v>
      </c>
      <c r="L694" s="75"/>
    </row>
    <row r="695" spans="1:12" hidden="1" x14ac:dyDescent="0.25">
      <c r="A695" s="78">
        <v>44398</v>
      </c>
      <c r="B695" s="75" t="s">
        <v>1982</v>
      </c>
      <c r="C695" s="75" t="s">
        <v>1983</v>
      </c>
      <c r="D695" s="75" t="s">
        <v>799</v>
      </c>
      <c r="E695" s="75">
        <v>68427709</v>
      </c>
      <c r="F695" s="89">
        <v>145000</v>
      </c>
      <c r="G695" s="75" t="s">
        <v>309</v>
      </c>
      <c r="H695" s="75" t="s">
        <v>310</v>
      </c>
      <c r="I695" s="75" t="s">
        <v>329</v>
      </c>
      <c r="J695" s="75">
        <v>2022</v>
      </c>
      <c r="K695" s="75" t="s">
        <v>1984</v>
      </c>
      <c r="L695" s="75"/>
    </row>
    <row r="696" spans="1:12" hidden="1" x14ac:dyDescent="0.25">
      <c r="A696" s="78">
        <v>44398</v>
      </c>
      <c r="B696" s="75" t="s">
        <v>1985</v>
      </c>
      <c r="C696" s="75" t="s">
        <v>1986</v>
      </c>
      <c r="D696" s="75" t="s">
        <v>1987</v>
      </c>
      <c r="E696" s="75">
        <v>68427709</v>
      </c>
      <c r="F696" s="89">
        <v>34000</v>
      </c>
      <c r="G696" s="75" t="s">
        <v>309</v>
      </c>
      <c r="H696" s="75" t="s">
        <v>310</v>
      </c>
      <c r="I696" s="75" t="s">
        <v>1878</v>
      </c>
      <c r="J696" s="75">
        <v>2022</v>
      </c>
      <c r="K696" s="75" t="s">
        <v>1984</v>
      </c>
      <c r="L696" s="75"/>
    </row>
    <row r="697" spans="1:12" hidden="1" x14ac:dyDescent="0.25">
      <c r="A697" s="78">
        <v>44398</v>
      </c>
      <c r="B697" s="75" t="s">
        <v>1988</v>
      </c>
      <c r="C697" s="75" t="s">
        <v>1940</v>
      </c>
      <c r="D697" s="75" t="s">
        <v>659</v>
      </c>
      <c r="E697" s="75">
        <v>68427709</v>
      </c>
      <c r="F697" s="89">
        <v>-40000</v>
      </c>
      <c r="G697" s="75" t="s">
        <v>309</v>
      </c>
      <c r="H697" s="75" t="s">
        <v>310</v>
      </c>
      <c r="I697" s="75" t="s">
        <v>1878</v>
      </c>
      <c r="J697" s="75">
        <v>2022</v>
      </c>
      <c r="K697" s="75" t="s">
        <v>1984</v>
      </c>
      <c r="L697" s="75"/>
    </row>
    <row r="698" spans="1:12" hidden="1" x14ac:dyDescent="0.25">
      <c r="A698" s="78">
        <v>44398</v>
      </c>
      <c r="B698" s="75" t="s">
        <v>1989</v>
      </c>
      <c r="C698" s="75" t="s">
        <v>1990</v>
      </c>
      <c r="D698" s="75" t="s">
        <v>1991</v>
      </c>
      <c r="E698" s="75">
        <v>68427709</v>
      </c>
      <c r="F698" s="89">
        <v>160000</v>
      </c>
      <c r="G698" s="75" t="s">
        <v>309</v>
      </c>
      <c r="H698" s="75" t="s">
        <v>310</v>
      </c>
      <c r="I698" s="75" t="s">
        <v>1878</v>
      </c>
      <c r="J698" s="75">
        <v>2022</v>
      </c>
      <c r="K698" s="75" t="s">
        <v>1984</v>
      </c>
      <c r="L698" s="75"/>
    </row>
    <row r="699" spans="1:12" hidden="1" x14ac:dyDescent="0.25">
      <c r="A699" s="78">
        <v>44398</v>
      </c>
      <c r="B699" s="75" t="s">
        <v>1992</v>
      </c>
      <c r="C699" s="75" t="s">
        <v>1993</v>
      </c>
      <c r="D699" s="75" t="s">
        <v>754</v>
      </c>
      <c r="E699" s="75">
        <v>68427709</v>
      </c>
      <c r="F699" s="89">
        <v>120000</v>
      </c>
      <c r="G699" s="75" t="s">
        <v>309</v>
      </c>
      <c r="H699" s="75" t="s">
        <v>310</v>
      </c>
      <c r="I699" s="75" t="s">
        <v>1878</v>
      </c>
      <c r="J699" s="75">
        <v>2022</v>
      </c>
      <c r="K699" s="75" t="s">
        <v>557</v>
      </c>
      <c r="L699" s="75"/>
    </row>
    <row r="700" spans="1:12" hidden="1" x14ac:dyDescent="0.25">
      <c r="A700" s="78">
        <v>44398</v>
      </c>
      <c r="B700" s="75" t="s">
        <v>1994</v>
      </c>
      <c r="C700" s="75" t="s">
        <v>1995</v>
      </c>
      <c r="D700" s="75" t="s">
        <v>1996</v>
      </c>
      <c r="E700" s="75">
        <v>68427709</v>
      </c>
      <c r="F700" s="89">
        <v>-40000</v>
      </c>
      <c r="G700" s="75" t="s">
        <v>309</v>
      </c>
      <c r="H700" s="75" t="s">
        <v>310</v>
      </c>
      <c r="I700" s="75" t="s">
        <v>1878</v>
      </c>
      <c r="J700" s="75">
        <v>2022</v>
      </c>
      <c r="K700" s="75" t="s">
        <v>557</v>
      </c>
      <c r="L700" s="75"/>
    </row>
    <row r="701" spans="1:12" hidden="1" x14ac:dyDescent="0.25">
      <c r="A701" s="78">
        <v>44398</v>
      </c>
      <c r="B701" s="75" t="s">
        <v>1997</v>
      </c>
      <c r="C701" s="75" t="s">
        <v>1998</v>
      </c>
      <c r="D701" s="75" t="s">
        <v>799</v>
      </c>
      <c r="E701" s="75">
        <v>68427709</v>
      </c>
      <c r="F701" s="89">
        <v>100000</v>
      </c>
      <c r="G701" s="75" t="s">
        <v>309</v>
      </c>
      <c r="H701" s="75" t="s">
        <v>310</v>
      </c>
      <c r="I701" s="75" t="s">
        <v>329</v>
      </c>
      <c r="J701" s="75">
        <v>2022</v>
      </c>
      <c r="K701" s="75" t="s">
        <v>1288</v>
      </c>
      <c r="L701" s="75"/>
    </row>
    <row r="702" spans="1:12" hidden="1" x14ac:dyDescent="0.25">
      <c r="A702" s="78">
        <v>44398</v>
      </c>
      <c r="B702" s="75" t="s">
        <v>1662</v>
      </c>
      <c r="C702" s="75" t="s">
        <v>1999</v>
      </c>
      <c r="D702" s="75" t="s">
        <v>799</v>
      </c>
      <c r="E702" s="75">
        <v>68427709</v>
      </c>
      <c r="F702" s="89">
        <v>250000</v>
      </c>
      <c r="G702" s="75" t="s">
        <v>309</v>
      </c>
      <c r="H702" s="75" t="s">
        <v>310</v>
      </c>
      <c r="I702" s="75" t="s">
        <v>329</v>
      </c>
      <c r="J702" s="75">
        <v>2022</v>
      </c>
      <c r="K702" s="75" t="s">
        <v>1288</v>
      </c>
      <c r="L702" s="75"/>
    </row>
    <row r="703" spans="1:12" hidden="1" x14ac:dyDescent="0.25">
      <c r="A703" s="78">
        <v>44398</v>
      </c>
      <c r="B703" s="75" t="s">
        <v>1662</v>
      </c>
      <c r="C703" s="75" t="s">
        <v>2000</v>
      </c>
      <c r="D703" s="75" t="s">
        <v>799</v>
      </c>
      <c r="E703" s="75">
        <v>68427709</v>
      </c>
      <c r="F703" s="89">
        <v>140000</v>
      </c>
      <c r="G703" s="75" t="s">
        <v>309</v>
      </c>
      <c r="H703" s="75" t="s">
        <v>310</v>
      </c>
      <c r="I703" s="75" t="s">
        <v>329</v>
      </c>
      <c r="J703" s="75">
        <v>2022</v>
      </c>
      <c r="K703" s="75" t="s">
        <v>1288</v>
      </c>
      <c r="L703" s="75"/>
    </row>
    <row r="704" spans="1:12" hidden="1" x14ac:dyDescent="0.25">
      <c r="A704" s="78">
        <v>44398</v>
      </c>
      <c r="B704" s="75" t="s">
        <v>1670</v>
      </c>
      <c r="C704" s="75" t="s">
        <v>2001</v>
      </c>
      <c r="D704" s="75" t="s">
        <v>799</v>
      </c>
      <c r="E704" s="75">
        <v>68427709</v>
      </c>
      <c r="F704" s="89">
        <v>70000</v>
      </c>
      <c r="G704" s="75" t="s">
        <v>309</v>
      </c>
      <c r="H704" s="75" t="s">
        <v>310</v>
      </c>
      <c r="I704" s="75" t="s">
        <v>329</v>
      </c>
      <c r="J704" s="75">
        <v>2022</v>
      </c>
      <c r="K704" s="75" t="s">
        <v>1288</v>
      </c>
      <c r="L704" s="75"/>
    </row>
    <row r="705" spans="1:12" hidden="1" x14ac:dyDescent="0.25">
      <c r="A705" s="78">
        <v>44398</v>
      </c>
      <c r="B705" s="75" t="s">
        <v>1674</v>
      </c>
      <c r="C705" s="75" t="s">
        <v>2002</v>
      </c>
      <c r="D705" s="75" t="s">
        <v>799</v>
      </c>
      <c r="E705" s="75">
        <v>68427709</v>
      </c>
      <c r="F705" s="89">
        <v>90000</v>
      </c>
      <c r="G705" s="75" t="s">
        <v>309</v>
      </c>
      <c r="H705" s="75" t="s">
        <v>310</v>
      </c>
      <c r="I705" s="75" t="s">
        <v>329</v>
      </c>
      <c r="J705" s="75">
        <v>2022</v>
      </c>
      <c r="K705" s="75" t="s">
        <v>1288</v>
      </c>
      <c r="L705" s="75"/>
    </row>
    <row r="706" spans="1:12" hidden="1" x14ac:dyDescent="0.25">
      <c r="A706" s="78">
        <v>44398</v>
      </c>
      <c r="B706" s="75" t="s">
        <v>2003</v>
      </c>
      <c r="C706" s="75" t="s">
        <v>2004</v>
      </c>
      <c r="D706" s="75" t="s">
        <v>799</v>
      </c>
      <c r="E706" s="75">
        <v>68427709</v>
      </c>
      <c r="F706" s="89">
        <v>43000</v>
      </c>
      <c r="G706" s="75" t="s">
        <v>309</v>
      </c>
      <c r="H706" s="75" t="s">
        <v>310</v>
      </c>
      <c r="I706" s="75" t="s">
        <v>329</v>
      </c>
      <c r="J706" s="75">
        <v>2022</v>
      </c>
      <c r="K706" s="75" t="s">
        <v>1288</v>
      </c>
      <c r="L706" s="75"/>
    </row>
    <row r="707" spans="1:12" hidden="1" x14ac:dyDescent="0.25">
      <c r="A707" s="78">
        <v>44398</v>
      </c>
      <c r="B707" s="75" t="s">
        <v>1675</v>
      </c>
      <c r="C707" s="75" t="s">
        <v>2005</v>
      </c>
      <c r="D707" s="75" t="s">
        <v>799</v>
      </c>
      <c r="E707" s="75">
        <v>68427709</v>
      </c>
      <c r="F707" s="89">
        <v>50000</v>
      </c>
      <c r="G707" s="75" t="s">
        <v>309</v>
      </c>
      <c r="H707" s="75" t="s">
        <v>310</v>
      </c>
      <c r="I707" s="75" t="s">
        <v>329</v>
      </c>
      <c r="J707" s="75">
        <v>2022</v>
      </c>
      <c r="K707" s="75" t="s">
        <v>1288</v>
      </c>
      <c r="L707" s="75"/>
    </row>
    <row r="708" spans="1:12" hidden="1" x14ac:dyDescent="0.25">
      <c r="A708" s="78">
        <v>44399</v>
      </c>
      <c r="B708" s="75" t="s">
        <v>2006</v>
      </c>
      <c r="C708" s="75" t="s">
        <v>2007</v>
      </c>
      <c r="D708" s="75" t="s">
        <v>102</v>
      </c>
      <c r="E708" s="75">
        <v>68427709</v>
      </c>
      <c r="F708" s="89">
        <v>0</v>
      </c>
      <c r="G708" s="75" t="s">
        <v>309</v>
      </c>
      <c r="H708" s="75" t="s">
        <v>310</v>
      </c>
      <c r="I708" s="75" t="s">
        <v>1878</v>
      </c>
      <c r="J708" s="75">
        <v>2022</v>
      </c>
      <c r="K708" s="75" t="s">
        <v>1399</v>
      </c>
      <c r="L708" s="75"/>
    </row>
    <row r="709" spans="1:12" hidden="1" x14ac:dyDescent="0.25">
      <c r="A709" s="78">
        <v>44399</v>
      </c>
      <c r="B709" s="75" t="s">
        <v>1415</v>
      </c>
      <c r="C709" s="75" t="s">
        <v>1543</v>
      </c>
      <c r="D709" s="75" t="s">
        <v>768</v>
      </c>
      <c r="E709" s="75">
        <v>68427709</v>
      </c>
      <c r="F709" s="89">
        <v>-767698</v>
      </c>
      <c r="G709" s="75" t="s">
        <v>309</v>
      </c>
      <c r="H709" s="75" t="s">
        <v>310</v>
      </c>
      <c r="I709" s="75" t="s">
        <v>1878</v>
      </c>
      <c r="J709" s="75">
        <v>2022</v>
      </c>
      <c r="K709" s="75" t="s">
        <v>1399</v>
      </c>
      <c r="L709" s="75" t="s">
        <v>2008</v>
      </c>
    </row>
    <row r="710" spans="1:12" hidden="1" x14ac:dyDescent="0.25">
      <c r="A710" s="78">
        <v>44399</v>
      </c>
      <c r="B710" s="75" t="s">
        <v>2009</v>
      </c>
      <c r="C710" s="75" t="s">
        <v>2010</v>
      </c>
      <c r="D710" s="75" t="s">
        <v>768</v>
      </c>
      <c r="E710" s="75">
        <v>68427709</v>
      </c>
      <c r="F710" s="89">
        <v>-730000</v>
      </c>
      <c r="G710" s="75" t="s">
        <v>309</v>
      </c>
      <c r="H710" s="75" t="s">
        <v>310</v>
      </c>
      <c r="I710" s="75" t="s">
        <v>329</v>
      </c>
      <c r="J710" s="75">
        <v>2022</v>
      </c>
      <c r="K710" s="75" t="s">
        <v>1399</v>
      </c>
      <c r="L710" s="75"/>
    </row>
    <row r="711" spans="1:12" hidden="1" x14ac:dyDescent="0.25">
      <c r="A711" s="78">
        <v>44399</v>
      </c>
      <c r="B711" s="75" t="s">
        <v>2009</v>
      </c>
      <c r="C711" s="75" t="s">
        <v>2011</v>
      </c>
      <c r="D711" s="75" t="s">
        <v>102</v>
      </c>
      <c r="E711" s="75">
        <v>68427709</v>
      </c>
      <c r="F711" s="89">
        <v>50000</v>
      </c>
      <c r="G711" s="75" t="s">
        <v>309</v>
      </c>
      <c r="H711" s="75" t="s">
        <v>310</v>
      </c>
      <c r="I711" s="75" t="s">
        <v>329</v>
      </c>
      <c r="J711" s="75">
        <v>2022</v>
      </c>
      <c r="K711" s="75" t="s">
        <v>1399</v>
      </c>
      <c r="L711" s="75"/>
    </row>
    <row r="712" spans="1:12" hidden="1" x14ac:dyDescent="0.25">
      <c r="A712" s="78">
        <v>44399</v>
      </c>
      <c r="B712" s="75" t="s">
        <v>1416</v>
      </c>
      <c r="C712" s="75" t="s">
        <v>2012</v>
      </c>
      <c r="D712" s="75" t="s">
        <v>768</v>
      </c>
      <c r="E712" s="75">
        <v>68427709</v>
      </c>
      <c r="F712" s="89">
        <v>-48960</v>
      </c>
      <c r="G712" s="75" t="s">
        <v>309</v>
      </c>
      <c r="H712" s="75" t="s">
        <v>310</v>
      </c>
      <c r="I712" s="75" t="s">
        <v>329</v>
      </c>
      <c r="J712" s="75">
        <v>2022</v>
      </c>
      <c r="K712" s="75" t="s">
        <v>1399</v>
      </c>
      <c r="L712" s="75"/>
    </row>
    <row r="713" spans="1:12" hidden="1" x14ac:dyDescent="0.25">
      <c r="A713" s="78">
        <v>44399</v>
      </c>
      <c r="B713" s="75" t="s">
        <v>1416</v>
      </c>
      <c r="C713" s="75" t="s">
        <v>2013</v>
      </c>
      <c r="D713" s="75" t="s">
        <v>102</v>
      </c>
      <c r="E713" s="75">
        <v>68427709</v>
      </c>
      <c r="F713" s="89">
        <v>50000</v>
      </c>
      <c r="G713" s="75" t="s">
        <v>309</v>
      </c>
      <c r="H713" s="75" t="s">
        <v>310</v>
      </c>
      <c r="I713" s="75" t="s">
        <v>329</v>
      </c>
      <c r="J713" s="75">
        <v>2022</v>
      </c>
      <c r="K713" s="75" t="s">
        <v>1399</v>
      </c>
      <c r="L713" s="75"/>
    </row>
    <row r="714" spans="1:12" hidden="1" x14ac:dyDescent="0.25">
      <c r="A714" s="78">
        <v>44399</v>
      </c>
      <c r="B714" s="75" t="s">
        <v>1415</v>
      </c>
      <c r="C714" s="75" t="s">
        <v>2014</v>
      </c>
      <c r="D714" s="75" t="s">
        <v>2015</v>
      </c>
      <c r="E714" s="75">
        <v>68427709</v>
      </c>
      <c r="F714" s="89">
        <v>790000</v>
      </c>
      <c r="G714" s="75" t="s">
        <v>309</v>
      </c>
      <c r="H714" s="75" t="s">
        <v>310</v>
      </c>
      <c r="I714" s="75" t="s">
        <v>329</v>
      </c>
      <c r="J714" s="75">
        <v>2022</v>
      </c>
      <c r="K714" s="75" t="s">
        <v>1399</v>
      </c>
      <c r="L714" s="75"/>
    </row>
    <row r="715" spans="1:12" hidden="1" x14ac:dyDescent="0.25">
      <c r="A715" s="78">
        <v>44399</v>
      </c>
      <c r="B715" s="75" t="s">
        <v>1179</v>
      </c>
      <c r="C715" s="75" t="s">
        <v>2016</v>
      </c>
      <c r="D715" s="75" t="s">
        <v>2017</v>
      </c>
      <c r="E715" s="75">
        <v>68427709</v>
      </c>
      <c r="F715" s="89">
        <v>3040</v>
      </c>
      <c r="G715" s="75" t="s">
        <v>309</v>
      </c>
      <c r="H715" s="75" t="s">
        <v>310</v>
      </c>
      <c r="I715" s="75" t="s">
        <v>1878</v>
      </c>
      <c r="J715" s="75">
        <v>2022</v>
      </c>
      <c r="K715" s="75" t="s">
        <v>1399</v>
      </c>
      <c r="L715" s="75"/>
    </row>
    <row r="716" spans="1:12" hidden="1" x14ac:dyDescent="0.25">
      <c r="A716" s="78">
        <v>44399</v>
      </c>
      <c r="B716" s="75" t="s">
        <v>787</v>
      </c>
      <c r="C716" s="75" t="s">
        <v>1940</v>
      </c>
      <c r="D716" s="75" t="s">
        <v>2018</v>
      </c>
      <c r="E716" s="75">
        <v>68427709</v>
      </c>
      <c r="F716" s="89">
        <v>-20000</v>
      </c>
      <c r="G716" s="75" t="s">
        <v>309</v>
      </c>
      <c r="H716" s="75" t="s">
        <v>310</v>
      </c>
      <c r="I716" s="75" t="s">
        <v>1878</v>
      </c>
      <c r="J716" s="75">
        <v>2022</v>
      </c>
      <c r="K716" s="75" t="s">
        <v>1399</v>
      </c>
      <c r="L716" s="75"/>
    </row>
    <row r="717" spans="1:12" hidden="1" x14ac:dyDescent="0.25">
      <c r="A717" s="78">
        <v>44399</v>
      </c>
      <c r="B717" s="75" t="s">
        <v>786</v>
      </c>
      <c r="C717" s="75" t="s">
        <v>2019</v>
      </c>
      <c r="D717" s="75" t="s">
        <v>754</v>
      </c>
      <c r="E717" s="75">
        <v>68427709</v>
      </c>
      <c r="F717" s="89">
        <v>882000</v>
      </c>
      <c r="G717" s="75" t="s">
        <v>309</v>
      </c>
      <c r="H717" s="75" t="s">
        <v>310</v>
      </c>
      <c r="I717" s="75" t="s">
        <v>1878</v>
      </c>
      <c r="J717" s="75">
        <v>2022</v>
      </c>
      <c r="K717" s="75" t="s">
        <v>1399</v>
      </c>
      <c r="L717" s="75"/>
    </row>
    <row r="718" spans="1:12" hidden="1" x14ac:dyDescent="0.25">
      <c r="A718" s="78">
        <v>44399</v>
      </c>
      <c r="B718" s="75" t="s">
        <v>2020</v>
      </c>
      <c r="C718" s="75"/>
      <c r="D718" s="75" t="s">
        <v>754</v>
      </c>
      <c r="E718" s="75">
        <v>68427709</v>
      </c>
      <c r="F718" s="89">
        <v>225000</v>
      </c>
      <c r="G718" s="75" t="s">
        <v>309</v>
      </c>
      <c r="H718" s="75" t="s">
        <v>310</v>
      </c>
      <c r="I718" s="75" t="s">
        <v>1878</v>
      </c>
      <c r="J718" s="75">
        <v>2022</v>
      </c>
      <c r="K718" s="75" t="s">
        <v>1399</v>
      </c>
      <c r="L718" s="75"/>
    </row>
    <row r="719" spans="1:12" hidden="1" x14ac:dyDescent="0.25">
      <c r="A719" s="78">
        <v>44399</v>
      </c>
      <c r="B719" s="75" t="s">
        <v>2021</v>
      </c>
      <c r="C719" s="75" t="s">
        <v>2022</v>
      </c>
      <c r="D719" s="75" t="s">
        <v>754</v>
      </c>
      <c r="E719" s="75">
        <v>68427709</v>
      </c>
      <c r="F719" s="89">
        <v>4000</v>
      </c>
      <c r="G719" s="75" t="s">
        <v>309</v>
      </c>
      <c r="H719" s="75" t="s">
        <v>310</v>
      </c>
      <c r="I719" s="75" t="s">
        <v>1878</v>
      </c>
      <c r="J719" s="75">
        <v>2022</v>
      </c>
      <c r="K719" s="75" t="s">
        <v>1399</v>
      </c>
      <c r="L719" s="75"/>
    </row>
    <row r="720" spans="1:12" hidden="1" x14ac:dyDescent="0.25">
      <c r="A720" s="78">
        <v>44399</v>
      </c>
      <c r="B720" s="75" t="s">
        <v>2023</v>
      </c>
      <c r="C720" s="75" t="s">
        <v>2024</v>
      </c>
      <c r="D720" s="75" t="s">
        <v>754</v>
      </c>
      <c r="E720" s="75">
        <v>68427709</v>
      </c>
      <c r="F720" s="89">
        <v>32000</v>
      </c>
      <c r="G720" s="75" t="s">
        <v>309</v>
      </c>
      <c r="H720" s="75" t="s">
        <v>310</v>
      </c>
      <c r="I720" s="75" t="s">
        <v>1878</v>
      </c>
      <c r="J720" s="75">
        <v>2022</v>
      </c>
      <c r="K720" s="75" t="s">
        <v>1399</v>
      </c>
      <c r="L720" s="75"/>
    </row>
    <row r="721" spans="1:12" hidden="1" x14ac:dyDescent="0.25">
      <c r="A721" s="78">
        <v>44399</v>
      </c>
      <c r="B721" s="75" t="s">
        <v>2025</v>
      </c>
      <c r="C721" s="75" t="s">
        <v>2026</v>
      </c>
      <c r="D721" s="75" t="s">
        <v>754</v>
      </c>
      <c r="E721" s="75">
        <v>68427709</v>
      </c>
      <c r="F721" s="89">
        <v>7800</v>
      </c>
      <c r="G721" s="75" t="s">
        <v>309</v>
      </c>
      <c r="H721" s="75" t="s">
        <v>310</v>
      </c>
      <c r="I721" s="75" t="s">
        <v>1878</v>
      </c>
      <c r="J721" s="75">
        <v>2022</v>
      </c>
      <c r="K721" s="75" t="s">
        <v>1399</v>
      </c>
      <c r="L721" s="75"/>
    </row>
    <row r="722" spans="1:12" hidden="1" x14ac:dyDescent="0.25">
      <c r="A722" s="78">
        <v>44399</v>
      </c>
      <c r="B722" s="75" t="s">
        <v>2027</v>
      </c>
      <c r="C722" s="75" t="s">
        <v>2028</v>
      </c>
      <c r="D722" s="75" t="s">
        <v>754</v>
      </c>
      <c r="E722" s="75">
        <v>68427709</v>
      </c>
      <c r="F722" s="89">
        <f>170000-37500</f>
        <v>132500</v>
      </c>
      <c r="G722" s="75" t="s">
        <v>309</v>
      </c>
      <c r="H722" s="75" t="s">
        <v>310</v>
      </c>
      <c r="I722" s="75" t="s">
        <v>1878</v>
      </c>
      <c r="J722" s="75">
        <v>2022</v>
      </c>
      <c r="K722" s="75" t="s">
        <v>1399</v>
      </c>
      <c r="L722" s="75"/>
    </row>
    <row r="723" spans="1:12" hidden="1" x14ac:dyDescent="0.25">
      <c r="A723" s="78">
        <v>44399</v>
      </c>
      <c r="B723" s="75" t="s">
        <v>2029</v>
      </c>
      <c r="C723" s="75" t="s">
        <v>2026</v>
      </c>
      <c r="D723" s="75" t="s">
        <v>754</v>
      </c>
      <c r="E723" s="75">
        <v>68427709</v>
      </c>
      <c r="F723" s="89">
        <v>10000</v>
      </c>
      <c r="G723" s="75" t="s">
        <v>309</v>
      </c>
      <c r="H723" s="75" t="s">
        <v>310</v>
      </c>
      <c r="I723" s="75" t="s">
        <v>1878</v>
      </c>
      <c r="J723" s="75">
        <v>2022</v>
      </c>
      <c r="K723" s="75" t="s">
        <v>1399</v>
      </c>
      <c r="L723" s="75"/>
    </row>
    <row r="724" spans="1:12" hidden="1" x14ac:dyDescent="0.25">
      <c r="A724" s="78">
        <v>44399</v>
      </c>
      <c r="B724" s="75" t="s">
        <v>2030</v>
      </c>
      <c r="C724" s="75" t="s">
        <v>2026</v>
      </c>
      <c r="D724" s="75" t="s">
        <v>754</v>
      </c>
      <c r="E724" s="75">
        <v>68427709</v>
      </c>
      <c r="F724" s="89">
        <v>133900</v>
      </c>
      <c r="G724" s="75" t="s">
        <v>309</v>
      </c>
      <c r="H724" s="75" t="s">
        <v>310</v>
      </c>
      <c r="I724" s="75" t="s">
        <v>1878</v>
      </c>
      <c r="J724" s="75">
        <v>2022</v>
      </c>
      <c r="K724" s="75" t="s">
        <v>1399</v>
      </c>
      <c r="L724" s="75"/>
    </row>
    <row r="725" spans="1:12" hidden="1" x14ac:dyDescent="0.25">
      <c r="A725" s="78">
        <v>44399</v>
      </c>
      <c r="B725" s="75" t="s">
        <v>2031</v>
      </c>
      <c r="C725" s="75" t="s">
        <v>2026</v>
      </c>
      <c r="D725" s="75" t="s">
        <v>754</v>
      </c>
      <c r="E725" s="75">
        <v>68427709</v>
      </c>
      <c r="F725" s="89">
        <v>12000</v>
      </c>
      <c r="G725" s="75" t="s">
        <v>309</v>
      </c>
      <c r="H725" s="75" t="s">
        <v>310</v>
      </c>
      <c r="I725" s="75" t="s">
        <v>1878</v>
      </c>
      <c r="J725" s="75">
        <v>2022</v>
      </c>
      <c r="K725" s="75" t="s">
        <v>1399</v>
      </c>
      <c r="L725" s="75"/>
    </row>
    <row r="726" spans="1:12" hidden="1" x14ac:dyDescent="0.25">
      <c r="A726" s="78">
        <v>44399</v>
      </c>
      <c r="B726" s="75" t="s">
        <v>1459</v>
      </c>
      <c r="C726" s="75" t="s">
        <v>2032</v>
      </c>
      <c r="D726" s="75" t="s">
        <v>1459</v>
      </c>
      <c r="E726" s="75">
        <v>68427709</v>
      </c>
      <c r="F726" s="89">
        <v>0</v>
      </c>
      <c r="G726" s="75" t="s">
        <v>309</v>
      </c>
      <c r="H726" s="75" t="s">
        <v>310</v>
      </c>
      <c r="I726" s="75" t="s">
        <v>1878</v>
      </c>
      <c r="J726" s="75">
        <v>2022</v>
      </c>
      <c r="K726" s="75" t="s">
        <v>1399</v>
      </c>
      <c r="L726" s="75"/>
    </row>
    <row r="727" spans="1:12" hidden="1" x14ac:dyDescent="0.25">
      <c r="A727" s="78">
        <v>44399</v>
      </c>
      <c r="B727" s="75" t="s">
        <v>782</v>
      </c>
      <c r="C727" s="75" t="s">
        <v>2033</v>
      </c>
      <c r="D727" s="75" t="s">
        <v>754</v>
      </c>
      <c r="E727" s="75">
        <v>68427709</v>
      </c>
      <c r="F727" s="89">
        <v>52000</v>
      </c>
      <c r="G727" s="75" t="s">
        <v>309</v>
      </c>
      <c r="H727" s="75" t="s">
        <v>310</v>
      </c>
      <c r="I727" s="75" t="s">
        <v>1878</v>
      </c>
      <c r="J727" s="75">
        <v>2022</v>
      </c>
      <c r="K727" s="75" t="s">
        <v>1399</v>
      </c>
      <c r="L727" s="75"/>
    </row>
    <row r="728" spans="1:12" hidden="1" x14ac:dyDescent="0.25">
      <c r="A728" s="78">
        <v>44399</v>
      </c>
      <c r="B728" s="75" t="s">
        <v>2034</v>
      </c>
      <c r="C728" s="75" t="s">
        <v>2035</v>
      </c>
      <c r="D728" s="75" t="s">
        <v>799</v>
      </c>
      <c r="E728" s="75">
        <v>68427709</v>
      </c>
      <c r="F728" s="89">
        <v>-50000</v>
      </c>
      <c r="G728" s="75" t="s">
        <v>309</v>
      </c>
      <c r="H728" s="75" t="s">
        <v>310</v>
      </c>
      <c r="I728" s="75" t="s">
        <v>329</v>
      </c>
      <c r="J728" s="75">
        <v>2022</v>
      </c>
      <c r="K728" s="75" t="s">
        <v>1399</v>
      </c>
      <c r="L728" s="75"/>
    </row>
    <row r="729" spans="1:12" hidden="1" x14ac:dyDescent="0.25">
      <c r="A729" s="78">
        <v>44399</v>
      </c>
      <c r="B729" s="75" t="s">
        <v>772</v>
      </c>
      <c r="C729" s="75" t="s">
        <v>2036</v>
      </c>
      <c r="D729" s="75" t="s">
        <v>102</v>
      </c>
      <c r="E729" s="75">
        <v>68427709</v>
      </c>
      <c r="F729" s="89">
        <v>515086</v>
      </c>
      <c r="G729" s="75" t="s">
        <v>309</v>
      </c>
      <c r="H729" s="75" t="s">
        <v>310</v>
      </c>
      <c r="I729" s="75" t="s">
        <v>329</v>
      </c>
      <c r="J729" s="75">
        <v>2022</v>
      </c>
      <c r="K729" s="75" t="s">
        <v>1399</v>
      </c>
      <c r="L729" s="75"/>
    </row>
    <row r="730" spans="1:12" hidden="1" x14ac:dyDescent="0.25">
      <c r="A730" s="78">
        <v>44399</v>
      </c>
      <c r="B730" s="75" t="s">
        <v>2037</v>
      </c>
      <c r="C730" s="75" t="s">
        <v>2038</v>
      </c>
      <c r="D730" s="75" t="s">
        <v>2039</v>
      </c>
      <c r="E730" s="75">
        <v>68427709</v>
      </c>
      <c r="F730" s="89">
        <v>0</v>
      </c>
      <c r="G730" s="75" t="s">
        <v>309</v>
      </c>
      <c r="H730" s="75" t="s">
        <v>310</v>
      </c>
      <c r="I730" s="75" t="s">
        <v>329</v>
      </c>
      <c r="J730" s="75">
        <v>2022</v>
      </c>
      <c r="K730" s="75" t="s">
        <v>1399</v>
      </c>
      <c r="L730" s="75"/>
    </row>
    <row r="731" spans="1:12" hidden="1" x14ac:dyDescent="0.25">
      <c r="A731" s="78">
        <v>44399</v>
      </c>
      <c r="B731" s="75" t="s">
        <v>1544</v>
      </c>
      <c r="C731" s="75" t="s">
        <v>2040</v>
      </c>
      <c r="D731" s="75" t="s">
        <v>768</v>
      </c>
      <c r="E731" s="75">
        <v>68427709</v>
      </c>
      <c r="F731" s="89">
        <v>-83840</v>
      </c>
      <c r="G731" s="75" t="s">
        <v>309</v>
      </c>
      <c r="H731" s="75" t="s">
        <v>310</v>
      </c>
      <c r="I731" s="75" t="s">
        <v>329</v>
      </c>
      <c r="J731" s="75">
        <v>2022</v>
      </c>
      <c r="K731" s="75" t="s">
        <v>1399</v>
      </c>
      <c r="L731" s="75"/>
    </row>
    <row r="732" spans="1:12" hidden="1" x14ac:dyDescent="0.25">
      <c r="A732" s="78">
        <v>44399</v>
      </c>
      <c r="B732" s="75" t="s">
        <v>1580</v>
      </c>
      <c r="C732" s="75" t="s">
        <v>2041</v>
      </c>
      <c r="D732" s="75" t="s">
        <v>102</v>
      </c>
      <c r="E732" s="75">
        <v>68427709</v>
      </c>
      <c r="F732" s="89">
        <v>-100000</v>
      </c>
      <c r="G732" s="75" t="s">
        <v>309</v>
      </c>
      <c r="H732" s="75" t="s">
        <v>310</v>
      </c>
      <c r="I732" s="75" t="s">
        <v>329</v>
      </c>
      <c r="J732" s="75">
        <v>2022</v>
      </c>
      <c r="K732" s="75" t="s">
        <v>1399</v>
      </c>
      <c r="L732" s="75"/>
    </row>
    <row r="733" spans="1:12" hidden="1" x14ac:dyDescent="0.25">
      <c r="A733" s="78">
        <v>44399</v>
      </c>
      <c r="B733" s="75" t="s">
        <v>1545</v>
      </c>
      <c r="C733" s="75" t="s">
        <v>2040</v>
      </c>
      <c r="D733" s="75" t="s">
        <v>768</v>
      </c>
      <c r="E733" s="75">
        <v>68427709</v>
      </c>
      <c r="F733" s="89">
        <v>-50400</v>
      </c>
      <c r="G733" s="75" t="s">
        <v>309</v>
      </c>
      <c r="H733" s="75" t="s">
        <v>310</v>
      </c>
      <c r="I733" s="75" t="s">
        <v>329</v>
      </c>
      <c r="J733" s="75">
        <v>2022</v>
      </c>
      <c r="K733" s="75" t="s">
        <v>1399</v>
      </c>
      <c r="L733" s="75"/>
    </row>
    <row r="734" spans="1:12" hidden="1" x14ac:dyDescent="0.25">
      <c r="A734" s="78">
        <v>44399</v>
      </c>
      <c r="B734" s="75" t="s">
        <v>1548</v>
      </c>
      <c r="C734" s="75" t="s">
        <v>2042</v>
      </c>
      <c r="D734" s="75" t="s">
        <v>799</v>
      </c>
      <c r="E734" s="75">
        <v>68427709</v>
      </c>
      <c r="F734" s="89">
        <v>180000</v>
      </c>
      <c r="G734" s="75" t="s">
        <v>309</v>
      </c>
      <c r="H734" s="75" t="s">
        <v>310</v>
      </c>
      <c r="I734" s="75" t="s">
        <v>329</v>
      </c>
      <c r="J734" s="75">
        <v>2022</v>
      </c>
      <c r="K734" s="75" t="s">
        <v>1399</v>
      </c>
      <c r="L734" s="75"/>
    </row>
    <row r="735" spans="1:12" hidden="1" x14ac:dyDescent="0.25">
      <c r="A735" s="78">
        <v>44399</v>
      </c>
      <c r="B735" s="75" t="s">
        <v>1548</v>
      </c>
      <c r="C735" s="75" t="s">
        <v>2043</v>
      </c>
      <c r="D735" s="75" t="s">
        <v>799</v>
      </c>
      <c r="E735" s="75">
        <v>68427709</v>
      </c>
      <c r="F735" s="89">
        <v>-90000</v>
      </c>
      <c r="G735" s="75" t="s">
        <v>309</v>
      </c>
      <c r="H735" s="75" t="s">
        <v>310</v>
      </c>
      <c r="I735" s="75" t="s">
        <v>1878</v>
      </c>
      <c r="J735" s="75">
        <v>2022</v>
      </c>
      <c r="K735" s="75" t="s">
        <v>1399</v>
      </c>
      <c r="L735" s="75"/>
    </row>
    <row r="736" spans="1:12" hidden="1" x14ac:dyDescent="0.25">
      <c r="A736" s="78">
        <v>44399</v>
      </c>
      <c r="B736" s="75" t="s">
        <v>1555</v>
      </c>
      <c r="C736" s="75" t="s">
        <v>2044</v>
      </c>
      <c r="D736" s="75" t="s">
        <v>2015</v>
      </c>
      <c r="E736" s="75">
        <v>68427709</v>
      </c>
      <c r="F736" s="89">
        <v>196800</v>
      </c>
      <c r="G736" s="75" t="s">
        <v>309</v>
      </c>
      <c r="H736" s="75" t="s">
        <v>310</v>
      </c>
      <c r="I736" s="75" t="s">
        <v>1878</v>
      </c>
      <c r="J736" s="75">
        <v>2022</v>
      </c>
      <c r="K736" s="75" t="s">
        <v>1399</v>
      </c>
      <c r="L736" s="75"/>
    </row>
    <row r="737" spans="1:12" hidden="1" x14ac:dyDescent="0.25">
      <c r="A737" s="78">
        <v>44399</v>
      </c>
      <c r="B737" s="75" t="s">
        <v>2045</v>
      </c>
      <c r="C737" s="75" t="s">
        <v>2046</v>
      </c>
      <c r="D737" s="75" t="s">
        <v>473</v>
      </c>
      <c r="E737" s="75">
        <v>68427709</v>
      </c>
      <c r="F737" s="89">
        <v>-37975</v>
      </c>
      <c r="G737" s="75" t="s">
        <v>309</v>
      </c>
      <c r="H737" s="75" t="s">
        <v>310</v>
      </c>
      <c r="I737" s="75" t="s">
        <v>1878</v>
      </c>
      <c r="J737" s="75">
        <v>2022</v>
      </c>
      <c r="K737" s="75" t="s">
        <v>1399</v>
      </c>
      <c r="L737" s="75"/>
    </row>
    <row r="738" spans="1:12" hidden="1" x14ac:dyDescent="0.25">
      <c r="A738" s="78">
        <v>44399</v>
      </c>
      <c r="B738" s="75" t="s">
        <v>2047</v>
      </c>
      <c r="C738" s="75" t="s">
        <v>2048</v>
      </c>
      <c r="D738" s="75" t="s">
        <v>2049</v>
      </c>
      <c r="E738" s="75">
        <v>68427709</v>
      </c>
      <c r="F738" s="89">
        <v>5000</v>
      </c>
      <c r="G738" s="75" t="s">
        <v>309</v>
      </c>
      <c r="H738" s="75" t="s">
        <v>310</v>
      </c>
      <c r="I738" s="75" t="s">
        <v>1878</v>
      </c>
      <c r="J738" s="75">
        <v>2022</v>
      </c>
      <c r="K738" s="75" t="s">
        <v>1399</v>
      </c>
      <c r="L738" s="75"/>
    </row>
    <row r="739" spans="1:12" hidden="1" x14ac:dyDescent="0.25">
      <c r="A739" s="78">
        <v>44399</v>
      </c>
      <c r="B739" s="75" t="s">
        <v>778</v>
      </c>
      <c r="C739" s="75" t="s">
        <v>1554</v>
      </c>
      <c r="D739" s="75" t="s">
        <v>149</v>
      </c>
      <c r="E739" s="75">
        <v>68427709</v>
      </c>
      <c r="F739" s="89">
        <v>-200000</v>
      </c>
      <c r="G739" s="75" t="s">
        <v>309</v>
      </c>
      <c r="H739" s="75" t="s">
        <v>310</v>
      </c>
      <c r="I739" s="75" t="s">
        <v>1878</v>
      </c>
      <c r="J739" s="75">
        <v>2022</v>
      </c>
      <c r="K739" s="75" t="s">
        <v>1399</v>
      </c>
      <c r="L739" s="75"/>
    </row>
    <row r="740" spans="1:12" hidden="1" x14ac:dyDescent="0.25">
      <c r="A740" s="78">
        <v>44399</v>
      </c>
      <c r="B740" s="75" t="s">
        <v>1626</v>
      </c>
      <c r="C740" s="75" t="s">
        <v>2050</v>
      </c>
      <c r="D740" s="75" t="s">
        <v>2051</v>
      </c>
      <c r="E740" s="75">
        <v>68427709</v>
      </c>
      <c r="F740" s="89">
        <v>40000</v>
      </c>
      <c r="G740" s="75" t="s">
        <v>309</v>
      </c>
      <c r="H740" s="75" t="s">
        <v>310</v>
      </c>
      <c r="I740" s="75" t="s">
        <v>1878</v>
      </c>
      <c r="J740" s="75">
        <v>2022</v>
      </c>
      <c r="K740" s="75" t="s">
        <v>1399</v>
      </c>
      <c r="L740" s="75"/>
    </row>
    <row r="741" spans="1:12" hidden="1" x14ac:dyDescent="0.25">
      <c r="A741" s="78">
        <v>44399</v>
      </c>
      <c r="B741" s="75" t="s">
        <v>2052</v>
      </c>
      <c r="C741" s="75" t="s">
        <v>2053</v>
      </c>
      <c r="D741" s="75" t="s">
        <v>503</v>
      </c>
      <c r="E741" s="75">
        <v>68427709</v>
      </c>
      <c r="F741" s="89">
        <v>30000</v>
      </c>
      <c r="G741" s="75" t="s">
        <v>309</v>
      </c>
      <c r="H741" s="75" t="s">
        <v>310</v>
      </c>
      <c r="I741" s="75" t="s">
        <v>1878</v>
      </c>
      <c r="J741" s="75">
        <v>2022</v>
      </c>
      <c r="K741" s="75" t="s">
        <v>1399</v>
      </c>
      <c r="L741" s="75"/>
    </row>
    <row r="742" spans="1:12" hidden="1" x14ac:dyDescent="0.25">
      <c r="A742" s="78">
        <v>44399</v>
      </c>
      <c r="B742" s="75" t="s">
        <v>1569</v>
      </c>
      <c r="C742" s="75" t="s">
        <v>2054</v>
      </c>
      <c r="D742" s="75"/>
      <c r="E742" s="75">
        <v>68427709</v>
      </c>
      <c r="F742" s="89">
        <v>-30000</v>
      </c>
      <c r="G742" s="75" t="s">
        <v>309</v>
      </c>
      <c r="H742" s="75" t="s">
        <v>310</v>
      </c>
      <c r="I742" s="75" t="s">
        <v>1878</v>
      </c>
      <c r="J742" s="75">
        <v>2022</v>
      </c>
      <c r="K742" s="75" t="s">
        <v>1399</v>
      </c>
      <c r="L742" s="75"/>
    </row>
    <row r="743" spans="1:12" hidden="1" x14ac:dyDescent="0.25">
      <c r="A743" s="78">
        <v>44399</v>
      </c>
      <c r="B743" s="75" t="s">
        <v>1574</v>
      </c>
      <c r="C743" s="75"/>
      <c r="D743" s="75" t="s">
        <v>2049</v>
      </c>
      <c r="E743" s="75">
        <v>68427709</v>
      </c>
      <c r="F743" s="89">
        <v>-20000</v>
      </c>
      <c r="G743" s="75" t="s">
        <v>309</v>
      </c>
      <c r="H743" s="75" t="s">
        <v>310</v>
      </c>
      <c r="I743" s="75" t="s">
        <v>1878</v>
      </c>
      <c r="J743" s="75">
        <v>2022</v>
      </c>
      <c r="K743" s="75" t="s">
        <v>1399</v>
      </c>
      <c r="L743" s="75"/>
    </row>
    <row r="744" spans="1:12" hidden="1" x14ac:dyDescent="0.25">
      <c r="A744" s="78">
        <v>44399</v>
      </c>
      <c r="B744" s="75" t="s">
        <v>2055</v>
      </c>
      <c r="C744" s="75" t="s">
        <v>2056</v>
      </c>
      <c r="D744" s="75" t="s">
        <v>799</v>
      </c>
      <c r="E744" s="75">
        <v>68427709</v>
      </c>
      <c r="F744" s="89">
        <v>50000</v>
      </c>
      <c r="G744" s="75" t="s">
        <v>309</v>
      </c>
      <c r="H744" s="75" t="s">
        <v>310</v>
      </c>
      <c r="I744" s="75" t="s">
        <v>329</v>
      </c>
      <c r="J744" s="75">
        <v>2022</v>
      </c>
      <c r="K744" s="75" t="s">
        <v>1399</v>
      </c>
      <c r="L744" s="75"/>
    </row>
    <row r="745" spans="1:12" hidden="1" x14ac:dyDescent="0.25">
      <c r="A745" s="78">
        <v>44399</v>
      </c>
      <c r="B745" s="75" t="s">
        <v>2057</v>
      </c>
      <c r="C745" s="75" t="s">
        <v>2058</v>
      </c>
      <c r="D745" s="75" t="s">
        <v>768</v>
      </c>
      <c r="E745" s="75">
        <v>68427709</v>
      </c>
      <c r="F745" s="89">
        <v>0</v>
      </c>
      <c r="G745" s="75" t="s">
        <v>309</v>
      </c>
      <c r="H745" s="75" t="s">
        <v>310</v>
      </c>
      <c r="I745" s="75" t="s">
        <v>329</v>
      </c>
      <c r="J745" s="75">
        <v>2022</v>
      </c>
      <c r="K745" s="75" t="s">
        <v>1399</v>
      </c>
      <c r="L745" s="75"/>
    </row>
    <row r="746" spans="1:12" hidden="1" x14ac:dyDescent="0.25">
      <c r="A746" s="78">
        <v>44399</v>
      </c>
      <c r="B746" s="75" t="s">
        <v>2059</v>
      </c>
      <c r="C746" s="75" t="s">
        <v>2060</v>
      </c>
      <c r="D746" s="75" t="s">
        <v>799</v>
      </c>
      <c r="E746" s="75">
        <v>68427709</v>
      </c>
      <c r="F746" s="89">
        <v>80000</v>
      </c>
      <c r="G746" s="75" t="s">
        <v>309</v>
      </c>
      <c r="H746" s="75" t="s">
        <v>310</v>
      </c>
      <c r="I746" s="75" t="s">
        <v>329</v>
      </c>
      <c r="J746" s="75">
        <v>2022</v>
      </c>
      <c r="K746" s="75" t="s">
        <v>1399</v>
      </c>
      <c r="L746" s="75"/>
    </row>
    <row r="747" spans="1:12" hidden="1" x14ac:dyDescent="0.25">
      <c r="A747" s="78">
        <v>44399</v>
      </c>
      <c r="B747" s="75" t="s">
        <v>1115</v>
      </c>
      <c r="C747" s="75" t="s">
        <v>1554</v>
      </c>
      <c r="D747" s="75" t="s">
        <v>2061</v>
      </c>
      <c r="E747" s="75">
        <v>68427709</v>
      </c>
      <c r="F747" s="89">
        <v>-22000</v>
      </c>
      <c r="G747" s="75" t="s">
        <v>309</v>
      </c>
      <c r="H747" s="75" t="s">
        <v>310</v>
      </c>
      <c r="I747" s="75" t="s">
        <v>1878</v>
      </c>
      <c r="J747" s="75">
        <v>2022</v>
      </c>
      <c r="K747" s="75" t="s">
        <v>557</v>
      </c>
      <c r="L747" s="75"/>
    </row>
    <row r="748" spans="1:12" hidden="1" x14ac:dyDescent="0.25">
      <c r="A748" s="78">
        <v>44399</v>
      </c>
      <c r="B748" s="75" t="s">
        <v>2062</v>
      </c>
      <c r="C748" s="75" t="s">
        <v>1554</v>
      </c>
      <c r="D748" s="75" t="s">
        <v>376</v>
      </c>
      <c r="E748" s="75">
        <v>68427709</v>
      </c>
      <c r="F748" s="89">
        <v>-25000</v>
      </c>
      <c r="G748" s="75" t="s">
        <v>309</v>
      </c>
      <c r="H748" s="75" t="s">
        <v>310</v>
      </c>
      <c r="I748" s="75" t="s">
        <v>1878</v>
      </c>
      <c r="J748" s="75">
        <v>2022</v>
      </c>
      <c r="K748" s="75" t="s">
        <v>557</v>
      </c>
      <c r="L748" s="75"/>
    </row>
    <row r="749" spans="1:12" hidden="1" x14ac:dyDescent="0.25">
      <c r="A749" s="78">
        <v>44399</v>
      </c>
      <c r="B749" s="75" t="s">
        <v>2063</v>
      </c>
      <c r="C749" s="75"/>
      <c r="D749" s="75"/>
      <c r="E749" s="75"/>
      <c r="F749" s="89"/>
      <c r="G749" s="75"/>
      <c r="H749" s="75"/>
      <c r="I749" s="75"/>
      <c r="J749" s="75">
        <v>2022</v>
      </c>
      <c r="K749" s="75"/>
      <c r="L749" s="75"/>
    </row>
    <row r="750" spans="1:12" s="161" customFormat="1" hidden="1" x14ac:dyDescent="0.25">
      <c r="A750" s="79">
        <v>44400</v>
      </c>
      <c r="B750" s="80" t="s">
        <v>2064</v>
      </c>
      <c r="C750" s="80"/>
      <c r="D750" s="80"/>
      <c r="E750" s="80"/>
      <c r="F750" s="115"/>
      <c r="G750" s="80"/>
      <c r="H750" s="80"/>
      <c r="I750" s="80"/>
      <c r="J750" s="80">
        <v>2022</v>
      </c>
      <c r="K750" s="80"/>
      <c r="L750" s="80"/>
    </row>
    <row r="751" spans="1:12" hidden="1" x14ac:dyDescent="0.25">
      <c r="A751" s="78">
        <v>44400</v>
      </c>
      <c r="B751" s="75" t="s">
        <v>2065</v>
      </c>
      <c r="C751" s="75" t="s">
        <v>2066</v>
      </c>
      <c r="D751" s="75" t="s">
        <v>548</v>
      </c>
      <c r="E751" s="75">
        <v>68427709</v>
      </c>
      <c r="F751" s="89">
        <v>-50000</v>
      </c>
      <c r="G751" s="75" t="s">
        <v>309</v>
      </c>
      <c r="H751" s="75" t="s">
        <v>310</v>
      </c>
      <c r="I751" s="75" t="s">
        <v>1878</v>
      </c>
      <c r="J751" s="75">
        <v>2022</v>
      </c>
      <c r="K751" s="75" t="s">
        <v>1288</v>
      </c>
      <c r="L751" s="75"/>
    </row>
    <row r="752" spans="1:12" hidden="1" x14ac:dyDescent="0.25">
      <c r="A752" s="78">
        <v>44403</v>
      </c>
      <c r="B752" t="s">
        <v>2067</v>
      </c>
      <c r="C752" s="75" t="s">
        <v>2068</v>
      </c>
      <c r="D752" s="75" t="s">
        <v>2067</v>
      </c>
      <c r="E752" s="75">
        <v>68427709</v>
      </c>
      <c r="F752" s="89">
        <v>35000</v>
      </c>
      <c r="G752" s="75" t="s">
        <v>309</v>
      </c>
      <c r="H752" s="75" t="s">
        <v>310</v>
      </c>
      <c r="I752" s="75" t="s">
        <v>1878</v>
      </c>
      <c r="J752" s="75">
        <v>2022</v>
      </c>
      <c r="K752" s="75" t="s">
        <v>1399</v>
      </c>
      <c r="L752" s="75"/>
    </row>
    <row r="753" spans="1:12" hidden="1" x14ac:dyDescent="0.25">
      <c r="A753" s="78">
        <v>44403</v>
      </c>
      <c r="B753" s="75" t="s">
        <v>2069</v>
      </c>
      <c r="C753" s="75" t="s">
        <v>2070</v>
      </c>
      <c r="D753" s="75" t="s">
        <v>799</v>
      </c>
      <c r="E753" s="75">
        <v>68427709</v>
      </c>
      <c r="F753" s="89">
        <v>100000</v>
      </c>
      <c r="G753" s="75" t="s">
        <v>309</v>
      </c>
      <c r="H753" s="75" t="s">
        <v>310</v>
      </c>
      <c r="I753" s="75" t="s">
        <v>1878</v>
      </c>
      <c r="J753" s="75">
        <v>2022</v>
      </c>
      <c r="K753" s="75" t="s">
        <v>2071</v>
      </c>
      <c r="L753" s="75"/>
    </row>
    <row r="754" spans="1:12" hidden="1" x14ac:dyDescent="0.25">
      <c r="A754" s="78">
        <v>44403</v>
      </c>
      <c r="B754" s="75" t="s">
        <v>2072</v>
      </c>
      <c r="C754" s="75" t="s">
        <v>2073</v>
      </c>
      <c r="D754" s="75" t="s">
        <v>1616</v>
      </c>
      <c r="E754" s="75">
        <v>68427709</v>
      </c>
      <c r="F754" s="89">
        <v>23000</v>
      </c>
      <c r="G754" s="75" t="s">
        <v>309</v>
      </c>
      <c r="H754" s="75" t="s">
        <v>310</v>
      </c>
      <c r="I754" s="75" t="s">
        <v>1878</v>
      </c>
      <c r="J754" s="75">
        <v>2022</v>
      </c>
      <c r="K754" s="75" t="s">
        <v>868</v>
      </c>
      <c r="L754" s="75"/>
    </row>
    <row r="755" spans="1:12" hidden="1" x14ac:dyDescent="0.25">
      <c r="A755" s="78">
        <v>44404</v>
      </c>
      <c r="B755" s="75" t="s">
        <v>2074</v>
      </c>
      <c r="C755" s="75" t="s">
        <v>2075</v>
      </c>
      <c r="D755" s="75" t="s">
        <v>799</v>
      </c>
      <c r="E755" s="75">
        <v>68427709</v>
      </c>
      <c r="F755" s="89">
        <v>150000</v>
      </c>
      <c r="G755" s="75" t="s">
        <v>309</v>
      </c>
      <c r="H755" s="75" t="s">
        <v>310</v>
      </c>
      <c r="I755" s="75" t="s">
        <v>1189</v>
      </c>
      <c r="J755" s="75">
        <v>2022</v>
      </c>
      <c r="K755" s="75" t="s">
        <v>1259</v>
      </c>
      <c r="L755" s="75"/>
    </row>
    <row r="756" spans="1:12" hidden="1" x14ac:dyDescent="0.25">
      <c r="A756" s="78">
        <v>44404</v>
      </c>
      <c r="B756" s="75" t="s">
        <v>2074</v>
      </c>
      <c r="C756" s="75" t="s">
        <v>2076</v>
      </c>
      <c r="D756" s="75" t="s">
        <v>473</v>
      </c>
      <c r="E756" s="75">
        <v>68427709</v>
      </c>
      <c r="F756" s="89">
        <v>100000</v>
      </c>
      <c r="G756" s="75" t="s">
        <v>309</v>
      </c>
      <c r="H756" s="75" t="s">
        <v>310</v>
      </c>
      <c r="I756" s="75" t="s">
        <v>1189</v>
      </c>
      <c r="J756" s="75">
        <v>2022</v>
      </c>
      <c r="K756" s="75" t="s">
        <v>1259</v>
      </c>
      <c r="L756" s="75"/>
    </row>
    <row r="757" spans="1:12" hidden="1" x14ac:dyDescent="0.25">
      <c r="A757" s="78">
        <v>44404</v>
      </c>
      <c r="B757" s="75" t="s">
        <v>2077</v>
      </c>
      <c r="C757" s="75" t="s">
        <v>2078</v>
      </c>
      <c r="D757" s="75" t="s">
        <v>1513</v>
      </c>
      <c r="E757" s="75">
        <v>68427709</v>
      </c>
      <c r="F757" s="89">
        <v>250000</v>
      </c>
      <c r="G757" s="75" t="s">
        <v>309</v>
      </c>
      <c r="H757" s="75" t="s">
        <v>310</v>
      </c>
      <c r="I757" s="75" t="s">
        <v>1189</v>
      </c>
      <c r="J757" s="75">
        <v>2022</v>
      </c>
      <c r="K757" s="75" t="s">
        <v>2079</v>
      </c>
      <c r="L757" s="75" t="s">
        <v>2080</v>
      </c>
    </row>
    <row r="758" spans="1:12" hidden="1" x14ac:dyDescent="0.25">
      <c r="A758" s="78">
        <v>44404</v>
      </c>
      <c r="B758" s="75" t="s">
        <v>2081</v>
      </c>
      <c r="C758" s="75" t="s">
        <v>2082</v>
      </c>
      <c r="D758" s="75" t="s">
        <v>754</v>
      </c>
      <c r="E758" s="75">
        <v>68427709</v>
      </c>
      <c r="F758" s="89">
        <v>25000</v>
      </c>
      <c r="G758" s="75" t="s">
        <v>309</v>
      </c>
      <c r="H758" s="75" t="s">
        <v>310</v>
      </c>
      <c r="I758" s="75" t="s">
        <v>1189</v>
      </c>
      <c r="J758" s="75">
        <v>2022</v>
      </c>
      <c r="K758" s="75" t="s">
        <v>1489</v>
      </c>
      <c r="L758" s="75"/>
    </row>
    <row r="759" spans="1:12" hidden="1" x14ac:dyDescent="0.25">
      <c r="A759" s="78">
        <v>44404</v>
      </c>
      <c r="B759" s="75" t="s">
        <v>1488</v>
      </c>
      <c r="C759" s="75" t="s">
        <v>2082</v>
      </c>
      <c r="D759" s="75" t="s">
        <v>1488</v>
      </c>
      <c r="E759" s="75">
        <v>68427709</v>
      </c>
      <c r="F759" s="89">
        <v>101000</v>
      </c>
      <c r="G759" s="75" t="s">
        <v>309</v>
      </c>
      <c r="H759" s="75" t="s">
        <v>310</v>
      </c>
      <c r="I759" s="75" t="s">
        <v>1896</v>
      </c>
      <c r="J759" s="75">
        <v>2022</v>
      </c>
      <c r="K759" s="75" t="s">
        <v>1489</v>
      </c>
      <c r="L759" s="75"/>
    </row>
    <row r="760" spans="1:12" hidden="1" x14ac:dyDescent="0.25">
      <c r="A760" s="78">
        <v>44404</v>
      </c>
      <c r="B760" s="75" t="s">
        <v>527</v>
      </c>
      <c r="C760" s="75" t="s">
        <v>2083</v>
      </c>
      <c r="D760" s="75" t="s">
        <v>633</v>
      </c>
      <c r="E760" s="75">
        <v>68427709</v>
      </c>
      <c r="F760" s="89">
        <v>25000</v>
      </c>
      <c r="G760" s="75" t="s">
        <v>309</v>
      </c>
      <c r="H760" s="75" t="s">
        <v>310</v>
      </c>
      <c r="I760" s="75" t="s">
        <v>1896</v>
      </c>
      <c r="J760" s="75">
        <v>2022</v>
      </c>
      <c r="K760" s="75" t="s">
        <v>1489</v>
      </c>
      <c r="L760" s="75"/>
    </row>
    <row r="761" spans="1:12" hidden="1" x14ac:dyDescent="0.25">
      <c r="A761" s="78">
        <v>44404</v>
      </c>
      <c r="B761" s="75" t="s">
        <v>1223</v>
      </c>
      <c r="C761" s="75" t="s">
        <v>2084</v>
      </c>
      <c r="D761" s="75" t="s">
        <v>376</v>
      </c>
      <c r="E761" s="75">
        <v>68427719</v>
      </c>
      <c r="F761" s="89">
        <v>-800000</v>
      </c>
      <c r="G761" s="75" t="s">
        <v>309</v>
      </c>
      <c r="H761" s="75" t="s">
        <v>310</v>
      </c>
      <c r="I761" s="75" t="s">
        <v>1896</v>
      </c>
      <c r="J761" s="75">
        <v>2022</v>
      </c>
      <c r="K761" s="75" t="s">
        <v>2085</v>
      </c>
      <c r="L761" s="75" t="s">
        <v>2086</v>
      </c>
    </row>
    <row r="762" spans="1:12" hidden="1" x14ac:dyDescent="0.25">
      <c r="A762" s="78">
        <v>44404</v>
      </c>
      <c r="B762" s="75" t="s">
        <v>2087</v>
      </c>
      <c r="C762" s="75" t="s">
        <v>2088</v>
      </c>
      <c r="D762" s="75" t="s">
        <v>376</v>
      </c>
      <c r="E762" s="75">
        <v>68427719</v>
      </c>
      <c r="F762" s="89">
        <v>-36000</v>
      </c>
      <c r="G762" s="75" t="s">
        <v>309</v>
      </c>
      <c r="H762" s="75" t="s">
        <v>310</v>
      </c>
      <c r="I762" s="75" t="s">
        <v>1896</v>
      </c>
      <c r="J762" s="75">
        <v>2022</v>
      </c>
      <c r="K762" s="75" t="s">
        <v>2085</v>
      </c>
      <c r="L762" s="75"/>
    </row>
    <row r="763" spans="1:12" hidden="1" x14ac:dyDescent="0.25">
      <c r="A763" s="78">
        <v>44404</v>
      </c>
      <c r="B763" s="75" t="s">
        <v>2089</v>
      </c>
      <c r="C763" s="75" t="s">
        <v>2090</v>
      </c>
      <c r="D763" s="75" t="s">
        <v>2091</v>
      </c>
      <c r="E763" s="75">
        <v>68427719</v>
      </c>
      <c r="F763" s="89">
        <v>-25000</v>
      </c>
      <c r="G763" s="75" t="s">
        <v>309</v>
      </c>
      <c r="H763" s="75" t="s">
        <v>310</v>
      </c>
      <c r="I763" s="75" t="s">
        <v>1896</v>
      </c>
      <c r="J763" s="75">
        <v>2022</v>
      </c>
      <c r="K763" s="75" t="s">
        <v>2085</v>
      </c>
      <c r="L763" s="75"/>
    </row>
    <row r="764" spans="1:12" hidden="1" x14ac:dyDescent="0.25">
      <c r="A764" s="78">
        <v>44404</v>
      </c>
      <c r="B764" s="75" t="s">
        <v>2092</v>
      </c>
      <c r="C764" s="75" t="s">
        <v>2093</v>
      </c>
      <c r="D764" s="75" t="s">
        <v>1466</v>
      </c>
      <c r="E764" s="75">
        <v>68427709</v>
      </c>
      <c r="F764" s="89">
        <v>3000</v>
      </c>
      <c r="G764" s="75" t="s">
        <v>309</v>
      </c>
      <c r="H764" s="75" t="s">
        <v>310</v>
      </c>
      <c r="I764" s="75" t="s">
        <v>1896</v>
      </c>
      <c r="J764" s="75">
        <v>2022</v>
      </c>
      <c r="K764" s="75" t="s">
        <v>2085</v>
      </c>
      <c r="L764" s="75"/>
    </row>
    <row r="765" spans="1:12" hidden="1" x14ac:dyDescent="0.25">
      <c r="A765" s="78">
        <v>44404</v>
      </c>
      <c r="B765" s="75" t="s">
        <v>2094</v>
      </c>
      <c r="C765" s="75" t="s">
        <v>2095</v>
      </c>
      <c r="D765" s="75" t="s">
        <v>2096</v>
      </c>
      <c r="E765" s="75">
        <v>68427719</v>
      </c>
      <c r="F765" s="89">
        <v>105000</v>
      </c>
      <c r="G765" s="75" t="s">
        <v>309</v>
      </c>
      <c r="H765" s="75" t="s">
        <v>310</v>
      </c>
      <c r="I765" s="75" t="s">
        <v>1896</v>
      </c>
      <c r="J765" s="75">
        <v>2022</v>
      </c>
      <c r="K765" s="75" t="s">
        <v>2085</v>
      </c>
      <c r="L765" s="75"/>
    </row>
    <row r="766" spans="1:12" hidden="1" x14ac:dyDescent="0.25">
      <c r="A766" s="78">
        <v>44404</v>
      </c>
      <c r="B766" s="75" t="s">
        <v>2097</v>
      </c>
      <c r="C766" s="75" t="s">
        <v>2098</v>
      </c>
      <c r="D766" s="75" t="s">
        <v>2099</v>
      </c>
      <c r="E766" s="75">
        <v>68427709</v>
      </c>
      <c r="F766" s="89">
        <v>1000</v>
      </c>
      <c r="G766" s="75" t="s">
        <v>309</v>
      </c>
      <c r="H766" s="75" t="s">
        <v>310</v>
      </c>
      <c r="I766" s="75" t="s">
        <v>1896</v>
      </c>
      <c r="J766" s="75">
        <v>2022</v>
      </c>
      <c r="K766" s="75" t="s">
        <v>2085</v>
      </c>
      <c r="L766" s="75"/>
    </row>
    <row r="767" spans="1:12" hidden="1" x14ac:dyDescent="0.25">
      <c r="A767" s="78">
        <v>44404</v>
      </c>
      <c r="B767" s="75" t="s">
        <v>2100</v>
      </c>
      <c r="C767" s="75" t="s">
        <v>2098</v>
      </c>
      <c r="D767" s="75" t="s">
        <v>2100</v>
      </c>
      <c r="E767" s="75">
        <v>68427709</v>
      </c>
      <c r="F767" s="89">
        <v>7000</v>
      </c>
      <c r="G767" s="75" t="s">
        <v>309</v>
      </c>
      <c r="H767" s="75" t="s">
        <v>310</v>
      </c>
      <c r="I767" s="75" t="s">
        <v>1896</v>
      </c>
      <c r="J767" s="75">
        <v>2022</v>
      </c>
      <c r="K767" s="75" t="s">
        <v>2085</v>
      </c>
      <c r="L767" s="75"/>
    </row>
    <row r="768" spans="1:12" hidden="1" x14ac:dyDescent="0.25">
      <c r="A768" s="78">
        <v>44404</v>
      </c>
      <c r="B768" s="75" t="s">
        <v>2101</v>
      </c>
      <c r="C768" s="75" t="s">
        <v>2102</v>
      </c>
      <c r="D768" s="75" t="s">
        <v>2103</v>
      </c>
      <c r="E768" s="75">
        <v>68427709</v>
      </c>
      <c r="F768" s="89">
        <v>-188000</v>
      </c>
      <c r="G768" s="75" t="s">
        <v>309</v>
      </c>
      <c r="H768" s="75" t="s">
        <v>310</v>
      </c>
      <c r="I768" s="75" t="s">
        <v>1896</v>
      </c>
      <c r="J768" s="75">
        <v>2022</v>
      </c>
      <c r="K768" s="75" t="s">
        <v>1830</v>
      </c>
      <c r="L768" s="75"/>
    </row>
    <row r="769" spans="1:12" hidden="1" x14ac:dyDescent="0.25">
      <c r="A769" s="78">
        <v>44404</v>
      </c>
      <c r="B769" s="75" t="s">
        <v>2104</v>
      </c>
      <c r="C769" s="75"/>
      <c r="D769" s="75" t="s">
        <v>1324</v>
      </c>
      <c r="E769" s="75">
        <v>68427709</v>
      </c>
      <c r="F769" s="89">
        <v>170000</v>
      </c>
      <c r="G769" s="75" t="s">
        <v>309</v>
      </c>
      <c r="H769" s="75" t="s">
        <v>310</v>
      </c>
      <c r="I769" s="75" t="s">
        <v>1896</v>
      </c>
      <c r="J769" s="75">
        <v>2022</v>
      </c>
      <c r="K769" s="75" t="s">
        <v>1830</v>
      </c>
      <c r="L769" s="75"/>
    </row>
    <row r="770" spans="1:12" hidden="1" x14ac:dyDescent="0.25">
      <c r="A770" s="78">
        <v>44404</v>
      </c>
      <c r="B770" s="75" t="s">
        <v>2105</v>
      </c>
      <c r="C770" s="75" t="s">
        <v>1940</v>
      </c>
      <c r="D770" s="75" t="s">
        <v>2106</v>
      </c>
      <c r="E770" s="75">
        <v>68427709</v>
      </c>
      <c r="F770" s="89">
        <v>22000</v>
      </c>
      <c r="G770" s="75" t="s">
        <v>309</v>
      </c>
      <c r="H770" s="75" t="s">
        <v>310</v>
      </c>
      <c r="I770" s="75" t="s">
        <v>1896</v>
      </c>
      <c r="J770" s="75">
        <v>2022</v>
      </c>
      <c r="K770" s="75" t="s">
        <v>1830</v>
      </c>
      <c r="L770" s="75"/>
    </row>
    <row r="771" spans="1:12" hidden="1" x14ac:dyDescent="0.25">
      <c r="A771" s="78">
        <v>44404</v>
      </c>
      <c r="B771" s="75" t="s">
        <v>2107</v>
      </c>
      <c r="C771" s="75" t="s">
        <v>1940</v>
      </c>
      <c r="D771" s="75"/>
      <c r="E771" s="75">
        <v>68427709</v>
      </c>
      <c r="F771" s="89">
        <v>15000</v>
      </c>
      <c r="G771" s="75" t="s">
        <v>309</v>
      </c>
      <c r="H771" s="75" t="s">
        <v>310</v>
      </c>
      <c r="I771" s="75" t="s">
        <v>1896</v>
      </c>
      <c r="J771" s="75">
        <v>2022</v>
      </c>
      <c r="K771" s="75" t="s">
        <v>1830</v>
      </c>
      <c r="L771" s="75"/>
    </row>
    <row r="772" spans="1:12" hidden="1" x14ac:dyDescent="0.25">
      <c r="A772" s="78">
        <v>44404</v>
      </c>
      <c r="B772" s="75" t="s">
        <v>2108</v>
      </c>
      <c r="C772" s="75"/>
      <c r="D772" s="75" t="s">
        <v>2108</v>
      </c>
      <c r="E772" s="75">
        <v>68427709</v>
      </c>
      <c r="F772" s="89">
        <v>-11000</v>
      </c>
      <c r="G772" s="75" t="s">
        <v>309</v>
      </c>
      <c r="H772" s="75" t="s">
        <v>310</v>
      </c>
      <c r="I772" s="75" t="s">
        <v>1896</v>
      </c>
      <c r="J772" s="75">
        <v>2022</v>
      </c>
      <c r="K772" s="75" t="s">
        <v>1830</v>
      </c>
      <c r="L772" s="75"/>
    </row>
    <row r="773" spans="1:12" hidden="1" x14ac:dyDescent="0.25">
      <c r="A773" s="78">
        <v>44404</v>
      </c>
      <c r="B773" s="75" t="s">
        <v>481</v>
      </c>
      <c r="C773" s="75" t="s">
        <v>2109</v>
      </c>
      <c r="D773" s="75" t="s">
        <v>481</v>
      </c>
      <c r="E773" s="75">
        <v>68427709</v>
      </c>
      <c r="F773" s="89">
        <v>0</v>
      </c>
      <c r="G773" s="75" t="s">
        <v>309</v>
      </c>
      <c r="H773" s="75" t="s">
        <v>310</v>
      </c>
      <c r="I773" s="75" t="s">
        <v>1896</v>
      </c>
      <c r="J773" s="75">
        <v>2022</v>
      </c>
      <c r="K773" s="75" t="s">
        <v>1830</v>
      </c>
      <c r="L773" s="75"/>
    </row>
    <row r="774" spans="1:12" hidden="1" x14ac:dyDescent="0.25">
      <c r="A774" s="78">
        <v>44410</v>
      </c>
      <c r="B774" s="75" t="s">
        <v>2110</v>
      </c>
      <c r="C774" s="75" t="s">
        <v>2111</v>
      </c>
      <c r="D774" s="75" t="s">
        <v>2110</v>
      </c>
      <c r="E774" s="75">
        <v>68427709</v>
      </c>
      <c r="F774" s="89">
        <v>48000</v>
      </c>
      <c r="G774" s="75" t="s">
        <v>309</v>
      </c>
      <c r="H774" s="75" t="s">
        <v>310</v>
      </c>
      <c r="I774" s="75" t="s">
        <v>1896</v>
      </c>
      <c r="J774" s="75">
        <v>2022</v>
      </c>
      <c r="K774" s="75" t="s">
        <v>2112</v>
      </c>
      <c r="L774" s="75"/>
    </row>
    <row r="775" spans="1:12" hidden="1" x14ac:dyDescent="0.25">
      <c r="A775" s="78">
        <v>44412</v>
      </c>
      <c r="B775" s="75" t="s">
        <v>1215</v>
      </c>
      <c r="C775" s="75" t="s">
        <v>2113</v>
      </c>
      <c r="D775" s="75" t="s">
        <v>2114</v>
      </c>
      <c r="E775" s="75">
        <v>68427719</v>
      </c>
      <c r="F775" s="89">
        <v>-25000</v>
      </c>
      <c r="G775" s="75" t="s">
        <v>309</v>
      </c>
      <c r="H775" s="75" t="s">
        <v>310</v>
      </c>
      <c r="I775" s="75" t="s">
        <v>329</v>
      </c>
      <c r="J775" s="75">
        <v>2022</v>
      </c>
      <c r="K775" s="75" t="s">
        <v>2115</v>
      </c>
      <c r="L775" s="75"/>
    </row>
    <row r="776" spans="1:12" hidden="1" x14ac:dyDescent="0.25">
      <c r="A776" s="78">
        <v>44412</v>
      </c>
      <c r="B776" s="75" t="s">
        <v>1218</v>
      </c>
      <c r="C776" s="75" t="s">
        <v>2113</v>
      </c>
      <c r="D776" s="75" t="s">
        <v>2114</v>
      </c>
      <c r="E776" s="75">
        <v>68427719</v>
      </c>
      <c r="F776" s="89">
        <v>-125000</v>
      </c>
      <c r="G776" s="75" t="s">
        <v>309</v>
      </c>
      <c r="H776" s="75" t="s">
        <v>310</v>
      </c>
      <c r="I776" s="75" t="s">
        <v>329</v>
      </c>
      <c r="J776" s="75">
        <v>2022</v>
      </c>
      <c r="K776" s="75" t="s">
        <v>2115</v>
      </c>
      <c r="L776" s="75"/>
    </row>
    <row r="777" spans="1:12" hidden="1" x14ac:dyDescent="0.25">
      <c r="A777" s="78">
        <v>44412</v>
      </c>
      <c r="B777" s="75" t="s">
        <v>1219</v>
      </c>
      <c r="C777" s="75" t="s">
        <v>2113</v>
      </c>
      <c r="D777" s="75" t="s">
        <v>2114</v>
      </c>
      <c r="E777" s="75">
        <v>68427719</v>
      </c>
      <c r="F777" s="89">
        <v>-180000</v>
      </c>
      <c r="G777" s="75" t="s">
        <v>309</v>
      </c>
      <c r="H777" s="75" t="s">
        <v>310</v>
      </c>
      <c r="I777" s="75" t="s">
        <v>329</v>
      </c>
      <c r="J777" s="75">
        <v>2022</v>
      </c>
      <c r="K777" s="75" t="s">
        <v>2115</v>
      </c>
      <c r="L777" s="75"/>
    </row>
    <row r="778" spans="1:12" hidden="1" x14ac:dyDescent="0.25">
      <c r="A778" s="78">
        <v>44412</v>
      </c>
      <c r="B778" s="75" t="s">
        <v>2116</v>
      </c>
      <c r="C778" s="75" t="s">
        <v>2117</v>
      </c>
      <c r="D778" s="75" t="s">
        <v>2118</v>
      </c>
      <c r="E778" s="75">
        <v>68427719</v>
      </c>
      <c r="F778" s="89">
        <v>2000</v>
      </c>
      <c r="G778" s="75" t="s">
        <v>309</v>
      </c>
      <c r="H778" s="75" t="s">
        <v>310</v>
      </c>
      <c r="I778" s="75" t="s">
        <v>329</v>
      </c>
      <c r="J778" s="75">
        <v>2022</v>
      </c>
      <c r="K778" s="75" t="s">
        <v>2115</v>
      </c>
      <c r="L778" s="75"/>
    </row>
    <row r="779" spans="1:12" hidden="1" x14ac:dyDescent="0.25">
      <c r="A779" s="78">
        <v>44412</v>
      </c>
      <c r="B779" s="75" t="s">
        <v>2119</v>
      </c>
      <c r="C779" s="75" t="s">
        <v>2120</v>
      </c>
      <c r="D779" s="75" t="s">
        <v>2121</v>
      </c>
      <c r="E779" s="75">
        <v>68427709</v>
      </c>
      <c r="F779" s="89">
        <v>8000</v>
      </c>
      <c r="G779" s="75" t="s">
        <v>309</v>
      </c>
      <c r="H779" s="75" t="s">
        <v>310</v>
      </c>
      <c r="I779" s="75" t="s">
        <v>329</v>
      </c>
      <c r="J779" s="75">
        <v>2022</v>
      </c>
      <c r="K779" s="75" t="s">
        <v>423</v>
      </c>
      <c r="L779" s="75"/>
    </row>
    <row r="780" spans="1:12" hidden="1" x14ac:dyDescent="0.25">
      <c r="A780" s="78">
        <v>44412</v>
      </c>
      <c r="B780" s="75" t="s">
        <v>2122</v>
      </c>
      <c r="C780" s="75" t="s">
        <v>2120</v>
      </c>
      <c r="D780" s="75" t="s">
        <v>2121</v>
      </c>
      <c r="E780" s="75">
        <v>68427709</v>
      </c>
      <c r="F780" s="89">
        <v>4000</v>
      </c>
      <c r="G780" s="75" t="s">
        <v>309</v>
      </c>
      <c r="H780" s="75" t="s">
        <v>310</v>
      </c>
      <c r="I780" s="75" t="s">
        <v>329</v>
      </c>
      <c r="J780" s="75">
        <v>2022</v>
      </c>
      <c r="K780" s="75" t="s">
        <v>423</v>
      </c>
      <c r="L780" s="75"/>
    </row>
    <row r="781" spans="1:12" hidden="1" x14ac:dyDescent="0.25">
      <c r="A781" s="78">
        <v>44412</v>
      </c>
      <c r="B781" s="75" t="s">
        <v>327</v>
      </c>
      <c r="C781" s="75" t="s">
        <v>2120</v>
      </c>
      <c r="D781" s="75" t="s">
        <v>327</v>
      </c>
      <c r="E781" s="75">
        <v>68427709</v>
      </c>
      <c r="F781" s="89">
        <v>8000</v>
      </c>
      <c r="G781" s="75" t="s">
        <v>309</v>
      </c>
      <c r="H781" s="75" t="s">
        <v>310</v>
      </c>
      <c r="I781" s="75" t="s">
        <v>329</v>
      </c>
      <c r="J781" s="75">
        <v>2022</v>
      </c>
      <c r="K781" s="75" t="s">
        <v>423</v>
      </c>
      <c r="L781" s="75"/>
    </row>
    <row r="782" spans="1:12" hidden="1" x14ac:dyDescent="0.25">
      <c r="A782" s="78">
        <v>44412</v>
      </c>
      <c r="B782" s="75" t="s">
        <v>2123</v>
      </c>
      <c r="C782" s="75" t="s">
        <v>2120</v>
      </c>
      <c r="D782" s="75" t="s">
        <v>2124</v>
      </c>
      <c r="E782" s="75">
        <v>68427709</v>
      </c>
      <c r="F782" s="89">
        <v>4000</v>
      </c>
      <c r="G782" s="75" t="s">
        <v>309</v>
      </c>
      <c r="H782" s="75" t="s">
        <v>310</v>
      </c>
      <c r="I782" s="75" t="s">
        <v>329</v>
      </c>
      <c r="J782" s="75">
        <v>2022</v>
      </c>
      <c r="K782" s="75" t="s">
        <v>423</v>
      </c>
      <c r="L782" s="75"/>
    </row>
    <row r="783" spans="1:12" hidden="1" x14ac:dyDescent="0.25">
      <c r="A783" s="78">
        <v>44412</v>
      </c>
      <c r="B783" s="75" t="s">
        <v>2125</v>
      </c>
      <c r="C783" s="75" t="s">
        <v>2120</v>
      </c>
      <c r="D783" s="75" t="s">
        <v>1702</v>
      </c>
      <c r="E783" s="75">
        <v>68427709</v>
      </c>
      <c r="F783" s="89">
        <v>3000</v>
      </c>
      <c r="G783" s="75" t="s">
        <v>309</v>
      </c>
      <c r="H783" s="75" t="s">
        <v>310</v>
      </c>
      <c r="I783" s="75" t="s">
        <v>329</v>
      </c>
      <c r="J783" s="75">
        <v>2022</v>
      </c>
      <c r="K783" s="75" t="s">
        <v>423</v>
      </c>
      <c r="L783" s="75"/>
    </row>
    <row r="784" spans="1:12" hidden="1" x14ac:dyDescent="0.25">
      <c r="A784" s="78">
        <v>44412</v>
      </c>
      <c r="B784" s="75" t="s">
        <v>2126</v>
      </c>
      <c r="C784" s="75" t="s">
        <v>1896</v>
      </c>
      <c r="D784" s="75" t="s">
        <v>2126</v>
      </c>
      <c r="E784" s="75">
        <v>68427709</v>
      </c>
      <c r="F784" s="89">
        <v>-25000</v>
      </c>
      <c r="G784" s="75" t="s">
        <v>309</v>
      </c>
      <c r="H784" s="75" t="s">
        <v>310</v>
      </c>
      <c r="I784" s="75" t="s">
        <v>329</v>
      </c>
      <c r="J784" s="75">
        <v>2022</v>
      </c>
      <c r="K784" s="75" t="s">
        <v>423</v>
      </c>
      <c r="L784" s="75"/>
    </row>
    <row r="785" spans="1:12" hidden="1" x14ac:dyDescent="0.25">
      <c r="A785" s="78">
        <v>44412</v>
      </c>
      <c r="B785" s="75" t="s">
        <v>2127</v>
      </c>
      <c r="C785" s="75" t="s">
        <v>2128</v>
      </c>
      <c r="D785" s="75" t="s">
        <v>2129</v>
      </c>
      <c r="E785" s="75">
        <v>68427709</v>
      </c>
      <c r="F785" s="89">
        <v>0</v>
      </c>
      <c r="G785" s="75" t="s">
        <v>309</v>
      </c>
      <c r="H785" s="75" t="s">
        <v>310</v>
      </c>
      <c r="I785" s="75" t="s">
        <v>1896</v>
      </c>
      <c r="J785" s="75">
        <v>2022</v>
      </c>
      <c r="K785" s="75" t="s">
        <v>312</v>
      </c>
      <c r="L785" s="75"/>
    </row>
    <row r="786" spans="1:12" hidden="1" x14ac:dyDescent="0.25">
      <c r="A786" s="78">
        <v>44412</v>
      </c>
      <c r="B786" s="75" t="s">
        <v>2130</v>
      </c>
      <c r="C786" s="75"/>
      <c r="D786" s="75"/>
      <c r="E786" s="75">
        <v>68427709</v>
      </c>
      <c r="F786" s="89">
        <v>50000</v>
      </c>
      <c r="G786" s="75" t="s">
        <v>309</v>
      </c>
      <c r="H786" s="75" t="s">
        <v>310</v>
      </c>
      <c r="I786" s="75" t="s">
        <v>329</v>
      </c>
      <c r="J786" s="75">
        <v>2022</v>
      </c>
      <c r="K786" s="75" t="s">
        <v>2131</v>
      </c>
      <c r="L786" s="75"/>
    </row>
    <row r="787" spans="1:12" hidden="1" x14ac:dyDescent="0.25">
      <c r="A787" s="78">
        <v>44412</v>
      </c>
      <c r="B787" s="75" t="s">
        <v>2132</v>
      </c>
      <c r="C787" s="75" t="s">
        <v>758</v>
      </c>
      <c r="D787" s="75" t="s">
        <v>1466</v>
      </c>
      <c r="E787" s="75">
        <v>68427709</v>
      </c>
      <c r="F787" s="89">
        <v>2000</v>
      </c>
      <c r="G787" s="75" t="s">
        <v>309</v>
      </c>
      <c r="H787" s="75" t="s">
        <v>310</v>
      </c>
      <c r="I787" s="75" t="s">
        <v>1896</v>
      </c>
      <c r="J787" s="75">
        <v>2022</v>
      </c>
      <c r="K787" s="75" t="s">
        <v>2115</v>
      </c>
      <c r="L787" s="75"/>
    </row>
    <row r="788" spans="1:12" hidden="1" x14ac:dyDescent="0.25">
      <c r="A788" s="78">
        <v>44412</v>
      </c>
      <c r="B788" s="75" t="s">
        <v>2133</v>
      </c>
      <c r="C788" s="75" t="s">
        <v>2134</v>
      </c>
      <c r="D788" s="75" t="s">
        <v>2133</v>
      </c>
      <c r="E788" s="75">
        <v>68427709</v>
      </c>
      <c r="F788" s="89">
        <v>8000</v>
      </c>
      <c r="G788" s="75" t="s">
        <v>498</v>
      </c>
      <c r="H788" s="75" t="s">
        <v>310</v>
      </c>
      <c r="I788" s="75" t="s">
        <v>1896</v>
      </c>
      <c r="J788" s="75">
        <v>2022</v>
      </c>
      <c r="K788" s="75" t="s">
        <v>2135</v>
      </c>
      <c r="L788" s="75" t="s">
        <v>2136</v>
      </c>
    </row>
    <row r="789" spans="1:12" hidden="1" x14ac:dyDescent="0.25">
      <c r="A789" s="78">
        <v>44439</v>
      </c>
      <c r="B789" s="75" t="s">
        <v>2137</v>
      </c>
      <c r="C789" s="75" t="s">
        <v>2138</v>
      </c>
      <c r="D789" s="75" t="s">
        <v>1049</v>
      </c>
      <c r="E789" s="75">
        <v>68427709</v>
      </c>
      <c r="F789" s="89">
        <v>0</v>
      </c>
      <c r="G789" s="75" t="s">
        <v>309</v>
      </c>
      <c r="H789" s="75" t="s">
        <v>310</v>
      </c>
      <c r="I789" s="75" t="s">
        <v>1896</v>
      </c>
      <c r="J789" s="75">
        <v>2022</v>
      </c>
      <c r="K789" s="75" t="s">
        <v>751</v>
      </c>
      <c r="L789" s="75" t="s">
        <v>2139</v>
      </c>
    </row>
    <row r="790" spans="1:12" hidden="1" x14ac:dyDescent="0.25">
      <c r="A790" s="78">
        <v>44448</v>
      </c>
      <c r="B790" s="75" t="s">
        <v>2140</v>
      </c>
      <c r="C790" s="75" t="s">
        <v>2141</v>
      </c>
      <c r="D790" s="75" t="s">
        <v>379</v>
      </c>
      <c r="E790" s="75">
        <v>68427719</v>
      </c>
      <c r="F790" s="89">
        <v>200000</v>
      </c>
      <c r="G790" s="75" t="s">
        <v>309</v>
      </c>
      <c r="H790" s="75" t="s">
        <v>310</v>
      </c>
      <c r="I790" s="75" t="s">
        <v>329</v>
      </c>
      <c r="J790" s="75">
        <v>2022</v>
      </c>
      <c r="K790" s="75" t="s">
        <v>2115</v>
      </c>
      <c r="L790" s="75" t="s">
        <v>2142</v>
      </c>
    </row>
    <row r="791" spans="1:12" hidden="1" x14ac:dyDescent="0.25">
      <c r="A791" s="78">
        <v>44468</v>
      </c>
      <c r="B791" s="75" t="s">
        <v>2143</v>
      </c>
      <c r="C791" s="75" t="s">
        <v>2144</v>
      </c>
      <c r="D791" s="75" t="s">
        <v>2145</v>
      </c>
      <c r="E791" s="75">
        <v>68427709</v>
      </c>
      <c r="F791" s="89">
        <v>-2000</v>
      </c>
      <c r="G791" s="75" t="s">
        <v>309</v>
      </c>
      <c r="H791" s="75" t="s">
        <v>310</v>
      </c>
      <c r="I791" s="75" t="s">
        <v>1896</v>
      </c>
      <c r="J791" s="75">
        <v>2022</v>
      </c>
      <c r="K791" s="75" t="s">
        <v>312</v>
      </c>
      <c r="L791" s="75"/>
    </row>
    <row r="792" spans="1:12" hidden="1" x14ac:dyDescent="0.25">
      <c r="A792" s="78">
        <v>44468</v>
      </c>
      <c r="B792" s="75" t="s">
        <v>2146</v>
      </c>
      <c r="C792" s="75" t="s">
        <v>2144</v>
      </c>
      <c r="D792" s="75" t="s">
        <v>2145</v>
      </c>
      <c r="E792" s="75">
        <v>68427709</v>
      </c>
      <c r="F792" s="89">
        <v>-5000</v>
      </c>
      <c r="G792" s="75" t="s">
        <v>309</v>
      </c>
      <c r="H792" s="75" t="s">
        <v>310</v>
      </c>
      <c r="I792" s="75" t="s">
        <v>1896</v>
      </c>
      <c r="J792" s="75">
        <v>2022</v>
      </c>
      <c r="K792" s="75" t="s">
        <v>312</v>
      </c>
      <c r="L792" s="75"/>
    </row>
    <row r="793" spans="1:12" hidden="1" x14ac:dyDescent="0.25">
      <c r="A793" s="78">
        <v>44468</v>
      </c>
      <c r="B793" s="75" t="s">
        <v>2147</v>
      </c>
      <c r="C793" s="75" t="s">
        <v>2144</v>
      </c>
      <c r="D793" s="75" t="s">
        <v>2145</v>
      </c>
      <c r="E793" s="75">
        <v>68427709</v>
      </c>
      <c r="F793" s="89">
        <v>-6000</v>
      </c>
      <c r="G793" s="75" t="s">
        <v>309</v>
      </c>
      <c r="H793" s="75" t="s">
        <v>310</v>
      </c>
      <c r="I793" s="75" t="s">
        <v>1896</v>
      </c>
      <c r="J793" s="75">
        <v>2022</v>
      </c>
      <c r="K793" s="75" t="s">
        <v>312</v>
      </c>
      <c r="L793" s="75"/>
    </row>
    <row r="794" spans="1:12" hidden="1" x14ac:dyDescent="0.25">
      <c r="A794" s="78">
        <v>44468</v>
      </c>
      <c r="B794" s="75" t="s">
        <v>2148</v>
      </c>
      <c r="C794" s="75" t="s">
        <v>2144</v>
      </c>
      <c r="D794" s="75" t="s">
        <v>2145</v>
      </c>
      <c r="E794" s="75">
        <v>68427709</v>
      </c>
      <c r="F794" s="89">
        <v>-5000</v>
      </c>
      <c r="G794" s="75" t="s">
        <v>309</v>
      </c>
      <c r="H794" s="75" t="s">
        <v>310</v>
      </c>
      <c r="I794" s="75" t="s">
        <v>1896</v>
      </c>
      <c r="J794" s="75">
        <v>2022</v>
      </c>
      <c r="K794" s="75" t="s">
        <v>312</v>
      </c>
      <c r="L794" s="75"/>
    </row>
    <row r="795" spans="1:12" hidden="1" x14ac:dyDescent="0.25">
      <c r="A795" s="78">
        <v>44468</v>
      </c>
      <c r="B795" t="s">
        <v>2149</v>
      </c>
      <c r="C795" s="75" t="s">
        <v>2144</v>
      </c>
      <c r="D795" s="75" t="s">
        <v>1919</v>
      </c>
      <c r="E795" s="75">
        <v>68427709</v>
      </c>
      <c r="F795" s="89">
        <v>-2000</v>
      </c>
      <c r="G795" s="75" t="s">
        <v>309</v>
      </c>
      <c r="H795" s="75" t="s">
        <v>310</v>
      </c>
      <c r="I795" s="75" t="s">
        <v>1896</v>
      </c>
      <c r="J795" s="75">
        <v>2022</v>
      </c>
      <c r="K795" s="75" t="s">
        <v>312</v>
      </c>
      <c r="L795" s="75"/>
    </row>
    <row r="796" spans="1:12" s="161" customFormat="1" hidden="1" x14ac:dyDescent="0.25">
      <c r="A796" s="80" t="s">
        <v>2150</v>
      </c>
      <c r="B796" s="80"/>
      <c r="C796" s="80"/>
      <c r="D796" s="80"/>
      <c r="E796" s="80"/>
      <c r="F796" s="80"/>
      <c r="G796" s="80"/>
      <c r="H796" s="80"/>
      <c r="I796" s="80"/>
      <c r="J796" s="80"/>
      <c r="K796" s="80"/>
      <c r="L796" s="80"/>
    </row>
    <row r="797" spans="1:12" hidden="1" x14ac:dyDescent="0.25">
      <c r="A797" s="78">
        <v>44494</v>
      </c>
      <c r="B797" s="75" t="s">
        <v>2151</v>
      </c>
      <c r="C797" s="75" t="s">
        <v>2152</v>
      </c>
      <c r="D797" s="75"/>
      <c r="E797" s="75">
        <v>68427709</v>
      </c>
      <c r="F797" s="89">
        <v>0</v>
      </c>
      <c r="G797" s="75" t="s">
        <v>498</v>
      </c>
      <c r="H797" s="75" t="s">
        <v>310</v>
      </c>
      <c r="I797" s="75" t="s">
        <v>1896</v>
      </c>
      <c r="J797" s="75">
        <v>2023</v>
      </c>
      <c r="K797" s="75" t="s">
        <v>2153</v>
      </c>
      <c r="L797" s="75" t="s">
        <v>2154</v>
      </c>
    </row>
    <row r="798" spans="1:12" hidden="1" x14ac:dyDescent="0.25">
      <c r="A798" s="78">
        <v>44540</v>
      </c>
      <c r="B798" s="75" t="s">
        <v>2155</v>
      </c>
      <c r="C798" s="75" t="s">
        <v>2156</v>
      </c>
      <c r="D798" s="75" t="s">
        <v>2157</v>
      </c>
      <c r="E798" s="75">
        <v>68427709</v>
      </c>
      <c r="F798" s="89">
        <v>329000</v>
      </c>
      <c r="G798" s="75" t="s">
        <v>309</v>
      </c>
      <c r="H798" s="75" t="s">
        <v>310</v>
      </c>
      <c r="I798" s="75" t="s">
        <v>1896</v>
      </c>
      <c r="J798" s="75">
        <v>2023</v>
      </c>
      <c r="K798" s="75" t="s">
        <v>423</v>
      </c>
      <c r="L798" s="75" t="s">
        <v>2158</v>
      </c>
    </row>
    <row r="799" spans="1:12" hidden="1" x14ac:dyDescent="0.25">
      <c r="A799" s="78">
        <v>44540</v>
      </c>
      <c r="B799" s="75" t="s">
        <v>2159</v>
      </c>
      <c r="C799" s="75" t="s">
        <v>2160</v>
      </c>
      <c r="D799" s="75" t="s">
        <v>2161</v>
      </c>
      <c r="E799" s="75">
        <v>68427709</v>
      </c>
      <c r="F799" s="89">
        <v>-37000</v>
      </c>
      <c r="G799" s="75" t="s">
        <v>309</v>
      </c>
      <c r="H799" s="75" t="s">
        <v>310</v>
      </c>
      <c r="I799" s="75" t="s">
        <v>1896</v>
      </c>
      <c r="J799" s="75">
        <v>2023</v>
      </c>
      <c r="K799" s="75" t="s">
        <v>423</v>
      </c>
      <c r="L799" s="75"/>
    </row>
    <row r="800" spans="1:12" hidden="1" x14ac:dyDescent="0.25">
      <c r="A800" s="78">
        <v>44540</v>
      </c>
      <c r="B800" s="75" t="s">
        <v>2162</v>
      </c>
      <c r="C800" s="75" t="s">
        <v>2160</v>
      </c>
      <c r="D800" s="75" t="s">
        <v>2161</v>
      </c>
      <c r="E800" s="75">
        <v>68427709</v>
      </c>
      <c r="F800" s="89">
        <v>-25000</v>
      </c>
      <c r="G800" s="75" t="s">
        <v>309</v>
      </c>
      <c r="H800" s="75" t="s">
        <v>310</v>
      </c>
      <c r="I800" s="75" t="s">
        <v>329</v>
      </c>
      <c r="J800" s="75">
        <v>2023</v>
      </c>
      <c r="K800" s="75" t="s">
        <v>423</v>
      </c>
      <c r="L800" s="75"/>
    </row>
    <row r="801" spans="1:12" hidden="1" x14ac:dyDescent="0.25">
      <c r="A801" s="78">
        <v>44545</v>
      </c>
      <c r="B801" s="75" t="s">
        <v>2163</v>
      </c>
      <c r="C801" s="75" t="s">
        <v>2164</v>
      </c>
      <c r="D801" s="75" t="s">
        <v>327</v>
      </c>
      <c r="E801" s="75">
        <v>68427709</v>
      </c>
      <c r="F801" s="89">
        <v>5000</v>
      </c>
      <c r="G801" s="75" t="s">
        <v>309</v>
      </c>
      <c r="H801" s="75" t="s">
        <v>310</v>
      </c>
      <c r="I801" s="75" t="s">
        <v>1896</v>
      </c>
      <c r="J801" s="75">
        <v>2023</v>
      </c>
      <c r="K801" s="75" t="s">
        <v>423</v>
      </c>
      <c r="L801" s="75" t="s">
        <v>2165</v>
      </c>
    </row>
    <row r="802" spans="1:12" hidden="1" x14ac:dyDescent="0.25">
      <c r="A802" s="78">
        <v>44553</v>
      </c>
      <c r="B802" s="75" t="s">
        <v>2166</v>
      </c>
      <c r="C802" s="75" t="s">
        <v>2167</v>
      </c>
      <c r="D802" s="75" t="s">
        <v>1513</v>
      </c>
      <c r="E802" s="75">
        <v>68427709</v>
      </c>
      <c r="F802" s="89">
        <v>57000</v>
      </c>
      <c r="G802" s="75" t="s">
        <v>498</v>
      </c>
      <c r="H802" s="75" t="s">
        <v>310</v>
      </c>
      <c r="I802" s="75" t="s">
        <v>329</v>
      </c>
      <c r="J802" s="75">
        <v>2023</v>
      </c>
      <c r="K802" s="75" t="s">
        <v>2079</v>
      </c>
      <c r="L802" s="75" t="s">
        <v>2168</v>
      </c>
    </row>
    <row r="803" spans="1:12" hidden="1" x14ac:dyDescent="0.25">
      <c r="A803" s="78">
        <v>44553</v>
      </c>
      <c r="B803" s="75" t="s">
        <v>2169</v>
      </c>
      <c r="C803" s="75" t="s">
        <v>1896</v>
      </c>
      <c r="D803" s="75" t="s">
        <v>376</v>
      </c>
      <c r="E803" s="75">
        <v>68427709</v>
      </c>
      <c r="F803" s="89">
        <v>18000</v>
      </c>
      <c r="G803" s="75" t="s">
        <v>309</v>
      </c>
      <c r="H803" s="75" t="s">
        <v>310</v>
      </c>
      <c r="I803" s="75" t="s">
        <v>1896</v>
      </c>
      <c r="J803" s="75">
        <v>2023</v>
      </c>
      <c r="K803" s="75" t="s">
        <v>1295</v>
      </c>
      <c r="L803" s="75"/>
    </row>
    <row r="804" spans="1:12" hidden="1" x14ac:dyDescent="0.25">
      <c r="A804" s="78">
        <v>44392</v>
      </c>
      <c r="B804" s="75" t="s">
        <v>2170</v>
      </c>
      <c r="C804" s="75" t="s">
        <v>2171</v>
      </c>
      <c r="D804" s="75" t="s">
        <v>2172</v>
      </c>
      <c r="E804" s="75"/>
      <c r="F804" s="89" t="s">
        <v>2172</v>
      </c>
      <c r="G804" s="75"/>
      <c r="H804" s="75"/>
      <c r="I804" s="75"/>
      <c r="J804" s="75"/>
      <c r="K804" s="75"/>
      <c r="L804" s="75"/>
    </row>
    <row r="805" spans="1:12" hidden="1" x14ac:dyDescent="0.25">
      <c r="A805" s="78">
        <v>44653</v>
      </c>
      <c r="B805" s="75" t="s">
        <v>2173</v>
      </c>
      <c r="C805" s="75"/>
      <c r="D805" s="75"/>
      <c r="E805" s="75">
        <v>68427709</v>
      </c>
      <c r="F805" s="89">
        <v>0</v>
      </c>
      <c r="G805" s="75" t="s">
        <v>498</v>
      </c>
      <c r="H805" s="75" t="s">
        <v>310</v>
      </c>
      <c r="I805" s="75" t="s">
        <v>1896</v>
      </c>
      <c r="J805" s="75">
        <v>2023</v>
      </c>
      <c r="K805" s="75" t="s">
        <v>1651</v>
      </c>
      <c r="L805" s="75" t="s">
        <v>1897</v>
      </c>
    </row>
    <row r="806" spans="1:12" hidden="1" x14ac:dyDescent="0.25">
      <c r="A806" s="78">
        <v>44595</v>
      </c>
      <c r="B806" s="75" t="s">
        <v>2174</v>
      </c>
      <c r="C806" s="75" t="s">
        <v>2098</v>
      </c>
      <c r="D806" s="75" t="s">
        <v>2175</v>
      </c>
      <c r="E806" s="75">
        <v>68427709</v>
      </c>
      <c r="F806" s="89" t="s">
        <v>2172</v>
      </c>
      <c r="G806" s="75" t="s">
        <v>498</v>
      </c>
      <c r="H806" s="75" t="s">
        <v>310</v>
      </c>
      <c r="I806" s="75" t="s">
        <v>1896</v>
      </c>
      <c r="J806" s="75">
        <v>2023</v>
      </c>
      <c r="K806" s="75" t="s">
        <v>2176</v>
      </c>
      <c r="L806" s="75" t="s">
        <v>2177</v>
      </c>
    </row>
    <row r="807" spans="1:12" hidden="1" x14ac:dyDescent="0.25">
      <c r="A807" s="78">
        <v>44595</v>
      </c>
      <c r="B807" s="75" t="s">
        <v>2178</v>
      </c>
      <c r="C807" s="75" t="s">
        <v>2179</v>
      </c>
      <c r="D807" s="75"/>
      <c r="E807" s="75">
        <v>68427709</v>
      </c>
      <c r="F807" s="89">
        <f>205000+85000</f>
        <v>290000</v>
      </c>
      <c r="G807" s="75" t="s">
        <v>309</v>
      </c>
      <c r="H807" s="75" t="s">
        <v>310</v>
      </c>
      <c r="I807" s="75" t="s">
        <v>1896</v>
      </c>
      <c r="J807" s="75">
        <v>2023</v>
      </c>
      <c r="K807" s="75" t="s">
        <v>1217</v>
      </c>
      <c r="L807" s="75"/>
    </row>
    <row r="808" spans="1:12" hidden="1" x14ac:dyDescent="0.25">
      <c r="A808" s="78">
        <v>44595</v>
      </c>
      <c r="B808" s="75" t="s">
        <v>2180</v>
      </c>
      <c r="C808" s="75"/>
      <c r="D808" s="75" t="s">
        <v>2175</v>
      </c>
      <c r="E808" s="75">
        <v>68427709</v>
      </c>
      <c r="F808" s="89">
        <v>0</v>
      </c>
      <c r="G808" s="75" t="s">
        <v>498</v>
      </c>
      <c r="H808" s="75" t="s">
        <v>310</v>
      </c>
      <c r="I808" s="75" t="s">
        <v>329</v>
      </c>
      <c r="J808" s="75">
        <v>2023</v>
      </c>
      <c r="K808" s="75" t="s">
        <v>868</v>
      </c>
      <c r="L808" s="75" t="s">
        <v>2181</v>
      </c>
    </row>
    <row r="809" spans="1:12" hidden="1" x14ac:dyDescent="0.25">
      <c r="A809" s="78">
        <v>44716</v>
      </c>
      <c r="B809" t="s">
        <v>2182</v>
      </c>
      <c r="C809" s="75" t="s">
        <v>2183</v>
      </c>
      <c r="D809" s="75"/>
      <c r="E809" s="75">
        <v>68427709</v>
      </c>
      <c r="F809" s="89">
        <v>37000</v>
      </c>
      <c r="G809" s="75" t="s">
        <v>309</v>
      </c>
      <c r="H809" s="75" t="s">
        <v>310</v>
      </c>
      <c r="I809" s="75" t="s">
        <v>1144</v>
      </c>
      <c r="J809" s="75">
        <v>2023</v>
      </c>
      <c r="K809" s="75" t="s">
        <v>1984</v>
      </c>
      <c r="L809" s="75"/>
    </row>
    <row r="810" spans="1:12" hidden="1" x14ac:dyDescent="0.25">
      <c r="A810" s="78">
        <v>44716</v>
      </c>
      <c r="B810" s="75" t="s">
        <v>2184</v>
      </c>
      <c r="C810" s="75" t="s">
        <v>2185</v>
      </c>
      <c r="D810" s="75"/>
      <c r="E810" s="75">
        <v>68427709</v>
      </c>
      <c r="F810" s="89">
        <v>150000</v>
      </c>
      <c r="G810" s="75" t="s">
        <v>309</v>
      </c>
      <c r="H810" s="75" t="s">
        <v>310</v>
      </c>
      <c r="I810" s="75" t="s">
        <v>2186</v>
      </c>
      <c r="J810" s="75">
        <v>2023</v>
      </c>
      <c r="K810" s="75" t="s">
        <v>1479</v>
      </c>
      <c r="L810" s="75"/>
    </row>
    <row r="811" spans="1:12" hidden="1" x14ac:dyDescent="0.25">
      <c r="A811" s="78">
        <v>44670</v>
      </c>
      <c r="B811" s="75" t="s">
        <v>2187</v>
      </c>
      <c r="C811" s="75" t="s">
        <v>2188</v>
      </c>
      <c r="D811" s="75"/>
      <c r="E811" s="75">
        <v>68427709</v>
      </c>
      <c r="F811" s="89">
        <v>15000</v>
      </c>
      <c r="G811" s="75" t="s">
        <v>309</v>
      </c>
      <c r="H811" s="75" t="s">
        <v>310</v>
      </c>
      <c r="I811" s="75" t="s">
        <v>2186</v>
      </c>
      <c r="J811" s="75">
        <v>2023</v>
      </c>
      <c r="K811" s="75" t="s">
        <v>389</v>
      </c>
      <c r="L811" s="75"/>
    </row>
    <row r="812" spans="1:12" hidden="1" x14ac:dyDescent="0.25">
      <c r="A812" s="78">
        <v>44613</v>
      </c>
      <c r="B812" s="75" t="s">
        <v>2189</v>
      </c>
      <c r="C812" s="75" t="s">
        <v>2190</v>
      </c>
      <c r="D812" s="75"/>
      <c r="E812" s="75">
        <v>68427709</v>
      </c>
      <c r="F812" s="89">
        <v>0</v>
      </c>
      <c r="G812" s="75" t="s">
        <v>309</v>
      </c>
      <c r="H812" s="75" t="s">
        <v>310</v>
      </c>
      <c r="I812" s="75" t="s">
        <v>2186</v>
      </c>
      <c r="J812" s="75">
        <v>2023</v>
      </c>
      <c r="K812" s="75" t="s">
        <v>1288</v>
      </c>
      <c r="L812" s="75"/>
    </row>
    <row r="813" spans="1:12" hidden="1" x14ac:dyDescent="0.25">
      <c r="A813" s="78">
        <v>44676</v>
      </c>
      <c r="B813" s="75" t="s">
        <v>2191</v>
      </c>
      <c r="C813" s="75" t="s">
        <v>2192</v>
      </c>
      <c r="D813" s="75"/>
      <c r="E813" s="75">
        <v>68427709</v>
      </c>
      <c r="F813" s="89">
        <v>20160</v>
      </c>
      <c r="G813" s="75" t="s">
        <v>309</v>
      </c>
      <c r="H813" s="75" t="s">
        <v>310</v>
      </c>
      <c r="I813" s="75" t="s">
        <v>329</v>
      </c>
      <c r="J813" s="75">
        <v>2023</v>
      </c>
      <c r="K813" s="75" t="s">
        <v>1900</v>
      </c>
      <c r="L813" s="75"/>
    </row>
    <row r="814" spans="1:12" hidden="1" x14ac:dyDescent="0.25">
      <c r="A814" s="78">
        <v>44656</v>
      </c>
      <c r="B814" s="75" t="s">
        <v>2193</v>
      </c>
      <c r="C814" s="75" t="s">
        <v>2194</v>
      </c>
      <c r="D814" s="75"/>
      <c r="E814" s="75">
        <v>68427709</v>
      </c>
      <c r="F814" s="89">
        <v>14000</v>
      </c>
      <c r="G814" s="75" t="s">
        <v>309</v>
      </c>
      <c r="H814" s="75" t="s">
        <v>310</v>
      </c>
      <c r="I814" s="75" t="s">
        <v>1896</v>
      </c>
      <c r="J814" s="75">
        <v>2023</v>
      </c>
      <c r="K814" s="75" t="s">
        <v>2195</v>
      </c>
      <c r="L814" s="75"/>
    </row>
    <row r="815" spans="1:12" hidden="1" x14ac:dyDescent="0.25">
      <c r="A815" s="78">
        <v>44598</v>
      </c>
      <c r="B815" s="75" t="s">
        <v>481</v>
      </c>
      <c r="C815" s="75" t="s">
        <v>2196</v>
      </c>
      <c r="D815" s="75"/>
      <c r="E815" s="75">
        <v>68427709</v>
      </c>
      <c r="F815" s="89">
        <v>-170000</v>
      </c>
      <c r="G815" s="75" t="s">
        <v>309</v>
      </c>
      <c r="H815" s="75" t="s">
        <v>310</v>
      </c>
      <c r="I815" s="75" t="s">
        <v>1896</v>
      </c>
      <c r="J815" s="75">
        <v>2023</v>
      </c>
      <c r="K815" s="75" t="s">
        <v>1873</v>
      </c>
      <c r="L815" s="75" t="s">
        <v>2197</v>
      </c>
    </row>
    <row r="816" spans="1:12" hidden="1" x14ac:dyDescent="0.25">
      <c r="A816" s="78">
        <v>44726</v>
      </c>
      <c r="B816" s="75" t="s">
        <v>962</v>
      </c>
      <c r="C816" s="75" t="s">
        <v>2198</v>
      </c>
      <c r="D816" s="75"/>
      <c r="E816" s="75">
        <v>68427709</v>
      </c>
      <c r="F816" s="89">
        <v>10000</v>
      </c>
      <c r="G816" s="75" t="s">
        <v>309</v>
      </c>
      <c r="H816" s="75" t="s">
        <v>310</v>
      </c>
      <c r="I816" s="75" t="s">
        <v>1896</v>
      </c>
      <c r="J816" s="75">
        <v>2023</v>
      </c>
      <c r="K816" s="75" t="s">
        <v>423</v>
      </c>
      <c r="L816" s="75"/>
    </row>
    <row r="817" spans="1:12" hidden="1" x14ac:dyDescent="0.25">
      <c r="A817" s="78">
        <v>44728</v>
      </c>
      <c r="B817" s="75" t="s">
        <v>1826</v>
      </c>
      <c r="C817" s="75"/>
      <c r="D817" s="75"/>
      <c r="E817" s="75">
        <v>68427709</v>
      </c>
      <c r="F817" s="89">
        <v>33000</v>
      </c>
      <c r="G817" s="75" t="s">
        <v>309</v>
      </c>
      <c r="H817" s="75" t="s">
        <v>310</v>
      </c>
      <c r="I817" s="75" t="s">
        <v>1896</v>
      </c>
      <c r="J817" s="75">
        <v>2023</v>
      </c>
      <c r="K817" s="75" t="s">
        <v>1331</v>
      </c>
      <c r="L817" s="75"/>
    </row>
    <row r="818" spans="1:12" hidden="1" x14ac:dyDescent="0.25">
      <c r="A818" s="78">
        <v>44729</v>
      </c>
      <c r="B818" s="75" t="s">
        <v>2199</v>
      </c>
      <c r="C818" s="75" t="s">
        <v>2200</v>
      </c>
      <c r="D818" s="75"/>
      <c r="E818" s="75">
        <v>68427709</v>
      </c>
      <c r="F818" s="89">
        <v>-1169944</v>
      </c>
      <c r="G818" s="75" t="s">
        <v>309</v>
      </c>
      <c r="H818" s="75" t="s">
        <v>310</v>
      </c>
      <c r="I818" s="75" t="s">
        <v>1144</v>
      </c>
      <c r="J818" s="75">
        <v>2023</v>
      </c>
      <c r="K818" s="75" t="s">
        <v>312</v>
      </c>
      <c r="L818" s="75"/>
    </row>
    <row r="819" spans="1:12" hidden="1" x14ac:dyDescent="0.25">
      <c r="A819" s="78">
        <v>44729</v>
      </c>
      <c r="B819" s="75" t="s">
        <v>2201</v>
      </c>
      <c r="C819" s="75" t="s">
        <v>2202</v>
      </c>
      <c r="D819" s="75"/>
      <c r="E819" s="75">
        <v>68427709</v>
      </c>
      <c r="F819" s="89">
        <v>43200</v>
      </c>
      <c r="G819" s="75" t="s">
        <v>309</v>
      </c>
      <c r="H819" s="75" t="s">
        <v>310</v>
      </c>
      <c r="I819" s="75" t="s">
        <v>1144</v>
      </c>
      <c r="J819" s="75">
        <v>2023</v>
      </c>
      <c r="K819" s="75" t="s">
        <v>312</v>
      </c>
      <c r="L819" s="75"/>
    </row>
    <row r="820" spans="1:12" hidden="1" x14ac:dyDescent="0.25">
      <c r="A820" s="78">
        <v>44729</v>
      </c>
      <c r="B820" s="75" t="s">
        <v>2203</v>
      </c>
      <c r="C820" s="75" t="s">
        <v>2204</v>
      </c>
      <c r="D820" s="75"/>
      <c r="E820" s="75">
        <v>68427709</v>
      </c>
      <c r="F820" s="89">
        <v>43200</v>
      </c>
      <c r="G820" s="75" t="s">
        <v>309</v>
      </c>
      <c r="H820" s="75" t="s">
        <v>310</v>
      </c>
      <c r="I820" s="75" t="s">
        <v>1144</v>
      </c>
      <c r="J820" s="75">
        <v>2023</v>
      </c>
      <c r="K820" s="75" t="s">
        <v>312</v>
      </c>
      <c r="L820" s="75"/>
    </row>
    <row r="821" spans="1:12" hidden="1" x14ac:dyDescent="0.25">
      <c r="A821" s="78">
        <v>44729</v>
      </c>
      <c r="B821" s="75" t="s">
        <v>2205</v>
      </c>
      <c r="C821" s="75" t="s">
        <v>2206</v>
      </c>
      <c r="D821" s="75"/>
      <c r="E821" s="75">
        <v>68427709</v>
      </c>
      <c r="F821" s="89">
        <v>64800</v>
      </c>
      <c r="G821" s="75" t="s">
        <v>309</v>
      </c>
      <c r="H821" s="75" t="s">
        <v>310</v>
      </c>
      <c r="I821" s="75" t="s">
        <v>1144</v>
      </c>
      <c r="J821" s="75">
        <v>2023</v>
      </c>
      <c r="K821" s="75" t="s">
        <v>312</v>
      </c>
      <c r="L821" s="75"/>
    </row>
    <row r="822" spans="1:12" hidden="1" x14ac:dyDescent="0.25">
      <c r="A822" s="78">
        <v>44729</v>
      </c>
      <c r="B822" s="75" t="s">
        <v>2207</v>
      </c>
      <c r="C822" s="75" t="s">
        <v>2208</v>
      </c>
      <c r="D822" s="75"/>
      <c r="E822" s="75">
        <v>68427709</v>
      </c>
      <c r="F822" s="89">
        <v>21600</v>
      </c>
      <c r="G822" s="75" t="s">
        <v>309</v>
      </c>
      <c r="H822" s="75" t="s">
        <v>310</v>
      </c>
      <c r="I822" s="75" t="s">
        <v>1144</v>
      </c>
      <c r="J822" s="75">
        <v>2023</v>
      </c>
      <c r="K822" s="75" t="s">
        <v>312</v>
      </c>
      <c r="L822" s="75"/>
    </row>
    <row r="823" spans="1:12" hidden="1" x14ac:dyDescent="0.25">
      <c r="A823" s="78">
        <v>44729</v>
      </c>
      <c r="B823" s="75" t="s">
        <v>2209</v>
      </c>
      <c r="C823" s="75" t="s">
        <v>2210</v>
      </c>
      <c r="D823" s="75"/>
      <c r="E823" s="75">
        <v>68427709</v>
      </c>
      <c r="F823" s="89">
        <v>32400</v>
      </c>
      <c r="G823" s="75" t="s">
        <v>309</v>
      </c>
      <c r="H823" s="75" t="s">
        <v>310</v>
      </c>
      <c r="I823" s="75" t="s">
        <v>1144</v>
      </c>
      <c r="J823" s="75">
        <v>2023</v>
      </c>
      <c r="K823" s="75" t="s">
        <v>312</v>
      </c>
      <c r="L823" s="75"/>
    </row>
    <row r="824" spans="1:12" hidden="1" x14ac:dyDescent="0.25">
      <c r="A824" s="78">
        <v>44729</v>
      </c>
      <c r="B824" s="75" t="s">
        <v>2211</v>
      </c>
      <c r="C824" s="75" t="s">
        <v>2212</v>
      </c>
      <c r="D824" s="75"/>
      <c r="E824" s="75">
        <v>68427709</v>
      </c>
      <c r="F824" s="89">
        <v>21600</v>
      </c>
      <c r="G824" s="75" t="s">
        <v>309</v>
      </c>
      <c r="H824" s="75" t="s">
        <v>310</v>
      </c>
      <c r="I824" s="75" t="s">
        <v>1144</v>
      </c>
      <c r="J824" s="75">
        <v>2023</v>
      </c>
      <c r="K824" s="75" t="s">
        <v>312</v>
      </c>
      <c r="L824" s="75"/>
    </row>
    <row r="825" spans="1:12" hidden="1" x14ac:dyDescent="0.25">
      <c r="A825" s="78">
        <v>44729</v>
      </c>
      <c r="B825" s="75" t="s">
        <v>2213</v>
      </c>
      <c r="C825" s="75" t="s">
        <v>2214</v>
      </c>
      <c r="D825" s="75"/>
      <c r="E825" s="75">
        <v>68427709</v>
      </c>
      <c r="F825" s="89">
        <v>75600</v>
      </c>
      <c r="G825" s="75" t="s">
        <v>309</v>
      </c>
      <c r="H825" s="75" t="s">
        <v>310</v>
      </c>
      <c r="I825" s="75" t="s">
        <v>1144</v>
      </c>
      <c r="J825" s="75">
        <v>2023</v>
      </c>
      <c r="K825" s="75" t="s">
        <v>312</v>
      </c>
      <c r="L825" s="75"/>
    </row>
    <row r="826" spans="1:12" hidden="1" x14ac:dyDescent="0.25">
      <c r="A826" s="78">
        <v>44729</v>
      </c>
      <c r="B826" s="75" t="s">
        <v>2215</v>
      </c>
      <c r="C826" s="75" t="s">
        <v>2216</v>
      </c>
      <c r="D826" s="75"/>
      <c r="E826" s="75">
        <v>68427709</v>
      </c>
      <c r="F826" s="89">
        <v>64800</v>
      </c>
      <c r="G826" s="75" t="s">
        <v>309</v>
      </c>
      <c r="H826" s="75" t="s">
        <v>310</v>
      </c>
      <c r="I826" s="75" t="s">
        <v>1144</v>
      </c>
      <c r="J826" s="75">
        <v>2023</v>
      </c>
      <c r="K826" s="75" t="s">
        <v>312</v>
      </c>
      <c r="L826" s="75"/>
    </row>
    <row r="827" spans="1:12" hidden="1" x14ac:dyDescent="0.25">
      <c r="A827" s="78">
        <v>44729</v>
      </c>
      <c r="B827" s="75" t="s">
        <v>2217</v>
      </c>
      <c r="C827" s="75" t="s">
        <v>2218</v>
      </c>
      <c r="D827" s="75"/>
      <c r="E827" s="75">
        <v>68427709</v>
      </c>
      <c r="F827" s="89">
        <v>10800</v>
      </c>
      <c r="G827" s="75" t="s">
        <v>309</v>
      </c>
      <c r="H827" s="75" t="s">
        <v>310</v>
      </c>
      <c r="I827" s="75" t="s">
        <v>1144</v>
      </c>
      <c r="J827" s="75">
        <v>2023</v>
      </c>
      <c r="K827" s="75" t="s">
        <v>312</v>
      </c>
      <c r="L827" s="75"/>
    </row>
    <row r="828" spans="1:12" hidden="1" x14ac:dyDescent="0.25">
      <c r="A828" s="78">
        <v>44729</v>
      </c>
      <c r="B828" s="75" t="s">
        <v>2219</v>
      </c>
      <c r="C828" s="75" t="s">
        <v>2220</v>
      </c>
      <c r="D828" s="75"/>
      <c r="E828" s="75">
        <v>68427709</v>
      </c>
      <c r="F828" s="89">
        <v>21600</v>
      </c>
      <c r="G828" s="75" t="s">
        <v>309</v>
      </c>
      <c r="H828" s="75" t="s">
        <v>310</v>
      </c>
      <c r="I828" s="75" t="s">
        <v>1144</v>
      </c>
      <c r="J828" s="75">
        <v>2023</v>
      </c>
      <c r="K828" s="75" t="s">
        <v>312</v>
      </c>
      <c r="L828" s="75"/>
    </row>
    <row r="829" spans="1:12" hidden="1" x14ac:dyDescent="0.25">
      <c r="A829" s="78">
        <v>44729</v>
      </c>
      <c r="B829" s="75" t="s">
        <v>2221</v>
      </c>
      <c r="C829" s="75" t="s">
        <v>2222</v>
      </c>
      <c r="D829" s="75"/>
      <c r="E829" s="75">
        <v>68427709</v>
      </c>
      <c r="F829" s="89">
        <v>32400</v>
      </c>
      <c r="G829" s="75" t="s">
        <v>309</v>
      </c>
      <c r="H829" s="75" t="s">
        <v>310</v>
      </c>
      <c r="I829" s="75" t="s">
        <v>1144</v>
      </c>
      <c r="J829" s="75">
        <v>2023</v>
      </c>
      <c r="K829" s="75" t="s">
        <v>312</v>
      </c>
      <c r="L829" s="75"/>
    </row>
    <row r="830" spans="1:12" hidden="1" x14ac:dyDescent="0.25">
      <c r="A830" s="78">
        <v>44729</v>
      </c>
      <c r="B830" s="75" t="s">
        <v>2223</v>
      </c>
      <c r="C830" s="75" t="s">
        <v>2224</v>
      </c>
      <c r="D830" s="75"/>
      <c r="E830" s="75">
        <v>68427709</v>
      </c>
      <c r="F830" s="89">
        <v>10800</v>
      </c>
      <c r="G830" s="75" t="s">
        <v>309</v>
      </c>
      <c r="H830" s="75" t="s">
        <v>310</v>
      </c>
      <c r="I830" s="75" t="s">
        <v>1144</v>
      </c>
      <c r="J830" s="75">
        <v>2023</v>
      </c>
      <c r="K830" s="75" t="s">
        <v>312</v>
      </c>
      <c r="L830" s="75"/>
    </row>
    <row r="831" spans="1:12" hidden="1" x14ac:dyDescent="0.25">
      <c r="A831" s="78">
        <v>44729</v>
      </c>
      <c r="B831" s="75" t="s">
        <v>2225</v>
      </c>
      <c r="C831" s="75" t="s">
        <v>2226</v>
      </c>
      <c r="D831" s="75"/>
      <c r="E831" s="75">
        <v>68427709</v>
      </c>
      <c r="F831" s="89">
        <v>10800</v>
      </c>
      <c r="G831" s="75" t="s">
        <v>309</v>
      </c>
      <c r="H831" s="75" t="s">
        <v>310</v>
      </c>
      <c r="I831" s="75" t="s">
        <v>1144</v>
      </c>
      <c r="J831" s="75">
        <v>2023</v>
      </c>
      <c r="K831" s="75" t="s">
        <v>312</v>
      </c>
      <c r="L831" s="75"/>
    </row>
    <row r="832" spans="1:12" hidden="1" x14ac:dyDescent="0.25">
      <c r="A832" s="78">
        <v>44729</v>
      </c>
      <c r="B832" s="75" t="s">
        <v>2227</v>
      </c>
      <c r="C832" s="75" t="s">
        <v>2228</v>
      </c>
      <c r="D832" s="75"/>
      <c r="E832" s="75">
        <v>68427709</v>
      </c>
      <c r="F832" s="89">
        <v>21600</v>
      </c>
      <c r="G832" s="75" t="s">
        <v>309</v>
      </c>
      <c r="H832" s="75" t="s">
        <v>310</v>
      </c>
      <c r="I832" s="75" t="s">
        <v>1144</v>
      </c>
      <c r="J832" s="75">
        <v>2023</v>
      </c>
      <c r="K832" s="75" t="s">
        <v>312</v>
      </c>
      <c r="L832" s="75"/>
    </row>
    <row r="833" spans="1:12" hidden="1" x14ac:dyDescent="0.25">
      <c r="A833" s="78">
        <v>44729</v>
      </c>
      <c r="B833" s="75" t="s">
        <v>2229</v>
      </c>
      <c r="C833" s="75" t="s">
        <v>2230</v>
      </c>
      <c r="D833" s="75"/>
      <c r="E833" s="75">
        <v>68427709</v>
      </c>
      <c r="F833" s="89">
        <v>21600</v>
      </c>
      <c r="G833" s="75" t="s">
        <v>309</v>
      </c>
      <c r="H833" s="75" t="s">
        <v>310</v>
      </c>
      <c r="I833" s="75" t="s">
        <v>1144</v>
      </c>
      <c r="J833" s="75">
        <v>2023</v>
      </c>
      <c r="K833" s="75" t="s">
        <v>312</v>
      </c>
      <c r="L833" s="75"/>
    </row>
    <row r="834" spans="1:12" hidden="1" x14ac:dyDescent="0.25">
      <c r="A834" s="78">
        <v>44729</v>
      </c>
      <c r="B834" s="75" t="s">
        <v>2231</v>
      </c>
      <c r="C834" s="75" t="s">
        <v>2232</v>
      </c>
      <c r="D834" s="75"/>
      <c r="E834" s="75">
        <v>68427709</v>
      </c>
      <c r="F834" s="89">
        <v>10800</v>
      </c>
      <c r="G834" s="75" t="s">
        <v>309</v>
      </c>
      <c r="H834" s="75" t="s">
        <v>310</v>
      </c>
      <c r="I834" s="75" t="s">
        <v>1144</v>
      </c>
      <c r="J834" s="75">
        <v>2023</v>
      </c>
      <c r="K834" s="75" t="s">
        <v>312</v>
      </c>
      <c r="L834" s="75"/>
    </row>
    <row r="835" spans="1:12" hidden="1" x14ac:dyDescent="0.25">
      <c r="A835" s="78">
        <v>44729</v>
      </c>
      <c r="B835" s="75" t="s">
        <v>2233</v>
      </c>
      <c r="C835" s="75" t="s">
        <v>2234</v>
      </c>
      <c r="D835" s="75"/>
      <c r="E835" s="75">
        <v>68427709</v>
      </c>
      <c r="F835" s="89">
        <v>21600</v>
      </c>
      <c r="G835" s="75" t="s">
        <v>309</v>
      </c>
      <c r="H835" s="75" t="s">
        <v>310</v>
      </c>
      <c r="I835" s="75" t="s">
        <v>1144</v>
      </c>
      <c r="J835" s="75">
        <v>2023</v>
      </c>
      <c r="K835" s="75" t="s">
        <v>312</v>
      </c>
      <c r="L835" s="75"/>
    </row>
    <row r="836" spans="1:12" hidden="1" x14ac:dyDescent="0.25">
      <c r="A836" s="78">
        <v>44729</v>
      </c>
      <c r="B836" s="75" t="s">
        <v>2235</v>
      </c>
      <c r="C836" s="75" t="s">
        <v>2236</v>
      </c>
      <c r="D836" s="75"/>
      <c r="E836" s="75">
        <v>68427709</v>
      </c>
      <c r="F836" s="89">
        <v>21600</v>
      </c>
      <c r="G836" s="75" t="s">
        <v>309</v>
      </c>
      <c r="H836" s="75" t="s">
        <v>310</v>
      </c>
      <c r="I836" s="75" t="s">
        <v>1144</v>
      </c>
      <c r="J836" s="75">
        <v>2023</v>
      </c>
      <c r="K836" s="75" t="s">
        <v>312</v>
      </c>
      <c r="L836" s="75"/>
    </row>
    <row r="837" spans="1:12" hidden="1" x14ac:dyDescent="0.25">
      <c r="A837" s="78">
        <v>44729</v>
      </c>
      <c r="B837" s="75" t="s">
        <v>2237</v>
      </c>
      <c r="C837" s="75" t="s">
        <v>2238</v>
      </c>
      <c r="D837" s="75"/>
      <c r="E837" s="75">
        <v>68427709</v>
      </c>
      <c r="F837" s="89">
        <v>21600</v>
      </c>
      <c r="G837" s="75" t="s">
        <v>309</v>
      </c>
      <c r="H837" s="75" t="s">
        <v>310</v>
      </c>
      <c r="I837" s="75" t="s">
        <v>1144</v>
      </c>
      <c r="J837" s="75">
        <v>2023</v>
      </c>
      <c r="K837" s="75" t="s">
        <v>312</v>
      </c>
      <c r="L837" s="75"/>
    </row>
    <row r="838" spans="1:12" hidden="1" x14ac:dyDescent="0.25">
      <c r="A838" s="78">
        <v>44729</v>
      </c>
      <c r="B838" s="75" t="s">
        <v>2239</v>
      </c>
      <c r="C838" s="75" t="s">
        <v>2240</v>
      </c>
      <c r="D838" s="75"/>
      <c r="E838" s="75">
        <v>68427709</v>
      </c>
      <c r="F838" s="89">
        <v>10800</v>
      </c>
      <c r="G838" s="75" t="s">
        <v>309</v>
      </c>
      <c r="H838" s="75" t="s">
        <v>310</v>
      </c>
      <c r="I838" s="75" t="s">
        <v>1144</v>
      </c>
      <c r="J838" s="75">
        <v>2023</v>
      </c>
      <c r="K838" s="75" t="s">
        <v>312</v>
      </c>
      <c r="L838" s="75"/>
    </row>
    <row r="839" spans="1:12" hidden="1" x14ac:dyDescent="0.25">
      <c r="A839" s="78">
        <v>44729</v>
      </c>
      <c r="B839" s="75" t="s">
        <v>2241</v>
      </c>
      <c r="C839" s="75" t="s">
        <v>2242</v>
      </c>
      <c r="D839" s="75"/>
      <c r="E839" s="75">
        <v>68427709</v>
      </c>
      <c r="F839" s="89">
        <v>10800</v>
      </c>
      <c r="G839" s="75" t="s">
        <v>309</v>
      </c>
      <c r="H839" s="75" t="s">
        <v>310</v>
      </c>
      <c r="I839" s="75" t="s">
        <v>1144</v>
      </c>
      <c r="J839" s="75">
        <v>2023</v>
      </c>
      <c r="K839" s="75" t="s">
        <v>312</v>
      </c>
      <c r="L839" s="75"/>
    </row>
    <row r="840" spans="1:12" hidden="1" x14ac:dyDescent="0.25">
      <c r="A840" s="78">
        <v>44729</v>
      </c>
      <c r="B840" s="75" t="s">
        <v>2243</v>
      </c>
      <c r="C840" s="75" t="s">
        <v>2244</v>
      </c>
      <c r="D840" s="75"/>
      <c r="E840" s="75">
        <v>68427709</v>
      </c>
      <c r="F840" s="89">
        <v>10800</v>
      </c>
      <c r="G840" s="75" t="s">
        <v>309</v>
      </c>
      <c r="H840" s="75" t="s">
        <v>310</v>
      </c>
      <c r="I840" s="75" t="s">
        <v>1144</v>
      </c>
      <c r="J840" s="75">
        <v>2023</v>
      </c>
      <c r="K840" s="75" t="s">
        <v>312</v>
      </c>
      <c r="L840" s="75"/>
    </row>
    <row r="841" spans="1:12" hidden="1" x14ac:dyDescent="0.25">
      <c r="A841" s="78">
        <v>44729</v>
      </c>
      <c r="B841" s="75" t="s">
        <v>2245</v>
      </c>
      <c r="C841" s="75" t="s">
        <v>2246</v>
      </c>
      <c r="D841" s="75"/>
      <c r="E841" s="75">
        <v>68427709</v>
      </c>
      <c r="F841" s="89">
        <v>10800</v>
      </c>
      <c r="G841" s="75" t="s">
        <v>309</v>
      </c>
      <c r="H841" s="75" t="s">
        <v>310</v>
      </c>
      <c r="I841" s="75" t="s">
        <v>1144</v>
      </c>
      <c r="J841" s="75">
        <v>2023</v>
      </c>
      <c r="K841" s="75" t="s">
        <v>312</v>
      </c>
      <c r="L841" s="75"/>
    </row>
    <row r="842" spans="1:12" hidden="1" x14ac:dyDescent="0.25">
      <c r="A842" s="78">
        <v>44729</v>
      </c>
      <c r="B842" s="75" t="s">
        <v>2247</v>
      </c>
      <c r="C842" s="75" t="s">
        <v>2248</v>
      </c>
      <c r="D842" s="75"/>
      <c r="E842" s="75">
        <v>68427709</v>
      </c>
      <c r="F842" s="89">
        <v>21600</v>
      </c>
      <c r="G842" s="75" t="s">
        <v>498</v>
      </c>
      <c r="H842" s="75" t="s">
        <v>310</v>
      </c>
      <c r="I842" s="75" t="s">
        <v>1144</v>
      </c>
      <c r="J842" s="75">
        <v>2023</v>
      </c>
      <c r="K842" s="75" t="s">
        <v>312</v>
      </c>
      <c r="L842" s="75" t="s">
        <v>2249</v>
      </c>
    </row>
    <row r="843" spans="1:12" hidden="1" x14ac:dyDescent="0.25">
      <c r="A843" s="78">
        <v>44729</v>
      </c>
      <c r="B843" s="75" t="s">
        <v>2250</v>
      </c>
      <c r="C843" s="75" t="s">
        <v>2251</v>
      </c>
      <c r="D843" s="75"/>
      <c r="E843" s="75">
        <v>68427709</v>
      </c>
      <c r="F843" s="89">
        <v>10800</v>
      </c>
      <c r="G843" s="75" t="s">
        <v>309</v>
      </c>
      <c r="H843" s="75" t="s">
        <v>310</v>
      </c>
      <c r="I843" s="75" t="s">
        <v>1144</v>
      </c>
      <c r="J843" s="75">
        <v>2023</v>
      </c>
      <c r="K843" s="75" t="s">
        <v>312</v>
      </c>
      <c r="L843" s="75"/>
    </row>
    <row r="844" spans="1:12" hidden="1" x14ac:dyDescent="0.25">
      <c r="A844" s="78">
        <v>44729</v>
      </c>
      <c r="B844" s="75" t="s">
        <v>2252</v>
      </c>
      <c r="C844" s="75" t="s">
        <v>2253</v>
      </c>
      <c r="D844" s="75"/>
      <c r="E844" s="75">
        <v>68427709</v>
      </c>
      <c r="F844" s="89">
        <v>10800</v>
      </c>
      <c r="G844" s="75" t="s">
        <v>309</v>
      </c>
      <c r="H844" s="75" t="s">
        <v>310</v>
      </c>
      <c r="I844" s="75" t="s">
        <v>1144</v>
      </c>
      <c r="J844" s="75">
        <v>2023</v>
      </c>
      <c r="K844" s="75" t="s">
        <v>312</v>
      </c>
      <c r="L844" s="75"/>
    </row>
    <row r="845" spans="1:12" hidden="1" x14ac:dyDescent="0.25">
      <c r="A845" s="78">
        <v>44729</v>
      </c>
      <c r="B845" s="75" t="s">
        <v>2254</v>
      </c>
      <c r="C845" s="75" t="s">
        <v>2255</v>
      </c>
      <c r="D845" s="75"/>
      <c r="E845" s="75">
        <v>68427709</v>
      </c>
      <c r="F845" s="89">
        <v>21600</v>
      </c>
      <c r="G845" s="75" t="s">
        <v>309</v>
      </c>
      <c r="H845" s="75" t="s">
        <v>310</v>
      </c>
      <c r="I845" s="75" t="s">
        <v>1144</v>
      </c>
      <c r="J845" s="75">
        <v>2023</v>
      </c>
      <c r="K845" s="75" t="s">
        <v>312</v>
      </c>
      <c r="L845" s="75"/>
    </row>
    <row r="846" spans="1:12" hidden="1" x14ac:dyDescent="0.25">
      <c r="A846" s="78">
        <v>44729</v>
      </c>
      <c r="B846" s="75" t="s">
        <v>2256</v>
      </c>
      <c r="C846" s="75" t="s">
        <v>2257</v>
      </c>
      <c r="D846" s="75"/>
      <c r="E846" s="75">
        <v>68427709</v>
      </c>
      <c r="F846" s="89">
        <v>21600</v>
      </c>
      <c r="G846" s="75" t="s">
        <v>309</v>
      </c>
      <c r="H846" s="75" t="s">
        <v>310</v>
      </c>
      <c r="I846" s="75" t="s">
        <v>1144</v>
      </c>
      <c r="J846" s="75">
        <v>2023</v>
      </c>
      <c r="K846" s="75" t="s">
        <v>312</v>
      </c>
      <c r="L846" s="75"/>
    </row>
    <row r="847" spans="1:12" hidden="1" x14ac:dyDescent="0.25">
      <c r="A847" s="78">
        <v>44729</v>
      </c>
      <c r="B847" s="75" t="s">
        <v>2258</v>
      </c>
      <c r="C847" s="75" t="s">
        <v>2259</v>
      </c>
      <c r="D847" s="75"/>
      <c r="E847" s="75">
        <v>68427709</v>
      </c>
      <c r="F847" s="89">
        <v>10800</v>
      </c>
      <c r="G847" s="75" t="s">
        <v>309</v>
      </c>
      <c r="H847" s="75" t="s">
        <v>310</v>
      </c>
      <c r="I847" s="75" t="s">
        <v>1144</v>
      </c>
      <c r="J847" s="75">
        <v>2023</v>
      </c>
      <c r="K847" s="75" t="s">
        <v>312</v>
      </c>
      <c r="L847" s="75"/>
    </row>
    <row r="848" spans="1:12" hidden="1" x14ac:dyDescent="0.25">
      <c r="A848" s="78">
        <v>44729</v>
      </c>
      <c r="B848" s="75" t="s">
        <v>2260</v>
      </c>
      <c r="C848" s="75" t="s">
        <v>2261</v>
      </c>
      <c r="D848" s="75"/>
      <c r="E848" s="75">
        <v>68427709</v>
      </c>
      <c r="F848" s="89">
        <v>32400</v>
      </c>
      <c r="G848" s="75" t="s">
        <v>309</v>
      </c>
      <c r="H848" s="75" t="s">
        <v>310</v>
      </c>
      <c r="I848" s="75" t="s">
        <v>1144</v>
      </c>
      <c r="J848" s="75">
        <v>2023</v>
      </c>
      <c r="K848" s="75" t="s">
        <v>312</v>
      </c>
      <c r="L848" s="75"/>
    </row>
    <row r="849" spans="1:12" hidden="1" x14ac:dyDescent="0.25">
      <c r="A849" s="78">
        <v>44729</v>
      </c>
      <c r="B849" s="75" t="s">
        <v>2262</v>
      </c>
      <c r="C849" s="75" t="s">
        <v>2263</v>
      </c>
      <c r="D849" s="75"/>
      <c r="E849" s="75">
        <v>68427709</v>
      </c>
      <c r="F849" s="89">
        <v>21600</v>
      </c>
      <c r="G849" s="75" t="s">
        <v>309</v>
      </c>
      <c r="H849" s="75" t="s">
        <v>310</v>
      </c>
      <c r="I849" s="75" t="s">
        <v>1144</v>
      </c>
      <c r="J849" s="75">
        <v>2023</v>
      </c>
      <c r="K849" s="75" t="s">
        <v>312</v>
      </c>
      <c r="L849" s="75"/>
    </row>
    <row r="850" spans="1:12" hidden="1" x14ac:dyDescent="0.25">
      <c r="A850" s="78">
        <v>44729</v>
      </c>
      <c r="B850" s="75" t="s">
        <v>2264</v>
      </c>
      <c r="C850" s="75" t="s">
        <v>2265</v>
      </c>
      <c r="D850" s="75"/>
      <c r="E850" s="75">
        <v>68427709</v>
      </c>
      <c r="F850" s="89">
        <v>43200</v>
      </c>
      <c r="G850" s="75" t="s">
        <v>309</v>
      </c>
      <c r="H850" s="75" t="s">
        <v>310</v>
      </c>
      <c r="I850" s="75" t="s">
        <v>1144</v>
      </c>
      <c r="J850" s="75">
        <v>2023</v>
      </c>
      <c r="K850" s="75" t="s">
        <v>312</v>
      </c>
      <c r="L850" s="75"/>
    </row>
    <row r="851" spans="1:12" hidden="1" x14ac:dyDescent="0.25">
      <c r="A851" s="78">
        <v>44729</v>
      </c>
      <c r="B851" s="75" t="s">
        <v>2266</v>
      </c>
      <c r="C851" s="75" t="s">
        <v>2267</v>
      </c>
      <c r="D851" s="75"/>
      <c r="E851" s="75">
        <v>68427709</v>
      </c>
      <c r="F851" s="89">
        <v>10800</v>
      </c>
      <c r="G851" s="75" t="s">
        <v>309</v>
      </c>
      <c r="H851" s="75" t="s">
        <v>310</v>
      </c>
      <c r="I851" s="75" t="s">
        <v>1144</v>
      </c>
      <c r="J851" s="75">
        <v>2023</v>
      </c>
      <c r="K851" s="75" t="s">
        <v>312</v>
      </c>
      <c r="L851" s="75"/>
    </row>
    <row r="852" spans="1:12" hidden="1" x14ac:dyDescent="0.25">
      <c r="A852" s="78">
        <v>44729</v>
      </c>
      <c r="B852" s="75" t="s">
        <v>2268</v>
      </c>
      <c r="C852" s="75" t="s">
        <v>2269</v>
      </c>
      <c r="D852" s="75"/>
      <c r="E852" s="75">
        <v>68427709</v>
      </c>
      <c r="F852" s="89">
        <v>10800</v>
      </c>
      <c r="G852" s="75" t="s">
        <v>309</v>
      </c>
      <c r="H852" s="75" t="s">
        <v>310</v>
      </c>
      <c r="I852" s="75" t="s">
        <v>1144</v>
      </c>
      <c r="J852" s="75">
        <v>2023</v>
      </c>
      <c r="K852" s="75" t="s">
        <v>312</v>
      </c>
      <c r="L852" s="75"/>
    </row>
    <row r="853" spans="1:12" hidden="1" x14ac:dyDescent="0.25">
      <c r="A853" s="78">
        <v>44729</v>
      </c>
      <c r="B853" s="75" t="s">
        <v>2270</v>
      </c>
      <c r="C853" s="75" t="s">
        <v>2271</v>
      </c>
      <c r="D853" s="75"/>
      <c r="E853" s="75">
        <v>68427709</v>
      </c>
      <c r="F853" s="89">
        <v>43200</v>
      </c>
      <c r="G853" s="75" t="s">
        <v>309</v>
      </c>
      <c r="H853" s="75" t="s">
        <v>310</v>
      </c>
      <c r="I853" s="75" t="s">
        <v>1144</v>
      </c>
      <c r="J853" s="75">
        <v>2023</v>
      </c>
      <c r="K853" s="75" t="s">
        <v>312</v>
      </c>
      <c r="L853" s="75"/>
    </row>
    <row r="854" spans="1:12" hidden="1" x14ac:dyDescent="0.25">
      <c r="A854" s="78">
        <v>44729</v>
      </c>
      <c r="B854" s="75" t="s">
        <v>2272</v>
      </c>
      <c r="C854" s="75" t="s">
        <v>2273</v>
      </c>
      <c r="D854" s="75"/>
      <c r="E854" s="75">
        <v>68427709</v>
      </c>
      <c r="F854" s="89">
        <v>108000</v>
      </c>
      <c r="G854" s="75" t="s">
        <v>309</v>
      </c>
      <c r="H854" s="75" t="s">
        <v>310</v>
      </c>
      <c r="I854" s="75" t="s">
        <v>1144</v>
      </c>
      <c r="J854" s="75">
        <v>2023</v>
      </c>
      <c r="K854" s="75" t="s">
        <v>312</v>
      </c>
      <c r="L854" s="75"/>
    </row>
    <row r="855" spans="1:12" hidden="1" x14ac:dyDescent="0.25">
      <c r="A855" s="78">
        <v>44729</v>
      </c>
      <c r="B855" s="75" t="s">
        <v>2274</v>
      </c>
      <c r="C855" s="75" t="s">
        <v>2275</v>
      </c>
      <c r="D855" s="75"/>
      <c r="E855" s="75">
        <v>68427709</v>
      </c>
      <c r="F855" s="89">
        <v>43200</v>
      </c>
      <c r="G855" s="75" t="s">
        <v>309</v>
      </c>
      <c r="H855" s="75" t="s">
        <v>310</v>
      </c>
      <c r="I855" s="75" t="s">
        <v>1144</v>
      </c>
      <c r="J855" s="75">
        <v>2023</v>
      </c>
      <c r="K855" s="75" t="s">
        <v>312</v>
      </c>
      <c r="L855" s="75"/>
    </row>
    <row r="856" spans="1:12" hidden="1" x14ac:dyDescent="0.25">
      <c r="A856" s="78">
        <v>44729</v>
      </c>
      <c r="B856" s="75" t="s">
        <v>2276</v>
      </c>
      <c r="C856" s="75" t="s">
        <v>2277</v>
      </c>
      <c r="D856" s="75"/>
      <c r="E856" s="75">
        <v>68427709</v>
      </c>
      <c r="F856" s="89">
        <v>10800</v>
      </c>
      <c r="G856" s="75" t="s">
        <v>309</v>
      </c>
      <c r="H856" s="75" t="s">
        <v>310</v>
      </c>
      <c r="I856" s="75" t="s">
        <v>1144</v>
      </c>
      <c r="J856" s="75">
        <v>2023</v>
      </c>
      <c r="K856" s="75" t="s">
        <v>312</v>
      </c>
      <c r="L856" s="75"/>
    </row>
    <row r="857" spans="1:12" hidden="1" x14ac:dyDescent="0.25">
      <c r="A857" s="78">
        <v>44729</v>
      </c>
      <c r="B857" s="75" t="s">
        <v>2278</v>
      </c>
      <c r="C857" s="75" t="s">
        <v>2279</v>
      </c>
      <c r="D857" s="75"/>
      <c r="E857" s="75">
        <v>68427709</v>
      </c>
      <c r="F857" s="89">
        <v>10800</v>
      </c>
      <c r="G857" s="75" t="s">
        <v>309</v>
      </c>
      <c r="H857" s="75" t="s">
        <v>310</v>
      </c>
      <c r="I857" s="75" t="s">
        <v>1144</v>
      </c>
      <c r="J857" s="75">
        <v>2023</v>
      </c>
      <c r="K857" s="75" t="s">
        <v>312</v>
      </c>
      <c r="L857" s="75"/>
    </row>
    <row r="858" spans="1:12" hidden="1" x14ac:dyDescent="0.25">
      <c r="A858" s="78">
        <v>44729</v>
      </c>
      <c r="B858" s="75" t="s">
        <v>2280</v>
      </c>
      <c r="C858" s="75" t="s">
        <v>2281</v>
      </c>
      <c r="D858" s="75"/>
      <c r="E858" s="75">
        <v>68427709</v>
      </c>
      <c r="F858" s="89">
        <v>32400</v>
      </c>
      <c r="G858" s="75" t="s">
        <v>309</v>
      </c>
      <c r="H858" s="75" t="s">
        <v>310</v>
      </c>
      <c r="I858" s="75" t="s">
        <v>1144</v>
      </c>
      <c r="J858" s="75">
        <v>2023</v>
      </c>
      <c r="K858" s="75" t="s">
        <v>312</v>
      </c>
      <c r="L858" s="75"/>
    </row>
    <row r="859" spans="1:12" hidden="1" x14ac:dyDescent="0.25">
      <c r="A859" s="78">
        <v>44729</v>
      </c>
      <c r="B859" s="75" t="s">
        <v>2282</v>
      </c>
      <c r="C859" s="75" t="s">
        <v>2283</v>
      </c>
      <c r="D859" s="75"/>
      <c r="E859" s="75">
        <v>68427709</v>
      </c>
      <c r="F859" s="89">
        <v>32400</v>
      </c>
      <c r="G859" s="75" t="s">
        <v>309</v>
      </c>
      <c r="H859" s="75" t="s">
        <v>310</v>
      </c>
      <c r="I859" s="75" t="s">
        <v>1144</v>
      </c>
      <c r="J859" s="75">
        <v>2023</v>
      </c>
      <c r="K859" s="75" t="s">
        <v>312</v>
      </c>
      <c r="L859" s="75"/>
    </row>
    <row r="860" spans="1:12" hidden="1" x14ac:dyDescent="0.25">
      <c r="A860" s="78">
        <v>44729</v>
      </c>
      <c r="B860" s="75" t="s">
        <v>2284</v>
      </c>
      <c r="C860" s="75" t="s">
        <v>2285</v>
      </c>
      <c r="D860" s="75"/>
      <c r="E860" s="75">
        <v>68427709</v>
      </c>
      <c r="F860" s="89">
        <v>10800</v>
      </c>
      <c r="G860" s="75" t="s">
        <v>309</v>
      </c>
      <c r="H860" s="75" t="s">
        <v>310</v>
      </c>
      <c r="I860" s="75" t="s">
        <v>1144</v>
      </c>
      <c r="J860" s="75">
        <v>2023</v>
      </c>
      <c r="K860" s="75" t="s">
        <v>312</v>
      </c>
      <c r="L860" s="75"/>
    </row>
    <row r="861" spans="1:12" hidden="1" x14ac:dyDescent="0.25">
      <c r="A861" s="78">
        <v>44729</v>
      </c>
      <c r="B861" s="75" t="s">
        <v>2286</v>
      </c>
      <c r="C861" s="75" t="s">
        <v>2287</v>
      </c>
      <c r="D861" s="75"/>
      <c r="E861" s="75">
        <v>68427709</v>
      </c>
      <c r="F861" s="89">
        <v>10800</v>
      </c>
      <c r="G861" s="75" t="s">
        <v>309</v>
      </c>
      <c r="H861" s="75" t="s">
        <v>310</v>
      </c>
      <c r="I861" s="75" t="s">
        <v>1144</v>
      </c>
      <c r="J861" s="75">
        <v>2023</v>
      </c>
      <c r="K861" s="75" t="s">
        <v>312</v>
      </c>
      <c r="L861" s="75"/>
    </row>
    <row r="862" spans="1:12" hidden="1" x14ac:dyDescent="0.25">
      <c r="A862" s="78">
        <v>44729</v>
      </c>
      <c r="B862" s="75" t="s">
        <v>2288</v>
      </c>
      <c r="C862" s="75" t="s">
        <v>2289</v>
      </c>
      <c r="D862" s="75"/>
      <c r="E862" s="75">
        <v>68427709</v>
      </c>
      <c r="F862" s="89">
        <v>21600</v>
      </c>
      <c r="G862" s="75" t="s">
        <v>309</v>
      </c>
      <c r="H862" s="75" t="s">
        <v>310</v>
      </c>
      <c r="I862" s="75" t="s">
        <v>1144</v>
      </c>
      <c r="J862" s="75">
        <v>2023</v>
      </c>
      <c r="K862" s="75" t="s">
        <v>312</v>
      </c>
      <c r="L862" s="75"/>
    </row>
    <row r="863" spans="1:12" hidden="1" x14ac:dyDescent="0.25">
      <c r="A863" s="78">
        <v>44729</v>
      </c>
      <c r="B863" s="75" t="s">
        <v>2290</v>
      </c>
      <c r="C863" s="75" t="s">
        <v>2291</v>
      </c>
      <c r="D863" s="75"/>
      <c r="E863" s="75">
        <v>68427709</v>
      </c>
      <c r="F863" s="89">
        <v>10800</v>
      </c>
      <c r="G863" s="75" t="s">
        <v>309</v>
      </c>
      <c r="H863" s="75" t="s">
        <v>310</v>
      </c>
      <c r="I863" s="75" t="s">
        <v>1144</v>
      </c>
      <c r="J863" s="75">
        <v>2023</v>
      </c>
      <c r="K863" s="75" t="s">
        <v>312</v>
      </c>
      <c r="L863" s="75"/>
    </row>
    <row r="864" spans="1:12" hidden="1" x14ac:dyDescent="0.25">
      <c r="A864" s="78">
        <v>44729</v>
      </c>
      <c r="B864" s="75" t="s">
        <v>2292</v>
      </c>
      <c r="C864" s="75" t="s">
        <v>2293</v>
      </c>
      <c r="D864" s="75"/>
      <c r="E864" s="75">
        <v>68427709</v>
      </c>
      <c r="F864" s="89">
        <v>10800</v>
      </c>
      <c r="G864" s="75" t="s">
        <v>309</v>
      </c>
      <c r="H864" s="75" t="s">
        <v>310</v>
      </c>
      <c r="I864" s="75" t="s">
        <v>1144</v>
      </c>
      <c r="J864" s="75">
        <v>2023</v>
      </c>
      <c r="K864" s="75" t="s">
        <v>312</v>
      </c>
      <c r="L864" s="75"/>
    </row>
    <row r="865" spans="1:12" hidden="1" x14ac:dyDescent="0.25">
      <c r="A865" s="78">
        <v>44748</v>
      </c>
      <c r="B865" s="75" t="s">
        <v>1495</v>
      </c>
      <c r="C865" s="75"/>
      <c r="D865" s="75"/>
      <c r="E865" s="75">
        <v>68427709</v>
      </c>
      <c r="F865" s="89">
        <v>0</v>
      </c>
      <c r="G865" s="75" t="s">
        <v>498</v>
      </c>
      <c r="H865" s="75" t="s">
        <v>310</v>
      </c>
      <c r="I865" s="75" t="s">
        <v>1896</v>
      </c>
      <c r="J865" s="75">
        <v>2023</v>
      </c>
      <c r="K865" s="75" t="s">
        <v>738</v>
      </c>
      <c r="L865" s="75"/>
    </row>
    <row r="866" spans="1:12" hidden="1" x14ac:dyDescent="0.25">
      <c r="A866" s="78">
        <v>44748</v>
      </c>
      <c r="B866" s="75" t="s">
        <v>1488</v>
      </c>
      <c r="C866" s="78" t="s">
        <v>2294</v>
      </c>
      <c r="D866" s="75"/>
      <c r="E866" s="75">
        <v>68427709</v>
      </c>
      <c r="F866" s="89">
        <v>80000</v>
      </c>
      <c r="G866" s="75" t="s">
        <v>309</v>
      </c>
      <c r="H866" s="75" t="s">
        <v>310</v>
      </c>
      <c r="I866" s="75" t="s">
        <v>1896</v>
      </c>
      <c r="J866" s="75">
        <v>2023</v>
      </c>
      <c r="K866" s="75" t="s">
        <v>738</v>
      </c>
      <c r="L866" s="75"/>
    </row>
    <row r="867" spans="1:12" hidden="1" x14ac:dyDescent="0.25">
      <c r="A867" s="78">
        <v>44748</v>
      </c>
      <c r="B867" s="75" t="s">
        <v>2295</v>
      </c>
      <c r="C867" s="75" t="s">
        <v>2296</v>
      </c>
      <c r="D867" s="75"/>
      <c r="E867" s="75">
        <v>68427709</v>
      </c>
      <c r="F867" s="89">
        <v>-61000</v>
      </c>
      <c r="G867" s="75" t="s">
        <v>309</v>
      </c>
      <c r="H867" s="75" t="s">
        <v>310</v>
      </c>
      <c r="I867" s="75" t="s">
        <v>1896</v>
      </c>
      <c r="J867" s="75">
        <v>2023</v>
      </c>
      <c r="K867" s="75" t="s">
        <v>738</v>
      </c>
      <c r="L867" s="75"/>
    </row>
    <row r="868" spans="1:12" hidden="1" x14ac:dyDescent="0.25">
      <c r="A868" s="78">
        <v>44748</v>
      </c>
      <c r="B868" s="75" t="s">
        <v>2297</v>
      </c>
      <c r="C868" s="75"/>
      <c r="D868" s="75"/>
      <c r="E868" s="75">
        <v>68427709</v>
      </c>
      <c r="F868" s="89">
        <v>154000</v>
      </c>
      <c r="G868" s="75" t="s">
        <v>309</v>
      </c>
      <c r="H868" s="75" t="s">
        <v>310</v>
      </c>
      <c r="I868" s="75" t="s">
        <v>329</v>
      </c>
      <c r="J868" s="75">
        <v>2023</v>
      </c>
      <c r="K868" s="75" t="s">
        <v>738</v>
      </c>
      <c r="L868" s="75"/>
    </row>
    <row r="869" spans="1:12" hidden="1" x14ac:dyDescent="0.25">
      <c r="A869" s="78">
        <v>44748</v>
      </c>
      <c r="B869" s="75" t="s">
        <v>2298</v>
      </c>
      <c r="C869" s="75" t="s">
        <v>2299</v>
      </c>
      <c r="D869" s="75"/>
      <c r="E869" s="75">
        <v>68427719</v>
      </c>
      <c r="F869" s="89">
        <v>-35000</v>
      </c>
      <c r="G869" s="75" t="s">
        <v>309</v>
      </c>
      <c r="H869" s="75" t="s">
        <v>310</v>
      </c>
      <c r="I869" s="75" t="s">
        <v>329</v>
      </c>
      <c r="J869" s="75">
        <v>2023</v>
      </c>
      <c r="K869" s="75" t="s">
        <v>738</v>
      </c>
      <c r="L869" s="75"/>
    </row>
    <row r="870" spans="1:12" hidden="1" x14ac:dyDescent="0.25">
      <c r="A870" s="78">
        <v>44748</v>
      </c>
      <c r="B870" s="75" t="s">
        <v>2300</v>
      </c>
      <c r="C870" s="75" t="s">
        <v>1554</v>
      </c>
      <c r="D870" s="75"/>
      <c r="E870" s="75">
        <v>68427709</v>
      </c>
      <c r="F870" s="89">
        <v>-36000</v>
      </c>
      <c r="G870" s="75" t="s">
        <v>309</v>
      </c>
      <c r="H870" s="75" t="s">
        <v>310</v>
      </c>
      <c r="I870" s="75" t="s">
        <v>2186</v>
      </c>
      <c r="J870" s="75">
        <v>2023</v>
      </c>
      <c r="K870" s="75" t="s">
        <v>738</v>
      </c>
      <c r="L870" s="75"/>
    </row>
    <row r="871" spans="1:12" hidden="1" x14ac:dyDescent="0.25">
      <c r="A871" s="78">
        <v>44748</v>
      </c>
      <c r="B871" s="75" t="s">
        <v>1746</v>
      </c>
      <c r="C871" s="75" t="s">
        <v>2301</v>
      </c>
      <c r="D871" s="75"/>
      <c r="E871" s="75">
        <v>68427709</v>
      </c>
      <c r="F871" s="89">
        <v>20000</v>
      </c>
      <c r="G871" s="75" t="s">
        <v>309</v>
      </c>
      <c r="H871" s="75" t="s">
        <v>310</v>
      </c>
      <c r="I871" s="75" t="s">
        <v>2186</v>
      </c>
      <c r="J871" s="75">
        <v>2023</v>
      </c>
      <c r="K871" s="75" t="s">
        <v>1784</v>
      </c>
      <c r="L871" s="75"/>
    </row>
    <row r="872" spans="1:12" hidden="1" x14ac:dyDescent="0.25">
      <c r="A872" s="78">
        <v>44748</v>
      </c>
      <c r="B872" s="75" t="s">
        <v>1162</v>
      </c>
      <c r="C872" s="75" t="s">
        <v>2302</v>
      </c>
      <c r="D872" s="75"/>
      <c r="E872" s="75">
        <v>68427709</v>
      </c>
      <c r="F872" s="89">
        <v>85000</v>
      </c>
      <c r="G872" s="75" t="s">
        <v>309</v>
      </c>
      <c r="H872" s="75" t="s">
        <v>310</v>
      </c>
      <c r="I872" s="75" t="s">
        <v>2186</v>
      </c>
      <c r="J872" s="75">
        <v>2023</v>
      </c>
      <c r="K872" s="75" t="s">
        <v>1784</v>
      </c>
      <c r="L872" s="75"/>
    </row>
    <row r="873" spans="1:12" hidden="1" x14ac:dyDescent="0.25">
      <c r="A873" s="78">
        <v>44748</v>
      </c>
      <c r="B873" s="75" t="s">
        <v>949</v>
      </c>
      <c r="C873" s="75" t="s">
        <v>2303</v>
      </c>
      <c r="D873" s="75"/>
      <c r="E873" s="75">
        <v>68427709</v>
      </c>
      <c r="F873" s="89">
        <v>-80000</v>
      </c>
      <c r="G873" s="75" t="s">
        <v>498</v>
      </c>
      <c r="H873" s="75" t="s">
        <v>310</v>
      </c>
      <c r="I873" s="75" t="s">
        <v>2186</v>
      </c>
      <c r="J873" s="75">
        <v>2023</v>
      </c>
      <c r="K873" s="75" t="s">
        <v>1784</v>
      </c>
      <c r="L873" s="75" t="s">
        <v>2304</v>
      </c>
    </row>
    <row r="874" spans="1:12" hidden="1" x14ac:dyDescent="0.25">
      <c r="A874" s="78">
        <v>44748</v>
      </c>
      <c r="B874" s="75" t="s">
        <v>689</v>
      </c>
      <c r="C874" s="75" t="s">
        <v>2305</v>
      </c>
      <c r="D874" s="75"/>
      <c r="E874" s="75">
        <v>68427709</v>
      </c>
      <c r="F874" s="89">
        <v>20000</v>
      </c>
      <c r="G874" s="75" t="s">
        <v>309</v>
      </c>
      <c r="H874" s="75" t="s">
        <v>310</v>
      </c>
      <c r="I874" s="75" t="s">
        <v>2186</v>
      </c>
      <c r="J874" s="75">
        <v>2023</v>
      </c>
      <c r="K874" s="75" t="s">
        <v>1784</v>
      </c>
      <c r="L874" s="75"/>
    </row>
    <row r="875" spans="1:12" hidden="1" x14ac:dyDescent="0.25">
      <c r="A875" s="78">
        <v>44748</v>
      </c>
      <c r="B875" s="75" t="s">
        <v>2306</v>
      </c>
      <c r="C875" s="75" t="s">
        <v>2307</v>
      </c>
      <c r="D875" s="75"/>
      <c r="E875" s="75">
        <v>68427709</v>
      </c>
      <c r="F875" s="89">
        <v>73000</v>
      </c>
      <c r="G875" s="75" t="s">
        <v>309</v>
      </c>
      <c r="H875" s="75" t="s">
        <v>310</v>
      </c>
      <c r="I875" s="75" t="s">
        <v>329</v>
      </c>
      <c r="J875" s="75">
        <v>2023</v>
      </c>
      <c r="K875" s="75" t="s">
        <v>1784</v>
      </c>
      <c r="L875" s="75"/>
    </row>
    <row r="876" spans="1:12" hidden="1" x14ac:dyDescent="0.25">
      <c r="A876" s="78">
        <v>44748</v>
      </c>
      <c r="B876" s="75" t="s">
        <v>2308</v>
      </c>
      <c r="C876" s="75" t="s">
        <v>2309</v>
      </c>
      <c r="D876" s="75" t="s">
        <v>548</v>
      </c>
      <c r="E876" s="75">
        <v>68427709</v>
      </c>
      <c r="F876" s="89">
        <v>50000</v>
      </c>
      <c r="G876" s="75" t="s">
        <v>309</v>
      </c>
      <c r="H876" s="75" t="s">
        <v>310</v>
      </c>
      <c r="I876" s="75" t="s">
        <v>329</v>
      </c>
      <c r="J876" s="75">
        <v>2023</v>
      </c>
      <c r="K876" s="75" t="s">
        <v>1784</v>
      </c>
      <c r="L876" s="75"/>
    </row>
    <row r="877" spans="1:12" hidden="1" x14ac:dyDescent="0.25">
      <c r="A877" s="78">
        <v>44748</v>
      </c>
      <c r="B877" s="75" t="s">
        <v>1087</v>
      </c>
      <c r="C877" s="75" t="s">
        <v>2310</v>
      </c>
      <c r="D877" s="75" t="s">
        <v>548</v>
      </c>
      <c r="E877" s="75">
        <v>68427709</v>
      </c>
      <c r="F877" s="89">
        <v>130000</v>
      </c>
      <c r="G877" s="75" t="s">
        <v>309</v>
      </c>
      <c r="H877" s="75" t="s">
        <v>310</v>
      </c>
      <c r="I877" s="75" t="s">
        <v>329</v>
      </c>
      <c r="J877" s="75">
        <v>2023</v>
      </c>
      <c r="K877" s="75" t="s">
        <v>1784</v>
      </c>
      <c r="L877" s="75"/>
    </row>
    <row r="878" spans="1:12" hidden="1" x14ac:dyDescent="0.25">
      <c r="A878" s="78">
        <v>44748</v>
      </c>
      <c r="B878" s="75" t="s">
        <v>697</v>
      </c>
      <c r="C878" s="75" t="s">
        <v>2311</v>
      </c>
      <c r="D878" s="75"/>
      <c r="E878" s="75">
        <v>68427709</v>
      </c>
      <c r="F878" s="89">
        <v>45000</v>
      </c>
      <c r="G878" s="75" t="s">
        <v>309</v>
      </c>
      <c r="H878" s="75" t="s">
        <v>310</v>
      </c>
      <c r="I878" s="75" t="s">
        <v>329</v>
      </c>
      <c r="J878" s="75">
        <v>2023</v>
      </c>
      <c r="K878" s="75" t="s">
        <v>1784</v>
      </c>
      <c r="L878" s="75"/>
    </row>
    <row r="879" spans="1:12" hidden="1" x14ac:dyDescent="0.25">
      <c r="A879" s="78">
        <v>44748</v>
      </c>
      <c r="B879" s="75" t="s">
        <v>2312</v>
      </c>
      <c r="C879" s="75" t="s">
        <v>2313</v>
      </c>
      <c r="D879" s="75"/>
      <c r="E879" s="75">
        <v>68427709</v>
      </c>
      <c r="F879" s="89">
        <v>141000</v>
      </c>
      <c r="G879" s="75" t="s">
        <v>309</v>
      </c>
      <c r="H879" s="75" t="s">
        <v>310</v>
      </c>
      <c r="I879" s="75" t="s">
        <v>329</v>
      </c>
      <c r="J879" s="75">
        <v>2023</v>
      </c>
      <c r="K879" s="75" t="s">
        <v>1784</v>
      </c>
      <c r="L879" s="75"/>
    </row>
    <row r="880" spans="1:12" hidden="1" x14ac:dyDescent="0.25">
      <c r="A880" s="78">
        <v>44748</v>
      </c>
      <c r="B880" s="75" t="s">
        <v>2314</v>
      </c>
      <c r="C880" s="75" t="s">
        <v>2315</v>
      </c>
      <c r="D880" s="75"/>
      <c r="E880" s="75">
        <v>68427709</v>
      </c>
      <c r="F880" s="89">
        <v>74000</v>
      </c>
      <c r="G880" s="75" t="s">
        <v>309</v>
      </c>
      <c r="H880" s="75" t="s">
        <v>310</v>
      </c>
      <c r="I880" s="75" t="s">
        <v>329</v>
      </c>
      <c r="J880" s="75">
        <v>2023</v>
      </c>
      <c r="K880" s="75" t="s">
        <v>1784</v>
      </c>
      <c r="L880" s="75"/>
    </row>
    <row r="881" spans="1:12" hidden="1" x14ac:dyDescent="0.25">
      <c r="A881" s="78">
        <v>44748</v>
      </c>
      <c r="B881" s="75" t="s">
        <v>1962</v>
      </c>
      <c r="C881" s="75" t="s">
        <v>2316</v>
      </c>
      <c r="D881" s="75"/>
      <c r="E881" s="75">
        <v>68427709</v>
      </c>
      <c r="F881" s="89">
        <v>250000</v>
      </c>
      <c r="G881" s="75" t="s">
        <v>309</v>
      </c>
      <c r="H881" s="75" t="s">
        <v>310</v>
      </c>
      <c r="I881" s="75" t="s">
        <v>329</v>
      </c>
      <c r="J881" s="75">
        <v>2023</v>
      </c>
      <c r="K881" s="75" t="s">
        <v>1784</v>
      </c>
      <c r="L881" s="75" t="s">
        <v>2317</v>
      </c>
    </row>
    <row r="882" spans="1:12" hidden="1" x14ac:dyDescent="0.25">
      <c r="A882" s="78">
        <v>44748</v>
      </c>
      <c r="B882" s="75" t="s">
        <v>2318</v>
      </c>
      <c r="C882" s="75" t="s">
        <v>2319</v>
      </c>
      <c r="D882" s="75"/>
      <c r="E882" s="75">
        <v>68427709</v>
      </c>
      <c r="F882" s="89">
        <v>85000</v>
      </c>
      <c r="G882" s="75" t="s">
        <v>309</v>
      </c>
      <c r="H882" s="75" t="s">
        <v>310</v>
      </c>
      <c r="I882" s="75" t="s">
        <v>329</v>
      </c>
      <c r="J882" s="75">
        <v>2023</v>
      </c>
      <c r="K882" s="75" t="s">
        <v>1784</v>
      </c>
      <c r="L882" s="75"/>
    </row>
    <row r="883" spans="1:12" hidden="1" x14ac:dyDescent="0.25">
      <c r="A883" s="78">
        <v>44748</v>
      </c>
      <c r="B883" s="75" t="s">
        <v>2320</v>
      </c>
      <c r="C883" s="75" t="s">
        <v>2321</v>
      </c>
      <c r="D883" s="75"/>
      <c r="E883" s="75">
        <v>68427709</v>
      </c>
      <c r="F883" s="89">
        <v>-42000</v>
      </c>
      <c r="G883" s="75" t="s">
        <v>309</v>
      </c>
      <c r="H883" s="75" t="s">
        <v>310</v>
      </c>
      <c r="I883" s="75" t="s">
        <v>329</v>
      </c>
      <c r="J883" s="75">
        <v>2023</v>
      </c>
      <c r="K883" s="75" t="s">
        <v>1784</v>
      </c>
      <c r="L883" s="75"/>
    </row>
    <row r="884" spans="1:12" hidden="1" x14ac:dyDescent="0.25">
      <c r="A884" s="78">
        <v>44748</v>
      </c>
      <c r="B884" s="75" t="s">
        <v>327</v>
      </c>
      <c r="C884" s="75" t="s">
        <v>2322</v>
      </c>
      <c r="D884" s="75"/>
      <c r="E884" s="75">
        <v>68427709</v>
      </c>
      <c r="F884" s="89">
        <v>0</v>
      </c>
      <c r="G884" s="75" t="s">
        <v>309</v>
      </c>
      <c r="H884" s="75" t="s">
        <v>310</v>
      </c>
      <c r="I884" s="75" t="s">
        <v>329</v>
      </c>
      <c r="J884" s="75">
        <v>2023</v>
      </c>
      <c r="K884" s="75" t="s">
        <v>423</v>
      </c>
      <c r="L884" s="75"/>
    </row>
    <row r="885" spans="1:12" hidden="1" x14ac:dyDescent="0.25">
      <c r="A885" s="78">
        <v>44748</v>
      </c>
      <c r="B885" s="75"/>
      <c r="C885" s="75"/>
      <c r="D885" s="75"/>
      <c r="E885" s="75"/>
      <c r="F885" s="89"/>
      <c r="G885" s="75"/>
      <c r="H885" s="75"/>
      <c r="I885" s="75"/>
      <c r="J885" s="75"/>
      <c r="K885" s="75"/>
      <c r="L885" s="75"/>
    </row>
    <row r="886" spans="1:12" hidden="1" x14ac:dyDescent="0.25">
      <c r="A886" s="78">
        <v>44755</v>
      </c>
      <c r="B886" s="75" t="s">
        <v>2323</v>
      </c>
      <c r="C886" s="75" t="s">
        <v>2324</v>
      </c>
      <c r="D886" s="75"/>
      <c r="E886" s="75">
        <v>68427709</v>
      </c>
      <c r="F886" s="89">
        <v>0</v>
      </c>
      <c r="G886" s="75" t="s">
        <v>309</v>
      </c>
      <c r="H886" s="75" t="s">
        <v>310</v>
      </c>
      <c r="I886" s="75" t="s">
        <v>400</v>
      </c>
      <c r="J886" s="75">
        <v>2023</v>
      </c>
      <c r="K886" s="75" t="s">
        <v>312</v>
      </c>
      <c r="L886" s="75" t="s">
        <v>2325</v>
      </c>
    </row>
    <row r="887" spans="1:12" hidden="1" x14ac:dyDescent="0.25">
      <c r="A887" s="78">
        <v>44755</v>
      </c>
      <c r="B887" s="75" t="s">
        <v>2326</v>
      </c>
      <c r="C887" s="75" t="s">
        <v>2327</v>
      </c>
      <c r="D887" s="75"/>
      <c r="E887" s="75">
        <v>68427709</v>
      </c>
      <c r="F887" s="89">
        <v>50000</v>
      </c>
      <c r="G887" s="75" t="s">
        <v>309</v>
      </c>
      <c r="H887" s="75" t="s">
        <v>310</v>
      </c>
      <c r="I887" s="75" t="s">
        <v>400</v>
      </c>
      <c r="J887" s="75">
        <v>2023</v>
      </c>
      <c r="K887" s="75" t="s">
        <v>2328</v>
      </c>
      <c r="L887" s="75"/>
    </row>
    <row r="888" spans="1:12" hidden="1" x14ac:dyDescent="0.25">
      <c r="A888" s="78">
        <v>44755</v>
      </c>
      <c r="B888" s="75" t="s">
        <v>2329</v>
      </c>
      <c r="C888" s="75" t="s">
        <v>2330</v>
      </c>
      <c r="D888" s="75"/>
      <c r="E888" s="75">
        <v>68427709</v>
      </c>
      <c r="F888" s="89">
        <v>-10200</v>
      </c>
      <c r="G888" s="75" t="s">
        <v>309</v>
      </c>
      <c r="H888" s="75" t="s">
        <v>310</v>
      </c>
      <c r="I888" s="75" t="s">
        <v>400</v>
      </c>
      <c r="J888" s="75">
        <v>2023</v>
      </c>
      <c r="K888" s="75" t="s">
        <v>1100</v>
      </c>
      <c r="L888" s="75"/>
    </row>
    <row r="889" spans="1:12" hidden="1" x14ac:dyDescent="0.25">
      <c r="A889" s="78">
        <v>44755</v>
      </c>
      <c r="B889" s="75" t="s">
        <v>2331</v>
      </c>
      <c r="C889" s="75" t="s">
        <v>2332</v>
      </c>
      <c r="D889" s="75"/>
      <c r="E889" s="75">
        <v>68427709</v>
      </c>
      <c r="F889" s="89">
        <v>-30000</v>
      </c>
      <c r="G889" s="75" t="s">
        <v>309</v>
      </c>
      <c r="H889" s="75" t="s">
        <v>310</v>
      </c>
      <c r="I889" s="75" t="s">
        <v>400</v>
      </c>
      <c r="J889" s="75">
        <v>2023</v>
      </c>
      <c r="K889" s="75" t="s">
        <v>1100</v>
      </c>
      <c r="L889" s="75"/>
    </row>
    <row r="890" spans="1:12" hidden="1" x14ac:dyDescent="0.25">
      <c r="A890" s="78">
        <v>44760</v>
      </c>
      <c r="B890" s="75" t="s">
        <v>307</v>
      </c>
      <c r="C890" s="75" t="s">
        <v>2333</v>
      </c>
      <c r="D890" s="75"/>
      <c r="E890" s="75">
        <v>68427709</v>
      </c>
      <c r="F890" s="89">
        <v>26000</v>
      </c>
      <c r="G890" s="75" t="s">
        <v>309</v>
      </c>
      <c r="H890" s="75" t="s">
        <v>310</v>
      </c>
      <c r="I890" s="75" t="s">
        <v>400</v>
      </c>
      <c r="J890" s="75">
        <v>2023</v>
      </c>
      <c r="K890" s="75" t="s">
        <v>2334</v>
      </c>
      <c r="L890" s="75"/>
    </row>
    <row r="891" spans="1:12" hidden="1" x14ac:dyDescent="0.25">
      <c r="A891" s="78">
        <v>44760</v>
      </c>
      <c r="B891" s="75" t="s">
        <v>2335</v>
      </c>
      <c r="C891" s="75" t="s">
        <v>2336</v>
      </c>
      <c r="D891" s="75" t="s">
        <v>548</v>
      </c>
      <c r="E891" s="75">
        <v>68427709</v>
      </c>
      <c r="F891" s="89">
        <v>-100000</v>
      </c>
      <c r="G891" s="75" t="s">
        <v>309</v>
      </c>
      <c r="H891" s="75" t="s">
        <v>310</v>
      </c>
      <c r="I891" s="75" t="s">
        <v>329</v>
      </c>
      <c r="J891" s="75">
        <v>2023</v>
      </c>
      <c r="K891" s="75" t="s">
        <v>1288</v>
      </c>
      <c r="L891" s="75"/>
    </row>
    <row r="892" spans="1:12" hidden="1" x14ac:dyDescent="0.25">
      <c r="A892" s="78">
        <v>44760</v>
      </c>
      <c r="B892" s="75" t="s">
        <v>2337</v>
      </c>
      <c r="C892" s="75"/>
      <c r="D892" s="75" t="s">
        <v>548</v>
      </c>
      <c r="E892" s="75">
        <v>68427709</v>
      </c>
      <c r="F892" s="89">
        <v>-50000</v>
      </c>
      <c r="G892" s="75" t="s">
        <v>309</v>
      </c>
      <c r="H892" s="75" t="s">
        <v>310</v>
      </c>
      <c r="I892" s="75" t="s">
        <v>329</v>
      </c>
      <c r="J892" s="75">
        <v>2023</v>
      </c>
      <c r="K892" s="75" t="s">
        <v>1288</v>
      </c>
      <c r="L892" s="75"/>
    </row>
    <row r="893" spans="1:12" hidden="1" x14ac:dyDescent="0.25">
      <c r="A893" s="78">
        <v>44760</v>
      </c>
      <c r="B893" s="75" t="s">
        <v>2338</v>
      </c>
      <c r="C893" s="75" t="s">
        <v>2339</v>
      </c>
      <c r="D893" s="75" t="s">
        <v>548</v>
      </c>
      <c r="E893" s="75">
        <v>68427709</v>
      </c>
      <c r="F893" s="89">
        <v>-50000</v>
      </c>
      <c r="G893" s="75" t="s">
        <v>309</v>
      </c>
      <c r="H893" s="75" t="s">
        <v>310</v>
      </c>
      <c r="I893" s="75" t="s">
        <v>329</v>
      </c>
      <c r="J893" s="75">
        <v>2023</v>
      </c>
      <c r="K893" s="75" t="s">
        <v>1259</v>
      </c>
      <c r="L893" s="75"/>
    </row>
    <row r="894" spans="1:12" hidden="1" x14ac:dyDescent="0.25">
      <c r="A894" s="78">
        <v>44761</v>
      </c>
      <c r="B894" s="75" t="s">
        <v>1931</v>
      </c>
      <c r="C894" s="75" t="s">
        <v>2340</v>
      </c>
      <c r="D894" s="75"/>
      <c r="E894" s="75">
        <v>68427709</v>
      </c>
      <c r="F894" s="89">
        <v>-100000</v>
      </c>
      <c r="G894" s="75" t="s">
        <v>309</v>
      </c>
      <c r="H894" s="75" t="s">
        <v>310</v>
      </c>
      <c r="I894" s="75" t="s">
        <v>329</v>
      </c>
      <c r="J894" s="75">
        <v>2023</v>
      </c>
      <c r="K894" s="75" t="s">
        <v>2328</v>
      </c>
      <c r="L894" s="75"/>
    </row>
    <row r="895" spans="1:12" hidden="1" x14ac:dyDescent="0.25">
      <c r="A895" s="78">
        <v>44761</v>
      </c>
      <c r="B895" s="75" t="s">
        <v>2341</v>
      </c>
      <c r="C895" s="75" t="s">
        <v>2342</v>
      </c>
      <c r="D895" s="75"/>
      <c r="E895" s="75">
        <v>68427709</v>
      </c>
      <c r="F895" s="89">
        <v>432000</v>
      </c>
      <c r="G895" s="75" t="s">
        <v>309</v>
      </c>
      <c r="H895" s="75" t="s">
        <v>310</v>
      </c>
      <c r="I895" s="75" t="s">
        <v>329</v>
      </c>
      <c r="J895" s="75">
        <v>2023</v>
      </c>
      <c r="K895" s="75" t="s">
        <v>2343</v>
      </c>
      <c r="L895" s="75"/>
    </row>
    <row r="896" spans="1:12" hidden="1" x14ac:dyDescent="0.25">
      <c r="A896" s="78">
        <v>44761</v>
      </c>
      <c r="B896" s="75" t="s">
        <v>1980</v>
      </c>
      <c r="C896" s="75" t="s">
        <v>758</v>
      </c>
      <c r="D896" s="75"/>
      <c r="E896" s="75">
        <v>68427709</v>
      </c>
      <c r="F896" s="89">
        <v>2500</v>
      </c>
      <c r="G896" s="75" t="s">
        <v>309</v>
      </c>
      <c r="H896" s="75" t="s">
        <v>310</v>
      </c>
      <c r="I896" s="75" t="s">
        <v>1896</v>
      </c>
      <c r="J896" s="75">
        <v>2023</v>
      </c>
      <c r="K896" s="75" t="s">
        <v>2344</v>
      </c>
      <c r="L896" s="75"/>
    </row>
    <row r="897" spans="1:12" hidden="1" x14ac:dyDescent="0.25">
      <c r="A897" s="78">
        <v>44761</v>
      </c>
      <c r="B897" s="75" t="s">
        <v>2345</v>
      </c>
      <c r="C897" s="75" t="s">
        <v>758</v>
      </c>
      <c r="D897" s="75"/>
      <c r="E897" s="75">
        <v>68427709</v>
      </c>
      <c r="F897" s="89">
        <v>3000</v>
      </c>
      <c r="G897" s="75" t="s">
        <v>309</v>
      </c>
      <c r="H897" s="75" t="s">
        <v>310</v>
      </c>
      <c r="I897" s="75" t="s">
        <v>1896</v>
      </c>
      <c r="J897" s="75">
        <v>2023</v>
      </c>
      <c r="K897" s="75" t="s">
        <v>2344</v>
      </c>
      <c r="L897" s="75"/>
    </row>
    <row r="898" spans="1:12" hidden="1" x14ac:dyDescent="0.25">
      <c r="A898" s="78">
        <v>44761</v>
      </c>
      <c r="B898" s="75" t="s">
        <v>2346</v>
      </c>
      <c r="C898" s="75" t="s">
        <v>758</v>
      </c>
      <c r="D898" s="75"/>
      <c r="E898" s="75">
        <v>68427709</v>
      </c>
      <c r="F898" s="89">
        <v>8000</v>
      </c>
      <c r="G898" s="75" t="s">
        <v>309</v>
      </c>
      <c r="H898" s="75" t="s">
        <v>310</v>
      </c>
      <c r="I898" s="75" t="s">
        <v>1896</v>
      </c>
      <c r="J898" s="75">
        <v>2023</v>
      </c>
      <c r="K898" s="75" t="s">
        <v>2344</v>
      </c>
      <c r="L898" s="75"/>
    </row>
    <row r="899" spans="1:12" hidden="1" x14ac:dyDescent="0.25">
      <c r="A899" s="78">
        <v>44761</v>
      </c>
      <c r="B899" s="75" t="s">
        <v>2347</v>
      </c>
      <c r="C899" s="75" t="s">
        <v>2348</v>
      </c>
      <c r="D899" s="75"/>
      <c r="E899" s="75">
        <v>68427709</v>
      </c>
      <c r="F899" s="89">
        <v>50000</v>
      </c>
      <c r="G899" s="75" t="s">
        <v>309</v>
      </c>
      <c r="H899" s="75" t="s">
        <v>310</v>
      </c>
      <c r="I899" s="75" t="s">
        <v>329</v>
      </c>
      <c r="J899" s="75">
        <v>2023</v>
      </c>
      <c r="K899" s="75" t="s">
        <v>2135</v>
      </c>
      <c r="L899" s="75"/>
    </row>
    <row r="900" spans="1:12" hidden="1" x14ac:dyDescent="0.25">
      <c r="A900" s="78">
        <v>44761</v>
      </c>
      <c r="B900" s="75" t="s">
        <v>2349</v>
      </c>
      <c r="C900" s="75" t="s">
        <v>1940</v>
      </c>
      <c r="D900" s="75"/>
      <c r="E900" s="75">
        <v>68427709</v>
      </c>
      <c r="F900" s="89">
        <v>-40000</v>
      </c>
      <c r="G900" s="75" t="s">
        <v>309</v>
      </c>
      <c r="H900" s="75" t="s">
        <v>310</v>
      </c>
      <c r="I900" s="75" t="s">
        <v>329</v>
      </c>
      <c r="J900" s="75">
        <v>2023</v>
      </c>
      <c r="K900" s="75" t="s">
        <v>2135</v>
      </c>
      <c r="L900" s="75"/>
    </row>
    <row r="901" spans="1:12" ht="15" hidden="1" customHeight="1" x14ac:dyDescent="0.25">
      <c r="A901" s="78">
        <v>44761</v>
      </c>
      <c r="B901" s="75" t="s">
        <v>956</v>
      </c>
      <c r="C901" s="75" t="s">
        <v>1940</v>
      </c>
      <c r="D901" s="75"/>
      <c r="E901" s="75">
        <v>68427709</v>
      </c>
      <c r="F901" s="89">
        <v>-15000</v>
      </c>
      <c r="G901" s="75" t="s">
        <v>309</v>
      </c>
      <c r="H901" s="75" t="s">
        <v>310</v>
      </c>
      <c r="I901" s="75" t="s">
        <v>329</v>
      </c>
      <c r="J901" s="75">
        <v>2023</v>
      </c>
      <c r="K901" s="75" t="s">
        <v>2135</v>
      </c>
      <c r="L901" s="75"/>
    </row>
    <row r="902" spans="1:12" hidden="1" x14ac:dyDescent="0.25">
      <c r="A902" s="78">
        <v>44761</v>
      </c>
      <c r="B902" s="75" t="s">
        <v>1457</v>
      </c>
      <c r="C902" s="75" t="s">
        <v>2350</v>
      </c>
      <c r="D902" s="75"/>
      <c r="E902" s="75">
        <v>68427719</v>
      </c>
      <c r="F902" s="89">
        <v>165000</v>
      </c>
      <c r="G902" s="75" t="s">
        <v>309</v>
      </c>
      <c r="H902" s="75" t="s">
        <v>310</v>
      </c>
      <c r="I902" s="75" t="s">
        <v>329</v>
      </c>
      <c r="J902" s="75">
        <v>2023</v>
      </c>
      <c r="K902" s="75" t="s">
        <v>1288</v>
      </c>
      <c r="L902" s="75"/>
    </row>
    <row r="903" spans="1:12" hidden="1" x14ac:dyDescent="0.25">
      <c r="A903" s="78">
        <v>44761</v>
      </c>
      <c r="B903" s="75" t="s">
        <v>1457</v>
      </c>
      <c r="C903" s="75" t="s">
        <v>2351</v>
      </c>
      <c r="D903" s="75"/>
      <c r="E903" s="75">
        <v>68427709</v>
      </c>
      <c r="F903" s="89">
        <v>-150000</v>
      </c>
      <c r="G903" s="75" t="s">
        <v>309</v>
      </c>
      <c r="H903" s="75" t="s">
        <v>310</v>
      </c>
      <c r="I903" s="75" t="s">
        <v>329</v>
      </c>
      <c r="J903" s="75">
        <v>2023</v>
      </c>
      <c r="K903" s="75" t="s">
        <v>1288</v>
      </c>
      <c r="L903" s="75"/>
    </row>
    <row r="904" spans="1:12" hidden="1" x14ac:dyDescent="0.25">
      <c r="A904" s="78">
        <v>44762</v>
      </c>
      <c r="B904" s="75" t="s">
        <v>1840</v>
      </c>
      <c r="C904" s="75" t="s">
        <v>2352</v>
      </c>
      <c r="D904" s="75"/>
      <c r="E904" s="75">
        <v>68427709</v>
      </c>
      <c r="F904" s="89">
        <v>-43000</v>
      </c>
      <c r="G904" s="75" t="s">
        <v>309</v>
      </c>
      <c r="H904" s="75" t="s">
        <v>310</v>
      </c>
      <c r="I904" s="75" t="s">
        <v>2186</v>
      </c>
      <c r="J904" s="75">
        <v>2023</v>
      </c>
      <c r="K904" s="75" t="s">
        <v>2071</v>
      </c>
      <c r="L904" s="75"/>
    </row>
    <row r="905" spans="1:12" hidden="1" x14ac:dyDescent="0.25">
      <c r="A905" s="78">
        <v>44762</v>
      </c>
      <c r="B905" s="75" t="s">
        <v>2353</v>
      </c>
      <c r="C905" s="75" t="s">
        <v>2098</v>
      </c>
      <c r="D905" s="75"/>
      <c r="E905" s="75">
        <v>68427709</v>
      </c>
      <c r="F905" s="89">
        <v>63000</v>
      </c>
      <c r="G905" s="75" t="s">
        <v>309</v>
      </c>
      <c r="H905" s="75" t="s">
        <v>310</v>
      </c>
      <c r="I905" s="75" t="s">
        <v>2186</v>
      </c>
      <c r="J905" s="75">
        <v>2023</v>
      </c>
      <c r="K905" s="75" t="s">
        <v>2071</v>
      </c>
      <c r="L905" s="75"/>
    </row>
    <row r="906" spans="1:12" hidden="1" x14ac:dyDescent="0.25">
      <c r="A906" s="78">
        <v>44764</v>
      </c>
      <c r="B906" s="75" t="s">
        <v>2354</v>
      </c>
      <c r="C906" s="75" t="s">
        <v>2355</v>
      </c>
      <c r="D906" s="75"/>
      <c r="E906" s="75">
        <v>68427719</v>
      </c>
      <c r="F906" s="89">
        <v>480000</v>
      </c>
      <c r="G906" s="75" t="s">
        <v>309</v>
      </c>
      <c r="H906" s="75" t="s">
        <v>310</v>
      </c>
      <c r="I906" s="75" t="s">
        <v>329</v>
      </c>
      <c r="J906" s="75">
        <v>2023</v>
      </c>
      <c r="K906" s="75" t="s">
        <v>2356</v>
      </c>
      <c r="L906" s="75"/>
    </row>
    <row r="907" spans="1:12" hidden="1" x14ac:dyDescent="0.25">
      <c r="A907" s="78">
        <v>44764</v>
      </c>
      <c r="B907" s="75" t="s">
        <v>2357</v>
      </c>
      <c r="C907" s="75" t="s">
        <v>2358</v>
      </c>
      <c r="D907" s="75"/>
      <c r="E907" s="75">
        <v>68427719</v>
      </c>
      <c r="F907" s="89">
        <v>-25000</v>
      </c>
      <c r="G907" s="75" t="s">
        <v>309</v>
      </c>
      <c r="H907" s="75" t="s">
        <v>310</v>
      </c>
      <c r="I907" s="75" t="s">
        <v>329</v>
      </c>
      <c r="J907" s="75">
        <v>2023</v>
      </c>
      <c r="K907" s="75" t="s">
        <v>2356</v>
      </c>
      <c r="L907" s="75"/>
    </row>
    <row r="908" spans="1:12" hidden="1" x14ac:dyDescent="0.25">
      <c r="A908" s="78">
        <v>44764</v>
      </c>
      <c r="B908" s="75" t="s">
        <v>2359</v>
      </c>
      <c r="C908" s="75" t="s">
        <v>2358</v>
      </c>
      <c r="D908" s="75"/>
      <c r="E908" s="75">
        <v>68427719</v>
      </c>
      <c r="F908" s="89">
        <v>-420000</v>
      </c>
      <c r="G908" s="75" t="s">
        <v>309</v>
      </c>
      <c r="H908" s="75" t="s">
        <v>310</v>
      </c>
      <c r="I908" s="75" t="s">
        <v>329</v>
      </c>
      <c r="J908" s="75">
        <v>2023</v>
      </c>
      <c r="K908" s="75" t="s">
        <v>2356</v>
      </c>
      <c r="L908" s="75"/>
    </row>
    <row r="909" spans="1:12" hidden="1" x14ac:dyDescent="0.25">
      <c r="A909" s="78">
        <v>44764</v>
      </c>
      <c r="B909" s="75" t="s">
        <v>2140</v>
      </c>
      <c r="C909" s="75" t="s">
        <v>2339</v>
      </c>
      <c r="D909" s="75"/>
      <c r="E909" s="75">
        <v>68427719</v>
      </c>
      <c r="F909" s="89">
        <v>-200000</v>
      </c>
      <c r="G909" s="75" t="s">
        <v>309</v>
      </c>
      <c r="H909" s="75" t="s">
        <v>310</v>
      </c>
      <c r="I909" s="75" t="s">
        <v>329</v>
      </c>
      <c r="J909" s="75">
        <v>2023</v>
      </c>
      <c r="K909" s="75" t="s">
        <v>2356</v>
      </c>
      <c r="L909" s="75"/>
    </row>
    <row r="910" spans="1:12" hidden="1" x14ac:dyDescent="0.25">
      <c r="A910" s="78">
        <v>44764</v>
      </c>
      <c r="B910" s="75" t="s">
        <v>1223</v>
      </c>
      <c r="C910" s="75" t="s">
        <v>2360</v>
      </c>
      <c r="D910" s="75"/>
      <c r="E910" s="75">
        <v>68427719</v>
      </c>
      <c r="F910" s="89">
        <v>200000</v>
      </c>
      <c r="G910" s="75" t="s">
        <v>309</v>
      </c>
      <c r="H910" s="75" t="s">
        <v>310</v>
      </c>
      <c r="I910" s="75" t="s">
        <v>329</v>
      </c>
      <c r="J910" s="75">
        <v>2023</v>
      </c>
      <c r="K910" s="75" t="s">
        <v>2356</v>
      </c>
      <c r="L910" s="75"/>
    </row>
    <row r="911" spans="1:12" hidden="1" x14ac:dyDescent="0.25">
      <c r="A911" s="78">
        <v>44764</v>
      </c>
      <c r="B911" s="75" t="s">
        <v>2361</v>
      </c>
      <c r="C911" s="75" t="s">
        <v>2362</v>
      </c>
      <c r="D911" s="75"/>
      <c r="E911" s="75">
        <v>68427719</v>
      </c>
      <c r="F911" s="89">
        <v>140000</v>
      </c>
      <c r="G911" s="75" t="s">
        <v>309</v>
      </c>
      <c r="H911" s="75" t="s">
        <v>310</v>
      </c>
      <c r="I911" s="75" t="s">
        <v>329</v>
      </c>
      <c r="J911" s="75">
        <v>2023</v>
      </c>
      <c r="K911" s="75" t="s">
        <v>2356</v>
      </c>
      <c r="L911" s="75"/>
    </row>
    <row r="912" spans="1:12" hidden="1" x14ac:dyDescent="0.25">
      <c r="A912" s="78">
        <v>44764</v>
      </c>
      <c r="B912" s="75" t="s">
        <v>2087</v>
      </c>
      <c r="C912" s="75" t="s">
        <v>2363</v>
      </c>
      <c r="D912" s="75"/>
      <c r="E912" s="75">
        <v>68427719</v>
      </c>
      <c r="F912" s="89">
        <v>-124000</v>
      </c>
      <c r="G912" s="75" t="s">
        <v>309</v>
      </c>
      <c r="H912" s="75" t="s">
        <v>310</v>
      </c>
      <c r="I912" s="75" t="s">
        <v>329</v>
      </c>
      <c r="J912" s="75">
        <v>2023</v>
      </c>
      <c r="K912" s="75" t="s">
        <v>2356</v>
      </c>
      <c r="L912" s="75"/>
    </row>
    <row r="913" spans="1:12" hidden="1" x14ac:dyDescent="0.25">
      <c r="A913" s="78">
        <v>44764</v>
      </c>
      <c r="B913" s="75" t="s">
        <v>2089</v>
      </c>
      <c r="C913" s="75" t="s">
        <v>2364</v>
      </c>
      <c r="D913" s="75"/>
      <c r="E913" s="75">
        <v>68427719</v>
      </c>
      <c r="F913" s="89">
        <v>-22000</v>
      </c>
      <c r="G913" s="75" t="s">
        <v>309</v>
      </c>
      <c r="H913" s="75" t="s">
        <v>310</v>
      </c>
      <c r="I913" s="75" t="s">
        <v>1896</v>
      </c>
      <c r="J913" s="75">
        <v>2023</v>
      </c>
      <c r="K913" s="75" t="s">
        <v>2356</v>
      </c>
      <c r="L913" s="75"/>
    </row>
    <row r="914" spans="1:12" hidden="1" x14ac:dyDescent="0.25">
      <c r="A914" s="78">
        <v>44764</v>
      </c>
      <c r="B914" s="75" t="s">
        <v>2365</v>
      </c>
      <c r="C914" s="75" t="s">
        <v>2366</v>
      </c>
      <c r="D914" s="75"/>
      <c r="E914" s="75">
        <v>68427719</v>
      </c>
      <c r="F914" s="89">
        <v>9000</v>
      </c>
      <c r="G914" s="75" t="s">
        <v>309</v>
      </c>
      <c r="H914" s="75" t="s">
        <v>310</v>
      </c>
      <c r="I914" s="75" t="s">
        <v>329</v>
      </c>
      <c r="J914" s="75">
        <v>2023</v>
      </c>
      <c r="K914" s="75" t="s">
        <v>2356</v>
      </c>
      <c r="L914" s="75"/>
    </row>
    <row r="915" spans="1:12" hidden="1" x14ac:dyDescent="0.25">
      <c r="A915" s="78">
        <v>44764</v>
      </c>
      <c r="B915" s="75" t="s">
        <v>2097</v>
      </c>
      <c r="C915" s="75" t="s">
        <v>2367</v>
      </c>
      <c r="D915" s="75"/>
      <c r="E915" s="75">
        <v>68427719</v>
      </c>
      <c r="F915" s="89">
        <v>-1000</v>
      </c>
      <c r="G915" s="75" t="s">
        <v>309</v>
      </c>
      <c r="H915" s="75" t="s">
        <v>310</v>
      </c>
      <c r="I915" s="75" t="s">
        <v>329</v>
      </c>
      <c r="J915" s="75">
        <v>2023</v>
      </c>
      <c r="K915" s="75" t="s">
        <v>2356</v>
      </c>
      <c r="L915" s="75"/>
    </row>
    <row r="916" spans="1:12" hidden="1" x14ac:dyDescent="0.25">
      <c r="A916" s="78">
        <v>44764</v>
      </c>
      <c r="B916" s="75" t="s">
        <v>2116</v>
      </c>
      <c r="C916" s="75" t="s">
        <v>2024</v>
      </c>
      <c r="D916" s="75"/>
      <c r="E916" s="75">
        <v>68427719</v>
      </c>
      <c r="F916" s="89">
        <v>980</v>
      </c>
      <c r="G916" s="75" t="s">
        <v>309</v>
      </c>
      <c r="H916" s="75" t="s">
        <v>310</v>
      </c>
      <c r="I916" s="75" t="s">
        <v>329</v>
      </c>
      <c r="J916" s="75">
        <v>2023</v>
      </c>
      <c r="K916" s="75" t="s">
        <v>2356</v>
      </c>
      <c r="L916" s="75"/>
    </row>
    <row r="917" spans="1:12" hidden="1" x14ac:dyDescent="0.25">
      <c r="A917" s="78">
        <v>44764</v>
      </c>
      <c r="B917" s="75" t="s">
        <v>2368</v>
      </c>
      <c r="C917" s="75" t="s">
        <v>2369</v>
      </c>
      <c r="D917" s="75"/>
      <c r="E917" s="75">
        <v>68427719</v>
      </c>
      <c r="F917" s="89">
        <v>92500</v>
      </c>
      <c r="G917" s="75" t="s">
        <v>309</v>
      </c>
      <c r="H917" s="75" t="s">
        <v>310</v>
      </c>
      <c r="I917" s="75" t="s">
        <v>329</v>
      </c>
      <c r="J917" s="75">
        <v>2023</v>
      </c>
      <c r="K917" s="75" t="s">
        <v>2356</v>
      </c>
      <c r="L917" s="75"/>
    </row>
    <row r="918" spans="1:12" hidden="1" x14ac:dyDescent="0.25">
      <c r="A918" s="78">
        <v>44768</v>
      </c>
      <c r="B918" s="75" t="s">
        <v>2370</v>
      </c>
      <c r="C918" s="75" t="s">
        <v>2371</v>
      </c>
      <c r="D918" s="75"/>
      <c r="E918" s="75">
        <v>68427709</v>
      </c>
      <c r="F918" s="89">
        <v>115000</v>
      </c>
      <c r="G918" s="75" t="s">
        <v>309</v>
      </c>
      <c r="H918" s="75" t="s">
        <v>310</v>
      </c>
      <c r="I918" s="75" t="s">
        <v>1896</v>
      </c>
      <c r="J918" s="75">
        <v>2023</v>
      </c>
      <c r="K918" s="75" t="s">
        <v>868</v>
      </c>
      <c r="L918" s="75"/>
    </row>
    <row r="919" spans="1:12" hidden="1" x14ac:dyDescent="0.25">
      <c r="A919" s="78">
        <v>44768</v>
      </c>
      <c r="B919" s="75" t="s">
        <v>2072</v>
      </c>
      <c r="C919" s="75"/>
      <c r="D919" s="75"/>
      <c r="E919" s="75">
        <v>68427709</v>
      </c>
      <c r="F919" s="89">
        <v>2000</v>
      </c>
      <c r="G919" s="75" t="s">
        <v>309</v>
      </c>
      <c r="H919" s="75" t="s">
        <v>310</v>
      </c>
      <c r="I919" s="75" t="s">
        <v>2186</v>
      </c>
      <c r="J919" s="75">
        <v>2023</v>
      </c>
      <c r="K919" s="75" t="s">
        <v>868</v>
      </c>
      <c r="L919" s="75"/>
    </row>
    <row r="920" spans="1:12" hidden="1" x14ac:dyDescent="0.25">
      <c r="A920" s="78">
        <v>44768</v>
      </c>
      <c r="B920" s="75" t="s">
        <v>2110</v>
      </c>
      <c r="C920" s="75"/>
      <c r="D920" s="75"/>
      <c r="E920" s="75">
        <v>68427709</v>
      </c>
      <c r="F920" s="89">
        <v>72000</v>
      </c>
      <c r="G920" s="75" t="s">
        <v>309</v>
      </c>
      <c r="H920" s="75" t="s">
        <v>310</v>
      </c>
      <c r="I920" s="75" t="s">
        <v>2186</v>
      </c>
      <c r="J920" s="75">
        <v>2023</v>
      </c>
      <c r="K920" s="75" t="s">
        <v>868</v>
      </c>
      <c r="L920" s="75"/>
    </row>
    <row r="921" spans="1:12" hidden="1" x14ac:dyDescent="0.25">
      <c r="A921" s="78">
        <v>44768</v>
      </c>
      <c r="B921" s="75" t="s">
        <v>1602</v>
      </c>
      <c r="C921" s="75" t="s">
        <v>2372</v>
      </c>
      <c r="D921" s="75"/>
      <c r="E921" s="75">
        <v>68427709</v>
      </c>
      <c r="F921" s="89">
        <v>-50000</v>
      </c>
      <c r="G921" s="75" t="s">
        <v>498</v>
      </c>
      <c r="H921" s="75" t="s">
        <v>310</v>
      </c>
      <c r="I921" s="75" t="s">
        <v>2186</v>
      </c>
      <c r="J921" s="75">
        <v>2023</v>
      </c>
      <c r="K921" s="75" t="s">
        <v>868</v>
      </c>
      <c r="L921" s="75"/>
    </row>
    <row r="922" spans="1:12" hidden="1" x14ac:dyDescent="0.25">
      <c r="A922" s="78">
        <v>44768</v>
      </c>
      <c r="B922" s="75" t="s">
        <v>1880</v>
      </c>
      <c r="C922" s="75" t="s">
        <v>2372</v>
      </c>
      <c r="D922" s="75"/>
      <c r="E922" s="75">
        <v>68427709</v>
      </c>
      <c r="F922" s="89">
        <v>-224000</v>
      </c>
      <c r="G922" s="75" t="s">
        <v>498</v>
      </c>
      <c r="H922" s="75" t="s">
        <v>310</v>
      </c>
      <c r="I922" s="75" t="s">
        <v>329</v>
      </c>
      <c r="J922" s="75">
        <v>2023</v>
      </c>
      <c r="K922" s="75" t="s">
        <v>868</v>
      </c>
      <c r="L922" s="75"/>
    </row>
    <row r="923" spans="1:12" hidden="1" x14ac:dyDescent="0.25">
      <c r="A923" s="78">
        <v>44768</v>
      </c>
      <c r="B923" s="75" t="s">
        <v>2373</v>
      </c>
      <c r="C923" s="75" t="s">
        <v>2372</v>
      </c>
      <c r="D923" s="75"/>
      <c r="E923" s="75">
        <v>68427709</v>
      </c>
      <c r="F923" s="89">
        <v>210000</v>
      </c>
      <c r="G923" s="75" t="s">
        <v>498</v>
      </c>
      <c r="H923" s="75" t="s">
        <v>310</v>
      </c>
      <c r="I923" s="75" t="s">
        <v>329</v>
      </c>
      <c r="J923" s="75">
        <v>2023</v>
      </c>
      <c r="K923" s="75" t="s">
        <v>868</v>
      </c>
      <c r="L923" s="75"/>
    </row>
    <row r="924" spans="1:12" hidden="1" x14ac:dyDescent="0.25">
      <c r="A924" s="78">
        <v>44768</v>
      </c>
      <c r="B924" s="75" t="s">
        <v>2374</v>
      </c>
      <c r="C924" s="75" t="s">
        <v>2372</v>
      </c>
      <c r="D924" s="75"/>
      <c r="E924" s="75">
        <v>68427709</v>
      </c>
      <c r="F924" s="89">
        <v>-70000</v>
      </c>
      <c r="G924" s="75" t="s">
        <v>309</v>
      </c>
      <c r="H924" s="75" t="s">
        <v>310</v>
      </c>
      <c r="I924" s="75" t="s">
        <v>329</v>
      </c>
      <c r="J924" s="75">
        <v>2023</v>
      </c>
      <c r="K924" s="75" t="s">
        <v>868</v>
      </c>
      <c r="L924" s="75"/>
    </row>
    <row r="925" spans="1:12" ht="15" hidden="1" customHeight="1" x14ac:dyDescent="0.25">
      <c r="A925" s="78">
        <v>44768</v>
      </c>
      <c r="B925" s="75" t="s">
        <v>1602</v>
      </c>
      <c r="C925" s="75" t="s">
        <v>1940</v>
      </c>
      <c r="D925" s="75"/>
      <c r="E925" s="75">
        <v>68427709</v>
      </c>
      <c r="F925" s="89">
        <v>-20000</v>
      </c>
      <c r="G925" s="75" t="s">
        <v>309</v>
      </c>
      <c r="H925" s="75" t="s">
        <v>310</v>
      </c>
      <c r="I925" s="75" t="s">
        <v>1896</v>
      </c>
      <c r="J925" s="75">
        <v>2023</v>
      </c>
      <c r="K925" s="75" t="s">
        <v>868</v>
      </c>
      <c r="L925" s="75"/>
    </row>
    <row r="926" spans="1:12" hidden="1" x14ac:dyDescent="0.25">
      <c r="A926" s="78">
        <v>44768</v>
      </c>
      <c r="B926" s="75" t="s">
        <v>1880</v>
      </c>
      <c r="C926" s="75" t="s">
        <v>2375</v>
      </c>
      <c r="D926" s="75"/>
      <c r="E926" s="75">
        <v>68427709</v>
      </c>
      <c r="F926" s="89">
        <v>16000</v>
      </c>
      <c r="G926" s="75" t="s">
        <v>309</v>
      </c>
      <c r="H926" s="75" t="s">
        <v>310</v>
      </c>
      <c r="I926" s="75" t="s">
        <v>1896</v>
      </c>
      <c r="J926" s="75">
        <v>2023</v>
      </c>
      <c r="K926" s="75" t="s">
        <v>868</v>
      </c>
      <c r="L926" s="75"/>
    </row>
    <row r="927" spans="1:12" hidden="1" x14ac:dyDescent="0.25">
      <c r="A927" s="78">
        <v>44768</v>
      </c>
      <c r="B927" s="75" t="s">
        <v>1481</v>
      </c>
      <c r="C927" s="75" t="s">
        <v>2376</v>
      </c>
      <c r="D927" s="75"/>
      <c r="E927" s="75">
        <v>68427709</v>
      </c>
      <c r="F927" s="89">
        <v>-7000</v>
      </c>
      <c r="G927" s="75" t="s">
        <v>309</v>
      </c>
      <c r="H927" s="75" t="s">
        <v>310</v>
      </c>
      <c r="I927" s="75" t="s">
        <v>1896</v>
      </c>
      <c r="J927" s="75">
        <v>2023</v>
      </c>
      <c r="K927" s="75" t="s">
        <v>868</v>
      </c>
      <c r="L927" s="75"/>
    </row>
    <row r="928" spans="1:12" hidden="1" x14ac:dyDescent="0.25">
      <c r="A928" s="78">
        <v>44768</v>
      </c>
      <c r="B928" s="75" t="s">
        <v>2377</v>
      </c>
      <c r="C928" s="75" t="s">
        <v>2378</v>
      </c>
      <c r="D928" s="75"/>
      <c r="E928" s="75">
        <v>68427709</v>
      </c>
      <c r="F928" s="89">
        <v>20000</v>
      </c>
      <c r="G928" s="75" t="s">
        <v>309</v>
      </c>
      <c r="H928" s="75" t="s">
        <v>310</v>
      </c>
      <c r="I928" s="75" t="s">
        <v>1896</v>
      </c>
      <c r="J928" s="75">
        <v>2023</v>
      </c>
      <c r="K928" s="75" t="s">
        <v>868</v>
      </c>
      <c r="L928" s="75"/>
    </row>
    <row r="929" spans="1:12" hidden="1" x14ac:dyDescent="0.25">
      <c r="A929" s="78">
        <v>44768</v>
      </c>
      <c r="B929" s="75" t="s">
        <v>1616</v>
      </c>
      <c r="C929" s="75" t="s">
        <v>2379</v>
      </c>
      <c r="D929" s="75"/>
      <c r="E929" s="75">
        <v>68427709</v>
      </c>
      <c r="F929" s="89">
        <v>-30000</v>
      </c>
      <c r="G929" s="75" t="s">
        <v>309</v>
      </c>
      <c r="H929" s="75" t="s">
        <v>310</v>
      </c>
      <c r="I929" s="75" t="s">
        <v>329</v>
      </c>
      <c r="J929" s="75">
        <v>2023</v>
      </c>
      <c r="K929" s="75" t="s">
        <v>868</v>
      </c>
      <c r="L929" s="75"/>
    </row>
    <row r="930" spans="1:12" hidden="1" x14ac:dyDescent="0.25">
      <c r="A930" s="78">
        <v>44768</v>
      </c>
      <c r="B930" s="75" t="s">
        <v>2380</v>
      </c>
      <c r="C930" s="75" t="s">
        <v>2381</v>
      </c>
      <c r="D930" s="75"/>
      <c r="E930" s="75">
        <v>68427709</v>
      </c>
      <c r="F930" s="89">
        <v>105000</v>
      </c>
      <c r="G930" s="75" t="s">
        <v>498</v>
      </c>
      <c r="H930" s="75" t="s">
        <v>310</v>
      </c>
      <c r="I930" s="75" t="s">
        <v>2186</v>
      </c>
      <c r="J930" s="75">
        <v>2023</v>
      </c>
      <c r="K930" s="75" t="s">
        <v>868</v>
      </c>
      <c r="L930" s="75" t="s">
        <v>2382</v>
      </c>
    </row>
    <row r="931" spans="1:12" hidden="1" x14ac:dyDescent="0.25">
      <c r="A931" s="78">
        <v>44768</v>
      </c>
      <c r="B931" s="75" t="s">
        <v>2180</v>
      </c>
      <c r="C931" s="75" t="s">
        <v>2383</v>
      </c>
      <c r="D931" s="75"/>
      <c r="E931" s="75">
        <v>68427709</v>
      </c>
      <c r="F931" s="89">
        <v>323000</v>
      </c>
      <c r="G931" s="75" t="s">
        <v>309</v>
      </c>
      <c r="H931" s="75" t="s">
        <v>310</v>
      </c>
      <c r="I931" s="75" t="s">
        <v>329</v>
      </c>
      <c r="J931" s="75">
        <v>2023</v>
      </c>
      <c r="K931" s="75" t="s">
        <v>868</v>
      </c>
      <c r="L931" s="75"/>
    </row>
    <row r="932" spans="1:12" hidden="1" x14ac:dyDescent="0.25">
      <c r="A932" s="78">
        <v>44768</v>
      </c>
      <c r="B932" s="75" t="s">
        <v>2384</v>
      </c>
      <c r="C932" s="75" t="s">
        <v>2385</v>
      </c>
      <c r="D932" s="75"/>
      <c r="E932" s="75">
        <v>68427709</v>
      </c>
      <c r="F932" s="89">
        <v>1500</v>
      </c>
      <c r="G932" s="75" t="s">
        <v>309</v>
      </c>
      <c r="H932" s="75" t="s">
        <v>310</v>
      </c>
      <c r="I932" s="75" t="s">
        <v>2186</v>
      </c>
      <c r="J932" s="75">
        <v>2023</v>
      </c>
      <c r="K932" s="75" t="s">
        <v>2386</v>
      </c>
      <c r="L932" s="75"/>
    </row>
    <row r="933" spans="1:12" hidden="1" x14ac:dyDescent="0.25">
      <c r="A933" s="78">
        <v>44768</v>
      </c>
      <c r="B933" s="75" t="s">
        <v>667</v>
      </c>
      <c r="C933" s="75" t="s">
        <v>2387</v>
      </c>
      <c r="D933" s="75"/>
      <c r="E933" s="75">
        <v>68427709</v>
      </c>
      <c r="F933" s="89">
        <v>7000</v>
      </c>
      <c r="G933" s="75" t="s">
        <v>309</v>
      </c>
      <c r="H933" s="75" t="s">
        <v>310</v>
      </c>
      <c r="I933" s="75" t="s">
        <v>2186</v>
      </c>
      <c r="J933" s="75">
        <v>2023</v>
      </c>
      <c r="K933" s="75" t="s">
        <v>2386</v>
      </c>
      <c r="L933" s="75"/>
    </row>
    <row r="934" spans="1:12" hidden="1" x14ac:dyDescent="0.25">
      <c r="A934" s="78">
        <v>44768</v>
      </c>
      <c r="B934" s="75" t="s">
        <v>2388</v>
      </c>
      <c r="C934" s="75" t="s">
        <v>2389</v>
      </c>
      <c r="D934" s="75" t="s">
        <v>548</v>
      </c>
      <c r="E934" s="75">
        <v>68427709</v>
      </c>
      <c r="F934" s="89">
        <v>-50000</v>
      </c>
      <c r="G934" s="75" t="s">
        <v>309</v>
      </c>
      <c r="H934" s="75" t="s">
        <v>310</v>
      </c>
      <c r="I934" s="75" t="s">
        <v>329</v>
      </c>
      <c r="J934" s="75">
        <v>2023</v>
      </c>
      <c r="K934" s="75" t="s">
        <v>1288</v>
      </c>
      <c r="L934" s="75"/>
    </row>
    <row r="935" spans="1:12" hidden="1" x14ac:dyDescent="0.25">
      <c r="A935" s="78">
        <v>44768</v>
      </c>
      <c r="B935" s="75" t="s">
        <v>2390</v>
      </c>
      <c r="C935" s="75" t="s">
        <v>2391</v>
      </c>
      <c r="D935" s="75" t="s">
        <v>548</v>
      </c>
      <c r="E935" s="75">
        <v>68427709</v>
      </c>
      <c r="F935" s="89">
        <v>-88000</v>
      </c>
      <c r="G935" s="75" t="s">
        <v>309</v>
      </c>
      <c r="H935" s="75" t="s">
        <v>310</v>
      </c>
      <c r="I935" s="75" t="s">
        <v>329</v>
      </c>
      <c r="J935" s="75">
        <v>2023</v>
      </c>
      <c r="K935" s="75" t="s">
        <v>1288</v>
      </c>
      <c r="L935" s="75"/>
    </row>
    <row r="936" spans="1:12" ht="15.6" hidden="1" customHeight="1" x14ac:dyDescent="0.25">
      <c r="A936" s="78">
        <v>44768</v>
      </c>
      <c r="B936" s="75" t="s">
        <v>1677</v>
      </c>
      <c r="C936" s="75" t="s">
        <v>2392</v>
      </c>
      <c r="D936" s="75" t="s">
        <v>548</v>
      </c>
      <c r="E936" s="75">
        <v>68427709</v>
      </c>
      <c r="F936" s="89">
        <v>-21000</v>
      </c>
      <c r="G936" s="75" t="s">
        <v>309</v>
      </c>
      <c r="H936" s="75" t="s">
        <v>310</v>
      </c>
      <c r="I936" s="75" t="s">
        <v>329</v>
      </c>
      <c r="J936" s="75">
        <v>2023</v>
      </c>
      <c r="K936" s="75" t="s">
        <v>1288</v>
      </c>
      <c r="L936" s="75"/>
    </row>
    <row r="937" spans="1:12" hidden="1" x14ac:dyDescent="0.25">
      <c r="A937" s="78">
        <v>44768</v>
      </c>
      <c r="B937" s="75" t="s">
        <v>2393</v>
      </c>
      <c r="C937" s="75" t="s">
        <v>2394</v>
      </c>
      <c r="D937" s="75" t="s">
        <v>548</v>
      </c>
      <c r="E937" s="75">
        <v>68427709</v>
      </c>
      <c r="F937" s="89">
        <v>70000</v>
      </c>
      <c r="G937" s="75" t="s">
        <v>309</v>
      </c>
      <c r="H937" s="75" t="s">
        <v>310</v>
      </c>
      <c r="I937" s="75" t="s">
        <v>329</v>
      </c>
      <c r="J937" s="75">
        <v>2023</v>
      </c>
      <c r="K937" s="75" t="s">
        <v>1288</v>
      </c>
      <c r="L937" s="75"/>
    </row>
    <row r="938" spans="1:12" hidden="1" x14ac:dyDescent="0.25">
      <c r="A938" s="78">
        <v>44768</v>
      </c>
      <c r="B938" s="75" t="s">
        <v>2395</v>
      </c>
      <c r="C938" s="75" t="s">
        <v>2396</v>
      </c>
      <c r="D938" s="75" t="s">
        <v>548</v>
      </c>
      <c r="E938" s="75">
        <v>68427709</v>
      </c>
      <c r="F938" s="89">
        <v>21000</v>
      </c>
      <c r="G938" s="75" t="s">
        <v>309</v>
      </c>
      <c r="H938" s="75" t="s">
        <v>310</v>
      </c>
      <c r="I938" s="75" t="s">
        <v>329</v>
      </c>
      <c r="J938" s="75">
        <v>2023</v>
      </c>
      <c r="K938" s="75" t="s">
        <v>1288</v>
      </c>
      <c r="L938" s="75"/>
    </row>
    <row r="939" spans="1:12" ht="15" hidden="1" customHeight="1" x14ac:dyDescent="0.25">
      <c r="A939" s="78">
        <v>44768</v>
      </c>
      <c r="B939" s="75" t="s">
        <v>2397</v>
      </c>
      <c r="C939" s="75" t="s">
        <v>2398</v>
      </c>
      <c r="D939" s="75" t="s">
        <v>548</v>
      </c>
      <c r="E939" s="75">
        <v>68427709</v>
      </c>
      <c r="F939" s="89">
        <v>-40000</v>
      </c>
      <c r="G939" s="75" t="s">
        <v>309</v>
      </c>
      <c r="H939" s="75" t="s">
        <v>310</v>
      </c>
      <c r="I939" s="75" t="s">
        <v>329</v>
      </c>
      <c r="J939" s="75">
        <v>2023</v>
      </c>
      <c r="K939" s="75" t="s">
        <v>1288</v>
      </c>
      <c r="L939" s="75"/>
    </row>
    <row r="940" spans="1:12" hidden="1" x14ac:dyDescent="0.25">
      <c r="A940" s="78">
        <v>44769</v>
      </c>
      <c r="B940" s="75" t="s">
        <v>1612</v>
      </c>
      <c r="C940" s="75" t="s">
        <v>2399</v>
      </c>
      <c r="D940" s="75"/>
      <c r="E940" s="75">
        <v>68427709</v>
      </c>
      <c r="F940" s="89">
        <v>60000</v>
      </c>
      <c r="G940" s="75" t="s">
        <v>2400</v>
      </c>
      <c r="H940" s="75" t="s">
        <v>310</v>
      </c>
      <c r="I940" s="75" t="s">
        <v>329</v>
      </c>
      <c r="J940" s="75">
        <v>2023</v>
      </c>
      <c r="K940" s="75" t="s">
        <v>1288</v>
      </c>
      <c r="L940" s="75"/>
    </row>
    <row r="941" spans="1:12" hidden="1" x14ac:dyDescent="0.25">
      <c r="A941" s="78">
        <v>44770</v>
      </c>
      <c r="B941" s="75" t="s">
        <v>2401</v>
      </c>
      <c r="C941" s="75"/>
      <c r="D941" s="75"/>
      <c r="E941" s="75">
        <v>68427709</v>
      </c>
      <c r="F941" s="89">
        <v>0</v>
      </c>
      <c r="G941" s="75" t="s">
        <v>309</v>
      </c>
      <c r="H941" s="75" t="s">
        <v>310</v>
      </c>
      <c r="I941" s="75"/>
      <c r="J941" s="75">
        <v>2023</v>
      </c>
      <c r="K941" s="75" t="s">
        <v>1288</v>
      </c>
      <c r="L941" s="75"/>
    </row>
    <row r="942" spans="1:12" hidden="1" x14ac:dyDescent="0.25">
      <c r="A942" s="78">
        <v>44770</v>
      </c>
      <c r="B942" s="75" t="s">
        <v>1763</v>
      </c>
      <c r="C942" s="75" t="s">
        <v>2402</v>
      </c>
      <c r="D942" s="75"/>
      <c r="E942" s="75">
        <v>68427709</v>
      </c>
      <c r="F942" s="89">
        <v>-85000</v>
      </c>
      <c r="G942" s="75" t="s">
        <v>309</v>
      </c>
      <c r="H942" s="75" t="s">
        <v>310</v>
      </c>
      <c r="I942" s="75" t="s">
        <v>1896</v>
      </c>
      <c r="J942" s="75">
        <v>2023</v>
      </c>
      <c r="K942" s="75" t="s">
        <v>2403</v>
      </c>
      <c r="L942" s="75"/>
    </row>
    <row r="943" spans="1:12" hidden="1" x14ac:dyDescent="0.25">
      <c r="A943" s="78">
        <v>44770</v>
      </c>
      <c r="B943" s="75" t="s">
        <v>1908</v>
      </c>
      <c r="C943" s="75" t="s">
        <v>2404</v>
      </c>
      <c r="D943" s="75"/>
      <c r="E943" s="75">
        <v>68427709</v>
      </c>
      <c r="F943" s="89">
        <v>-95000</v>
      </c>
      <c r="G943" s="75" t="s">
        <v>309</v>
      </c>
      <c r="H943" s="75" t="s">
        <v>310</v>
      </c>
      <c r="I943" s="75" t="s">
        <v>1896</v>
      </c>
      <c r="J943" s="75">
        <v>2023</v>
      </c>
      <c r="K943" s="75" t="s">
        <v>2403</v>
      </c>
      <c r="L943" s="75"/>
    </row>
    <row r="944" spans="1:12" hidden="1" x14ac:dyDescent="0.25">
      <c r="A944" s="78">
        <v>44770</v>
      </c>
      <c r="B944" s="75" t="s">
        <v>2405</v>
      </c>
      <c r="C944" s="75" t="s">
        <v>1554</v>
      </c>
      <c r="D944" s="75"/>
      <c r="E944" s="75">
        <v>68427709</v>
      </c>
      <c r="F944" s="89">
        <v>-70000</v>
      </c>
      <c r="G944" s="75" t="s">
        <v>309</v>
      </c>
      <c r="H944" s="75" t="s">
        <v>310</v>
      </c>
      <c r="I944" s="75" t="s">
        <v>1896</v>
      </c>
      <c r="J944" s="75">
        <v>2023</v>
      </c>
      <c r="K944" s="75" t="s">
        <v>2403</v>
      </c>
      <c r="L944" s="75"/>
    </row>
    <row r="945" spans="1:12" hidden="1" x14ac:dyDescent="0.25">
      <c r="A945" s="78">
        <v>44770</v>
      </c>
      <c r="B945" s="75" t="s">
        <v>2406</v>
      </c>
      <c r="C945" s="75" t="s">
        <v>2407</v>
      </c>
      <c r="D945" s="75"/>
      <c r="E945" s="75">
        <v>68427709</v>
      </c>
      <c r="F945" s="89">
        <v>-5000</v>
      </c>
      <c r="G945" s="75" t="s">
        <v>309</v>
      </c>
      <c r="H945" s="75" t="s">
        <v>310</v>
      </c>
      <c r="I945" s="75" t="s">
        <v>1896</v>
      </c>
      <c r="J945" s="75">
        <v>2023</v>
      </c>
      <c r="K945" s="75" t="s">
        <v>2403</v>
      </c>
      <c r="L945" s="75"/>
    </row>
    <row r="946" spans="1:12" hidden="1" x14ac:dyDescent="0.25">
      <c r="A946" s="78">
        <v>44770</v>
      </c>
      <c r="B946" s="75" t="s">
        <v>1913</v>
      </c>
      <c r="C946" s="75" t="s">
        <v>2408</v>
      </c>
      <c r="D946" s="75"/>
      <c r="E946" s="75">
        <v>68427709</v>
      </c>
      <c r="F946" s="89">
        <v>2000</v>
      </c>
      <c r="G946" s="75" t="s">
        <v>309</v>
      </c>
      <c r="H946" s="75" t="s">
        <v>310</v>
      </c>
      <c r="I946" s="75" t="s">
        <v>1896</v>
      </c>
      <c r="J946" s="75">
        <v>2023</v>
      </c>
      <c r="K946" s="75" t="s">
        <v>2403</v>
      </c>
      <c r="L946" s="75"/>
    </row>
    <row r="947" spans="1:12" hidden="1" x14ac:dyDescent="0.25">
      <c r="A947" s="78">
        <v>44770</v>
      </c>
      <c r="B947" s="75"/>
      <c r="C947" s="75"/>
      <c r="D947" s="75"/>
      <c r="E947" s="75"/>
      <c r="F947" s="89"/>
      <c r="G947" s="75"/>
      <c r="H947" s="75"/>
      <c r="I947" s="75"/>
      <c r="J947" s="75"/>
      <c r="K947" s="75"/>
      <c r="L947" s="75"/>
    </row>
    <row r="948" spans="1:12" hidden="1" x14ac:dyDescent="0.25">
      <c r="A948" s="78">
        <v>44770</v>
      </c>
      <c r="B948" s="75" t="s">
        <v>1179</v>
      </c>
      <c r="C948" s="75" t="s">
        <v>2409</v>
      </c>
      <c r="D948" s="75"/>
      <c r="E948" s="75">
        <v>68427709</v>
      </c>
      <c r="F948" s="89">
        <v>50800</v>
      </c>
      <c r="G948" s="75" t="s">
        <v>309</v>
      </c>
      <c r="H948" s="75" t="s">
        <v>310</v>
      </c>
      <c r="I948" s="75" t="s">
        <v>329</v>
      </c>
      <c r="J948" s="75">
        <v>2023</v>
      </c>
      <c r="K948" s="75" t="s">
        <v>2410</v>
      </c>
      <c r="L948" s="75"/>
    </row>
    <row r="949" spans="1:12" hidden="1" x14ac:dyDescent="0.25">
      <c r="A949" s="78">
        <v>44770</v>
      </c>
      <c r="B949" s="75" t="s">
        <v>787</v>
      </c>
      <c r="C949" s="75" t="s">
        <v>2411</v>
      </c>
      <c r="D949" s="75"/>
      <c r="E949" s="75">
        <v>68427709</v>
      </c>
      <c r="F949" s="89">
        <v>30000</v>
      </c>
      <c r="G949" s="75" t="s">
        <v>309</v>
      </c>
      <c r="H949" s="75" t="s">
        <v>310</v>
      </c>
      <c r="I949" s="75" t="s">
        <v>329</v>
      </c>
      <c r="J949" s="75">
        <v>2023</v>
      </c>
      <c r="K949" s="75" t="s">
        <v>2410</v>
      </c>
      <c r="L949" s="75"/>
    </row>
    <row r="950" spans="1:12" hidden="1" x14ac:dyDescent="0.25">
      <c r="A950" s="78">
        <v>44770</v>
      </c>
      <c r="B950" s="75" t="s">
        <v>2020</v>
      </c>
      <c r="C950" s="75" t="s">
        <v>2412</v>
      </c>
      <c r="D950" s="75"/>
      <c r="E950" s="75">
        <v>68427709</v>
      </c>
      <c r="F950" s="89">
        <v>125000</v>
      </c>
      <c r="G950" s="75" t="s">
        <v>309</v>
      </c>
      <c r="H950" s="75" t="s">
        <v>310</v>
      </c>
      <c r="I950" s="75"/>
      <c r="J950" s="75">
        <v>2023</v>
      </c>
      <c r="K950" s="75" t="s">
        <v>2410</v>
      </c>
      <c r="L950" s="75"/>
    </row>
    <row r="951" spans="1:12" hidden="1" x14ac:dyDescent="0.25">
      <c r="A951" s="78">
        <v>44770</v>
      </c>
      <c r="B951" s="75" t="s">
        <v>2413</v>
      </c>
      <c r="C951" s="75" t="s">
        <v>2090</v>
      </c>
      <c r="D951" s="75"/>
      <c r="E951" s="75">
        <v>68427709</v>
      </c>
      <c r="F951" s="89">
        <v>-50000</v>
      </c>
      <c r="G951" s="75" t="s">
        <v>309</v>
      </c>
      <c r="H951" s="75" t="s">
        <v>310</v>
      </c>
      <c r="I951" s="75"/>
      <c r="J951" s="75">
        <v>2023</v>
      </c>
      <c r="K951" s="75" t="s">
        <v>2410</v>
      </c>
      <c r="L951" s="75"/>
    </row>
    <row r="952" spans="1:12" hidden="1" x14ac:dyDescent="0.25">
      <c r="A952" s="78">
        <v>44770</v>
      </c>
      <c r="B952" s="75" t="s">
        <v>2414</v>
      </c>
      <c r="C952" s="75" t="s">
        <v>2415</v>
      </c>
      <c r="D952" s="75"/>
      <c r="E952" s="75">
        <v>68427709</v>
      </c>
      <c r="F952" s="89">
        <v>-4000</v>
      </c>
      <c r="G952" s="75" t="s">
        <v>309</v>
      </c>
      <c r="H952" s="75" t="s">
        <v>310</v>
      </c>
      <c r="I952" s="75"/>
      <c r="J952" s="75">
        <v>2023</v>
      </c>
      <c r="K952" s="75" t="s">
        <v>2410</v>
      </c>
      <c r="L952" s="75"/>
    </row>
    <row r="953" spans="1:12" hidden="1" x14ac:dyDescent="0.25">
      <c r="A953" s="78">
        <v>44770</v>
      </c>
      <c r="B953" s="75" t="s">
        <v>2416</v>
      </c>
      <c r="C953" s="75" t="s">
        <v>2417</v>
      </c>
      <c r="D953" s="75"/>
      <c r="E953" s="75">
        <v>68427709</v>
      </c>
      <c r="F953" s="89">
        <v>20000</v>
      </c>
      <c r="G953" s="75" t="s">
        <v>309</v>
      </c>
      <c r="H953" s="75" t="s">
        <v>310</v>
      </c>
      <c r="I953" s="75"/>
      <c r="J953" s="75">
        <v>2023</v>
      </c>
      <c r="K953" s="75" t="s">
        <v>2410</v>
      </c>
      <c r="L953" s="75"/>
    </row>
    <row r="954" spans="1:12" hidden="1" x14ac:dyDescent="0.25">
      <c r="A954" s="78">
        <v>44770</v>
      </c>
      <c r="B954" s="75" t="s">
        <v>2023</v>
      </c>
      <c r="C954" s="75" t="s">
        <v>2418</v>
      </c>
      <c r="D954" s="75"/>
      <c r="E954" s="75">
        <v>68427709</v>
      </c>
      <c r="F954" s="89">
        <v>-92000</v>
      </c>
      <c r="G954" s="75" t="s">
        <v>309</v>
      </c>
      <c r="H954" s="75" t="s">
        <v>310</v>
      </c>
      <c r="I954" s="75"/>
      <c r="J954" s="75">
        <v>2023</v>
      </c>
      <c r="K954" s="75" t="s">
        <v>2410</v>
      </c>
      <c r="L954" s="75"/>
    </row>
    <row r="955" spans="1:12" hidden="1" x14ac:dyDescent="0.25">
      <c r="A955" s="78">
        <v>44770</v>
      </c>
      <c r="B955" s="75" t="s">
        <v>2419</v>
      </c>
      <c r="C955" s="75" t="s">
        <v>2420</v>
      </c>
      <c r="D955" s="75"/>
      <c r="E955" s="75">
        <v>68427709</v>
      </c>
      <c r="F955" s="89">
        <v>100000</v>
      </c>
      <c r="G955" s="75" t="s">
        <v>309</v>
      </c>
      <c r="H955" s="75" t="s">
        <v>310</v>
      </c>
      <c r="I955" s="75"/>
      <c r="J955" s="75">
        <v>2023</v>
      </c>
      <c r="K955" s="75" t="s">
        <v>2410</v>
      </c>
      <c r="L955" s="75"/>
    </row>
    <row r="956" spans="1:12" hidden="1" x14ac:dyDescent="0.25">
      <c r="A956" s="78">
        <v>44770</v>
      </c>
      <c r="B956" s="75" t="s">
        <v>1750</v>
      </c>
      <c r="C956" s="75" t="s">
        <v>2421</v>
      </c>
      <c r="D956" s="75"/>
      <c r="E956" s="75">
        <v>68427709</v>
      </c>
      <c r="F956" s="89">
        <v>50000</v>
      </c>
      <c r="G956" s="75" t="s">
        <v>309</v>
      </c>
      <c r="H956" s="75" t="s">
        <v>310</v>
      </c>
      <c r="I956" s="75" t="s">
        <v>1896</v>
      </c>
      <c r="J956" s="75">
        <v>2023</v>
      </c>
      <c r="K956" s="75" t="s">
        <v>2410</v>
      </c>
      <c r="L956" s="75"/>
    </row>
    <row r="957" spans="1:12" hidden="1" x14ac:dyDescent="0.25">
      <c r="A957" s="78">
        <v>44770</v>
      </c>
      <c r="B957" s="116" t="s">
        <v>2025</v>
      </c>
      <c r="C957" s="75"/>
      <c r="D957" s="75"/>
      <c r="E957" s="75">
        <v>68427709</v>
      </c>
      <c r="F957" s="89">
        <v>200</v>
      </c>
      <c r="G957" s="75" t="s">
        <v>309</v>
      </c>
      <c r="H957" s="75" t="s">
        <v>310</v>
      </c>
      <c r="I957" s="75" t="s">
        <v>1896</v>
      </c>
      <c r="J957" s="75">
        <v>2023</v>
      </c>
      <c r="K957" s="75" t="s">
        <v>2410</v>
      </c>
      <c r="L957" s="75"/>
    </row>
    <row r="958" spans="1:12" hidden="1" x14ac:dyDescent="0.25">
      <c r="A958" s="78">
        <v>44770</v>
      </c>
      <c r="B958" s="116" t="s">
        <v>2029</v>
      </c>
      <c r="C958" s="75" t="s">
        <v>2422</v>
      </c>
      <c r="D958" s="75"/>
      <c r="E958" s="75">
        <v>68427709</v>
      </c>
      <c r="F958" s="89">
        <v>20000</v>
      </c>
      <c r="G958" s="75" t="s">
        <v>309</v>
      </c>
      <c r="H958" s="75" t="s">
        <v>310</v>
      </c>
      <c r="I958" s="75" t="s">
        <v>1896</v>
      </c>
      <c r="J958" s="75">
        <v>2023</v>
      </c>
      <c r="K958" s="75" t="s">
        <v>2410</v>
      </c>
      <c r="L958" s="75"/>
    </row>
    <row r="959" spans="1:12" hidden="1" x14ac:dyDescent="0.25">
      <c r="A959" s="78">
        <v>44770</v>
      </c>
      <c r="B959" s="116" t="s">
        <v>2030</v>
      </c>
      <c r="C959" s="75" t="s">
        <v>2423</v>
      </c>
      <c r="D959" s="75"/>
      <c r="E959" s="75">
        <v>68427709</v>
      </c>
      <c r="F959" s="89">
        <v>-900</v>
      </c>
      <c r="G959" s="75" t="s">
        <v>309</v>
      </c>
      <c r="H959" s="75" t="s">
        <v>310</v>
      </c>
      <c r="I959" s="75" t="s">
        <v>1896</v>
      </c>
      <c r="J959" s="75">
        <v>2023</v>
      </c>
      <c r="K959" s="75" t="s">
        <v>2410</v>
      </c>
      <c r="L959" s="75"/>
    </row>
    <row r="960" spans="1:12" hidden="1" x14ac:dyDescent="0.25">
      <c r="A960" s="78">
        <v>44770</v>
      </c>
      <c r="B960" s="116" t="s">
        <v>2031</v>
      </c>
      <c r="C960" s="75" t="s">
        <v>2424</v>
      </c>
      <c r="D960" s="75"/>
      <c r="E960" s="75">
        <v>68427709</v>
      </c>
      <c r="F960" s="89">
        <v>153000</v>
      </c>
      <c r="G960" s="75" t="s">
        <v>309</v>
      </c>
      <c r="H960" s="75" t="s">
        <v>310</v>
      </c>
      <c r="I960" s="75" t="s">
        <v>1896</v>
      </c>
      <c r="J960" s="75">
        <v>2023</v>
      </c>
      <c r="K960" s="75" t="s">
        <v>2410</v>
      </c>
      <c r="L960" s="75"/>
    </row>
    <row r="961" spans="1:12" hidden="1" x14ac:dyDescent="0.25">
      <c r="A961" s="78">
        <v>44770</v>
      </c>
      <c r="B961" s="75" t="s">
        <v>835</v>
      </c>
      <c r="C961" s="75" t="s">
        <v>2425</v>
      </c>
      <c r="D961" s="75"/>
      <c r="E961" s="75">
        <v>68427709</v>
      </c>
      <c r="F961" s="89">
        <v>80000</v>
      </c>
      <c r="G961" s="75" t="s">
        <v>309</v>
      </c>
      <c r="H961" s="75" t="s">
        <v>310</v>
      </c>
      <c r="I961" s="75" t="s">
        <v>329</v>
      </c>
      <c r="J961" s="75">
        <v>2023</v>
      </c>
      <c r="K961" s="75" t="s">
        <v>2410</v>
      </c>
      <c r="L961" s="75"/>
    </row>
    <row r="962" spans="1:12" hidden="1" x14ac:dyDescent="0.25">
      <c r="A962" s="78">
        <v>44770</v>
      </c>
      <c r="B962" s="75" t="s">
        <v>1416</v>
      </c>
      <c r="C962" s="75"/>
      <c r="D962" s="75"/>
      <c r="E962" s="75">
        <v>68427709</v>
      </c>
      <c r="F962" s="89">
        <v>-5000</v>
      </c>
      <c r="G962" s="75" t="s">
        <v>309</v>
      </c>
      <c r="H962" s="75" t="s">
        <v>310</v>
      </c>
      <c r="I962" s="75"/>
      <c r="J962" s="75">
        <v>2023</v>
      </c>
      <c r="K962" s="75" t="s">
        <v>2410</v>
      </c>
      <c r="L962" s="75"/>
    </row>
    <row r="963" spans="1:12" hidden="1" x14ac:dyDescent="0.25">
      <c r="A963" s="78">
        <v>44770</v>
      </c>
      <c r="B963" s="75" t="s">
        <v>2034</v>
      </c>
      <c r="C963" s="75" t="s">
        <v>2426</v>
      </c>
      <c r="D963" s="75"/>
      <c r="E963" s="75">
        <v>68427709</v>
      </c>
      <c r="F963" s="89">
        <v>-249480</v>
      </c>
      <c r="G963" s="75" t="s">
        <v>309</v>
      </c>
      <c r="H963" s="75" t="s">
        <v>310</v>
      </c>
      <c r="I963" s="75"/>
      <c r="J963" s="75">
        <v>2023</v>
      </c>
      <c r="K963" s="75" t="s">
        <v>2410</v>
      </c>
      <c r="L963" s="75"/>
    </row>
    <row r="964" spans="1:12" hidden="1" x14ac:dyDescent="0.25">
      <c r="A964" s="78">
        <v>44770</v>
      </c>
      <c r="B964" s="75" t="s">
        <v>2427</v>
      </c>
      <c r="C964" s="75" t="s">
        <v>2428</v>
      </c>
      <c r="D964" s="75"/>
      <c r="E964" s="75">
        <v>68427709</v>
      </c>
      <c r="F964" s="89">
        <v>222000</v>
      </c>
      <c r="G964" s="75" t="s">
        <v>309</v>
      </c>
      <c r="H964" s="75" t="s">
        <v>310</v>
      </c>
      <c r="I964" s="75"/>
      <c r="J964" s="75">
        <v>2023</v>
      </c>
      <c r="K964" s="75" t="s">
        <v>2410</v>
      </c>
      <c r="L964" s="75"/>
    </row>
    <row r="965" spans="1:12" hidden="1" x14ac:dyDescent="0.25">
      <c r="A965" s="78">
        <v>44770</v>
      </c>
      <c r="B965" s="75" t="s">
        <v>2037</v>
      </c>
      <c r="C965" s="75" t="s">
        <v>2429</v>
      </c>
      <c r="D965" s="75"/>
      <c r="E965" s="75">
        <v>68427709</v>
      </c>
      <c r="F965" s="89">
        <v>11040</v>
      </c>
      <c r="G965" s="75" t="s">
        <v>309</v>
      </c>
      <c r="H965" s="75" t="s">
        <v>310</v>
      </c>
      <c r="I965" s="75"/>
      <c r="J965" s="75">
        <v>2023</v>
      </c>
      <c r="K965" s="75" t="s">
        <v>2410</v>
      </c>
      <c r="L965" s="75"/>
    </row>
    <row r="966" spans="1:12" hidden="1" x14ac:dyDescent="0.25">
      <c r="A966" s="78">
        <v>44770</v>
      </c>
      <c r="B966" s="75" t="s">
        <v>2430</v>
      </c>
      <c r="C966" s="75" t="s">
        <v>2429</v>
      </c>
      <c r="D966" s="75"/>
      <c r="E966" s="75">
        <v>68427709</v>
      </c>
      <c r="F966" s="89">
        <v>-11200</v>
      </c>
      <c r="G966" s="75" t="s">
        <v>309</v>
      </c>
      <c r="H966" s="75" t="s">
        <v>310</v>
      </c>
      <c r="I966" s="75"/>
      <c r="J966" s="75">
        <v>2023</v>
      </c>
      <c r="K966" s="75" t="s">
        <v>2410</v>
      </c>
      <c r="L966" s="75"/>
    </row>
    <row r="967" spans="1:12" hidden="1" x14ac:dyDescent="0.25">
      <c r="A967" s="78">
        <v>44770</v>
      </c>
      <c r="B967" s="75" t="s">
        <v>770</v>
      </c>
      <c r="C967" s="75" t="s">
        <v>2431</v>
      </c>
      <c r="D967" s="75"/>
      <c r="E967" s="75">
        <v>68427709</v>
      </c>
      <c r="F967" s="89">
        <v>-150000</v>
      </c>
      <c r="G967" s="75" t="s">
        <v>309</v>
      </c>
      <c r="H967" s="75" t="s">
        <v>310</v>
      </c>
      <c r="I967" s="75"/>
      <c r="J967" s="75">
        <v>2023</v>
      </c>
      <c r="K967" s="75" t="s">
        <v>2410</v>
      </c>
      <c r="L967" s="75"/>
    </row>
    <row r="968" spans="1:12" hidden="1" x14ac:dyDescent="0.25">
      <c r="A968" s="78">
        <v>44770</v>
      </c>
      <c r="B968" s="75" t="s">
        <v>1580</v>
      </c>
      <c r="C968" s="75" t="s">
        <v>2432</v>
      </c>
      <c r="D968" s="75"/>
      <c r="E968" s="75">
        <v>68427709</v>
      </c>
      <c r="F968" s="89">
        <v>-50000</v>
      </c>
      <c r="G968" s="75" t="s">
        <v>309</v>
      </c>
      <c r="H968" s="75" t="s">
        <v>310</v>
      </c>
      <c r="I968" s="75"/>
      <c r="J968" s="75">
        <v>2023</v>
      </c>
      <c r="K968" s="75" t="s">
        <v>2410</v>
      </c>
      <c r="L968" s="75"/>
    </row>
    <row r="969" spans="1:12" hidden="1" x14ac:dyDescent="0.25">
      <c r="A969" s="78">
        <v>44770</v>
      </c>
      <c r="B969" s="75" t="s">
        <v>2433</v>
      </c>
      <c r="C969" s="75" t="s">
        <v>2431</v>
      </c>
      <c r="D969" s="75"/>
      <c r="E969" s="75">
        <v>68427709</v>
      </c>
      <c r="F969" s="89">
        <v>-250000</v>
      </c>
      <c r="G969" s="75" t="s">
        <v>309</v>
      </c>
      <c r="H969" s="75" t="s">
        <v>310</v>
      </c>
      <c r="I969" s="75"/>
      <c r="J969" s="75">
        <v>2023</v>
      </c>
      <c r="K969" s="75" t="s">
        <v>2410</v>
      </c>
      <c r="L969" s="75"/>
    </row>
    <row r="970" spans="1:12" hidden="1" x14ac:dyDescent="0.25">
      <c r="A970" s="78">
        <v>44770</v>
      </c>
      <c r="B970" s="75" t="s">
        <v>2434</v>
      </c>
      <c r="C970" s="75"/>
      <c r="D970" s="75"/>
      <c r="E970" s="75">
        <v>68427709</v>
      </c>
      <c r="F970" s="89">
        <v>3200</v>
      </c>
      <c r="G970" s="75" t="s">
        <v>309</v>
      </c>
      <c r="H970" s="75" t="s">
        <v>310</v>
      </c>
      <c r="I970" s="75"/>
      <c r="J970" s="75">
        <v>2023</v>
      </c>
      <c r="K970" s="75" t="s">
        <v>2410</v>
      </c>
      <c r="L970" s="75"/>
    </row>
    <row r="971" spans="1:12" hidden="1" x14ac:dyDescent="0.25">
      <c r="A971" s="78">
        <v>44770</v>
      </c>
      <c r="B971" s="75" t="s">
        <v>2435</v>
      </c>
      <c r="C971" s="75" t="s">
        <v>2436</v>
      </c>
      <c r="D971" s="75"/>
      <c r="E971" s="75">
        <v>68427709</v>
      </c>
      <c r="F971" s="89">
        <v>30056</v>
      </c>
      <c r="G971" s="75" t="s">
        <v>498</v>
      </c>
      <c r="H971" s="75" t="s">
        <v>310</v>
      </c>
      <c r="I971" s="75"/>
      <c r="J971" s="75">
        <v>2023</v>
      </c>
      <c r="K971" s="75" t="s">
        <v>2410</v>
      </c>
      <c r="L971" s="75" t="s">
        <v>2437</v>
      </c>
    </row>
    <row r="972" spans="1:12" hidden="1" x14ac:dyDescent="0.25">
      <c r="A972" s="78">
        <v>44770</v>
      </c>
      <c r="B972" s="75" t="s">
        <v>2438</v>
      </c>
      <c r="C972" s="75"/>
      <c r="D972" s="75"/>
      <c r="E972" s="75">
        <v>68427709</v>
      </c>
      <c r="F972" s="89">
        <v>80</v>
      </c>
      <c r="G972" s="75" t="s">
        <v>309</v>
      </c>
      <c r="H972" s="75" t="s">
        <v>310</v>
      </c>
      <c r="I972" s="75"/>
      <c r="J972" s="75">
        <v>2023</v>
      </c>
      <c r="K972" s="75" t="s">
        <v>2410</v>
      </c>
      <c r="L972" s="75"/>
    </row>
    <row r="973" spans="1:12" hidden="1" x14ac:dyDescent="0.25">
      <c r="A973" s="78">
        <v>44770</v>
      </c>
      <c r="B973" s="75" t="s">
        <v>2439</v>
      </c>
      <c r="C973" s="75"/>
      <c r="D973" s="75"/>
      <c r="E973" s="75">
        <v>68427709</v>
      </c>
      <c r="F973" s="89">
        <v>1000</v>
      </c>
      <c r="G973" s="75" t="s">
        <v>309</v>
      </c>
      <c r="H973" s="75" t="s">
        <v>310</v>
      </c>
      <c r="I973" s="75"/>
      <c r="J973" s="75">
        <v>2023</v>
      </c>
      <c r="K973" s="75" t="s">
        <v>2410</v>
      </c>
      <c r="L973" s="75"/>
    </row>
    <row r="974" spans="1:12" hidden="1" x14ac:dyDescent="0.25">
      <c r="A974" s="78">
        <v>44770</v>
      </c>
      <c r="B974" s="75" t="s">
        <v>2440</v>
      </c>
      <c r="C974" s="75" t="s">
        <v>2441</v>
      </c>
      <c r="D974" s="75"/>
      <c r="E974" s="75">
        <v>68427709</v>
      </c>
      <c r="F974" s="89">
        <v>9000</v>
      </c>
      <c r="G974" s="75" t="s">
        <v>309</v>
      </c>
      <c r="H974" s="75" t="s">
        <v>310</v>
      </c>
      <c r="I974" s="75"/>
      <c r="J974" s="75">
        <v>2023</v>
      </c>
      <c r="K974" s="75" t="s">
        <v>2410</v>
      </c>
      <c r="L974" s="75"/>
    </row>
    <row r="975" spans="1:12" hidden="1" x14ac:dyDescent="0.25">
      <c r="A975" s="78">
        <v>44770</v>
      </c>
      <c r="B975" s="75" t="s">
        <v>1703</v>
      </c>
      <c r="C975" s="75" t="s">
        <v>2442</v>
      </c>
      <c r="D975" s="75"/>
      <c r="E975" s="75">
        <v>68427709</v>
      </c>
      <c r="F975" s="89">
        <v>75000</v>
      </c>
      <c r="G975" s="75" t="s">
        <v>309</v>
      </c>
      <c r="H975" s="75" t="s">
        <v>310</v>
      </c>
      <c r="I975" s="75"/>
      <c r="J975" s="75">
        <v>2023</v>
      </c>
      <c r="K975" s="75" t="s">
        <v>2410</v>
      </c>
      <c r="L975" s="75"/>
    </row>
    <row r="976" spans="1:12" hidden="1" x14ac:dyDescent="0.25">
      <c r="A976" s="78">
        <v>44770</v>
      </c>
      <c r="B976" s="75" t="s">
        <v>2443</v>
      </c>
      <c r="C976" s="75" t="s">
        <v>2444</v>
      </c>
      <c r="D976" s="75" t="s">
        <v>2445</v>
      </c>
      <c r="E976" s="75">
        <v>68427709</v>
      </c>
      <c r="F976" s="89">
        <v>2500</v>
      </c>
      <c r="G976" s="75" t="s">
        <v>309</v>
      </c>
      <c r="H976" s="75" t="s">
        <v>310</v>
      </c>
      <c r="I976" s="75"/>
      <c r="J976" s="75">
        <v>2023</v>
      </c>
      <c r="K976" s="75" t="s">
        <v>2410</v>
      </c>
      <c r="L976" s="75"/>
    </row>
    <row r="977" spans="1:12" hidden="1" x14ac:dyDescent="0.25">
      <c r="A977" s="78">
        <v>44770</v>
      </c>
      <c r="B977" s="75" t="s">
        <v>2446</v>
      </c>
      <c r="C977" s="75" t="s">
        <v>2447</v>
      </c>
      <c r="D977" s="75" t="s">
        <v>2448</v>
      </c>
      <c r="E977" s="75">
        <v>68427709</v>
      </c>
      <c r="F977" s="89">
        <v>0</v>
      </c>
      <c r="G977" s="75" t="s">
        <v>309</v>
      </c>
      <c r="H977" s="75" t="s">
        <v>310</v>
      </c>
      <c r="I977" s="75"/>
      <c r="J977" s="75">
        <v>2023</v>
      </c>
      <c r="K977" s="75" t="s">
        <v>2410</v>
      </c>
      <c r="L977" s="75"/>
    </row>
    <row r="978" spans="1:12" hidden="1" x14ac:dyDescent="0.25">
      <c r="A978" s="78">
        <v>44770</v>
      </c>
      <c r="B978" s="75" t="s">
        <v>2449</v>
      </c>
      <c r="C978" s="75" t="s">
        <v>2450</v>
      </c>
      <c r="D978" s="75"/>
      <c r="E978" s="75">
        <v>68427709</v>
      </c>
      <c r="F978" s="89">
        <v>-25000</v>
      </c>
      <c r="G978" s="75" t="s">
        <v>498</v>
      </c>
      <c r="H978" s="75" t="s">
        <v>310</v>
      </c>
      <c r="I978" s="75" t="s">
        <v>1896</v>
      </c>
      <c r="J978" s="75">
        <v>2023</v>
      </c>
      <c r="K978" s="75" t="s">
        <v>367</v>
      </c>
      <c r="L978" s="75"/>
    </row>
    <row r="979" spans="1:12" ht="22.35" hidden="1" customHeight="1" x14ac:dyDescent="0.25">
      <c r="A979" s="78">
        <v>44774</v>
      </c>
      <c r="B979" s="75" t="s">
        <v>2451</v>
      </c>
      <c r="C979" s="75" t="s">
        <v>2339</v>
      </c>
      <c r="D979" s="75" t="s">
        <v>548</v>
      </c>
      <c r="E979" s="75">
        <v>68427709</v>
      </c>
      <c r="F979" s="89">
        <v>-100000</v>
      </c>
      <c r="G979" s="75" t="s">
        <v>309</v>
      </c>
      <c r="H979" s="75" t="s">
        <v>310</v>
      </c>
      <c r="I979" s="75" t="s">
        <v>329</v>
      </c>
      <c r="J979" s="75">
        <v>2023</v>
      </c>
      <c r="K979" s="75" t="s">
        <v>1288</v>
      </c>
      <c r="L979" s="75"/>
    </row>
    <row r="980" spans="1:12" hidden="1" x14ac:dyDescent="0.25">
      <c r="A980" s="78">
        <v>44774</v>
      </c>
      <c r="B980" s="75" t="s">
        <v>2452</v>
      </c>
      <c r="C980" s="75" t="s">
        <v>2453</v>
      </c>
      <c r="D980" s="75"/>
      <c r="E980" s="75">
        <v>68427709</v>
      </c>
      <c r="F980" s="89">
        <v>35000</v>
      </c>
      <c r="G980" s="75" t="s">
        <v>309</v>
      </c>
      <c r="H980" s="75" t="s">
        <v>310</v>
      </c>
      <c r="I980" s="75" t="s">
        <v>2186</v>
      </c>
      <c r="J980" s="75">
        <v>2023</v>
      </c>
      <c r="K980" s="75" t="s">
        <v>1984</v>
      </c>
      <c r="L980" s="75"/>
    </row>
    <row r="981" spans="1:12" hidden="1" x14ac:dyDescent="0.25">
      <c r="A981" s="78">
        <v>44774</v>
      </c>
      <c r="B981" s="75" t="s">
        <v>1988</v>
      </c>
      <c r="C981" s="75" t="s">
        <v>2454</v>
      </c>
      <c r="D981" s="75"/>
      <c r="E981" s="75">
        <v>68427709</v>
      </c>
      <c r="F981" s="89">
        <v>-90000</v>
      </c>
      <c r="G981" s="75" t="s">
        <v>309</v>
      </c>
      <c r="H981" s="75" t="s">
        <v>310</v>
      </c>
      <c r="I981" s="75" t="s">
        <v>1896</v>
      </c>
      <c r="J981" s="75">
        <v>2023</v>
      </c>
      <c r="K981" s="75" t="s">
        <v>1984</v>
      </c>
      <c r="L981" s="75"/>
    </row>
    <row r="982" spans="1:12" hidden="1" x14ac:dyDescent="0.25">
      <c r="A982" s="78">
        <v>44774</v>
      </c>
      <c r="B982" s="75" t="s">
        <v>1449</v>
      </c>
      <c r="C982" s="75"/>
      <c r="D982" s="75"/>
      <c r="E982" s="75">
        <v>68427709</v>
      </c>
      <c r="F982" s="89">
        <v>-75000</v>
      </c>
      <c r="G982" s="75" t="s">
        <v>309</v>
      </c>
      <c r="H982" s="75" t="s">
        <v>310</v>
      </c>
      <c r="I982" s="75" t="s">
        <v>1896</v>
      </c>
      <c r="J982" s="75">
        <v>2023</v>
      </c>
      <c r="K982" s="75" t="s">
        <v>1984</v>
      </c>
      <c r="L982" s="75"/>
    </row>
    <row r="983" spans="1:12" hidden="1" x14ac:dyDescent="0.25">
      <c r="A983" s="78">
        <v>44774</v>
      </c>
      <c r="B983" s="75" t="s">
        <v>2455</v>
      </c>
      <c r="C983" s="75" t="s">
        <v>2098</v>
      </c>
      <c r="D983" s="75"/>
      <c r="E983" s="75">
        <v>68427709</v>
      </c>
      <c r="F983" s="89">
        <v>24000</v>
      </c>
      <c r="G983" s="75" t="s">
        <v>309</v>
      </c>
      <c r="H983" s="75" t="s">
        <v>310</v>
      </c>
      <c r="I983" s="75" t="s">
        <v>1896</v>
      </c>
      <c r="J983" s="75">
        <v>2023</v>
      </c>
      <c r="K983" s="75" t="s">
        <v>1984</v>
      </c>
      <c r="L983" s="75"/>
    </row>
    <row r="984" spans="1:12" hidden="1" x14ac:dyDescent="0.25">
      <c r="A984" s="78">
        <v>44774</v>
      </c>
      <c r="B984" s="75" t="s">
        <v>2456</v>
      </c>
      <c r="C984" s="75" t="s">
        <v>2098</v>
      </c>
      <c r="D984" s="75"/>
      <c r="E984" s="75">
        <v>68427709</v>
      </c>
      <c r="F984" s="89">
        <v>60000</v>
      </c>
      <c r="G984" s="75" t="s">
        <v>309</v>
      </c>
      <c r="H984" s="75" t="s">
        <v>310</v>
      </c>
      <c r="I984" s="75" t="s">
        <v>1896</v>
      </c>
      <c r="J984" s="75">
        <v>2023</v>
      </c>
      <c r="K984" s="75" t="s">
        <v>1984</v>
      </c>
      <c r="L984" s="75"/>
    </row>
    <row r="985" spans="1:12" hidden="1" x14ac:dyDescent="0.25">
      <c r="A985" s="78">
        <v>44774</v>
      </c>
      <c r="B985" s="75" t="s">
        <v>2457</v>
      </c>
      <c r="C985" s="75" t="s">
        <v>2458</v>
      </c>
      <c r="D985" s="75" t="s">
        <v>548</v>
      </c>
      <c r="E985" s="75">
        <v>68427709</v>
      </c>
      <c r="F985" s="89">
        <v>125000</v>
      </c>
      <c r="G985" s="75" t="s">
        <v>309</v>
      </c>
      <c r="H985" s="75" t="s">
        <v>310</v>
      </c>
      <c r="I985" s="75" t="s">
        <v>329</v>
      </c>
      <c r="J985" s="75">
        <v>2023</v>
      </c>
      <c r="K985" s="75" t="s">
        <v>1984</v>
      </c>
      <c r="L985" s="75"/>
    </row>
    <row r="986" spans="1:12" hidden="1" x14ac:dyDescent="0.25">
      <c r="A986" s="78">
        <v>44774</v>
      </c>
      <c r="B986" s="75" t="s">
        <v>2459</v>
      </c>
      <c r="C986" s="75" t="s">
        <v>2460</v>
      </c>
      <c r="D986" s="75" t="s">
        <v>548</v>
      </c>
      <c r="E986" s="75">
        <v>68427709</v>
      </c>
      <c r="F986" s="89">
        <v>-120000</v>
      </c>
      <c r="G986" s="75" t="s">
        <v>309</v>
      </c>
      <c r="H986" s="75" t="s">
        <v>310</v>
      </c>
      <c r="I986" s="75" t="s">
        <v>329</v>
      </c>
      <c r="J986" s="75">
        <v>2023</v>
      </c>
      <c r="K986" s="75" t="s">
        <v>1288</v>
      </c>
      <c r="L986" s="75"/>
    </row>
    <row r="987" spans="1:12" hidden="1" x14ac:dyDescent="0.25">
      <c r="A987" s="78">
        <v>44774</v>
      </c>
      <c r="B987" s="144" t="s">
        <v>1680</v>
      </c>
      <c r="C987" s="75" t="s">
        <v>2461</v>
      </c>
      <c r="D987" s="75" t="s">
        <v>548</v>
      </c>
      <c r="E987" s="75">
        <v>68427709</v>
      </c>
      <c r="F987" s="89">
        <v>150000</v>
      </c>
      <c r="G987" s="75" t="s">
        <v>309</v>
      </c>
      <c r="H987" s="75" t="s">
        <v>310</v>
      </c>
      <c r="I987" s="75" t="s">
        <v>329</v>
      </c>
      <c r="J987" s="75">
        <v>2023</v>
      </c>
      <c r="K987" s="75" t="s">
        <v>1288</v>
      </c>
      <c r="L987" s="75"/>
    </row>
    <row r="988" spans="1:12" hidden="1" x14ac:dyDescent="0.25">
      <c r="A988" s="78">
        <v>44774</v>
      </c>
      <c r="B988" s="144" t="s">
        <v>1682</v>
      </c>
      <c r="C988" s="75" t="s">
        <v>2461</v>
      </c>
      <c r="D988" s="75" t="s">
        <v>548</v>
      </c>
      <c r="E988" s="75">
        <v>68427709</v>
      </c>
      <c r="F988" s="89">
        <v>60000</v>
      </c>
      <c r="G988" s="75" t="s">
        <v>309</v>
      </c>
      <c r="H988" s="75" t="s">
        <v>310</v>
      </c>
      <c r="I988" s="75" t="s">
        <v>329</v>
      </c>
      <c r="J988" s="75">
        <v>2023</v>
      </c>
      <c r="K988" s="75" t="s">
        <v>1288</v>
      </c>
      <c r="L988" s="75"/>
    </row>
    <row r="989" spans="1:12" hidden="1" x14ac:dyDescent="0.25">
      <c r="A989" s="78">
        <v>44774</v>
      </c>
      <c r="B989" s="144" t="s">
        <v>2462</v>
      </c>
      <c r="C989" s="75" t="s">
        <v>2461</v>
      </c>
      <c r="D989" s="75" t="s">
        <v>548</v>
      </c>
      <c r="E989" s="75">
        <v>68427709</v>
      </c>
      <c r="F989" s="89">
        <v>-185000</v>
      </c>
      <c r="G989" s="75" t="s">
        <v>309</v>
      </c>
      <c r="H989" s="75" t="s">
        <v>310</v>
      </c>
      <c r="I989" s="75" t="s">
        <v>329</v>
      </c>
      <c r="J989" s="75">
        <v>2023</v>
      </c>
      <c r="K989" s="75" t="s">
        <v>1288</v>
      </c>
      <c r="L989" s="75"/>
    </row>
    <row r="990" spans="1:12" hidden="1" x14ac:dyDescent="0.25">
      <c r="A990" s="78">
        <v>44774</v>
      </c>
      <c r="B990" s="144" t="s">
        <v>1679</v>
      </c>
      <c r="C990" s="75" t="s">
        <v>2461</v>
      </c>
      <c r="D990" s="75" t="s">
        <v>548</v>
      </c>
      <c r="E990" s="75">
        <v>68427709</v>
      </c>
      <c r="F990" s="89">
        <v>-40000</v>
      </c>
      <c r="G990" s="75" t="s">
        <v>309</v>
      </c>
      <c r="H990" s="75" t="s">
        <v>310</v>
      </c>
      <c r="I990" s="75" t="s">
        <v>329</v>
      </c>
      <c r="J990" s="75">
        <v>2023</v>
      </c>
      <c r="K990" s="75" t="s">
        <v>1288</v>
      </c>
      <c r="L990" s="75"/>
    </row>
    <row r="991" spans="1:12" hidden="1" x14ac:dyDescent="0.25">
      <c r="A991" s="78">
        <v>44774</v>
      </c>
      <c r="B991" s="75" t="s">
        <v>2463</v>
      </c>
      <c r="C991" s="75" t="s">
        <v>2464</v>
      </c>
      <c r="D991" s="75"/>
      <c r="E991" s="75">
        <v>68427709</v>
      </c>
      <c r="F991" s="89">
        <v>24000</v>
      </c>
      <c r="G991" s="75" t="s">
        <v>309</v>
      </c>
      <c r="H991" s="75" t="s">
        <v>310</v>
      </c>
      <c r="I991" s="75"/>
      <c r="J991" s="75">
        <v>2023</v>
      </c>
      <c r="K991" s="75" t="s">
        <v>1830</v>
      </c>
      <c r="L991" s="75"/>
    </row>
    <row r="992" spans="1:12" hidden="1" x14ac:dyDescent="0.25">
      <c r="A992" s="78">
        <v>44774</v>
      </c>
      <c r="B992" s="75" t="s">
        <v>1714</v>
      </c>
      <c r="C992" s="75" t="s">
        <v>2465</v>
      </c>
      <c r="D992" s="75"/>
      <c r="E992" s="75">
        <v>68427709</v>
      </c>
      <c r="F992" s="89">
        <v>20000</v>
      </c>
      <c r="G992" s="75" t="s">
        <v>309</v>
      </c>
      <c r="H992" s="75" t="s">
        <v>310</v>
      </c>
      <c r="I992" s="75"/>
      <c r="J992" s="75">
        <v>2023</v>
      </c>
      <c r="K992" s="75" t="s">
        <v>1830</v>
      </c>
      <c r="L992" s="75"/>
    </row>
    <row r="993" spans="1:12" hidden="1" x14ac:dyDescent="0.25">
      <c r="A993" s="78">
        <v>44774</v>
      </c>
      <c r="B993" s="75" t="s">
        <v>2466</v>
      </c>
      <c r="C993" s="75"/>
      <c r="D993" s="75"/>
      <c r="E993" s="75">
        <v>68427709</v>
      </c>
      <c r="F993" s="89">
        <v>2000</v>
      </c>
      <c r="G993" s="75" t="s">
        <v>309</v>
      </c>
      <c r="H993" s="75" t="s">
        <v>310</v>
      </c>
      <c r="I993" s="75"/>
      <c r="J993" s="75">
        <v>2023</v>
      </c>
      <c r="K993" s="75" t="s">
        <v>1830</v>
      </c>
      <c r="L993" s="75"/>
    </row>
    <row r="994" spans="1:12" hidden="1" x14ac:dyDescent="0.25">
      <c r="A994" s="78">
        <v>44774</v>
      </c>
      <c r="B994" s="75" t="s">
        <v>2467</v>
      </c>
      <c r="C994" s="75" t="s">
        <v>2468</v>
      </c>
      <c r="D994" s="75"/>
      <c r="E994" s="75">
        <v>68427709</v>
      </c>
      <c r="F994" s="89">
        <v>25000</v>
      </c>
      <c r="G994" s="75" t="s">
        <v>309</v>
      </c>
      <c r="H994" s="75" t="s">
        <v>310</v>
      </c>
      <c r="I994" s="75"/>
      <c r="J994" s="75">
        <v>2023</v>
      </c>
      <c r="K994" s="75" t="s">
        <v>1830</v>
      </c>
      <c r="L994" s="75"/>
    </row>
    <row r="995" spans="1:12" hidden="1" x14ac:dyDescent="0.25">
      <c r="A995" s="78">
        <v>44774</v>
      </c>
      <c r="B995" s="75" t="s">
        <v>2469</v>
      </c>
      <c r="C995" s="75"/>
      <c r="D995" s="75"/>
      <c r="E995" s="75">
        <v>68427709</v>
      </c>
      <c r="F995" s="89">
        <v>54000</v>
      </c>
      <c r="G995" s="75" t="s">
        <v>309</v>
      </c>
      <c r="H995" s="75" t="s">
        <v>310</v>
      </c>
      <c r="I995" s="75"/>
      <c r="J995" s="75">
        <v>2023</v>
      </c>
      <c r="K995" s="75" t="s">
        <v>1830</v>
      </c>
      <c r="L995" s="75"/>
    </row>
    <row r="996" spans="1:12" hidden="1" x14ac:dyDescent="0.25">
      <c r="A996" s="78">
        <v>44774</v>
      </c>
      <c r="B996" s="75" t="s">
        <v>815</v>
      </c>
      <c r="C996" s="75"/>
      <c r="D996" s="75"/>
      <c r="E996" s="75">
        <v>68427709</v>
      </c>
      <c r="F996" s="89">
        <v>5000</v>
      </c>
      <c r="G996" s="75" t="s">
        <v>309</v>
      </c>
      <c r="H996" s="75" t="s">
        <v>310</v>
      </c>
      <c r="I996" s="75"/>
      <c r="J996" s="75">
        <v>2023</v>
      </c>
      <c r="K996" s="75" t="s">
        <v>1830</v>
      </c>
      <c r="L996" s="75"/>
    </row>
    <row r="997" spans="1:12" hidden="1" x14ac:dyDescent="0.25">
      <c r="A997" s="78">
        <v>44774</v>
      </c>
      <c r="B997" s="75" t="s">
        <v>2470</v>
      </c>
      <c r="C997" s="75" t="s">
        <v>2471</v>
      </c>
      <c r="D997" s="75"/>
      <c r="E997" s="75">
        <v>68427709</v>
      </c>
      <c r="F997" s="89">
        <v>-75000</v>
      </c>
      <c r="G997" s="75" t="s">
        <v>309</v>
      </c>
      <c r="H997" s="75" t="s">
        <v>310</v>
      </c>
      <c r="I997" s="75"/>
      <c r="J997" s="75">
        <v>2023</v>
      </c>
      <c r="K997" s="75" t="s">
        <v>1830</v>
      </c>
      <c r="L997" s="75"/>
    </row>
    <row r="998" spans="1:12" hidden="1" x14ac:dyDescent="0.25">
      <c r="A998" s="78">
        <v>44774</v>
      </c>
      <c r="B998" s="75" t="s">
        <v>1105</v>
      </c>
      <c r="C998" s="75" t="s">
        <v>2472</v>
      </c>
      <c r="D998" s="75"/>
      <c r="E998" s="75">
        <v>68427709</v>
      </c>
      <c r="F998" s="89">
        <v>7000</v>
      </c>
      <c r="G998" s="75" t="s">
        <v>309</v>
      </c>
      <c r="H998" s="75" t="s">
        <v>310</v>
      </c>
      <c r="I998" s="75"/>
      <c r="J998" s="75">
        <v>2023</v>
      </c>
      <c r="K998" s="75" t="s">
        <v>1830</v>
      </c>
      <c r="L998" s="75"/>
    </row>
    <row r="999" spans="1:12" hidden="1" x14ac:dyDescent="0.25">
      <c r="A999" s="78">
        <v>44774</v>
      </c>
      <c r="B999" s="75" t="s">
        <v>962</v>
      </c>
      <c r="C999" s="75"/>
      <c r="D999" s="75"/>
      <c r="E999" s="75">
        <v>68427709</v>
      </c>
      <c r="F999" s="89">
        <v>11000</v>
      </c>
      <c r="G999" s="75" t="s">
        <v>309</v>
      </c>
      <c r="H999" s="75" t="s">
        <v>310</v>
      </c>
      <c r="I999" s="75"/>
      <c r="J999" s="75">
        <v>2023</v>
      </c>
      <c r="K999" s="75" t="s">
        <v>1830</v>
      </c>
      <c r="L999" s="75"/>
    </row>
    <row r="1000" spans="1:12" hidden="1" x14ac:dyDescent="0.25">
      <c r="A1000" s="78">
        <v>44774</v>
      </c>
      <c r="B1000" s="75" t="s">
        <v>357</v>
      </c>
      <c r="C1000" s="75" t="s">
        <v>2473</v>
      </c>
      <c r="D1000" s="75"/>
      <c r="E1000" s="75">
        <v>68427709</v>
      </c>
      <c r="F1000" s="89">
        <v>118000</v>
      </c>
      <c r="G1000" s="75" t="s">
        <v>309</v>
      </c>
      <c r="H1000" s="75" t="s">
        <v>310</v>
      </c>
      <c r="I1000" s="75"/>
      <c r="J1000" s="75">
        <v>2023</v>
      </c>
      <c r="K1000" s="75" t="s">
        <v>1830</v>
      </c>
      <c r="L1000" s="75"/>
    </row>
    <row r="1001" spans="1:12" hidden="1" x14ac:dyDescent="0.25">
      <c r="A1001" s="78">
        <v>44774</v>
      </c>
      <c r="B1001" s="75" t="s">
        <v>2474</v>
      </c>
      <c r="C1001" s="75"/>
      <c r="D1001" s="75"/>
      <c r="E1001" s="75">
        <v>68427709</v>
      </c>
      <c r="F1001" s="89">
        <v>2000</v>
      </c>
      <c r="G1001" s="75" t="s">
        <v>309</v>
      </c>
      <c r="H1001" s="75" t="s">
        <v>310</v>
      </c>
      <c r="I1001" s="75"/>
      <c r="J1001" s="75">
        <v>2023</v>
      </c>
      <c r="K1001" s="75" t="s">
        <v>1830</v>
      </c>
      <c r="L1001" s="75"/>
    </row>
    <row r="1002" spans="1:12" hidden="1" x14ac:dyDescent="0.25">
      <c r="A1002" s="78">
        <v>44774</v>
      </c>
      <c r="B1002" s="75" t="s">
        <v>2475</v>
      </c>
      <c r="C1002" s="75" t="s">
        <v>2375</v>
      </c>
      <c r="D1002" s="75"/>
      <c r="E1002" s="75">
        <v>68427709</v>
      </c>
      <c r="F1002" s="89">
        <v>-33000</v>
      </c>
      <c r="G1002" s="75" t="s">
        <v>309</v>
      </c>
      <c r="H1002" s="75" t="s">
        <v>310</v>
      </c>
      <c r="I1002" s="75"/>
      <c r="J1002" s="75">
        <v>2023</v>
      </c>
      <c r="K1002" s="75" t="s">
        <v>1830</v>
      </c>
      <c r="L1002" s="75"/>
    </row>
    <row r="1003" spans="1:12" hidden="1" x14ac:dyDescent="0.25">
      <c r="A1003" s="78">
        <v>44774</v>
      </c>
      <c r="B1003" s="75" t="s">
        <v>1838</v>
      </c>
      <c r="C1003" s="75" t="s">
        <v>2476</v>
      </c>
      <c r="D1003" s="75"/>
      <c r="E1003" s="75">
        <v>68427709</v>
      </c>
      <c r="F1003" s="89">
        <v>-36000</v>
      </c>
      <c r="G1003" s="75" t="s">
        <v>309</v>
      </c>
      <c r="H1003" s="75" t="s">
        <v>310</v>
      </c>
      <c r="I1003" s="75"/>
      <c r="J1003" s="75">
        <v>2023</v>
      </c>
      <c r="K1003" s="75" t="s">
        <v>1830</v>
      </c>
      <c r="L1003" s="75"/>
    </row>
    <row r="1004" spans="1:12" hidden="1" x14ac:dyDescent="0.25">
      <c r="A1004" s="78">
        <v>44774</v>
      </c>
      <c r="B1004" s="75" t="s">
        <v>1925</v>
      </c>
      <c r="C1004" s="75" t="s">
        <v>2477</v>
      </c>
      <c r="D1004" s="75"/>
      <c r="E1004" s="75">
        <v>68427709</v>
      </c>
      <c r="F1004" s="89">
        <v>-5000</v>
      </c>
      <c r="G1004" s="75" t="s">
        <v>309</v>
      </c>
      <c r="H1004" s="75" t="s">
        <v>310</v>
      </c>
      <c r="I1004" s="75"/>
      <c r="J1004" s="75">
        <v>2023</v>
      </c>
      <c r="K1004" s="75" t="s">
        <v>1830</v>
      </c>
      <c r="L1004" s="75"/>
    </row>
    <row r="1005" spans="1:12" hidden="1" x14ac:dyDescent="0.25">
      <c r="A1005" s="78">
        <v>44774</v>
      </c>
      <c r="B1005" s="75" t="s">
        <v>1789</v>
      </c>
      <c r="C1005" s="75" t="s">
        <v>2478</v>
      </c>
      <c r="D1005" s="75"/>
      <c r="E1005" s="75">
        <v>68427709</v>
      </c>
      <c r="F1005" s="89">
        <v>140000</v>
      </c>
      <c r="G1005" s="75" t="s">
        <v>309</v>
      </c>
      <c r="H1005" s="75" t="s">
        <v>310</v>
      </c>
      <c r="I1005" s="75"/>
      <c r="J1005" s="75">
        <v>2023</v>
      </c>
      <c r="K1005" s="75" t="s">
        <v>1830</v>
      </c>
      <c r="L1005" s="75"/>
    </row>
    <row r="1006" spans="1:12" hidden="1" x14ac:dyDescent="0.25">
      <c r="A1006" s="78">
        <v>44774</v>
      </c>
      <c r="B1006" s="75" t="s">
        <v>2479</v>
      </c>
      <c r="C1006" s="75" t="s">
        <v>2480</v>
      </c>
      <c r="D1006" s="75"/>
      <c r="E1006" s="75">
        <v>68427709</v>
      </c>
      <c r="F1006" s="89">
        <v>78000</v>
      </c>
      <c r="G1006" s="75" t="s">
        <v>309</v>
      </c>
      <c r="H1006" s="75" t="s">
        <v>310</v>
      </c>
      <c r="I1006" s="75"/>
      <c r="J1006" s="75">
        <v>2023</v>
      </c>
      <c r="K1006" s="75" t="s">
        <v>1830</v>
      </c>
      <c r="L1006" s="75"/>
    </row>
    <row r="1007" spans="1:12" hidden="1" x14ac:dyDescent="0.25">
      <c r="A1007" s="78">
        <v>44775</v>
      </c>
      <c r="B1007" s="75" t="s">
        <v>970</v>
      </c>
      <c r="C1007" s="75" t="s">
        <v>1940</v>
      </c>
      <c r="D1007" s="75"/>
      <c r="E1007" s="75">
        <v>68427709</v>
      </c>
      <c r="F1007" s="89">
        <v>14000</v>
      </c>
      <c r="G1007" s="75" t="s">
        <v>309</v>
      </c>
      <c r="H1007" s="75" t="s">
        <v>310</v>
      </c>
      <c r="I1007" s="75"/>
      <c r="J1007" s="75">
        <v>2023</v>
      </c>
      <c r="K1007" s="75" t="s">
        <v>2481</v>
      </c>
      <c r="L1007" s="75"/>
    </row>
    <row r="1008" spans="1:12" hidden="1" x14ac:dyDescent="0.25">
      <c r="A1008" s="78">
        <v>44776</v>
      </c>
      <c r="B1008" s="75" t="s">
        <v>1886</v>
      </c>
      <c r="C1008" s="75" t="s">
        <v>758</v>
      </c>
      <c r="D1008" s="75"/>
      <c r="E1008" s="75">
        <v>68427709</v>
      </c>
      <c r="F1008" s="89">
        <v>30000</v>
      </c>
      <c r="G1008" s="75" t="s">
        <v>309</v>
      </c>
      <c r="H1008" s="75" t="s">
        <v>310</v>
      </c>
      <c r="I1008" s="75" t="s">
        <v>1896</v>
      </c>
      <c r="J1008" s="75">
        <v>2023</v>
      </c>
      <c r="K1008" s="75" t="s">
        <v>1784</v>
      </c>
      <c r="L1008" s="75"/>
    </row>
    <row r="1009" spans="1:12" hidden="1" x14ac:dyDescent="0.25">
      <c r="A1009" s="78">
        <v>44782</v>
      </c>
      <c r="B1009" s="75" t="s">
        <v>1738</v>
      </c>
      <c r="C1009" s="75" t="s">
        <v>2367</v>
      </c>
      <c r="D1009" s="75"/>
      <c r="E1009" s="75">
        <v>68427709</v>
      </c>
      <c r="F1009" s="89">
        <v>-27000</v>
      </c>
      <c r="G1009" s="75" t="s">
        <v>309</v>
      </c>
      <c r="H1009" s="75" t="s">
        <v>310</v>
      </c>
      <c r="I1009" s="75" t="s">
        <v>1896</v>
      </c>
      <c r="J1009" s="75">
        <v>2023</v>
      </c>
      <c r="K1009" s="75" t="s">
        <v>1830</v>
      </c>
      <c r="L1009" s="75"/>
    </row>
    <row r="1010" spans="1:12" hidden="1" x14ac:dyDescent="0.25">
      <c r="A1010" s="80"/>
      <c r="B1010" s="80" t="s">
        <v>2482</v>
      </c>
      <c r="C1010" s="80"/>
      <c r="D1010" s="80"/>
      <c r="E1010" s="80"/>
      <c r="F1010" s="115"/>
      <c r="G1010" s="80"/>
      <c r="H1010" s="80"/>
      <c r="I1010" s="80"/>
      <c r="J1010" s="80"/>
      <c r="K1010" s="80"/>
      <c r="L1010" s="80"/>
    </row>
    <row r="1011" spans="1:12" hidden="1" x14ac:dyDescent="0.25">
      <c r="A1011" s="78">
        <v>44902</v>
      </c>
      <c r="B1011" s="75" t="s">
        <v>2483</v>
      </c>
      <c r="C1011" s="75" t="s">
        <v>2484</v>
      </c>
      <c r="D1011" s="75" t="s">
        <v>2485</v>
      </c>
      <c r="E1011" s="75">
        <v>68427709</v>
      </c>
      <c r="F1011" s="89">
        <v>70000</v>
      </c>
      <c r="G1011" s="75" t="s">
        <v>309</v>
      </c>
      <c r="H1011" s="75" t="s">
        <v>310</v>
      </c>
      <c r="I1011" s="75" t="s">
        <v>1896</v>
      </c>
      <c r="J1011" s="75">
        <v>2024</v>
      </c>
      <c r="K1011" s="75" t="s">
        <v>312</v>
      </c>
      <c r="L1011" s="75"/>
    </row>
    <row r="1012" spans="1:12" hidden="1" x14ac:dyDescent="0.25">
      <c r="A1012" s="78">
        <v>44917</v>
      </c>
      <c r="B1012" s="75" t="s">
        <v>2486</v>
      </c>
      <c r="C1012" s="75" t="s">
        <v>2487</v>
      </c>
      <c r="D1012" s="75" t="s">
        <v>519</v>
      </c>
      <c r="E1012" s="75">
        <v>68427709</v>
      </c>
      <c r="F1012" s="89">
        <v>10000</v>
      </c>
      <c r="G1012" s="75" t="s">
        <v>309</v>
      </c>
      <c r="H1012" s="75" t="s">
        <v>310</v>
      </c>
      <c r="I1012" s="75" t="s">
        <v>1896</v>
      </c>
      <c r="J1012" s="75">
        <v>2024</v>
      </c>
      <c r="K1012" s="75" t="s">
        <v>312</v>
      </c>
      <c r="L1012" s="75"/>
    </row>
    <row r="1013" spans="1:12" hidden="1" x14ac:dyDescent="0.25">
      <c r="A1013" s="78">
        <v>44930</v>
      </c>
      <c r="B1013" s="75" t="s">
        <v>2488</v>
      </c>
      <c r="C1013" s="75" t="s">
        <v>2489</v>
      </c>
      <c r="D1013" s="75" t="s">
        <v>331</v>
      </c>
      <c r="E1013" s="75">
        <v>68427709</v>
      </c>
      <c r="F1013" s="89">
        <v>9000</v>
      </c>
      <c r="G1013" s="75" t="s">
        <v>309</v>
      </c>
      <c r="H1013" s="75" t="s">
        <v>310</v>
      </c>
      <c r="I1013" s="75" t="s">
        <v>1896</v>
      </c>
      <c r="J1013" s="75">
        <v>2024</v>
      </c>
      <c r="K1013" s="75" t="s">
        <v>1288</v>
      </c>
      <c r="L1013" s="75"/>
    </row>
    <row r="1014" spans="1:12" hidden="1" x14ac:dyDescent="0.25">
      <c r="A1014" s="78">
        <v>44930</v>
      </c>
      <c r="B1014" s="75" t="s">
        <v>488</v>
      </c>
      <c r="C1014" s="75" t="s">
        <v>2489</v>
      </c>
      <c r="D1014" s="75"/>
      <c r="E1014" s="75">
        <v>68427709</v>
      </c>
      <c r="F1014" s="89">
        <v>-10000</v>
      </c>
      <c r="G1014" s="75" t="s">
        <v>309</v>
      </c>
      <c r="H1014" s="75" t="s">
        <v>310</v>
      </c>
      <c r="I1014" s="75" t="s">
        <v>1896</v>
      </c>
      <c r="J1014" s="75">
        <v>2024</v>
      </c>
      <c r="K1014" s="75" t="s">
        <v>1288</v>
      </c>
      <c r="L1014" s="75"/>
    </row>
    <row r="1015" spans="1:12" hidden="1" x14ac:dyDescent="0.25">
      <c r="A1015" s="78">
        <v>44956</v>
      </c>
      <c r="B1015" s="75" t="s">
        <v>2490</v>
      </c>
      <c r="C1015" s="75" t="s">
        <v>2489</v>
      </c>
      <c r="D1015" s="75"/>
      <c r="E1015" s="75">
        <v>68427709</v>
      </c>
      <c r="F1015" s="89">
        <v>3500</v>
      </c>
      <c r="G1015" s="75" t="s">
        <v>309</v>
      </c>
      <c r="H1015" s="75" t="s">
        <v>310</v>
      </c>
      <c r="I1015" s="75" t="s">
        <v>1896</v>
      </c>
      <c r="J1015" s="75">
        <v>2024</v>
      </c>
      <c r="K1015" s="75" t="s">
        <v>312</v>
      </c>
      <c r="L1015" s="75"/>
    </row>
    <row r="1016" spans="1:12" hidden="1" x14ac:dyDescent="0.25">
      <c r="A1016" s="78">
        <v>45035</v>
      </c>
      <c r="B1016" s="75" t="s">
        <v>2491</v>
      </c>
      <c r="C1016" s="75" t="s">
        <v>2492</v>
      </c>
      <c r="D1016" s="75" t="s">
        <v>2493</v>
      </c>
      <c r="E1016" s="75">
        <v>68427709</v>
      </c>
      <c r="F1016" s="89">
        <v>55000</v>
      </c>
      <c r="G1016" s="75" t="s">
        <v>309</v>
      </c>
      <c r="H1016" s="75" t="s">
        <v>310</v>
      </c>
      <c r="I1016" s="75" t="s">
        <v>1896</v>
      </c>
      <c r="J1016" s="75">
        <v>2024</v>
      </c>
      <c r="K1016" s="75" t="s">
        <v>312</v>
      </c>
      <c r="L1016" s="75" t="s">
        <v>2494</v>
      </c>
    </row>
    <row r="1017" spans="1:12" hidden="1" x14ac:dyDescent="0.25">
      <c r="A1017" s="78">
        <v>45035</v>
      </c>
      <c r="B1017" s="75" t="s">
        <v>2495</v>
      </c>
      <c r="C1017" s="75" t="s">
        <v>2496</v>
      </c>
      <c r="D1017" s="75" t="s">
        <v>473</v>
      </c>
      <c r="E1017" s="75">
        <v>68427709</v>
      </c>
      <c r="F1017" s="89">
        <v>-60000</v>
      </c>
      <c r="G1017" s="75" t="s">
        <v>309</v>
      </c>
      <c r="H1017" s="75" t="s">
        <v>310</v>
      </c>
      <c r="I1017" s="75" t="s">
        <v>1144</v>
      </c>
      <c r="J1017" s="75">
        <v>2024</v>
      </c>
      <c r="K1017" s="75" t="s">
        <v>312</v>
      </c>
      <c r="L1017" s="75"/>
    </row>
    <row r="1018" spans="1:12" hidden="1" x14ac:dyDescent="0.25">
      <c r="A1018" s="78">
        <v>45069</v>
      </c>
      <c r="B1018" s="75" t="s">
        <v>2201</v>
      </c>
      <c r="C1018" s="75" t="s">
        <v>2202</v>
      </c>
      <c r="D1018" s="75"/>
      <c r="E1018" s="75">
        <v>68427709</v>
      </c>
      <c r="F1018" s="89">
        <v>-1800</v>
      </c>
      <c r="G1018" s="75" t="s">
        <v>309</v>
      </c>
      <c r="H1018" s="75" t="s">
        <v>310</v>
      </c>
      <c r="I1018" s="75" t="s">
        <v>1144</v>
      </c>
      <c r="J1018" s="75">
        <v>2024</v>
      </c>
      <c r="K1018" s="75" t="s">
        <v>312</v>
      </c>
      <c r="L1018" s="75"/>
    </row>
    <row r="1019" spans="1:12" hidden="1" x14ac:dyDescent="0.25">
      <c r="A1019" s="78">
        <v>45069</v>
      </c>
      <c r="B1019" s="75" t="s">
        <v>2203</v>
      </c>
      <c r="C1019" s="75" t="s">
        <v>2204</v>
      </c>
      <c r="D1019" s="75"/>
      <c r="E1019" s="75">
        <v>68427709</v>
      </c>
      <c r="F1019" s="89">
        <v>-1800</v>
      </c>
      <c r="G1019" s="75" t="s">
        <v>309</v>
      </c>
      <c r="H1019" s="75" t="s">
        <v>310</v>
      </c>
      <c r="I1019" s="75" t="s">
        <v>1144</v>
      </c>
      <c r="J1019" s="75">
        <v>2024</v>
      </c>
      <c r="K1019" s="75" t="s">
        <v>312</v>
      </c>
      <c r="L1019" s="75"/>
    </row>
    <row r="1020" spans="1:12" hidden="1" x14ac:dyDescent="0.25">
      <c r="A1020" s="78">
        <v>45069</v>
      </c>
      <c r="B1020" s="75" t="s">
        <v>2205</v>
      </c>
      <c r="C1020" s="75" t="s">
        <v>2206</v>
      </c>
      <c r="D1020" s="75"/>
      <c r="E1020" s="75">
        <v>68427709</v>
      </c>
      <c r="F1020" s="89">
        <v>-64800</v>
      </c>
      <c r="G1020" s="75" t="s">
        <v>309</v>
      </c>
      <c r="H1020" s="75" t="s">
        <v>310</v>
      </c>
      <c r="I1020" s="75" t="s">
        <v>1144</v>
      </c>
      <c r="J1020" s="75">
        <v>2024</v>
      </c>
      <c r="K1020" s="75" t="s">
        <v>312</v>
      </c>
      <c r="L1020" s="75" t="s">
        <v>1800</v>
      </c>
    </row>
    <row r="1021" spans="1:12" hidden="1" x14ac:dyDescent="0.25">
      <c r="A1021" s="78">
        <v>45069</v>
      </c>
      <c r="B1021" s="75" t="s">
        <v>2207</v>
      </c>
      <c r="C1021" s="75" t="s">
        <v>2208</v>
      </c>
      <c r="D1021" s="75"/>
      <c r="E1021" s="75">
        <v>68427709</v>
      </c>
      <c r="F1021" s="89">
        <v>-21600</v>
      </c>
      <c r="G1021" s="75" t="s">
        <v>309</v>
      </c>
      <c r="H1021" s="75" t="s">
        <v>310</v>
      </c>
      <c r="I1021" s="75" t="s">
        <v>1144</v>
      </c>
      <c r="J1021" s="75">
        <v>2024</v>
      </c>
      <c r="K1021" s="75" t="s">
        <v>312</v>
      </c>
      <c r="L1021" s="75" t="s">
        <v>1800</v>
      </c>
    </row>
    <row r="1022" spans="1:12" hidden="1" x14ac:dyDescent="0.25">
      <c r="A1022" s="78">
        <v>45069</v>
      </c>
      <c r="B1022" s="75" t="s">
        <v>2209</v>
      </c>
      <c r="C1022" s="75" t="s">
        <v>2210</v>
      </c>
      <c r="D1022" s="75"/>
      <c r="E1022" s="75">
        <v>68427709</v>
      </c>
      <c r="F1022" s="89">
        <v>-22000</v>
      </c>
      <c r="G1022" s="75" t="s">
        <v>309</v>
      </c>
      <c r="H1022" s="75" t="s">
        <v>310</v>
      </c>
      <c r="I1022" s="75" t="s">
        <v>1144</v>
      </c>
      <c r="J1022" s="75">
        <v>2024</v>
      </c>
      <c r="K1022" s="75" t="s">
        <v>312</v>
      </c>
      <c r="L1022" s="75" t="s">
        <v>2497</v>
      </c>
    </row>
    <row r="1023" spans="1:12" hidden="1" x14ac:dyDescent="0.25">
      <c r="A1023" s="78">
        <v>45069</v>
      </c>
      <c r="B1023" s="75" t="s">
        <v>2211</v>
      </c>
      <c r="C1023" s="75" t="s">
        <v>2212</v>
      </c>
      <c r="D1023" s="75"/>
      <c r="E1023" s="75">
        <v>68427709</v>
      </c>
      <c r="F1023" s="89">
        <v>-900</v>
      </c>
      <c r="G1023" s="75" t="s">
        <v>309</v>
      </c>
      <c r="H1023" s="75" t="s">
        <v>310</v>
      </c>
      <c r="I1023" s="75" t="s">
        <v>1144</v>
      </c>
      <c r="J1023" s="75">
        <v>2024</v>
      </c>
      <c r="K1023" s="75" t="s">
        <v>312</v>
      </c>
      <c r="L1023" s="75"/>
    </row>
    <row r="1024" spans="1:12" hidden="1" x14ac:dyDescent="0.25">
      <c r="A1024" s="78">
        <v>45069</v>
      </c>
      <c r="B1024" s="75" t="s">
        <v>2213</v>
      </c>
      <c r="C1024" s="75" t="s">
        <v>2214</v>
      </c>
      <c r="D1024" s="75"/>
      <c r="E1024" s="75">
        <v>68427709</v>
      </c>
      <c r="F1024" s="89">
        <v>-75600</v>
      </c>
      <c r="G1024" s="75" t="s">
        <v>309</v>
      </c>
      <c r="H1024" s="75" t="s">
        <v>310</v>
      </c>
      <c r="I1024" s="75" t="s">
        <v>1144</v>
      </c>
      <c r="J1024" s="75">
        <v>2024</v>
      </c>
      <c r="K1024" s="75" t="s">
        <v>312</v>
      </c>
      <c r="L1024" s="75" t="s">
        <v>1800</v>
      </c>
    </row>
    <row r="1025" spans="1:12" hidden="1" x14ac:dyDescent="0.25">
      <c r="A1025" s="78">
        <v>45069</v>
      </c>
      <c r="B1025" s="75" t="s">
        <v>2215</v>
      </c>
      <c r="C1025" s="75" t="s">
        <v>2216</v>
      </c>
      <c r="D1025" s="75"/>
      <c r="E1025" s="75">
        <v>68427709</v>
      </c>
      <c r="F1025" s="89">
        <v>-2800</v>
      </c>
      <c r="G1025" s="75" t="s">
        <v>309</v>
      </c>
      <c r="H1025" s="75" t="s">
        <v>310</v>
      </c>
      <c r="I1025" s="75" t="s">
        <v>1144</v>
      </c>
      <c r="J1025" s="75">
        <v>2024</v>
      </c>
      <c r="K1025" s="75" t="s">
        <v>312</v>
      </c>
      <c r="L1025" s="75"/>
    </row>
    <row r="1026" spans="1:12" hidden="1" x14ac:dyDescent="0.25">
      <c r="A1026" s="78">
        <v>45069</v>
      </c>
      <c r="B1026" s="75" t="s">
        <v>2217</v>
      </c>
      <c r="C1026" s="75" t="s">
        <v>2218</v>
      </c>
      <c r="D1026" s="75"/>
      <c r="E1026" s="75">
        <v>68427709</v>
      </c>
      <c r="F1026" s="89">
        <v>-400</v>
      </c>
      <c r="G1026" s="75" t="s">
        <v>309</v>
      </c>
      <c r="H1026" s="75" t="s">
        <v>310</v>
      </c>
      <c r="I1026" s="75" t="s">
        <v>1144</v>
      </c>
      <c r="J1026" s="75">
        <v>2024</v>
      </c>
      <c r="K1026" s="75" t="s">
        <v>312</v>
      </c>
      <c r="L1026" s="75"/>
    </row>
    <row r="1027" spans="1:12" hidden="1" x14ac:dyDescent="0.25">
      <c r="A1027" s="78">
        <v>45069</v>
      </c>
      <c r="B1027" s="75" t="s">
        <v>2219</v>
      </c>
      <c r="C1027" s="75" t="s">
        <v>2220</v>
      </c>
      <c r="D1027" s="75"/>
      <c r="E1027" s="75">
        <v>68427709</v>
      </c>
      <c r="F1027" s="89">
        <v>-900</v>
      </c>
      <c r="G1027" s="75" t="s">
        <v>309</v>
      </c>
      <c r="H1027" s="75" t="s">
        <v>310</v>
      </c>
      <c r="I1027" s="75" t="s">
        <v>1144</v>
      </c>
      <c r="J1027" s="75">
        <v>2024</v>
      </c>
      <c r="K1027" s="75" t="s">
        <v>312</v>
      </c>
      <c r="L1027" s="75"/>
    </row>
    <row r="1028" spans="1:12" hidden="1" x14ac:dyDescent="0.25">
      <c r="A1028" s="78">
        <v>45069</v>
      </c>
      <c r="B1028" s="75" t="s">
        <v>2221</v>
      </c>
      <c r="C1028" s="75" t="s">
        <v>2222</v>
      </c>
      <c r="D1028" s="75"/>
      <c r="E1028" s="75">
        <v>68427709</v>
      </c>
      <c r="F1028" s="89">
        <v>-1400</v>
      </c>
      <c r="G1028" s="75" t="s">
        <v>309</v>
      </c>
      <c r="H1028" s="75" t="s">
        <v>310</v>
      </c>
      <c r="I1028" s="75" t="s">
        <v>1144</v>
      </c>
      <c r="J1028" s="75">
        <v>2024</v>
      </c>
      <c r="K1028" s="75" t="s">
        <v>312</v>
      </c>
      <c r="L1028" s="75"/>
    </row>
    <row r="1029" spans="1:12" hidden="1" x14ac:dyDescent="0.25">
      <c r="A1029" s="78">
        <v>45069</v>
      </c>
      <c r="B1029" s="75" t="s">
        <v>2223</v>
      </c>
      <c r="C1029" s="75" t="s">
        <v>2224</v>
      </c>
      <c r="D1029" s="75"/>
      <c r="E1029" s="75">
        <v>68427709</v>
      </c>
      <c r="F1029" s="89">
        <v>-400</v>
      </c>
      <c r="G1029" s="75" t="s">
        <v>309</v>
      </c>
      <c r="H1029" s="75" t="s">
        <v>310</v>
      </c>
      <c r="I1029" s="75" t="s">
        <v>1144</v>
      </c>
      <c r="J1029" s="75">
        <v>2024</v>
      </c>
      <c r="K1029" s="75" t="s">
        <v>312</v>
      </c>
      <c r="L1029" s="75"/>
    </row>
    <row r="1030" spans="1:12" hidden="1" x14ac:dyDescent="0.25">
      <c r="A1030" s="78">
        <v>45069</v>
      </c>
      <c r="B1030" s="75" t="s">
        <v>2225</v>
      </c>
      <c r="C1030" s="75" t="s">
        <v>2226</v>
      </c>
      <c r="D1030" s="75"/>
      <c r="E1030" s="75">
        <v>68427709</v>
      </c>
      <c r="F1030" s="89">
        <v>-400</v>
      </c>
      <c r="G1030" s="75" t="s">
        <v>309</v>
      </c>
      <c r="H1030" s="75" t="s">
        <v>310</v>
      </c>
      <c r="I1030" s="75" t="s">
        <v>1144</v>
      </c>
      <c r="J1030" s="75">
        <v>2024</v>
      </c>
      <c r="K1030" s="75" t="s">
        <v>312</v>
      </c>
      <c r="L1030" s="75"/>
    </row>
    <row r="1031" spans="1:12" hidden="1" x14ac:dyDescent="0.25">
      <c r="A1031" s="78">
        <v>45069</v>
      </c>
      <c r="B1031" s="75" t="s">
        <v>2227</v>
      </c>
      <c r="C1031" s="75" t="s">
        <v>2228</v>
      </c>
      <c r="D1031" s="75"/>
      <c r="E1031" s="75">
        <v>68427709</v>
      </c>
      <c r="F1031" s="89">
        <v>-900</v>
      </c>
      <c r="G1031" s="75" t="s">
        <v>309</v>
      </c>
      <c r="H1031" s="75" t="s">
        <v>310</v>
      </c>
      <c r="I1031" s="75" t="s">
        <v>1144</v>
      </c>
      <c r="J1031" s="75">
        <v>2024</v>
      </c>
      <c r="K1031" s="75" t="s">
        <v>312</v>
      </c>
      <c r="L1031" s="75"/>
    </row>
    <row r="1032" spans="1:12" hidden="1" x14ac:dyDescent="0.25">
      <c r="A1032" s="78">
        <v>45069</v>
      </c>
      <c r="B1032" s="75" t="s">
        <v>2229</v>
      </c>
      <c r="C1032" s="75" t="s">
        <v>2230</v>
      </c>
      <c r="D1032" s="75"/>
      <c r="E1032" s="75">
        <v>68427709</v>
      </c>
      <c r="F1032" s="89">
        <v>-900</v>
      </c>
      <c r="G1032" s="75" t="s">
        <v>309</v>
      </c>
      <c r="H1032" s="75" t="s">
        <v>310</v>
      </c>
      <c r="I1032" s="75" t="s">
        <v>1144</v>
      </c>
      <c r="J1032" s="75">
        <v>2024</v>
      </c>
      <c r="K1032" s="75" t="s">
        <v>312</v>
      </c>
      <c r="L1032" s="75"/>
    </row>
    <row r="1033" spans="1:12" hidden="1" x14ac:dyDescent="0.25">
      <c r="A1033" s="78">
        <v>45069</v>
      </c>
      <c r="B1033" s="75" t="s">
        <v>2231</v>
      </c>
      <c r="C1033" s="75" t="s">
        <v>2232</v>
      </c>
      <c r="D1033" s="75"/>
      <c r="E1033" s="75">
        <v>68427709</v>
      </c>
      <c r="F1033" s="89">
        <v>-400</v>
      </c>
      <c r="G1033" s="75" t="s">
        <v>309</v>
      </c>
      <c r="H1033" s="75" t="s">
        <v>310</v>
      </c>
      <c r="I1033" s="75" t="s">
        <v>1144</v>
      </c>
      <c r="J1033" s="75">
        <v>2024</v>
      </c>
      <c r="K1033" s="75" t="s">
        <v>312</v>
      </c>
      <c r="L1033" s="75"/>
    </row>
    <row r="1034" spans="1:12" hidden="1" x14ac:dyDescent="0.25">
      <c r="A1034" s="78">
        <v>45069</v>
      </c>
      <c r="B1034" s="75" t="s">
        <v>2233</v>
      </c>
      <c r="C1034" s="75" t="s">
        <v>2234</v>
      </c>
      <c r="D1034" s="75"/>
      <c r="E1034" s="75">
        <v>68427709</v>
      </c>
      <c r="F1034" s="89">
        <v>-900</v>
      </c>
      <c r="G1034" s="75" t="s">
        <v>309</v>
      </c>
      <c r="H1034" s="75" t="s">
        <v>310</v>
      </c>
      <c r="I1034" s="75" t="s">
        <v>1144</v>
      </c>
      <c r="J1034" s="75">
        <v>2024</v>
      </c>
      <c r="K1034" s="75" t="s">
        <v>312</v>
      </c>
      <c r="L1034" s="75"/>
    </row>
    <row r="1035" spans="1:12" hidden="1" x14ac:dyDescent="0.25">
      <c r="A1035" s="78">
        <v>45069</v>
      </c>
      <c r="B1035" s="75" t="s">
        <v>2235</v>
      </c>
      <c r="C1035" s="75" t="s">
        <v>2236</v>
      </c>
      <c r="D1035" s="75"/>
      <c r="E1035" s="75">
        <v>68427709</v>
      </c>
      <c r="F1035" s="89">
        <v>-900</v>
      </c>
      <c r="G1035" s="75" t="s">
        <v>309</v>
      </c>
      <c r="H1035" s="75" t="s">
        <v>310</v>
      </c>
      <c r="I1035" s="75" t="s">
        <v>1144</v>
      </c>
      <c r="J1035" s="75">
        <v>2024</v>
      </c>
      <c r="K1035" s="75" t="s">
        <v>312</v>
      </c>
      <c r="L1035" s="75"/>
    </row>
    <row r="1036" spans="1:12" hidden="1" x14ac:dyDescent="0.25">
      <c r="A1036" s="78">
        <v>45069</v>
      </c>
      <c r="B1036" s="75" t="s">
        <v>2237</v>
      </c>
      <c r="C1036" s="75" t="s">
        <v>2238</v>
      </c>
      <c r="D1036" s="75"/>
      <c r="E1036" s="75">
        <v>68427709</v>
      </c>
      <c r="F1036" s="89">
        <v>-900</v>
      </c>
      <c r="G1036" s="75" t="s">
        <v>309</v>
      </c>
      <c r="H1036" s="75" t="s">
        <v>310</v>
      </c>
      <c r="I1036" s="75" t="s">
        <v>1144</v>
      </c>
      <c r="J1036" s="75">
        <v>2024</v>
      </c>
      <c r="K1036" s="75" t="s">
        <v>312</v>
      </c>
      <c r="L1036" s="75"/>
    </row>
    <row r="1037" spans="1:12" hidden="1" x14ac:dyDescent="0.25">
      <c r="A1037" s="78">
        <v>45069</v>
      </c>
      <c r="B1037" s="75" t="s">
        <v>2239</v>
      </c>
      <c r="C1037" s="75" t="s">
        <v>2240</v>
      </c>
      <c r="D1037" s="75"/>
      <c r="E1037" s="75">
        <v>68427709</v>
      </c>
      <c r="F1037" s="89">
        <v>-400</v>
      </c>
      <c r="G1037" s="75" t="s">
        <v>309</v>
      </c>
      <c r="H1037" s="75" t="s">
        <v>310</v>
      </c>
      <c r="I1037" s="75" t="s">
        <v>1144</v>
      </c>
      <c r="J1037" s="75">
        <v>2024</v>
      </c>
      <c r="K1037" s="75" t="s">
        <v>312</v>
      </c>
      <c r="L1037" s="75"/>
    </row>
    <row r="1038" spans="1:12" hidden="1" x14ac:dyDescent="0.25">
      <c r="A1038" s="78">
        <v>45069</v>
      </c>
      <c r="B1038" s="75" t="s">
        <v>2241</v>
      </c>
      <c r="C1038" s="75" t="s">
        <v>2242</v>
      </c>
      <c r="D1038" s="75"/>
      <c r="E1038" s="75">
        <v>68427709</v>
      </c>
      <c r="F1038" s="89">
        <v>-400</v>
      </c>
      <c r="G1038" s="75" t="s">
        <v>309</v>
      </c>
      <c r="H1038" s="75" t="s">
        <v>310</v>
      </c>
      <c r="I1038" s="75" t="s">
        <v>1144</v>
      </c>
      <c r="J1038" s="75">
        <v>2024</v>
      </c>
      <c r="K1038" s="75" t="s">
        <v>312</v>
      </c>
      <c r="L1038" s="75"/>
    </row>
    <row r="1039" spans="1:12" hidden="1" x14ac:dyDescent="0.25">
      <c r="A1039" s="78">
        <v>45069</v>
      </c>
      <c r="B1039" s="75" t="s">
        <v>2243</v>
      </c>
      <c r="C1039" s="75" t="s">
        <v>2244</v>
      </c>
      <c r="D1039" s="75"/>
      <c r="E1039" s="75">
        <v>68427709</v>
      </c>
      <c r="F1039" s="89">
        <v>-400</v>
      </c>
      <c r="G1039" s="75" t="s">
        <v>309</v>
      </c>
      <c r="H1039" s="75" t="s">
        <v>310</v>
      </c>
      <c r="I1039" s="75" t="s">
        <v>1144</v>
      </c>
      <c r="J1039" s="75">
        <v>2024</v>
      </c>
      <c r="K1039" s="75" t="s">
        <v>312</v>
      </c>
      <c r="L1039" s="75"/>
    </row>
    <row r="1040" spans="1:12" hidden="1" x14ac:dyDescent="0.25">
      <c r="A1040" s="78">
        <v>45069</v>
      </c>
      <c r="B1040" s="75" t="s">
        <v>2245</v>
      </c>
      <c r="C1040" s="75" t="s">
        <v>2246</v>
      </c>
      <c r="D1040" s="75"/>
      <c r="E1040" s="75">
        <v>68427709</v>
      </c>
      <c r="F1040" s="89">
        <v>-400</v>
      </c>
      <c r="G1040" s="75" t="s">
        <v>309</v>
      </c>
      <c r="H1040" s="75" t="s">
        <v>310</v>
      </c>
      <c r="I1040" s="75" t="s">
        <v>1144</v>
      </c>
      <c r="J1040" s="75">
        <v>2024</v>
      </c>
      <c r="K1040" s="75" t="s">
        <v>312</v>
      </c>
      <c r="L1040" s="75"/>
    </row>
    <row r="1041" spans="1:12" hidden="1" x14ac:dyDescent="0.25">
      <c r="A1041" s="78">
        <v>45069</v>
      </c>
      <c r="B1041" s="75" t="s">
        <v>2250</v>
      </c>
      <c r="C1041" s="75" t="s">
        <v>2251</v>
      </c>
      <c r="D1041" s="75"/>
      <c r="E1041" s="75">
        <v>68427709</v>
      </c>
      <c r="F1041" s="89">
        <v>-400</v>
      </c>
      <c r="G1041" s="75" t="s">
        <v>309</v>
      </c>
      <c r="H1041" s="75" t="s">
        <v>310</v>
      </c>
      <c r="I1041" s="75" t="s">
        <v>1144</v>
      </c>
      <c r="J1041" s="75">
        <v>2024</v>
      </c>
      <c r="K1041" s="75" t="s">
        <v>312</v>
      </c>
      <c r="L1041" s="75"/>
    </row>
    <row r="1042" spans="1:12" hidden="1" x14ac:dyDescent="0.25">
      <c r="A1042" s="78">
        <v>45069</v>
      </c>
      <c r="B1042" s="75" t="s">
        <v>2252</v>
      </c>
      <c r="C1042" s="75" t="s">
        <v>2253</v>
      </c>
      <c r="D1042" s="75"/>
      <c r="E1042" s="75">
        <v>68427709</v>
      </c>
      <c r="F1042" s="89">
        <v>-400</v>
      </c>
      <c r="G1042" s="75" t="s">
        <v>309</v>
      </c>
      <c r="H1042" s="75" t="s">
        <v>310</v>
      </c>
      <c r="I1042" s="75" t="s">
        <v>1144</v>
      </c>
      <c r="J1042" s="75">
        <v>2024</v>
      </c>
      <c r="K1042" s="75" t="s">
        <v>312</v>
      </c>
      <c r="L1042" s="75"/>
    </row>
    <row r="1043" spans="1:12" hidden="1" x14ac:dyDescent="0.25">
      <c r="A1043" s="78">
        <v>45069</v>
      </c>
      <c r="B1043" s="75" t="s">
        <v>2254</v>
      </c>
      <c r="C1043" s="75" t="s">
        <v>2255</v>
      </c>
      <c r="D1043" s="75"/>
      <c r="E1043" s="75">
        <v>68427709</v>
      </c>
      <c r="F1043" s="89">
        <v>-900</v>
      </c>
      <c r="G1043" s="75" t="s">
        <v>309</v>
      </c>
      <c r="H1043" s="75" t="s">
        <v>310</v>
      </c>
      <c r="I1043" s="75" t="s">
        <v>1144</v>
      </c>
      <c r="J1043" s="75">
        <v>2024</v>
      </c>
      <c r="K1043" s="75" t="s">
        <v>312</v>
      </c>
      <c r="L1043" s="75"/>
    </row>
    <row r="1044" spans="1:12" hidden="1" x14ac:dyDescent="0.25">
      <c r="A1044" s="78">
        <v>45069</v>
      </c>
      <c r="B1044" s="75" t="s">
        <v>2256</v>
      </c>
      <c r="C1044" s="75" t="s">
        <v>2257</v>
      </c>
      <c r="D1044" s="75"/>
      <c r="E1044" s="75">
        <v>68427709</v>
      </c>
      <c r="F1044" s="89">
        <v>-900</v>
      </c>
      <c r="G1044" s="75" t="s">
        <v>309</v>
      </c>
      <c r="H1044" s="75" t="s">
        <v>310</v>
      </c>
      <c r="I1044" s="75" t="s">
        <v>1144</v>
      </c>
      <c r="J1044" s="75">
        <v>2024</v>
      </c>
      <c r="K1044" s="75" t="s">
        <v>312</v>
      </c>
      <c r="L1044" s="75"/>
    </row>
    <row r="1045" spans="1:12" hidden="1" x14ac:dyDescent="0.25">
      <c r="A1045" s="78">
        <v>45069</v>
      </c>
      <c r="B1045" s="75" t="s">
        <v>2258</v>
      </c>
      <c r="C1045" s="75" t="s">
        <v>2259</v>
      </c>
      <c r="D1045" s="75"/>
      <c r="E1045" s="75">
        <v>68427709</v>
      </c>
      <c r="F1045" s="89">
        <v>-400</v>
      </c>
      <c r="G1045" s="75" t="s">
        <v>309</v>
      </c>
      <c r="H1045" s="75" t="s">
        <v>310</v>
      </c>
      <c r="I1045" s="75" t="s">
        <v>1144</v>
      </c>
      <c r="J1045" s="75">
        <v>2024</v>
      </c>
      <c r="K1045" s="75" t="s">
        <v>312</v>
      </c>
      <c r="L1045" s="75"/>
    </row>
    <row r="1046" spans="1:12" hidden="1" x14ac:dyDescent="0.25">
      <c r="A1046" s="78">
        <v>45069</v>
      </c>
      <c r="B1046" s="75" t="s">
        <v>2260</v>
      </c>
      <c r="C1046" s="75" t="s">
        <v>2261</v>
      </c>
      <c r="D1046" s="75"/>
      <c r="E1046" s="75">
        <v>68427709</v>
      </c>
      <c r="F1046" s="89">
        <v>-1400</v>
      </c>
      <c r="G1046" s="75" t="s">
        <v>309</v>
      </c>
      <c r="H1046" s="75" t="s">
        <v>310</v>
      </c>
      <c r="I1046" s="75" t="s">
        <v>1144</v>
      </c>
      <c r="J1046" s="75">
        <v>2024</v>
      </c>
      <c r="K1046" s="75" t="s">
        <v>312</v>
      </c>
      <c r="L1046" s="75"/>
    </row>
    <row r="1047" spans="1:12" hidden="1" x14ac:dyDescent="0.25">
      <c r="A1047" s="78">
        <v>45069</v>
      </c>
      <c r="B1047" s="75" t="s">
        <v>2262</v>
      </c>
      <c r="C1047" s="75" t="s">
        <v>2263</v>
      </c>
      <c r="D1047" s="75"/>
      <c r="E1047" s="75">
        <v>68427709</v>
      </c>
      <c r="F1047" s="89">
        <v>-900</v>
      </c>
      <c r="G1047" s="75" t="s">
        <v>309</v>
      </c>
      <c r="H1047" s="75" t="s">
        <v>310</v>
      </c>
      <c r="I1047" s="75" t="s">
        <v>1144</v>
      </c>
      <c r="J1047" s="75">
        <v>2024</v>
      </c>
      <c r="K1047" s="75" t="s">
        <v>312</v>
      </c>
      <c r="L1047" s="75"/>
    </row>
    <row r="1048" spans="1:12" hidden="1" x14ac:dyDescent="0.25">
      <c r="A1048" s="78">
        <v>45069</v>
      </c>
      <c r="B1048" s="75" t="s">
        <v>2264</v>
      </c>
      <c r="C1048" s="75" t="s">
        <v>2265</v>
      </c>
      <c r="D1048" s="75"/>
      <c r="E1048" s="75">
        <v>68427709</v>
      </c>
      <c r="F1048" s="89">
        <v>-1800</v>
      </c>
      <c r="G1048" s="75" t="s">
        <v>309</v>
      </c>
      <c r="H1048" s="75" t="s">
        <v>310</v>
      </c>
      <c r="I1048" s="75" t="s">
        <v>1144</v>
      </c>
      <c r="J1048" s="75">
        <v>2024</v>
      </c>
      <c r="K1048" s="75" t="s">
        <v>312</v>
      </c>
      <c r="L1048" s="75"/>
    </row>
    <row r="1049" spans="1:12" hidden="1" x14ac:dyDescent="0.25">
      <c r="A1049" s="78">
        <v>45069</v>
      </c>
      <c r="B1049" s="75" t="s">
        <v>2266</v>
      </c>
      <c r="C1049" s="75" t="s">
        <v>2267</v>
      </c>
      <c r="D1049" s="75"/>
      <c r="E1049" s="75">
        <v>68427709</v>
      </c>
      <c r="F1049" s="89">
        <v>-400</v>
      </c>
      <c r="G1049" s="75" t="s">
        <v>309</v>
      </c>
      <c r="H1049" s="75" t="s">
        <v>310</v>
      </c>
      <c r="I1049" s="75" t="s">
        <v>1144</v>
      </c>
      <c r="J1049" s="75">
        <v>2024</v>
      </c>
      <c r="K1049" s="75" t="s">
        <v>312</v>
      </c>
      <c r="L1049" s="75"/>
    </row>
    <row r="1050" spans="1:12" hidden="1" x14ac:dyDescent="0.25">
      <c r="A1050" s="78">
        <v>45069</v>
      </c>
      <c r="B1050" s="75" t="s">
        <v>2268</v>
      </c>
      <c r="C1050" s="75" t="s">
        <v>2269</v>
      </c>
      <c r="D1050" s="75"/>
      <c r="E1050" s="75">
        <v>68427709</v>
      </c>
      <c r="F1050" s="89">
        <v>-400</v>
      </c>
      <c r="G1050" s="75" t="s">
        <v>309</v>
      </c>
      <c r="H1050" s="75" t="s">
        <v>310</v>
      </c>
      <c r="I1050" s="75" t="s">
        <v>1144</v>
      </c>
      <c r="J1050" s="75">
        <v>2024</v>
      </c>
      <c r="K1050" s="75" t="s">
        <v>312</v>
      </c>
      <c r="L1050" s="75"/>
    </row>
    <row r="1051" spans="1:12" hidden="1" x14ac:dyDescent="0.25">
      <c r="A1051" s="78">
        <v>45069</v>
      </c>
      <c r="B1051" s="75" t="s">
        <v>2270</v>
      </c>
      <c r="C1051" s="75" t="s">
        <v>2271</v>
      </c>
      <c r="D1051" s="75"/>
      <c r="E1051" s="75">
        <v>68427709</v>
      </c>
      <c r="F1051" s="89">
        <v>-1800</v>
      </c>
      <c r="G1051" s="75" t="s">
        <v>309</v>
      </c>
      <c r="H1051" s="75" t="s">
        <v>310</v>
      </c>
      <c r="I1051" s="75" t="s">
        <v>1144</v>
      </c>
      <c r="J1051" s="75">
        <v>2024</v>
      </c>
      <c r="K1051" s="75" t="s">
        <v>312</v>
      </c>
      <c r="L1051" s="75"/>
    </row>
    <row r="1052" spans="1:12" hidden="1" x14ac:dyDescent="0.25">
      <c r="A1052" s="78">
        <v>45069</v>
      </c>
      <c r="B1052" s="75" t="s">
        <v>2272</v>
      </c>
      <c r="C1052" s="75" t="s">
        <v>2273</v>
      </c>
      <c r="D1052" s="75"/>
      <c r="E1052" s="75">
        <v>68427709</v>
      </c>
      <c r="F1052" s="89">
        <v>-4700</v>
      </c>
      <c r="G1052" s="75" t="s">
        <v>309</v>
      </c>
      <c r="H1052" s="75" t="s">
        <v>310</v>
      </c>
      <c r="I1052" s="75" t="s">
        <v>1144</v>
      </c>
      <c r="J1052" s="75">
        <v>2024</v>
      </c>
      <c r="K1052" s="75" t="s">
        <v>312</v>
      </c>
      <c r="L1052" s="75"/>
    </row>
    <row r="1053" spans="1:12" hidden="1" x14ac:dyDescent="0.25">
      <c r="A1053" s="78">
        <v>45069</v>
      </c>
      <c r="B1053" s="75" t="s">
        <v>2274</v>
      </c>
      <c r="C1053" s="75" t="s">
        <v>2275</v>
      </c>
      <c r="D1053" s="75"/>
      <c r="E1053" s="75">
        <v>68427709</v>
      </c>
      <c r="F1053" s="89">
        <v>-1800</v>
      </c>
      <c r="G1053" s="75" t="s">
        <v>309</v>
      </c>
      <c r="H1053" s="75" t="s">
        <v>310</v>
      </c>
      <c r="I1053" s="75" t="s">
        <v>1144</v>
      </c>
      <c r="J1053" s="75">
        <v>2024</v>
      </c>
      <c r="K1053" s="75" t="s">
        <v>312</v>
      </c>
      <c r="L1053" s="75"/>
    </row>
    <row r="1054" spans="1:12" hidden="1" x14ac:dyDescent="0.25">
      <c r="A1054" s="78">
        <v>45069</v>
      </c>
      <c r="B1054" s="75" t="s">
        <v>2276</v>
      </c>
      <c r="C1054" s="75" t="s">
        <v>2277</v>
      </c>
      <c r="D1054" s="75"/>
      <c r="E1054" s="75">
        <v>68427709</v>
      </c>
      <c r="F1054" s="89">
        <v>-400</v>
      </c>
      <c r="G1054" s="75" t="s">
        <v>309</v>
      </c>
      <c r="H1054" s="75" t="s">
        <v>310</v>
      </c>
      <c r="I1054" s="75" t="s">
        <v>1144</v>
      </c>
      <c r="J1054" s="75">
        <v>2024</v>
      </c>
      <c r="K1054" s="75" t="s">
        <v>312</v>
      </c>
      <c r="L1054" s="75"/>
    </row>
    <row r="1055" spans="1:12" hidden="1" x14ac:dyDescent="0.25">
      <c r="A1055" s="78">
        <v>45069</v>
      </c>
      <c r="B1055" s="75" t="s">
        <v>2278</v>
      </c>
      <c r="C1055" s="75" t="s">
        <v>2279</v>
      </c>
      <c r="D1055" s="75"/>
      <c r="E1055" s="75">
        <v>68427709</v>
      </c>
      <c r="F1055" s="89">
        <v>-400</v>
      </c>
      <c r="G1055" s="75" t="s">
        <v>309</v>
      </c>
      <c r="H1055" s="75" t="s">
        <v>310</v>
      </c>
      <c r="I1055" s="75" t="s">
        <v>1144</v>
      </c>
      <c r="J1055" s="75">
        <v>2024</v>
      </c>
      <c r="K1055" s="75" t="s">
        <v>312</v>
      </c>
      <c r="L1055" s="75"/>
    </row>
    <row r="1056" spans="1:12" hidden="1" x14ac:dyDescent="0.25">
      <c r="A1056" s="78">
        <v>45069</v>
      </c>
      <c r="B1056" s="75" t="s">
        <v>2280</v>
      </c>
      <c r="C1056" s="75" t="s">
        <v>2281</v>
      </c>
      <c r="D1056" s="75"/>
      <c r="E1056" s="75">
        <v>68427709</v>
      </c>
      <c r="F1056" s="89">
        <v>-1400</v>
      </c>
      <c r="G1056" s="75" t="s">
        <v>309</v>
      </c>
      <c r="H1056" s="75" t="s">
        <v>310</v>
      </c>
      <c r="I1056" s="75" t="s">
        <v>1144</v>
      </c>
      <c r="J1056" s="75">
        <v>2024</v>
      </c>
      <c r="K1056" s="75" t="s">
        <v>312</v>
      </c>
      <c r="L1056" s="75"/>
    </row>
    <row r="1057" spans="1:12" hidden="1" x14ac:dyDescent="0.25">
      <c r="A1057" s="78">
        <v>45069</v>
      </c>
      <c r="B1057" s="75" t="s">
        <v>2282</v>
      </c>
      <c r="C1057" s="75" t="s">
        <v>2283</v>
      </c>
      <c r="D1057" s="75"/>
      <c r="E1057" s="75">
        <v>68427709</v>
      </c>
      <c r="F1057" s="89">
        <v>-1400</v>
      </c>
      <c r="G1057" s="75" t="s">
        <v>309</v>
      </c>
      <c r="H1057" s="75" t="s">
        <v>310</v>
      </c>
      <c r="I1057" s="75" t="s">
        <v>1144</v>
      </c>
      <c r="J1057" s="75">
        <v>2024</v>
      </c>
      <c r="K1057" s="75" t="s">
        <v>312</v>
      </c>
      <c r="L1057" s="75"/>
    </row>
    <row r="1058" spans="1:12" hidden="1" x14ac:dyDescent="0.25">
      <c r="A1058" s="78">
        <v>45069</v>
      </c>
      <c r="B1058" s="75" t="s">
        <v>2284</v>
      </c>
      <c r="C1058" s="75" t="s">
        <v>2285</v>
      </c>
      <c r="D1058" s="75"/>
      <c r="E1058" s="75">
        <v>68427709</v>
      </c>
      <c r="F1058" s="89">
        <v>-400</v>
      </c>
      <c r="G1058" s="75" t="s">
        <v>309</v>
      </c>
      <c r="H1058" s="75" t="s">
        <v>310</v>
      </c>
      <c r="I1058" s="75" t="s">
        <v>1144</v>
      </c>
      <c r="J1058" s="75">
        <v>2024</v>
      </c>
      <c r="K1058" s="75" t="s">
        <v>312</v>
      </c>
      <c r="L1058" s="75"/>
    </row>
    <row r="1059" spans="1:12" hidden="1" x14ac:dyDescent="0.25">
      <c r="A1059" s="78">
        <v>45069</v>
      </c>
      <c r="B1059" s="75" t="s">
        <v>2286</v>
      </c>
      <c r="C1059" s="75" t="s">
        <v>2287</v>
      </c>
      <c r="D1059" s="75"/>
      <c r="E1059" s="75">
        <v>68427709</v>
      </c>
      <c r="F1059" s="89">
        <v>-400</v>
      </c>
      <c r="G1059" s="75" t="s">
        <v>309</v>
      </c>
      <c r="H1059" s="75" t="s">
        <v>310</v>
      </c>
      <c r="I1059" s="75" t="s">
        <v>1144</v>
      </c>
      <c r="J1059" s="75">
        <v>2024</v>
      </c>
      <c r="K1059" s="75" t="s">
        <v>312</v>
      </c>
      <c r="L1059" s="75"/>
    </row>
    <row r="1060" spans="1:12" hidden="1" x14ac:dyDescent="0.25">
      <c r="A1060" s="78">
        <v>45069</v>
      </c>
      <c r="B1060" s="75" t="s">
        <v>2288</v>
      </c>
      <c r="C1060" s="75" t="s">
        <v>2289</v>
      </c>
      <c r="D1060" s="75"/>
      <c r="E1060" s="75">
        <v>68427709</v>
      </c>
      <c r="F1060" s="89">
        <v>-900</v>
      </c>
      <c r="G1060" s="75" t="s">
        <v>309</v>
      </c>
      <c r="H1060" s="75" t="s">
        <v>310</v>
      </c>
      <c r="I1060" s="75" t="s">
        <v>1144</v>
      </c>
      <c r="J1060" s="75">
        <v>2024</v>
      </c>
      <c r="K1060" s="75" t="s">
        <v>312</v>
      </c>
      <c r="L1060" s="75"/>
    </row>
    <row r="1061" spans="1:12" hidden="1" x14ac:dyDescent="0.25">
      <c r="A1061" s="78">
        <v>45069</v>
      </c>
      <c r="B1061" s="75" t="s">
        <v>2290</v>
      </c>
      <c r="C1061" s="75" t="s">
        <v>2291</v>
      </c>
      <c r="D1061" s="75"/>
      <c r="E1061" s="75">
        <v>68427709</v>
      </c>
      <c r="F1061" s="89">
        <v>-400</v>
      </c>
      <c r="G1061" s="75" t="s">
        <v>309</v>
      </c>
      <c r="H1061" s="75" t="s">
        <v>310</v>
      </c>
      <c r="I1061" s="75" t="s">
        <v>1144</v>
      </c>
      <c r="J1061" s="75">
        <v>2024</v>
      </c>
      <c r="K1061" s="75" t="s">
        <v>312</v>
      </c>
      <c r="L1061" s="75"/>
    </row>
    <row r="1062" spans="1:12" hidden="1" x14ac:dyDescent="0.25">
      <c r="A1062" s="78">
        <v>45069</v>
      </c>
      <c r="B1062" s="75" t="s">
        <v>2292</v>
      </c>
      <c r="C1062" s="75" t="s">
        <v>2293</v>
      </c>
      <c r="D1062" s="75"/>
      <c r="E1062" s="75">
        <v>68427709</v>
      </c>
      <c r="F1062" s="89">
        <v>-400</v>
      </c>
      <c r="G1062" s="75" t="s">
        <v>309</v>
      </c>
      <c r="H1062" s="75" t="s">
        <v>310</v>
      </c>
      <c r="I1062" s="75" t="s">
        <v>1144</v>
      </c>
      <c r="J1062" s="75">
        <v>2024</v>
      </c>
      <c r="K1062" s="75" t="s">
        <v>312</v>
      </c>
      <c r="L1062" s="75"/>
    </row>
    <row r="1063" spans="1:12" hidden="1" x14ac:dyDescent="0.25">
      <c r="A1063" s="78">
        <v>45070</v>
      </c>
      <c r="B1063" s="75" t="s">
        <v>1462</v>
      </c>
      <c r="C1063" s="75" t="s">
        <v>2498</v>
      </c>
      <c r="D1063" s="75"/>
      <c r="E1063" s="75">
        <v>68427709</v>
      </c>
      <c r="F1063" s="89">
        <v>40000</v>
      </c>
      <c r="G1063" s="75" t="s">
        <v>309</v>
      </c>
      <c r="H1063" s="75" t="s">
        <v>310</v>
      </c>
      <c r="I1063" s="75" t="s">
        <v>329</v>
      </c>
      <c r="J1063" s="75">
        <v>2024</v>
      </c>
      <c r="K1063" s="75" t="s">
        <v>1288</v>
      </c>
      <c r="L1063" s="75"/>
    </row>
    <row r="1064" spans="1:12" hidden="1" x14ac:dyDescent="0.25">
      <c r="A1064" s="78">
        <v>45070</v>
      </c>
      <c r="B1064" s="75" t="s">
        <v>2347</v>
      </c>
      <c r="C1064" s="75" t="s">
        <v>2499</v>
      </c>
      <c r="D1064" s="75"/>
      <c r="E1064" s="75">
        <v>68427709</v>
      </c>
      <c r="F1064" s="89">
        <v>65000</v>
      </c>
      <c r="G1064" s="75" t="s">
        <v>309</v>
      </c>
      <c r="H1064" s="75" t="s">
        <v>310</v>
      </c>
      <c r="I1064" s="75" t="s">
        <v>329</v>
      </c>
      <c r="J1064" s="75">
        <v>2024</v>
      </c>
      <c r="K1064" s="75" t="s">
        <v>1288</v>
      </c>
      <c r="L1064" s="75"/>
    </row>
    <row r="1065" spans="1:12" hidden="1" x14ac:dyDescent="0.25">
      <c r="A1065" s="78">
        <v>45071</v>
      </c>
      <c r="B1065" s="75" t="s">
        <v>2500</v>
      </c>
      <c r="C1065" s="75"/>
      <c r="D1065" s="75"/>
      <c r="E1065" s="75">
        <v>68427709</v>
      </c>
      <c r="F1065" s="89">
        <v>-30000</v>
      </c>
      <c r="G1065" s="75" t="s">
        <v>309</v>
      </c>
      <c r="H1065" s="75" t="s">
        <v>310</v>
      </c>
      <c r="I1065" s="75" t="s">
        <v>329</v>
      </c>
      <c r="J1065" s="75">
        <v>2024</v>
      </c>
      <c r="K1065" s="75" t="s">
        <v>1288</v>
      </c>
      <c r="L1065" s="75" t="s">
        <v>2501</v>
      </c>
    </row>
    <row r="1066" spans="1:12" hidden="1" x14ac:dyDescent="0.25">
      <c r="A1066" s="78">
        <v>45071</v>
      </c>
      <c r="B1066" s="75" t="s">
        <v>1680</v>
      </c>
      <c r="C1066" s="75" t="s">
        <v>2502</v>
      </c>
      <c r="D1066" s="75"/>
      <c r="E1066" s="75">
        <v>68427709</v>
      </c>
      <c r="F1066" s="89">
        <v>0</v>
      </c>
      <c r="G1066" s="75" t="s">
        <v>309</v>
      </c>
      <c r="H1066" s="75" t="s">
        <v>310</v>
      </c>
      <c r="I1066" s="75" t="s">
        <v>329</v>
      </c>
      <c r="J1066" s="75">
        <v>2024</v>
      </c>
      <c r="K1066" s="75" t="s">
        <v>1288</v>
      </c>
      <c r="L1066" s="75" t="s">
        <v>2503</v>
      </c>
    </row>
    <row r="1067" spans="1:12" hidden="1" x14ac:dyDescent="0.25">
      <c r="A1067" s="78">
        <v>45071</v>
      </c>
      <c r="B1067" s="75" t="s">
        <v>2504</v>
      </c>
      <c r="C1067" s="75" t="s">
        <v>2505</v>
      </c>
      <c r="D1067" s="75"/>
      <c r="E1067" s="75">
        <v>68427709</v>
      </c>
      <c r="F1067" s="89">
        <v>-80000</v>
      </c>
      <c r="G1067" s="75" t="s">
        <v>309</v>
      </c>
      <c r="H1067" s="75" t="s">
        <v>310</v>
      </c>
      <c r="I1067" s="75" t="s">
        <v>329</v>
      </c>
      <c r="J1067" s="75">
        <v>2024</v>
      </c>
      <c r="K1067" s="75" t="s">
        <v>1288</v>
      </c>
      <c r="L1067" s="75"/>
    </row>
    <row r="1068" spans="1:12" hidden="1" x14ac:dyDescent="0.25">
      <c r="A1068" s="78">
        <v>45071</v>
      </c>
      <c r="B1068" s="75" t="s">
        <v>2506</v>
      </c>
      <c r="C1068" s="75" t="s">
        <v>2507</v>
      </c>
      <c r="D1068" s="75"/>
      <c r="E1068" s="75">
        <v>68427709</v>
      </c>
      <c r="F1068" s="89">
        <v>100000</v>
      </c>
      <c r="G1068" s="75" t="s">
        <v>309</v>
      </c>
      <c r="H1068" s="75" t="s">
        <v>310</v>
      </c>
      <c r="I1068" s="75" t="s">
        <v>329</v>
      </c>
      <c r="J1068" s="75">
        <v>2024</v>
      </c>
      <c r="K1068" s="75" t="s">
        <v>1288</v>
      </c>
      <c r="L1068" s="75"/>
    </row>
    <row r="1069" spans="1:12" hidden="1" x14ac:dyDescent="0.25">
      <c r="A1069" s="78">
        <v>45070</v>
      </c>
      <c r="B1069" s="75" t="s">
        <v>2508</v>
      </c>
      <c r="C1069" s="75" t="s">
        <v>2509</v>
      </c>
      <c r="D1069" s="75"/>
      <c r="E1069" s="75">
        <v>68427709</v>
      </c>
      <c r="F1069" s="89">
        <v>50000</v>
      </c>
      <c r="G1069" s="75" t="s">
        <v>309</v>
      </c>
      <c r="H1069" s="75" t="s">
        <v>310</v>
      </c>
      <c r="I1069" s="75" t="s">
        <v>329</v>
      </c>
      <c r="J1069" s="75">
        <v>2024</v>
      </c>
      <c r="K1069" s="75" t="s">
        <v>2510</v>
      </c>
      <c r="L1069" s="75"/>
    </row>
    <row r="1070" spans="1:12" s="161" customFormat="1" hidden="1" x14ac:dyDescent="0.25">
      <c r="A1070" s="79">
        <v>45071</v>
      </c>
      <c r="B1070" s="80" t="s">
        <v>1682</v>
      </c>
      <c r="C1070" s="80" t="s">
        <v>2511</v>
      </c>
      <c r="D1070" s="80"/>
      <c r="E1070" s="80">
        <v>68427709</v>
      </c>
      <c r="F1070" s="115">
        <v>-50000</v>
      </c>
      <c r="G1070" s="80" t="s">
        <v>309</v>
      </c>
      <c r="H1070" s="80" t="s">
        <v>310</v>
      </c>
      <c r="I1070" s="80" t="s">
        <v>329</v>
      </c>
      <c r="J1070" s="80">
        <v>2024</v>
      </c>
      <c r="K1070" s="80" t="s">
        <v>1288</v>
      </c>
      <c r="L1070" s="80"/>
    </row>
    <row r="1071" spans="1:12" s="161" customFormat="1" hidden="1" x14ac:dyDescent="0.25">
      <c r="A1071" s="79">
        <v>45071</v>
      </c>
      <c r="B1071" s="80" t="s">
        <v>2388</v>
      </c>
      <c r="C1071" s="80" t="s">
        <v>2512</v>
      </c>
      <c r="D1071" s="80"/>
      <c r="E1071" s="80">
        <v>68427709</v>
      </c>
      <c r="F1071" s="115" t="s">
        <v>2172</v>
      </c>
      <c r="G1071" s="80"/>
      <c r="H1071" s="80"/>
      <c r="I1071" s="80"/>
      <c r="J1071" s="80"/>
      <c r="K1071" s="80"/>
      <c r="L1071" s="80"/>
    </row>
    <row r="1072" spans="1:12" hidden="1" x14ac:dyDescent="0.25">
      <c r="A1072" s="78">
        <v>45070</v>
      </c>
      <c r="B1072" s="75" t="s">
        <v>2513</v>
      </c>
      <c r="C1072" s="75" t="s">
        <v>2514</v>
      </c>
      <c r="D1072" s="75"/>
      <c r="E1072" s="75">
        <v>68427709</v>
      </c>
      <c r="F1072" s="89">
        <v>15000</v>
      </c>
      <c r="G1072" s="75" t="s">
        <v>309</v>
      </c>
      <c r="H1072" s="75" t="s">
        <v>310</v>
      </c>
      <c r="I1072" s="75" t="s">
        <v>2186</v>
      </c>
      <c r="J1072" s="75">
        <v>2024</v>
      </c>
      <c r="K1072" s="75" t="s">
        <v>2344</v>
      </c>
      <c r="L1072" s="75"/>
    </row>
    <row r="1073" spans="1:12" hidden="1" x14ac:dyDescent="0.25">
      <c r="A1073" s="78">
        <v>45070</v>
      </c>
      <c r="B1073" s="75" t="s">
        <v>2515</v>
      </c>
      <c r="C1073" s="75" t="s">
        <v>2516</v>
      </c>
      <c r="D1073" s="75"/>
      <c r="E1073" s="75">
        <v>68427719</v>
      </c>
      <c r="F1073" s="89">
        <v>40000</v>
      </c>
      <c r="G1073" s="75" t="s">
        <v>309</v>
      </c>
      <c r="H1073" s="75" t="s">
        <v>310</v>
      </c>
      <c r="I1073" s="75" t="s">
        <v>2186</v>
      </c>
      <c r="J1073" s="75">
        <v>2024</v>
      </c>
      <c r="K1073" s="75" t="s">
        <v>2517</v>
      </c>
      <c r="L1073" s="75"/>
    </row>
    <row r="1074" spans="1:12" hidden="1" x14ac:dyDescent="0.25">
      <c r="A1074" s="78">
        <v>45070</v>
      </c>
      <c r="B1074" s="75" t="s">
        <v>1980</v>
      </c>
      <c r="C1074" s="75" t="s">
        <v>2518</v>
      </c>
      <c r="D1074" s="75"/>
      <c r="E1074" s="75">
        <v>68427709</v>
      </c>
      <c r="F1074" s="89">
        <v>10000</v>
      </c>
      <c r="G1074" s="75" t="s">
        <v>309</v>
      </c>
      <c r="H1074" s="75" t="s">
        <v>310</v>
      </c>
      <c r="I1074" s="75" t="s">
        <v>2186</v>
      </c>
      <c r="J1074" s="75">
        <v>2024</v>
      </c>
      <c r="K1074" s="75" t="s">
        <v>2344</v>
      </c>
      <c r="L1074" s="75"/>
    </row>
    <row r="1075" spans="1:12" ht="14.1" hidden="1" customHeight="1" x14ac:dyDescent="0.25">
      <c r="A1075" s="78">
        <v>45070</v>
      </c>
      <c r="B1075" s="75" t="s">
        <v>2100</v>
      </c>
      <c r="C1075" s="75" t="s">
        <v>2519</v>
      </c>
      <c r="D1075" s="75"/>
      <c r="E1075" s="75">
        <v>68427709</v>
      </c>
      <c r="F1075" s="89">
        <v>-7000</v>
      </c>
      <c r="G1075" s="75" t="s">
        <v>309</v>
      </c>
      <c r="H1075" s="75" t="s">
        <v>310</v>
      </c>
      <c r="I1075" s="75" t="s">
        <v>2186</v>
      </c>
      <c r="J1075" s="75">
        <v>2024</v>
      </c>
      <c r="K1075" s="75" t="s">
        <v>1288</v>
      </c>
      <c r="L1075" s="75"/>
    </row>
    <row r="1076" spans="1:12" hidden="1" x14ac:dyDescent="0.25">
      <c r="A1076" s="78">
        <v>45070</v>
      </c>
      <c r="B1076" s="75" t="s">
        <v>2100</v>
      </c>
      <c r="C1076" s="75" t="s">
        <v>2519</v>
      </c>
      <c r="D1076" s="75"/>
      <c r="E1076" s="75">
        <v>68427719</v>
      </c>
      <c r="F1076" s="89">
        <v>10000</v>
      </c>
      <c r="G1076" s="75" t="s">
        <v>309</v>
      </c>
      <c r="H1076" s="75" t="s">
        <v>310</v>
      </c>
      <c r="I1076" s="75" t="s">
        <v>2186</v>
      </c>
      <c r="J1076" s="75">
        <v>2024</v>
      </c>
      <c r="K1076" s="75" t="s">
        <v>2344</v>
      </c>
      <c r="L1076" s="75"/>
    </row>
    <row r="1077" spans="1:12" hidden="1" x14ac:dyDescent="0.25">
      <c r="A1077" s="78">
        <v>45070</v>
      </c>
      <c r="B1077" s="75" t="s">
        <v>1935</v>
      </c>
      <c r="C1077" s="75" t="s">
        <v>2520</v>
      </c>
      <c r="D1077" s="75"/>
      <c r="E1077" s="75">
        <v>68427709</v>
      </c>
      <c r="F1077" s="89">
        <v>50000</v>
      </c>
      <c r="G1077" s="75" t="s">
        <v>309</v>
      </c>
      <c r="H1077" s="75" t="s">
        <v>310</v>
      </c>
      <c r="I1077" s="75" t="s">
        <v>2186</v>
      </c>
      <c r="J1077" s="75">
        <v>2024</v>
      </c>
      <c r="K1077" s="75" t="s">
        <v>2328</v>
      </c>
      <c r="L1077" s="75"/>
    </row>
    <row r="1078" spans="1:12" hidden="1" x14ac:dyDescent="0.25">
      <c r="A1078" s="78">
        <v>45070</v>
      </c>
      <c r="B1078" s="75" t="s">
        <v>469</v>
      </c>
      <c r="C1078" s="75" t="s">
        <v>2521</v>
      </c>
      <c r="D1078" s="75"/>
      <c r="E1078" s="75">
        <v>68427709</v>
      </c>
      <c r="F1078" s="89">
        <v>-15000</v>
      </c>
      <c r="G1078" s="75" t="s">
        <v>309</v>
      </c>
      <c r="H1078" s="75" t="s">
        <v>310</v>
      </c>
      <c r="I1078" s="75" t="s">
        <v>2186</v>
      </c>
      <c r="J1078" s="75">
        <v>2024</v>
      </c>
      <c r="K1078" s="75" t="s">
        <v>2328</v>
      </c>
      <c r="L1078" s="75"/>
    </row>
    <row r="1079" spans="1:12" hidden="1" x14ac:dyDescent="0.25">
      <c r="A1079" s="78">
        <v>45070</v>
      </c>
      <c r="B1079" s="75" t="s">
        <v>2522</v>
      </c>
      <c r="C1079" s="75" t="s">
        <v>2523</v>
      </c>
      <c r="D1079" s="75"/>
      <c r="E1079" s="75">
        <v>68427709</v>
      </c>
      <c r="F1079" s="89">
        <v>0</v>
      </c>
      <c r="G1079" s="75" t="s">
        <v>309</v>
      </c>
      <c r="H1079" s="75" t="s">
        <v>310</v>
      </c>
      <c r="I1079" s="75" t="s">
        <v>329</v>
      </c>
      <c r="J1079" s="75">
        <v>2024</v>
      </c>
      <c r="K1079" s="75" t="s">
        <v>2328</v>
      </c>
      <c r="L1079" s="75" t="s">
        <v>2524</v>
      </c>
    </row>
    <row r="1080" spans="1:12" hidden="1" x14ac:dyDescent="0.25">
      <c r="A1080" s="78">
        <v>45070</v>
      </c>
      <c r="B1080" s="75" t="s">
        <v>2525</v>
      </c>
      <c r="C1080" s="75" t="s">
        <v>2526</v>
      </c>
      <c r="D1080" s="75"/>
      <c r="E1080" s="75">
        <v>68427709</v>
      </c>
      <c r="F1080" s="89">
        <v>70000</v>
      </c>
      <c r="G1080" s="75" t="s">
        <v>309</v>
      </c>
      <c r="H1080" s="75" t="s">
        <v>310</v>
      </c>
      <c r="I1080" s="75" t="s">
        <v>329</v>
      </c>
      <c r="J1080" s="75">
        <v>2024</v>
      </c>
      <c r="K1080" s="75" t="s">
        <v>2328</v>
      </c>
      <c r="L1080" s="75"/>
    </row>
    <row r="1081" spans="1:12" hidden="1" x14ac:dyDescent="0.25">
      <c r="A1081" s="78">
        <v>45070</v>
      </c>
      <c r="B1081" s="75" t="s">
        <v>970</v>
      </c>
      <c r="C1081" s="75" t="s">
        <v>2527</v>
      </c>
      <c r="D1081" s="75"/>
      <c r="E1081" s="75">
        <v>68427709</v>
      </c>
      <c r="F1081" s="89">
        <v>9000</v>
      </c>
      <c r="G1081" s="75" t="s">
        <v>309</v>
      </c>
      <c r="H1081" s="75" t="s">
        <v>310</v>
      </c>
      <c r="I1081" s="75" t="s">
        <v>2186</v>
      </c>
      <c r="J1081" s="75">
        <v>2024</v>
      </c>
      <c r="K1081" s="75" t="s">
        <v>2528</v>
      </c>
      <c r="L1081" s="75"/>
    </row>
    <row r="1082" spans="1:12" hidden="1" x14ac:dyDescent="0.25">
      <c r="A1082" s="78">
        <v>45082</v>
      </c>
      <c r="B1082" s="75" t="s">
        <v>2529</v>
      </c>
      <c r="C1082" s="75" t="s">
        <v>2530</v>
      </c>
      <c r="D1082" s="75"/>
      <c r="E1082" s="75">
        <v>68427709</v>
      </c>
      <c r="F1082" s="89">
        <v>-65000</v>
      </c>
      <c r="G1082" s="75" t="s">
        <v>309</v>
      </c>
      <c r="H1082" s="75" t="s">
        <v>310</v>
      </c>
      <c r="I1082" s="75" t="s">
        <v>2186</v>
      </c>
      <c r="J1082" s="75">
        <v>2024</v>
      </c>
      <c r="K1082" s="75" t="s">
        <v>1288</v>
      </c>
      <c r="L1082" s="75"/>
    </row>
    <row r="1083" spans="1:12" hidden="1" x14ac:dyDescent="0.25">
      <c r="A1083" s="78">
        <v>45082</v>
      </c>
      <c r="B1083" s="75" t="s">
        <v>1763</v>
      </c>
      <c r="C1083" s="75" t="s">
        <v>2531</v>
      </c>
      <c r="D1083" s="75"/>
      <c r="E1083" s="75">
        <v>68427709</v>
      </c>
      <c r="F1083" s="89">
        <v>-125000</v>
      </c>
      <c r="G1083" s="75" t="s">
        <v>309</v>
      </c>
      <c r="H1083" s="75" t="s">
        <v>310</v>
      </c>
      <c r="I1083" s="75" t="s">
        <v>2186</v>
      </c>
      <c r="J1083" s="75">
        <v>2024</v>
      </c>
      <c r="K1083" s="75" t="s">
        <v>1288</v>
      </c>
      <c r="L1083" s="75"/>
    </row>
    <row r="1084" spans="1:12" ht="12.6" hidden="1" customHeight="1" x14ac:dyDescent="0.25">
      <c r="A1084" s="78">
        <v>45082</v>
      </c>
      <c r="B1084" s="75" t="s">
        <v>1910</v>
      </c>
      <c r="C1084" s="75" t="s">
        <v>2532</v>
      </c>
      <c r="D1084" s="75"/>
      <c r="E1084" s="75">
        <v>68427709</v>
      </c>
      <c r="F1084" s="89">
        <v>-80000</v>
      </c>
      <c r="G1084" s="75" t="s">
        <v>309</v>
      </c>
      <c r="H1084" s="75" t="s">
        <v>310</v>
      </c>
      <c r="I1084" s="75" t="s">
        <v>2186</v>
      </c>
      <c r="J1084" s="75">
        <v>2024</v>
      </c>
      <c r="K1084" s="75" t="s">
        <v>1288</v>
      </c>
      <c r="L1084" s="75"/>
    </row>
    <row r="1085" spans="1:12" hidden="1" x14ac:dyDescent="0.25">
      <c r="A1085" s="78">
        <v>45082</v>
      </c>
      <c r="B1085" s="75" t="s">
        <v>2533</v>
      </c>
      <c r="C1085" s="75" t="s">
        <v>2534</v>
      </c>
      <c r="D1085" s="75"/>
      <c r="E1085" s="75">
        <v>68427709</v>
      </c>
      <c r="F1085" s="89">
        <v>-28000</v>
      </c>
      <c r="G1085" s="75" t="s">
        <v>309</v>
      </c>
      <c r="H1085" s="75" t="s">
        <v>310</v>
      </c>
      <c r="I1085" s="75" t="s">
        <v>2186</v>
      </c>
      <c r="J1085" s="75">
        <v>2024</v>
      </c>
      <c r="K1085" s="75" t="s">
        <v>1288</v>
      </c>
      <c r="L1085" s="75"/>
    </row>
    <row r="1086" spans="1:12" hidden="1" x14ac:dyDescent="0.25">
      <c r="A1086" s="78">
        <v>45082</v>
      </c>
      <c r="B1086" s="75" t="s">
        <v>2535</v>
      </c>
      <c r="C1086" s="75" t="s">
        <v>2536</v>
      </c>
      <c r="D1086" s="75"/>
      <c r="E1086" s="75">
        <v>68427709</v>
      </c>
      <c r="F1086" s="89">
        <v>155000</v>
      </c>
      <c r="G1086" s="75" t="s">
        <v>309</v>
      </c>
      <c r="H1086" s="75" t="s">
        <v>310</v>
      </c>
      <c r="I1086" s="75" t="s">
        <v>2186</v>
      </c>
      <c r="J1086" s="75">
        <v>2024</v>
      </c>
      <c r="K1086" s="75" t="s">
        <v>1288</v>
      </c>
      <c r="L1086" s="75"/>
    </row>
    <row r="1087" spans="1:12" hidden="1" x14ac:dyDescent="0.25">
      <c r="A1087" s="78">
        <v>45082</v>
      </c>
      <c r="B1087" s="75" t="s">
        <v>821</v>
      </c>
      <c r="C1087" s="75" t="s">
        <v>2537</v>
      </c>
      <c r="D1087" s="75"/>
      <c r="E1087" s="75">
        <v>68427709</v>
      </c>
      <c r="F1087" s="89">
        <v>-142000</v>
      </c>
      <c r="G1087" s="75" t="s">
        <v>309</v>
      </c>
      <c r="H1087" s="75" t="s">
        <v>310</v>
      </c>
      <c r="I1087" s="75" t="s">
        <v>1896</v>
      </c>
      <c r="J1087" s="75">
        <v>2024</v>
      </c>
      <c r="K1087" s="75" t="s">
        <v>1288</v>
      </c>
      <c r="L1087" s="75"/>
    </row>
    <row r="1088" spans="1:12" hidden="1" x14ac:dyDescent="0.25">
      <c r="A1088" s="78">
        <v>45082</v>
      </c>
      <c r="B1088" s="75" t="s">
        <v>2538</v>
      </c>
      <c r="C1088" s="75" t="s">
        <v>2539</v>
      </c>
      <c r="D1088" s="75"/>
      <c r="E1088" s="75">
        <v>68427709</v>
      </c>
      <c r="F1088" s="89">
        <v>35000</v>
      </c>
      <c r="G1088" s="75" t="s">
        <v>309</v>
      </c>
      <c r="H1088" s="75" t="s">
        <v>310</v>
      </c>
      <c r="I1088" s="75" t="s">
        <v>1896</v>
      </c>
      <c r="J1088" s="75">
        <v>2024</v>
      </c>
      <c r="K1088" s="75" t="s">
        <v>1288</v>
      </c>
      <c r="L1088" s="75"/>
    </row>
    <row r="1089" spans="1:12" hidden="1" x14ac:dyDescent="0.25">
      <c r="A1089" s="78">
        <v>45082</v>
      </c>
      <c r="B1089" s="75" t="s">
        <v>2540</v>
      </c>
      <c r="C1089" s="75" t="s">
        <v>329</v>
      </c>
      <c r="D1089" s="75"/>
      <c r="E1089" s="75">
        <v>68427709</v>
      </c>
      <c r="F1089" s="89">
        <v>12500</v>
      </c>
      <c r="G1089" s="75" t="s">
        <v>309</v>
      </c>
      <c r="H1089" s="75" t="s">
        <v>310</v>
      </c>
      <c r="I1089" s="75" t="s">
        <v>329</v>
      </c>
      <c r="J1089" s="75">
        <v>2024</v>
      </c>
      <c r="K1089" s="75" t="s">
        <v>1288</v>
      </c>
      <c r="L1089" s="75"/>
    </row>
    <row r="1090" spans="1:12" hidden="1" x14ac:dyDescent="0.25">
      <c r="A1090" s="78">
        <v>45082</v>
      </c>
      <c r="B1090" s="75" t="s">
        <v>1462</v>
      </c>
      <c r="C1090" s="75" t="s">
        <v>2541</v>
      </c>
      <c r="D1090" s="75"/>
      <c r="E1090" s="75">
        <v>68427709</v>
      </c>
      <c r="F1090" s="89">
        <v>100000</v>
      </c>
      <c r="G1090" s="75" t="s">
        <v>309</v>
      </c>
      <c r="H1090" s="75" t="s">
        <v>310</v>
      </c>
      <c r="I1090" s="75" t="s">
        <v>1896</v>
      </c>
      <c r="J1090" s="75">
        <v>2024</v>
      </c>
      <c r="K1090" s="75" t="s">
        <v>1288</v>
      </c>
      <c r="L1090" s="75"/>
    </row>
    <row r="1091" spans="1:12" hidden="1" x14ac:dyDescent="0.25">
      <c r="A1091" s="78">
        <v>45082</v>
      </c>
      <c r="B1091" s="75" t="s">
        <v>2368</v>
      </c>
      <c r="C1091" s="75"/>
      <c r="D1091" s="75"/>
      <c r="E1091" s="75">
        <v>68427719</v>
      </c>
      <c r="F1091" s="89">
        <v>52500</v>
      </c>
      <c r="G1091" s="75" t="s">
        <v>309</v>
      </c>
      <c r="H1091" s="75" t="s">
        <v>310</v>
      </c>
      <c r="I1091" s="75" t="s">
        <v>1896</v>
      </c>
      <c r="J1091" s="75">
        <v>2024</v>
      </c>
      <c r="K1091" s="75" t="s">
        <v>2115</v>
      </c>
      <c r="L1091" s="75"/>
    </row>
    <row r="1092" spans="1:12" hidden="1" x14ac:dyDescent="0.25">
      <c r="A1092" s="78">
        <v>45082</v>
      </c>
      <c r="B1092" s="75" t="s">
        <v>376</v>
      </c>
      <c r="C1092" s="75" t="s">
        <v>2542</v>
      </c>
      <c r="D1092" s="75"/>
      <c r="E1092" s="75">
        <v>68427719</v>
      </c>
      <c r="F1092" s="89">
        <v>-595000</v>
      </c>
      <c r="G1092" s="75" t="s">
        <v>309</v>
      </c>
      <c r="H1092" s="75" t="s">
        <v>310</v>
      </c>
      <c r="I1092" s="75" t="s">
        <v>1896</v>
      </c>
      <c r="J1092" s="75">
        <v>2024</v>
      </c>
      <c r="K1092" s="75" t="s">
        <v>2115</v>
      </c>
      <c r="L1092" s="75"/>
    </row>
    <row r="1093" spans="1:12" hidden="1" x14ac:dyDescent="0.25">
      <c r="A1093" s="78">
        <v>45082</v>
      </c>
      <c r="B1093" s="75" t="s">
        <v>2543</v>
      </c>
      <c r="C1093" s="75" t="s">
        <v>2544</v>
      </c>
      <c r="D1093" s="75"/>
      <c r="E1093" s="75">
        <v>68427719</v>
      </c>
      <c r="F1093" s="89">
        <v>16000</v>
      </c>
      <c r="G1093" s="75" t="s">
        <v>309</v>
      </c>
      <c r="H1093" s="75" t="s">
        <v>310</v>
      </c>
      <c r="I1093" s="75" t="s">
        <v>1896</v>
      </c>
      <c r="J1093" s="75">
        <v>2024</v>
      </c>
      <c r="K1093" s="75" t="s">
        <v>2115</v>
      </c>
      <c r="L1093" s="75"/>
    </row>
    <row r="1094" spans="1:12" hidden="1" x14ac:dyDescent="0.25">
      <c r="A1094" s="78">
        <v>45082</v>
      </c>
      <c r="B1094" s="75" t="s">
        <v>2094</v>
      </c>
      <c r="C1094" s="75" t="s">
        <v>2545</v>
      </c>
      <c r="D1094" s="75"/>
      <c r="E1094" s="75">
        <v>68427719</v>
      </c>
      <c r="F1094" s="89">
        <v>-45000</v>
      </c>
      <c r="G1094" s="75" t="s">
        <v>309</v>
      </c>
      <c r="H1094" s="75" t="s">
        <v>310</v>
      </c>
      <c r="I1094" s="75" t="s">
        <v>1896</v>
      </c>
      <c r="J1094" s="75">
        <v>2024</v>
      </c>
      <c r="K1094" s="75" t="s">
        <v>2115</v>
      </c>
      <c r="L1094" s="75"/>
    </row>
    <row r="1095" spans="1:12" hidden="1" x14ac:dyDescent="0.25">
      <c r="A1095" s="78">
        <v>45082</v>
      </c>
      <c r="B1095" s="75" t="s">
        <v>2089</v>
      </c>
      <c r="C1095" s="75" t="s">
        <v>2546</v>
      </c>
      <c r="D1095" s="75"/>
      <c r="E1095" s="75">
        <v>68427719</v>
      </c>
      <c r="F1095" s="89">
        <v>-90000</v>
      </c>
      <c r="G1095" s="75" t="s">
        <v>309</v>
      </c>
      <c r="H1095" s="75" t="s">
        <v>310</v>
      </c>
      <c r="I1095" s="75" t="s">
        <v>1896</v>
      </c>
      <c r="J1095" s="75">
        <v>2024</v>
      </c>
      <c r="K1095" s="75" t="s">
        <v>2115</v>
      </c>
      <c r="L1095" s="75"/>
    </row>
    <row r="1096" spans="1:12" hidden="1" x14ac:dyDescent="0.25">
      <c r="A1096" s="78">
        <v>45082</v>
      </c>
      <c r="B1096" s="75" t="s">
        <v>1223</v>
      </c>
      <c r="C1096" s="75"/>
      <c r="D1096" s="75"/>
      <c r="E1096" s="75">
        <v>68427719</v>
      </c>
      <c r="F1096" s="89">
        <v>-409000</v>
      </c>
      <c r="G1096" s="75" t="s">
        <v>309</v>
      </c>
      <c r="H1096" s="75" t="s">
        <v>310</v>
      </c>
      <c r="I1096" s="75" t="s">
        <v>329</v>
      </c>
      <c r="J1096" s="75">
        <v>2024</v>
      </c>
      <c r="K1096" s="75" t="s">
        <v>2115</v>
      </c>
      <c r="L1096" s="75"/>
    </row>
    <row r="1097" spans="1:12" hidden="1" x14ac:dyDescent="0.25">
      <c r="A1097" s="78">
        <v>45082</v>
      </c>
      <c r="B1097" s="75" t="s">
        <v>2547</v>
      </c>
      <c r="C1097" s="75" t="s">
        <v>2548</v>
      </c>
      <c r="D1097" s="75"/>
      <c r="E1097" s="75">
        <v>68427719</v>
      </c>
      <c r="F1097" s="89">
        <v>-330000</v>
      </c>
      <c r="G1097" s="75" t="s">
        <v>309</v>
      </c>
      <c r="H1097" s="75" t="s">
        <v>310</v>
      </c>
      <c r="I1097" s="75" t="s">
        <v>329</v>
      </c>
      <c r="J1097" s="75">
        <v>2024</v>
      </c>
      <c r="K1097" s="75" t="s">
        <v>2115</v>
      </c>
      <c r="L1097" s="75"/>
    </row>
    <row r="1098" spans="1:12" ht="14.1" hidden="1" customHeight="1" x14ac:dyDescent="0.25">
      <c r="A1098" s="78">
        <v>45082</v>
      </c>
      <c r="B1098" s="75" t="s">
        <v>2549</v>
      </c>
      <c r="C1098" s="75" t="s">
        <v>2550</v>
      </c>
      <c r="D1098" s="75"/>
      <c r="E1098" s="75">
        <v>68427719</v>
      </c>
      <c r="F1098" s="89">
        <v>-50000</v>
      </c>
      <c r="G1098" s="75" t="s">
        <v>309</v>
      </c>
      <c r="H1098" s="75" t="s">
        <v>310</v>
      </c>
      <c r="I1098" s="75" t="s">
        <v>329</v>
      </c>
      <c r="J1098" s="75">
        <v>2024</v>
      </c>
      <c r="K1098" s="75" t="s">
        <v>2115</v>
      </c>
      <c r="L1098" s="75"/>
    </row>
    <row r="1099" spans="1:12" hidden="1" x14ac:dyDescent="0.25">
      <c r="A1099" s="78">
        <v>45082</v>
      </c>
      <c r="B1099" s="75" t="s">
        <v>2551</v>
      </c>
      <c r="C1099" s="75" t="s">
        <v>2552</v>
      </c>
      <c r="D1099" s="75"/>
      <c r="E1099" s="75">
        <v>68427719</v>
      </c>
      <c r="F1099" s="89">
        <v>-100000</v>
      </c>
      <c r="G1099" s="75" t="s">
        <v>309</v>
      </c>
      <c r="H1099" s="75" t="s">
        <v>310</v>
      </c>
      <c r="I1099" s="75" t="s">
        <v>329</v>
      </c>
      <c r="J1099" s="75">
        <v>2024</v>
      </c>
      <c r="K1099" s="75" t="s">
        <v>2115</v>
      </c>
      <c r="L1099" s="75"/>
    </row>
    <row r="1100" spans="1:12" hidden="1" x14ac:dyDescent="0.25">
      <c r="A1100" s="78">
        <v>45085</v>
      </c>
      <c r="B1100" s="75" t="s">
        <v>1423</v>
      </c>
      <c r="C1100" s="75" t="s">
        <v>1940</v>
      </c>
      <c r="D1100" s="75"/>
      <c r="E1100" s="75">
        <v>68427709</v>
      </c>
      <c r="F1100" s="89">
        <v>3000</v>
      </c>
      <c r="G1100" s="75" t="s">
        <v>309</v>
      </c>
      <c r="H1100" s="75" t="s">
        <v>310</v>
      </c>
      <c r="I1100" s="75" t="s">
        <v>1896</v>
      </c>
      <c r="J1100" s="75">
        <v>2024</v>
      </c>
      <c r="K1100" s="75" t="s">
        <v>1421</v>
      </c>
      <c r="L1100" s="75"/>
    </row>
    <row r="1101" spans="1:12" hidden="1" x14ac:dyDescent="0.25">
      <c r="A1101" s="78">
        <v>45085</v>
      </c>
      <c r="B1101" s="75" t="s">
        <v>1779</v>
      </c>
      <c r="C1101" s="75" t="s">
        <v>2553</v>
      </c>
      <c r="D1101" s="75"/>
      <c r="E1101" s="75">
        <v>68427709</v>
      </c>
      <c r="F1101" s="89">
        <v>26000</v>
      </c>
      <c r="G1101" s="75" t="s">
        <v>309</v>
      </c>
      <c r="H1101" s="75" t="s">
        <v>310</v>
      </c>
      <c r="I1101" s="75" t="s">
        <v>1896</v>
      </c>
      <c r="J1101" s="75">
        <v>2024</v>
      </c>
      <c r="K1101" s="75" t="s">
        <v>1421</v>
      </c>
      <c r="L1101" s="75"/>
    </row>
    <row r="1102" spans="1:12" hidden="1" x14ac:dyDescent="0.25">
      <c r="A1102" s="78">
        <v>45086</v>
      </c>
      <c r="B1102" s="75" t="s">
        <v>2554</v>
      </c>
      <c r="C1102" s="75" t="s">
        <v>2555</v>
      </c>
      <c r="D1102" s="75"/>
      <c r="E1102" s="75">
        <v>68427709</v>
      </c>
      <c r="F1102" s="89">
        <v>-44000</v>
      </c>
      <c r="G1102" s="75" t="s">
        <v>309</v>
      </c>
      <c r="H1102" s="75" t="s">
        <v>310</v>
      </c>
      <c r="I1102" s="75" t="s">
        <v>1896</v>
      </c>
      <c r="J1102" s="75">
        <v>2024</v>
      </c>
      <c r="K1102" s="75" t="s">
        <v>1479</v>
      </c>
      <c r="L1102" s="75"/>
    </row>
    <row r="1103" spans="1:12" hidden="1" x14ac:dyDescent="0.25">
      <c r="A1103" s="78">
        <v>45086</v>
      </c>
      <c r="B1103" s="75" t="s">
        <v>2556</v>
      </c>
      <c r="C1103" s="75" t="s">
        <v>2557</v>
      </c>
      <c r="D1103" s="75"/>
      <c r="E1103" s="75">
        <v>68427709</v>
      </c>
      <c r="F1103" s="89">
        <v>7000</v>
      </c>
      <c r="G1103" s="75" t="s">
        <v>309</v>
      </c>
      <c r="H1103" s="75" t="s">
        <v>310</v>
      </c>
      <c r="I1103" s="75" t="s">
        <v>1896</v>
      </c>
      <c r="J1103" s="75">
        <v>2024</v>
      </c>
      <c r="K1103" s="75" t="s">
        <v>1479</v>
      </c>
      <c r="L1103" s="75"/>
    </row>
    <row r="1104" spans="1:12" hidden="1" x14ac:dyDescent="0.25">
      <c r="A1104" s="78">
        <v>45086</v>
      </c>
      <c r="B1104" s="75" t="s">
        <v>2558</v>
      </c>
      <c r="C1104" s="75" t="s">
        <v>2559</v>
      </c>
      <c r="D1104" s="75"/>
      <c r="E1104" s="75">
        <v>68427709</v>
      </c>
      <c r="F1104" s="89">
        <v>30500</v>
      </c>
      <c r="G1104" s="75" t="s">
        <v>309</v>
      </c>
      <c r="H1104" s="75" t="s">
        <v>310</v>
      </c>
      <c r="I1104" s="75" t="s">
        <v>1896</v>
      </c>
      <c r="J1104" s="75">
        <v>2024</v>
      </c>
      <c r="K1104" s="75" t="s">
        <v>1479</v>
      </c>
      <c r="L1104" s="75"/>
    </row>
    <row r="1105" spans="1:12" hidden="1" x14ac:dyDescent="0.25">
      <c r="A1105" s="78">
        <v>45086</v>
      </c>
      <c r="B1105" t="s">
        <v>2560</v>
      </c>
      <c r="C1105" s="75"/>
      <c r="D1105" s="75"/>
      <c r="E1105" s="75">
        <v>68427709</v>
      </c>
      <c r="F1105" s="89">
        <v>76000</v>
      </c>
      <c r="G1105" s="75" t="s">
        <v>309</v>
      </c>
      <c r="H1105" s="75" t="s">
        <v>310</v>
      </c>
      <c r="I1105" s="75" t="s">
        <v>1896</v>
      </c>
      <c r="J1105" s="75">
        <v>2024</v>
      </c>
      <c r="K1105" s="75" t="s">
        <v>1479</v>
      </c>
      <c r="L1105" s="75"/>
    </row>
    <row r="1106" spans="1:12" hidden="1" x14ac:dyDescent="0.25">
      <c r="A1106" s="78">
        <v>45086</v>
      </c>
      <c r="B1106" s="75" t="s">
        <v>2561</v>
      </c>
      <c r="C1106" s="75" t="s">
        <v>2562</v>
      </c>
      <c r="D1106" s="75"/>
      <c r="E1106" s="75">
        <v>68427709</v>
      </c>
      <c r="F1106" s="89">
        <v>15000</v>
      </c>
      <c r="G1106" s="75" t="s">
        <v>309</v>
      </c>
      <c r="H1106" s="75" t="s">
        <v>310</v>
      </c>
      <c r="I1106" s="75" t="s">
        <v>1896</v>
      </c>
      <c r="J1106" s="75">
        <v>2024</v>
      </c>
      <c r="K1106" s="75" t="s">
        <v>1479</v>
      </c>
      <c r="L1106" s="75"/>
    </row>
    <row r="1107" spans="1:12" hidden="1" x14ac:dyDescent="0.25">
      <c r="A1107" s="78">
        <v>45086</v>
      </c>
      <c r="B1107" s="75" t="s">
        <v>2563</v>
      </c>
      <c r="C1107" s="75" t="s">
        <v>2564</v>
      </c>
      <c r="D1107" s="75"/>
      <c r="E1107" s="75">
        <v>68427709</v>
      </c>
      <c r="F1107" s="89">
        <v>2200</v>
      </c>
      <c r="G1107" s="75" t="s">
        <v>309</v>
      </c>
      <c r="H1107" s="75" t="s">
        <v>310</v>
      </c>
      <c r="I1107" s="75" t="s">
        <v>1896</v>
      </c>
      <c r="J1107" s="75">
        <v>2024</v>
      </c>
      <c r="K1107" s="75" t="s">
        <v>2565</v>
      </c>
      <c r="L1107" s="75"/>
    </row>
    <row r="1108" spans="1:12" hidden="1" x14ac:dyDescent="0.25">
      <c r="A1108" s="78">
        <v>45086</v>
      </c>
      <c r="B1108" s="75" t="s">
        <v>2566</v>
      </c>
      <c r="C1108" s="75" t="s">
        <v>2567</v>
      </c>
      <c r="D1108" s="75"/>
      <c r="E1108" s="75">
        <v>68427709</v>
      </c>
      <c r="F1108" s="89">
        <v>50000</v>
      </c>
      <c r="G1108" s="75" t="s">
        <v>309</v>
      </c>
      <c r="H1108" s="75" t="s">
        <v>310</v>
      </c>
      <c r="I1108" s="75" t="s">
        <v>1896</v>
      </c>
      <c r="J1108" s="75">
        <v>2024</v>
      </c>
      <c r="K1108" s="75" t="s">
        <v>2565</v>
      </c>
      <c r="L1108" s="75"/>
    </row>
    <row r="1109" spans="1:12" hidden="1" x14ac:dyDescent="0.25">
      <c r="A1109" s="78">
        <v>45086</v>
      </c>
      <c r="B1109" s="75" t="s">
        <v>1513</v>
      </c>
      <c r="C1109" s="75" t="s">
        <v>2568</v>
      </c>
      <c r="D1109" s="75"/>
      <c r="E1109" s="75">
        <v>68427709</v>
      </c>
      <c r="F1109" s="89">
        <v>0</v>
      </c>
      <c r="G1109" s="75" t="s">
        <v>309</v>
      </c>
      <c r="H1109" s="75" t="s">
        <v>310</v>
      </c>
      <c r="I1109" s="75" t="s">
        <v>329</v>
      </c>
      <c r="J1109" s="75">
        <v>2024</v>
      </c>
      <c r="K1109" s="75" t="s">
        <v>1489</v>
      </c>
      <c r="L1109" s="75" t="s">
        <v>2569</v>
      </c>
    </row>
    <row r="1110" spans="1:12" hidden="1" x14ac:dyDescent="0.25">
      <c r="A1110" s="78">
        <v>45086</v>
      </c>
      <c r="B1110" s="75" t="s">
        <v>2570</v>
      </c>
      <c r="C1110" s="75" t="s">
        <v>2024</v>
      </c>
      <c r="D1110" s="75"/>
      <c r="E1110" s="75">
        <v>68427709</v>
      </c>
      <c r="F1110" s="89">
        <v>45000</v>
      </c>
      <c r="G1110" s="75" t="s">
        <v>309</v>
      </c>
      <c r="H1110" s="75" t="s">
        <v>310</v>
      </c>
      <c r="I1110" s="75" t="s">
        <v>1896</v>
      </c>
      <c r="J1110" s="75">
        <v>2024</v>
      </c>
      <c r="K1110" s="75" t="s">
        <v>1489</v>
      </c>
      <c r="L1110" s="75"/>
    </row>
    <row r="1111" spans="1:12" hidden="1" x14ac:dyDescent="0.25">
      <c r="A1111" s="78">
        <v>45086</v>
      </c>
      <c r="B1111" s="75" t="s">
        <v>2571</v>
      </c>
      <c r="C1111" s="75" t="s">
        <v>2572</v>
      </c>
      <c r="D1111" s="75"/>
      <c r="E1111" s="75">
        <v>68427709</v>
      </c>
      <c r="F1111" s="89">
        <v>53500</v>
      </c>
      <c r="G1111" s="75" t="s">
        <v>309</v>
      </c>
      <c r="H1111" s="75" t="s">
        <v>310</v>
      </c>
      <c r="I1111" s="75" t="s">
        <v>1896</v>
      </c>
      <c r="J1111" s="75">
        <v>2024</v>
      </c>
      <c r="K1111" s="75" t="s">
        <v>1489</v>
      </c>
      <c r="L1111" s="75"/>
    </row>
    <row r="1112" spans="1:12" hidden="1" x14ac:dyDescent="0.25">
      <c r="A1112" s="78">
        <v>45089</v>
      </c>
      <c r="B1112" s="75" t="s">
        <v>2353</v>
      </c>
      <c r="C1112" s="75" t="s">
        <v>2573</v>
      </c>
      <c r="D1112" s="75"/>
      <c r="E1112" s="75">
        <v>68427709</v>
      </c>
      <c r="F1112" s="89">
        <v>18000</v>
      </c>
      <c r="G1112" s="75" t="s">
        <v>309</v>
      </c>
      <c r="H1112" s="75" t="s">
        <v>310</v>
      </c>
      <c r="I1112" s="75" t="s">
        <v>1896</v>
      </c>
      <c r="J1112" s="75">
        <v>2024</v>
      </c>
      <c r="K1112" s="75" t="s">
        <v>2574</v>
      </c>
      <c r="L1112" s="75"/>
    </row>
    <row r="1113" spans="1:12" hidden="1" x14ac:dyDescent="0.25">
      <c r="A1113" s="78">
        <v>45091</v>
      </c>
      <c r="B1113" s="75" t="s">
        <v>1816</v>
      </c>
      <c r="C1113" s="75" t="s">
        <v>2575</v>
      </c>
      <c r="D1113" s="75"/>
      <c r="E1113" s="75">
        <v>68427709</v>
      </c>
      <c r="F1113" s="89">
        <v>122000</v>
      </c>
      <c r="G1113" s="75" t="s">
        <v>309</v>
      </c>
      <c r="H1113" s="75" t="s">
        <v>310</v>
      </c>
      <c r="I1113" s="75" t="s">
        <v>1896</v>
      </c>
      <c r="J1113" s="75">
        <v>2024</v>
      </c>
      <c r="K1113" s="75" t="s">
        <v>1830</v>
      </c>
      <c r="L1113" s="75"/>
    </row>
    <row r="1114" spans="1:12" hidden="1" x14ac:dyDescent="0.25">
      <c r="A1114" s="78">
        <v>45091</v>
      </c>
      <c r="B1114" s="75" t="s">
        <v>2463</v>
      </c>
      <c r="C1114" s="75" t="s">
        <v>2576</v>
      </c>
      <c r="D1114" s="75"/>
      <c r="E1114" s="75">
        <v>68427709</v>
      </c>
      <c r="F1114" s="89">
        <v>2000</v>
      </c>
      <c r="G1114" s="75" t="s">
        <v>309</v>
      </c>
      <c r="H1114" s="75" t="s">
        <v>310</v>
      </c>
      <c r="I1114" s="75" t="s">
        <v>1896</v>
      </c>
      <c r="J1114" s="75">
        <v>2024</v>
      </c>
      <c r="K1114" s="75" t="s">
        <v>1830</v>
      </c>
      <c r="L1114" s="75"/>
    </row>
    <row r="1115" spans="1:12" hidden="1" x14ac:dyDescent="0.25">
      <c r="A1115" s="78">
        <v>45091</v>
      </c>
      <c r="B1115" s="75" t="s">
        <v>2108</v>
      </c>
      <c r="C1115" s="75" t="s">
        <v>2577</v>
      </c>
      <c r="D1115" s="75"/>
      <c r="E1115" s="75">
        <v>68427709</v>
      </c>
      <c r="F1115" s="89">
        <v>12000</v>
      </c>
      <c r="G1115" s="75" t="s">
        <v>309</v>
      </c>
      <c r="H1115" s="75" t="s">
        <v>310</v>
      </c>
      <c r="I1115" s="75" t="s">
        <v>1896</v>
      </c>
      <c r="J1115" s="75">
        <v>2024</v>
      </c>
      <c r="K1115" s="75" t="s">
        <v>1830</v>
      </c>
      <c r="L1115" s="75"/>
    </row>
    <row r="1116" spans="1:12" hidden="1" x14ac:dyDescent="0.25">
      <c r="A1116" s="78">
        <v>45091</v>
      </c>
      <c r="B1116" s="75" t="s">
        <v>1714</v>
      </c>
      <c r="C1116" s="75" t="s">
        <v>2578</v>
      </c>
      <c r="D1116" s="75"/>
      <c r="E1116" s="75">
        <v>68427709</v>
      </c>
      <c r="F1116" s="89">
        <v>5000</v>
      </c>
      <c r="G1116" s="75" t="s">
        <v>309</v>
      </c>
      <c r="H1116" s="75" t="s">
        <v>310</v>
      </c>
      <c r="I1116" s="75" t="s">
        <v>1896</v>
      </c>
      <c r="J1116" s="75">
        <v>2024</v>
      </c>
      <c r="K1116" s="75" t="s">
        <v>1830</v>
      </c>
      <c r="L1116" s="75"/>
    </row>
    <row r="1117" spans="1:12" hidden="1" x14ac:dyDescent="0.25">
      <c r="A1117" s="78">
        <v>45091</v>
      </c>
      <c r="B1117" s="75" t="s">
        <v>2466</v>
      </c>
      <c r="C1117" s="75" t="s">
        <v>2578</v>
      </c>
      <c r="D1117" s="75"/>
      <c r="E1117" s="75">
        <v>68427709</v>
      </c>
      <c r="F1117" s="89">
        <v>3000</v>
      </c>
      <c r="G1117" s="75" t="s">
        <v>309</v>
      </c>
      <c r="H1117" s="75" t="s">
        <v>310</v>
      </c>
      <c r="I1117" s="75" t="s">
        <v>1896</v>
      </c>
      <c r="J1117" s="75">
        <v>2024</v>
      </c>
      <c r="K1117" s="75" t="s">
        <v>1830</v>
      </c>
      <c r="L1117" s="75"/>
    </row>
    <row r="1118" spans="1:12" hidden="1" x14ac:dyDescent="0.25">
      <c r="A1118" s="78">
        <v>45091</v>
      </c>
      <c r="B1118" s="75" t="s">
        <v>2105</v>
      </c>
      <c r="C1118" s="75" t="s">
        <v>2579</v>
      </c>
      <c r="D1118" s="75"/>
      <c r="E1118" s="75">
        <v>68427709</v>
      </c>
      <c r="F1118" s="89">
        <v>-12000</v>
      </c>
      <c r="G1118" s="75" t="s">
        <v>309</v>
      </c>
      <c r="H1118" s="75" t="s">
        <v>310</v>
      </c>
      <c r="I1118" s="75" t="s">
        <v>1896</v>
      </c>
      <c r="J1118" s="75">
        <v>2024</v>
      </c>
      <c r="K1118" s="75" t="s">
        <v>1830</v>
      </c>
      <c r="L1118" s="75"/>
    </row>
    <row r="1119" spans="1:12" hidden="1" x14ac:dyDescent="0.25">
      <c r="A1119" s="78">
        <v>45091</v>
      </c>
      <c r="B1119" s="75" t="s">
        <v>2479</v>
      </c>
      <c r="C1119" s="75" t="s">
        <v>2580</v>
      </c>
      <c r="D1119" s="75"/>
      <c r="E1119" s="75">
        <v>68427709</v>
      </c>
      <c r="F1119" s="89">
        <v>22000</v>
      </c>
      <c r="G1119" s="75" t="s">
        <v>309</v>
      </c>
      <c r="H1119" s="75" t="s">
        <v>310</v>
      </c>
      <c r="I1119" s="75" t="s">
        <v>1896</v>
      </c>
      <c r="J1119" s="75">
        <v>2024</v>
      </c>
      <c r="K1119" s="75" t="s">
        <v>1830</v>
      </c>
      <c r="L1119" s="75"/>
    </row>
    <row r="1120" spans="1:12" hidden="1" x14ac:dyDescent="0.25">
      <c r="A1120" s="78">
        <v>45091</v>
      </c>
      <c r="B1120" s="75" t="s">
        <v>1925</v>
      </c>
      <c r="C1120" s="75"/>
      <c r="D1120" s="75"/>
      <c r="E1120" s="75">
        <v>68427709</v>
      </c>
      <c r="F1120" s="89">
        <v>3000</v>
      </c>
      <c r="G1120" s="75" t="s">
        <v>309</v>
      </c>
      <c r="H1120" s="75" t="s">
        <v>310</v>
      </c>
      <c r="I1120" s="75" t="s">
        <v>1896</v>
      </c>
      <c r="J1120" s="75">
        <v>2024</v>
      </c>
      <c r="K1120" s="75" t="s">
        <v>1830</v>
      </c>
      <c r="L1120" s="75"/>
    </row>
    <row r="1121" spans="1:12" hidden="1" x14ac:dyDescent="0.25">
      <c r="A1121" s="78">
        <v>45091</v>
      </c>
      <c r="B1121" s="75" t="s">
        <v>2581</v>
      </c>
      <c r="C1121" s="75" t="s">
        <v>2582</v>
      </c>
      <c r="D1121" s="75"/>
      <c r="E1121" s="75">
        <v>68427709</v>
      </c>
      <c r="F1121" s="89">
        <v>-40000</v>
      </c>
      <c r="G1121" s="75" t="s">
        <v>309</v>
      </c>
      <c r="H1121" s="75" t="s">
        <v>310</v>
      </c>
      <c r="I1121" s="75" t="s">
        <v>1896</v>
      </c>
      <c r="J1121" s="75">
        <v>2024</v>
      </c>
      <c r="K1121" s="75" t="s">
        <v>1830</v>
      </c>
      <c r="L1121" s="75"/>
    </row>
    <row r="1122" spans="1:12" hidden="1" x14ac:dyDescent="0.25">
      <c r="A1122" s="78">
        <v>45091</v>
      </c>
      <c r="B1122" s="75" t="s">
        <v>2474</v>
      </c>
      <c r="C1122" s="75"/>
      <c r="D1122" s="75"/>
      <c r="E1122" s="75">
        <v>68427709</v>
      </c>
      <c r="F1122" s="89">
        <v>3000</v>
      </c>
      <c r="G1122" s="75" t="s">
        <v>309</v>
      </c>
      <c r="H1122" s="75" t="s">
        <v>310</v>
      </c>
      <c r="I1122" s="75" t="s">
        <v>1896</v>
      </c>
      <c r="J1122" s="75">
        <v>2024</v>
      </c>
      <c r="K1122" s="75" t="s">
        <v>1830</v>
      </c>
      <c r="L1122" s="75"/>
    </row>
    <row r="1123" spans="1:12" hidden="1" x14ac:dyDescent="0.25">
      <c r="A1123" s="78">
        <v>45091</v>
      </c>
      <c r="B1123" s="75" t="s">
        <v>2583</v>
      </c>
      <c r="C1123" s="75" t="s">
        <v>2584</v>
      </c>
      <c r="D1123" s="75"/>
      <c r="E1123" s="75">
        <v>68427709</v>
      </c>
      <c r="F1123" s="89">
        <v>72000</v>
      </c>
      <c r="G1123" s="75" t="s">
        <v>309</v>
      </c>
      <c r="H1123" s="75" t="s">
        <v>310</v>
      </c>
      <c r="I1123" s="75" t="s">
        <v>1896</v>
      </c>
      <c r="J1123" s="75">
        <v>2024</v>
      </c>
      <c r="K1123" s="75" t="s">
        <v>1830</v>
      </c>
      <c r="L1123" s="75"/>
    </row>
    <row r="1124" spans="1:12" hidden="1" x14ac:dyDescent="0.25">
      <c r="A1124" s="78">
        <v>45091</v>
      </c>
      <c r="B1124" s="75" t="s">
        <v>2585</v>
      </c>
      <c r="C1124" s="75" t="s">
        <v>2586</v>
      </c>
      <c r="D1124" s="75"/>
      <c r="E1124" s="75">
        <v>68427709</v>
      </c>
      <c r="F1124" s="89">
        <v>-61000</v>
      </c>
      <c r="G1124" s="75" t="s">
        <v>309</v>
      </c>
      <c r="H1124" s="75" t="s">
        <v>310</v>
      </c>
      <c r="I1124" s="75" t="s">
        <v>1896</v>
      </c>
      <c r="J1124" s="75">
        <v>2024</v>
      </c>
      <c r="K1124" s="75" t="s">
        <v>1830</v>
      </c>
      <c r="L1124" s="75"/>
    </row>
    <row r="1125" spans="1:12" hidden="1" x14ac:dyDescent="0.25">
      <c r="A1125" s="78">
        <v>45091</v>
      </c>
      <c r="B1125" s="75" t="s">
        <v>2587</v>
      </c>
      <c r="C1125" s="75" t="s">
        <v>2586</v>
      </c>
      <c r="D1125" s="75"/>
      <c r="E1125" s="75">
        <v>68427709</v>
      </c>
      <c r="F1125" s="89">
        <v>78000</v>
      </c>
      <c r="G1125" s="75" t="s">
        <v>309</v>
      </c>
      <c r="H1125" s="75" t="s">
        <v>310</v>
      </c>
      <c r="I1125" s="75" t="s">
        <v>1896</v>
      </c>
      <c r="J1125" s="75">
        <v>2024</v>
      </c>
      <c r="K1125" s="75" t="s">
        <v>1830</v>
      </c>
      <c r="L1125" s="75"/>
    </row>
    <row r="1126" spans="1:12" hidden="1" x14ac:dyDescent="0.25">
      <c r="A1126" s="78">
        <v>45091</v>
      </c>
      <c r="B1126" s="75" t="s">
        <v>481</v>
      </c>
      <c r="C1126" s="75" t="s">
        <v>2588</v>
      </c>
      <c r="D1126" s="75"/>
      <c r="E1126" s="75">
        <v>68427709</v>
      </c>
      <c r="F1126" s="89">
        <v>0</v>
      </c>
      <c r="G1126" s="75" t="s">
        <v>309</v>
      </c>
      <c r="H1126" s="75" t="s">
        <v>310</v>
      </c>
      <c r="I1126" s="75" t="s">
        <v>1896</v>
      </c>
      <c r="J1126" s="75">
        <v>2024</v>
      </c>
      <c r="K1126" s="75" t="s">
        <v>1830</v>
      </c>
      <c r="L1126" s="75"/>
    </row>
    <row r="1127" spans="1:12" hidden="1" x14ac:dyDescent="0.25">
      <c r="A1127" s="78">
        <v>45091</v>
      </c>
      <c r="B1127" s="75" t="s">
        <v>962</v>
      </c>
      <c r="C1127" t="s">
        <v>2589</v>
      </c>
      <c r="D1127" s="75"/>
      <c r="E1127" s="75">
        <v>68427709</v>
      </c>
      <c r="F1127" s="89">
        <v>92000</v>
      </c>
      <c r="G1127" s="75" t="s">
        <v>309</v>
      </c>
      <c r="H1127" s="75" t="s">
        <v>310</v>
      </c>
      <c r="I1127" s="75" t="s">
        <v>1896</v>
      </c>
      <c r="J1127" s="75">
        <v>2024</v>
      </c>
      <c r="K1127" s="75" t="s">
        <v>1830</v>
      </c>
      <c r="L1127" s="75"/>
    </row>
    <row r="1128" spans="1:12" hidden="1" x14ac:dyDescent="0.25">
      <c r="A1128" s="78">
        <v>45091</v>
      </c>
      <c r="B1128" s="75" t="s">
        <v>2467</v>
      </c>
      <c r="C1128" s="75" t="s">
        <v>2590</v>
      </c>
      <c r="D1128" s="75"/>
      <c r="E1128" s="75">
        <v>68427709</v>
      </c>
      <c r="F1128" s="89">
        <v>40000</v>
      </c>
      <c r="G1128" s="75" t="s">
        <v>309</v>
      </c>
      <c r="H1128" s="75" t="s">
        <v>310</v>
      </c>
      <c r="I1128" s="75" t="s">
        <v>1896</v>
      </c>
      <c r="J1128" s="75">
        <v>2024</v>
      </c>
      <c r="K1128" s="75" t="s">
        <v>1830</v>
      </c>
      <c r="L1128" s="75"/>
    </row>
    <row r="1129" spans="1:12" hidden="1" x14ac:dyDescent="0.25">
      <c r="A1129" s="78">
        <v>45091</v>
      </c>
      <c r="B1129" s="75" t="s">
        <v>2470</v>
      </c>
      <c r="C1129" s="75"/>
      <c r="D1129" s="75"/>
      <c r="E1129" s="75">
        <v>68427709</v>
      </c>
      <c r="F1129" s="89">
        <v>10000</v>
      </c>
      <c r="G1129" s="75" t="s">
        <v>309</v>
      </c>
      <c r="H1129" s="75" t="s">
        <v>310</v>
      </c>
      <c r="I1129" s="75" t="s">
        <v>1896</v>
      </c>
      <c r="J1129" s="75">
        <v>2024</v>
      </c>
      <c r="K1129" s="75" t="s">
        <v>1830</v>
      </c>
      <c r="L1129" s="75"/>
    </row>
    <row r="1130" spans="1:12" hidden="1" x14ac:dyDescent="0.25">
      <c r="A1130" s="78">
        <v>45091</v>
      </c>
      <c r="B1130" s="75" t="s">
        <v>357</v>
      </c>
      <c r="C1130" s="75" t="s">
        <v>2591</v>
      </c>
      <c r="D1130" s="75"/>
      <c r="E1130" s="75">
        <v>68427709</v>
      </c>
      <c r="F1130" s="89">
        <v>-130000</v>
      </c>
      <c r="G1130" s="75" t="s">
        <v>309</v>
      </c>
      <c r="H1130" s="75" t="s">
        <v>310</v>
      </c>
      <c r="I1130" s="75" t="s">
        <v>1896</v>
      </c>
      <c r="J1130" s="75">
        <v>2024</v>
      </c>
      <c r="K1130" s="75" t="s">
        <v>1830</v>
      </c>
      <c r="L1130" s="75"/>
    </row>
    <row r="1131" spans="1:12" hidden="1" x14ac:dyDescent="0.25">
      <c r="A1131" s="78">
        <v>45091</v>
      </c>
      <c r="B1131" s="75" t="s">
        <v>2592</v>
      </c>
      <c r="C1131" s="75" t="s">
        <v>2593</v>
      </c>
      <c r="D1131" s="75"/>
      <c r="E1131" s="75">
        <v>68427709</v>
      </c>
      <c r="F1131" s="89">
        <v>-150000</v>
      </c>
      <c r="G1131" s="75" t="s">
        <v>309</v>
      </c>
      <c r="H1131" s="75" t="s">
        <v>310</v>
      </c>
      <c r="I1131" s="75" t="s">
        <v>1896</v>
      </c>
      <c r="J1131" s="75">
        <v>2024</v>
      </c>
      <c r="K1131" s="75" t="s">
        <v>868</v>
      </c>
      <c r="L1131" s="75"/>
    </row>
    <row r="1132" spans="1:12" hidden="1" x14ac:dyDescent="0.25">
      <c r="A1132" s="78">
        <v>45091</v>
      </c>
      <c r="B1132" s="144" t="s">
        <v>2594</v>
      </c>
      <c r="C1132" s="75" t="s">
        <v>2595</v>
      </c>
      <c r="D1132" s="75"/>
      <c r="E1132" s="75">
        <v>68427709</v>
      </c>
      <c r="F1132" s="89">
        <v>-285000</v>
      </c>
      <c r="G1132" s="75" t="s">
        <v>309</v>
      </c>
      <c r="H1132" s="75" t="s">
        <v>310</v>
      </c>
      <c r="I1132" s="75" t="s">
        <v>1896</v>
      </c>
      <c r="J1132" s="75">
        <v>2024</v>
      </c>
      <c r="K1132" s="75" t="s">
        <v>868</v>
      </c>
      <c r="L1132" s="75"/>
    </row>
    <row r="1133" spans="1:12" hidden="1" x14ac:dyDescent="0.25">
      <c r="A1133" s="78">
        <v>45091</v>
      </c>
      <c r="B1133" s="144" t="s">
        <v>2596</v>
      </c>
      <c r="C1133" s="75" t="s">
        <v>2597</v>
      </c>
      <c r="D1133" s="75"/>
      <c r="E1133" s="75">
        <v>68427709</v>
      </c>
      <c r="F1133" s="89">
        <v>23600</v>
      </c>
      <c r="G1133" s="75" t="s">
        <v>309</v>
      </c>
      <c r="H1133" s="75" t="s">
        <v>310</v>
      </c>
      <c r="I1133" s="75" t="s">
        <v>329</v>
      </c>
      <c r="J1133" s="75">
        <v>2024</v>
      </c>
      <c r="K1133" s="75" t="s">
        <v>868</v>
      </c>
      <c r="L1133" s="75"/>
    </row>
    <row r="1134" spans="1:12" hidden="1" x14ac:dyDescent="0.25">
      <c r="A1134" s="78">
        <v>45091</v>
      </c>
      <c r="B1134" s="75" t="s">
        <v>2373</v>
      </c>
      <c r="C1134" s="75" t="s">
        <v>2598</v>
      </c>
      <c r="D1134" s="75"/>
      <c r="E1134" s="75">
        <v>68427709</v>
      </c>
      <c r="F1134" s="89">
        <v>-99000</v>
      </c>
      <c r="G1134" s="75" t="s">
        <v>309</v>
      </c>
      <c r="H1134" s="75" t="s">
        <v>310</v>
      </c>
      <c r="I1134" s="75" t="s">
        <v>2186</v>
      </c>
      <c r="J1134" s="75">
        <v>2024</v>
      </c>
      <c r="K1134" s="75" t="s">
        <v>868</v>
      </c>
      <c r="L1134" s="75"/>
    </row>
    <row r="1135" spans="1:12" hidden="1" x14ac:dyDescent="0.25">
      <c r="A1135" s="78">
        <v>45091</v>
      </c>
      <c r="B1135" s="75" t="s">
        <v>2599</v>
      </c>
      <c r="C1135" s="75" t="s">
        <v>2600</v>
      </c>
      <c r="D1135" s="75"/>
      <c r="E1135" s="75">
        <v>68427709</v>
      </c>
      <c r="F1135" s="89">
        <v>376000</v>
      </c>
      <c r="G1135" s="75" t="s">
        <v>309</v>
      </c>
      <c r="H1135" s="75" t="s">
        <v>310</v>
      </c>
      <c r="I1135" s="75" t="s">
        <v>1896</v>
      </c>
      <c r="J1135" s="75">
        <v>2024</v>
      </c>
      <c r="K1135" s="75" t="s">
        <v>868</v>
      </c>
      <c r="L1135" s="75"/>
    </row>
    <row r="1136" spans="1:12" ht="16.350000000000001" hidden="1" customHeight="1" x14ac:dyDescent="0.25">
      <c r="A1136" s="78">
        <v>45091</v>
      </c>
      <c r="B1136" s="75" t="s">
        <v>2601</v>
      </c>
      <c r="C1136" s="75" t="s">
        <v>2602</v>
      </c>
      <c r="D1136" s="75"/>
      <c r="E1136" s="75">
        <v>68427709</v>
      </c>
      <c r="F1136" s="89">
        <v>-23200</v>
      </c>
      <c r="G1136" s="75" t="s">
        <v>309</v>
      </c>
      <c r="H1136" s="75" t="s">
        <v>310</v>
      </c>
      <c r="I1136" s="75" t="s">
        <v>1896</v>
      </c>
      <c r="J1136" s="75">
        <v>2024</v>
      </c>
      <c r="K1136" s="75" t="s">
        <v>868</v>
      </c>
      <c r="L1136" s="75"/>
    </row>
    <row r="1137" spans="1:12" hidden="1" x14ac:dyDescent="0.25">
      <c r="A1137" s="78">
        <v>45091</v>
      </c>
      <c r="B1137" s="75" t="s">
        <v>1994</v>
      </c>
      <c r="C1137" s="75" t="s">
        <v>2603</v>
      </c>
      <c r="D1137" s="75"/>
      <c r="E1137" s="75">
        <v>68427709</v>
      </c>
      <c r="F1137" s="89">
        <v>-40000</v>
      </c>
      <c r="G1137" s="75" t="s">
        <v>309</v>
      </c>
      <c r="H1137" s="75" t="s">
        <v>310</v>
      </c>
      <c r="I1137" s="75" t="s">
        <v>1896</v>
      </c>
      <c r="J1137" s="75">
        <v>2024</v>
      </c>
      <c r="K1137" s="75" t="s">
        <v>868</v>
      </c>
      <c r="L1137" s="75"/>
    </row>
    <row r="1138" spans="1:12" hidden="1" x14ac:dyDescent="0.25">
      <c r="A1138" s="78">
        <v>45091</v>
      </c>
      <c r="B1138" s="116" t="s">
        <v>2604</v>
      </c>
      <c r="C1138" s="75" t="s">
        <v>2605</v>
      </c>
      <c r="D1138" s="75"/>
      <c r="E1138" s="75">
        <v>68427709</v>
      </c>
      <c r="F1138" s="89">
        <v>77000</v>
      </c>
      <c r="G1138" s="75" t="s">
        <v>309</v>
      </c>
      <c r="H1138" s="75" t="s">
        <v>310</v>
      </c>
      <c r="I1138" s="75" t="s">
        <v>1896</v>
      </c>
      <c r="J1138" s="75">
        <v>2024</v>
      </c>
      <c r="K1138" s="75" t="s">
        <v>868</v>
      </c>
      <c r="L1138" s="75"/>
    </row>
    <row r="1139" spans="1:12" hidden="1" x14ac:dyDescent="0.25">
      <c r="A1139" s="78">
        <v>45091</v>
      </c>
      <c r="B1139" s="116" t="s">
        <v>2606</v>
      </c>
      <c r="C1139" s="75" t="s">
        <v>2505</v>
      </c>
      <c r="D1139" s="75"/>
      <c r="E1139" s="75">
        <v>68427709</v>
      </c>
      <c r="F1139" s="89">
        <v>-323000</v>
      </c>
      <c r="G1139" s="75" t="s">
        <v>309</v>
      </c>
      <c r="H1139" s="75" t="s">
        <v>310</v>
      </c>
      <c r="I1139" s="75" t="s">
        <v>329</v>
      </c>
      <c r="J1139" s="75">
        <v>2024</v>
      </c>
      <c r="K1139" s="75" t="s">
        <v>868</v>
      </c>
      <c r="L1139" s="75"/>
    </row>
    <row r="1140" spans="1:12" hidden="1" x14ac:dyDescent="0.25">
      <c r="A1140" s="78">
        <v>45091</v>
      </c>
      <c r="B1140" s="116" t="s">
        <v>2607</v>
      </c>
      <c r="C1140" s="75" t="s">
        <v>2608</v>
      </c>
      <c r="D1140" s="75"/>
      <c r="E1140" s="75">
        <v>68427709</v>
      </c>
      <c r="F1140" s="89">
        <v>-45000</v>
      </c>
      <c r="G1140" s="75" t="s">
        <v>309</v>
      </c>
      <c r="H1140" s="75" t="s">
        <v>310</v>
      </c>
      <c r="I1140" s="75" t="s">
        <v>2186</v>
      </c>
      <c r="J1140" s="75">
        <v>2024</v>
      </c>
      <c r="K1140" s="75" t="s">
        <v>868</v>
      </c>
      <c r="L1140" s="75"/>
    </row>
    <row r="1141" spans="1:12" hidden="1" x14ac:dyDescent="0.25">
      <c r="A1141" s="78">
        <v>45091</v>
      </c>
      <c r="B1141" s="116" t="s">
        <v>2609</v>
      </c>
      <c r="C1141" s="75" t="s">
        <v>2610</v>
      </c>
      <c r="D1141" s="75"/>
      <c r="E1141" s="75">
        <v>68427709</v>
      </c>
      <c r="F1141" s="89">
        <v>260000</v>
      </c>
      <c r="G1141" s="75" t="s">
        <v>309</v>
      </c>
      <c r="H1141" s="75" t="s">
        <v>310</v>
      </c>
      <c r="I1141" s="75" t="s">
        <v>2186</v>
      </c>
      <c r="J1141" s="75">
        <v>2024</v>
      </c>
      <c r="K1141" s="75" t="s">
        <v>868</v>
      </c>
      <c r="L1141" s="75"/>
    </row>
    <row r="1142" spans="1:12" hidden="1" x14ac:dyDescent="0.25">
      <c r="A1142" s="78">
        <v>45091</v>
      </c>
      <c r="B1142" s="116" t="s">
        <v>2611</v>
      </c>
      <c r="C1142" s="75" t="s">
        <v>2612</v>
      </c>
      <c r="D1142" s="75"/>
      <c r="E1142" s="75">
        <v>68427709</v>
      </c>
      <c r="F1142" s="89">
        <v>56200</v>
      </c>
      <c r="G1142" s="75" t="s">
        <v>309</v>
      </c>
      <c r="H1142" s="75" t="s">
        <v>310</v>
      </c>
      <c r="I1142" s="75" t="s">
        <v>2186</v>
      </c>
      <c r="J1142" s="75">
        <v>2024</v>
      </c>
      <c r="K1142" s="75" t="s">
        <v>868</v>
      </c>
      <c r="L1142" s="75"/>
    </row>
    <row r="1143" spans="1:12" hidden="1" x14ac:dyDescent="0.25">
      <c r="A1143" s="78">
        <v>45091</v>
      </c>
      <c r="B1143" s="116" t="s">
        <v>2613</v>
      </c>
      <c r="C1143" s="75" t="s">
        <v>2614</v>
      </c>
      <c r="D1143" s="75"/>
      <c r="E1143" s="75">
        <v>68427709</v>
      </c>
      <c r="F1143" s="89">
        <v>105000</v>
      </c>
      <c r="G1143" s="75" t="s">
        <v>309</v>
      </c>
      <c r="H1143" s="75" t="s">
        <v>310</v>
      </c>
      <c r="I1143" s="75" t="s">
        <v>329</v>
      </c>
      <c r="J1143" s="75">
        <v>2024</v>
      </c>
      <c r="K1143" s="75" t="s">
        <v>868</v>
      </c>
      <c r="L1143" s="75"/>
    </row>
    <row r="1144" spans="1:12" hidden="1" x14ac:dyDescent="0.25">
      <c r="A1144" s="78">
        <v>45091</v>
      </c>
      <c r="B1144" s="116" t="s">
        <v>2615</v>
      </c>
      <c r="C1144" s="75" t="s">
        <v>2616</v>
      </c>
      <c r="D1144" s="75"/>
      <c r="E1144" s="75">
        <v>68427709</v>
      </c>
      <c r="F1144" s="89">
        <v>105000</v>
      </c>
      <c r="G1144" s="75" t="s">
        <v>309</v>
      </c>
      <c r="H1144" s="75" t="s">
        <v>310</v>
      </c>
      <c r="I1144" s="75" t="s">
        <v>329</v>
      </c>
      <c r="J1144" s="75">
        <v>2024</v>
      </c>
      <c r="K1144" s="75" t="s">
        <v>868</v>
      </c>
      <c r="L1144" s="75"/>
    </row>
    <row r="1145" spans="1:12" hidden="1" x14ac:dyDescent="0.25">
      <c r="A1145" s="78">
        <v>45091</v>
      </c>
      <c r="B1145" s="116" t="s">
        <v>2617</v>
      </c>
      <c r="C1145" s="75" t="s">
        <v>2618</v>
      </c>
      <c r="D1145" s="75"/>
      <c r="E1145" s="75">
        <v>68427709</v>
      </c>
      <c r="F1145" s="89">
        <v>56200</v>
      </c>
      <c r="G1145" s="75" t="s">
        <v>309</v>
      </c>
      <c r="H1145" s="75" t="s">
        <v>310</v>
      </c>
      <c r="I1145" s="75" t="s">
        <v>1896</v>
      </c>
      <c r="J1145" s="75">
        <v>2024</v>
      </c>
      <c r="K1145" s="75" t="s">
        <v>868</v>
      </c>
      <c r="L1145" s="75"/>
    </row>
    <row r="1146" spans="1:12" hidden="1" x14ac:dyDescent="0.25">
      <c r="A1146" s="78">
        <v>45091</v>
      </c>
      <c r="B1146" s="116" t="s">
        <v>2619</v>
      </c>
      <c r="C1146" s="75" t="s">
        <v>2620</v>
      </c>
      <c r="D1146" s="75"/>
      <c r="E1146" s="75">
        <v>68427709</v>
      </c>
      <c r="F1146" s="89">
        <v>11250</v>
      </c>
      <c r="G1146" s="75" t="s">
        <v>309</v>
      </c>
      <c r="H1146" s="75" t="s">
        <v>310</v>
      </c>
      <c r="I1146" s="75" t="s">
        <v>1896</v>
      </c>
      <c r="J1146" s="75">
        <v>2024</v>
      </c>
      <c r="K1146" s="75" t="s">
        <v>868</v>
      </c>
      <c r="L1146" s="75"/>
    </row>
    <row r="1147" spans="1:12" hidden="1" x14ac:dyDescent="0.25">
      <c r="A1147" s="78">
        <v>45091</v>
      </c>
      <c r="B1147" s="75" t="s">
        <v>2621</v>
      </c>
      <c r="C1147" s="75" t="s">
        <v>2622</v>
      </c>
      <c r="D1147" s="75"/>
      <c r="E1147" s="75">
        <v>68427709</v>
      </c>
      <c r="F1147" s="89">
        <v>40800</v>
      </c>
      <c r="G1147" s="75" t="s">
        <v>309</v>
      </c>
      <c r="H1147" s="75" t="s">
        <v>310</v>
      </c>
      <c r="I1147" s="75" t="s">
        <v>1896</v>
      </c>
      <c r="J1147" s="75">
        <v>2024</v>
      </c>
      <c r="K1147" s="75" t="s">
        <v>868</v>
      </c>
      <c r="L1147" s="75"/>
    </row>
    <row r="1148" spans="1:12" hidden="1" x14ac:dyDescent="0.25">
      <c r="A1148" s="78">
        <v>45091</v>
      </c>
      <c r="B1148" s="75" t="s">
        <v>2623</v>
      </c>
      <c r="C1148" s="75" t="s">
        <v>2624</v>
      </c>
      <c r="D1148" s="75"/>
      <c r="E1148" s="75">
        <v>68427709</v>
      </c>
      <c r="F1148" s="89">
        <v>800</v>
      </c>
      <c r="G1148" s="75" t="s">
        <v>309</v>
      </c>
      <c r="H1148" s="75" t="s">
        <v>310</v>
      </c>
      <c r="I1148" s="75" t="s">
        <v>1896</v>
      </c>
      <c r="J1148" s="75">
        <v>2024</v>
      </c>
      <c r="K1148" s="75" t="s">
        <v>312</v>
      </c>
      <c r="L1148" s="75"/>
    </row>
    <row r="1149" spans="1:12" hidden="1" x14ac:dyDescent="0.25">
      <c r="A1149" s="78">
        <v>45091</v>
      </c>
      <c r="B1149" s="75" t="s">
        <v>2625</v>
      </c>
      <c r="C1149" s="75" t="s">
        <v>2624</v>
      </c>
      <c r="D1149" s="75"/>
      <c r="E1149" s="75">
        <v>68427709</v>
      </c>
      <c r="F1149" s="89">
        <v>46000</v>
      </c>
      <c r="G1149" s="75" t="s">
        <v>309</v>
      </c>
      <c r="H1149" s="75" t="s">
        <v>310</v>
      </c>
      <c r="I1149" s="75" t="s">
        <v>1896</v>
      </c>
      <c r="J1149" s="75">
        <v>2024</v>
      </c>
      <c r="K1149" s="75" t="s">
        <v>312</v>
      </c>
      <c r="L1149" s="75"/>
    </row>
    <row r="1150" spans="1:12" hidden="1" x14ac:dyDescent="0.25">
      <c r="A1150" s="78">
        <v>45091</v>
      </c>
      <c r="B1150" s="75" t="s">
        <v>2626</v>
      </c>
      <c r="C1150" s="75" t="s">
        <v>2624</v>
      </c>
      <c r="D1150" s="75"/>
      <c r="E1150" s="75">
        <v>68427709</v>
      </c>
      <c r="F1150" s="89">
        <v>760</v>
      </c>
      <c r="G1150" s="75" t="s">
        <v>309</v>
      </c>
      <c r="H1150" s="75" t="s">
        <v>310</v>
      </c>
      <c r="I1150" s="75" t="s">
        <v>1896</v>
      </c>
      <c r="J1150" s="75">
        <v>2024</v>
      </c>
      <c r="K1150" s="75" t="s">
        <v>312</v>
      </c>
      <c r="L1150" s="75"/>
    </row>
    <row r="1151" spans="1:12" hidden="1" x14ac:dyDescent="0.25">
      <c r="A1151" s="78">
        <v>45091</v>
      </c>
      <c r="B1151" s="75" t="s">
        <v>2627</v>
      </c>
      <c r="C1151" s="75" t="s">
        <v>2624</v>
      </c>
      <c r="D1151" s="75"/>
      <c r="E1151" s="75">
        <v>68427709</v>
      </c>
      <c r="F1151" s="89">
        <v>1550</v>
      </c>
      <c r="G1151" s="75" t="s">
        <v>309</v>
      </c>
      <c r="H1151" s="75" t="s">
        <v>310</v>
      </c>
      <c r="I1151" s="75" t="s">
        <v>1896</v>
      </c>
      <c r="J1151" s="75">
        <v>2024</v>
      </c>
      <c r="K1151" s="75" t="s">
        <v>312</v>
      </c>
      <c r="L1151" s="75"/>
    </row>
    <row r="1152" spans="1:12" hidden="1" x14ac:dyDescent="0.25">
      <c r="A1152" s="78">
        <v>45091</v>
      </c>
      <c r="B1152" s="75" t="s">
        <v>1810</v>
      </c>
      <c r="C1152" s="75" t="s">
        <v>2624</v>
      </c>
      <c r="D1152" s="75"/>
      <c r="E1152" s="75">
        <v>68427709</v>
      </c>
      <c r="F1152" s="89">
        <v>900</v>
      </c>
      <c r="G1152" s="75" t="s">
        <v>309</v>
      </c>
      <c r="H1152" s="75" t="s">
        <v>310</v>
      </c>
      <c r="I1152" s="75" t="s">
        <v>1896</v>
      </c>
      <c r="J1152" s="75">
        <v>2024</v>
      </c>
      <c r="K1152" s="75" t="s">
        <v>312</v>
      </c>
      <c r="L1152" s="75"/>
    </row>
    <row r="1153" spans="1:12" hidden="1" x14ac:dyDescent="0.25">
      <c r="A1153" s="78">
        <v>45091</v>
      </c>
      <c r="B1153" s="75" t="s">
        <v>2628</v>
      </c>
      <c r="C1153" s="75" t="s">
        <v>2624</v>
      </c>
      <c r="D1153" s="75"/>
      <c r="E1153" s="75">
        <v>68427709</v>
      </c>
      <c r="F1153" s="89">
        <v>2200</v>
      </c>
      <c r="G1153" s="75" t="s">
        <v>309</v>
      </c>
      <c r="H1153" s="75" t="s">
        <v>310</v>
      </c>
      <c r="I1153" s="75" t="s">
        <v>1896</v>
      </c>
      <c r="J1153" s="75">
        <v>2024</v>
      </c>
      <c r="K1153" s="75" t="s">
        <v>312</v>
      </c>
      <c r="L1153" s="75"/>
    </row>
    <row r="1154" spans="1:12" hidden="1" x14ac:dyDescent="0.25">
      <c r="A1154" s="78">
        <v>45091</v>
      </c>
      <c r="B1154" s="75" t="s">
        <v>2629</v>
      </c>
      <c r="C1154" s="75" t="s">
        <v>2624</v>
      </c>
      <c r="D1154" s="75"/>
      <c r="E1154" s="75">
        <v>68427709</v>
      </c>
      <c r="F1154" s="89">
        <v>8500</v>
      </c>
      <c r="G1154" s="75" t="s">
        <v>309</v>
      </c>
      <c r="H1154" s="75" t="s">
        <v>310</v>
      </c>
      <c r="I1154" s="75" t="s">
        <v>1896</v>
      </c>
      <c r="J1154" s="75">
        <v>2024</v>
      </c>
      <c r="K1154" s="75" t="s">
        <v>312</v>
      </c>
      <c r="L1154" s="75"/>
    </row>
    <row r="1155" spans="1:12" hidden="1" x14ac:dyDescent="0.25">
      <c r="A1155" s="78">
        <v>45092</v>
      </c>
      <c r="B1155" s="75" t="s">
        <v>2630</v>
      </c>
      <c r="C1155" s="75"/>
      <c r="D1155" s="75"/>
      <c r="E1155" s="75">
        <v>68427709</v>
      </c>
      <c r="F1155" s="89">
        <v>34700</v>
      </c>
      <c r="G1155" s="75" t="s">
        <v>309</v>
      </c>
      <c r="H1155" s="75" t="s">
        <v>310</v>
      </c>
      <c r="I1155" s="75" t="s">
        <v>1896</v>
      </c>
      <c r="J1155" s="75">
        <v>2024</v>
      </c>
      <c r="K1155" s="75" t="s">
        <v>868</v>
      </c>
      <c r="L1155" s="75"/>
    </row>
    <row r="1156" spans="1:12" hidden="1" x14ac:dyDescent="0.25">
      <c r="A1156" s="78">
        <v>45092</v>
      </c>
      <c r="B1156" s="75" t="s">
        <v>1481</v>
      </c>
      <c r="C1156" s="75" t="s">
        <v>2578</v>
      </c>
      <c r="D1156" s="75"/>
      <c r="E1156" s="75">
        <v>68427709</v>
      </c>
      <c r="F1156" s="89">
        <v>2000</v>
      </c>
      <c r="G1156" s="75" t="s">
        <v>309</v>
      </c>
      <c r="H1156" s="75" t="s">
        <v>310</v>
      </c>
      <c r="I1156" s="75" t="s">
        <v>1896</v>
      </c>
      <c r="J1156" s="75">
        <v>2024</v>
      </c>
      <c r="K1156" s="75" t="s">
        <v>868</v>
      </c>
      <c r="L1156" s="75"/>
    </row>
    <row r="1157" spans="1:12" hidden="1" x14ac:dyDescent="0.25">
      <c r="A1157" s="78">
        <v>45092</v>
      </c>
      <c r="B1157" s="75" t="s">
        <v>2631</v>
      </c>
      <c r="C1157" s="75" t="s">
        <v>2632</v>
      </c>
      <c r="D1157" s="75"/>
      <c r="E1157" s="75">
        <v>68427709</v>
      </c>
      <c r="F1157" s="89">
        <v>40000</v>
      </c>
      <c r="G1157" s="75" t="s">
        <v>309</v>
      </c>
      <c r="H1157" s="75" t="s">
        <v>310</v>
      </c>
      <c r="I1157" s="75" t="s">
        <v>329</v>
      </c>
      <c r="J1157" s="75">
        <v>2024</v>
      </c>
      <c r="K1157" s="75" t="s">
        <v>868</v>
      </c>
      <c r="L1157" s="75"/>
    </row>
    <row r="1158" spans="1:12" hidden="1" x14ac:dyDescent="0.25">
      <c r="A1158" s="78">
        <v>45092</v>
      </c>
      <c r="B1158" s="75" t="s">
        <v>2633</v>
      </c>
      <c r="C1158" s="75" t="s">
        <v>2634</v>
      </c>
      <c r="D1158" s="75"/>
      <c r="E1158" s="75">
        <v>68427709</v>
      </c>
      <c r="F1158" s="89">
        <v>0</v>
      </c>
      <c r="G1158" s="75" t="s">
        <v>309</v>
      </c>
      <c r="H1158" s="75" t="s">
        <v>310</v>
      </c>
      <c r="I1158" s="75" t="s">
        <v>329</v>
      </c>
      <c r="J1158" s="75">
        <v>2024</v>
      </c>
      <c r="K1158" s="75" t="s">
        <v>1984</v>
      </c>
      <c r="L1158" s="75" t="s">
        <v>2635</v>
      </c>
    </row>
    <row r="1159" spans="1:12" hidden="1" x14ac:dyDescent="0.25">
      <c r="A1159" s="78">
        <v>45092</v>
      </c>
      <c r="B1159" s="75" t="s">
        <v>2636</v>
      </c>
      <c r="C1159" s="75" t="s">
        <v>2637</v>
      </c>
      <c r="D1159" s="75"/>
      <c r="E1159" s="75">
        <v>68427709</v>
      </c>
      <c r="F1159" s="89">
        <v>47000</v>
      </c>
      <c r="G1159" s="75" t="s">
        <v>309</v>
      </c>
      <c r="H1159" s="75" t="s">
        <v>310</v>
      </c>
      <c r="I1159" s="75" t="s">
        <v>1896</v>
      </c>
      <c r="J1159" s="75">
        <v>2024</v>
      </c>
      <c r="K1159" s="75" t="s">
        <v>1984</v>
      </c>
      <c r="L1159" s="75"/>
    </row>
    <row r="1160" spans="1:12" hidden="1" x14ac:dyDescent="0.25">
      <c r="A1160" s="78">
        <v>45092</v>
      </c>
      <c r="B1160" s="75" t="s">
        <v>2638</v>
      </c>
      <c r="C1160" s="75" t="s">
        <v>2639</v>
      </c>
      <c r="D1160" s="75"/>
      <c r="E1160" s="75">
        <v>68427709</v>
      </c>
      <c r="F1160" s="89">
        <v>51000</v>
      </c>
      <c r="G1160" s="75" t="s">
        <v>309</v>
      </c>
      <c r="H1160" s="75" t="s">
        <v>310</v>
      </c>
      <c r="I1160" s="75" t="s">
        <v>1896</v>
      </c>
      <c r="J1160" s="75">
        <v>2024</v>
      </c>
      <c r="K1160" s="75" t="s">
        <v>1984</v>
      </c>
      <c r="L1160" s="75"/>
    </row>
    <row r="1161" spans="1:12" hidden="1" x14ac:dyDescent="0.25">
      <c r="A1161" s="78">
        <v>45092</v>
      </c>
      <c r="B1161" s="75" t="s">
        <v>1449</v>
      </c>
      <c r="C1161" s="75" t="s">
        <v>2640</v>
      </c>
      <c r="D1161" s="75"/>
      <c r="E1161" s="75">
        <v>68427709</v>
      </c>
      <c r="F1161" s="89">
        <v>99000</v>
      </c>
      <c r="G1161" s="75" t="s">
        <v>309</v>
      </c>
      <c r="H1161" s="75" t="s">
        <v>310</v>
      </c>
      <c r="I1161" s="75" t="s">
        <v>1896</v>
      </c>
      <c r="J1161" s="75">
        <v>2024</v>
      </c>
      <c r="K1161" s="75" t="s">
        <v>1984</v>
      </c>
      <c r="L1161" s="75"/>
    </row>
    <row r="1162" spans="1:12" hidden="1" x14ac:dyDescent="0.25">
      <c r="A1162" s="78">
        <v>45092</v>
      </c>
      <c r="B1162" s="75" t="s">
        <v>2641</v>
      </c>
      <c r="C1162" s="75" t="s">
        <v>2639</v>
      </c>
      <c r="D1162" s="75"/>
      <c r="E1162" s="75">
        <v>68427709</v>
      </c>
      <c r="F1162" s="89">
        <v>10000</v>
      </c>
      <c r="G1162" s="75" t="s">
        <v>309</v>
      </c>
      <c r="H1162" s="75" t="s">
        <v>310</v>
      </c>
      <c r="I1162" s="75" t="s">
        <v>1896</v>
      </c>
      <c r="J1162" s="75">
        <v>2024</v>
      </c>
      <c r="K1162" s="75" t="s">
        <v>1984</v>
      </c>
      <c r="L1162" s="75"/>
    </row>
    <row r="1163" spans="1:12" hidden="1" x14ac:dyDescent="0.25">
      <c r="A1163" s="78">
        <v>45099</v>
      </c>
      <c r="B1163" s="75" t="s">
        <v>2439</v>
      </c>
      <c r="C1163" s="75" t="s">
        <v>2642</v>
      </c>
      <c r="D1163" s="75"/>
      <c r="E1163" s="75">
        <v>68427709</v>
      </c>
      <c r="F1163" s="89">
        <v>1000</v>
      </c>
      <c r="G1163" s="75" t="s">
        <v>309</v>
      </c>
      <c r="H1163" s="75" t="s">
        <v>310</v>
      </c>
      <c r="I1163" s="75"/>
      <c r="J1163" s="75">
        <v>2024</v>
      </c>
      <c r="K1163" s="75" t="s">
        <v>1399</v>
      </c>
      <c r="L1163" s="75"/>
    </row>
    <row r="1164" spans="1:12" hidden="1" x14ac:dyDescent="0.25">
      <c r="A1164" s="78">
        <v>45099</v>
      </c>
      <c r="B1164" s="75" t="s">
        <v>1548</v>
      </c>
      <c r="C1164" s="75" t="s">
        <v>2643</v>
      </c>
      <c r="D1164" s="75"/>
      <c r="E1164" s="75">
        <v>68427709</v>
      </c>
      <c r="F1164" s="89">
        <v>-30000</v>
      </c>
      <c r="G1164" s="75" t="s">
        <v>309</v>
      </c>
      <c r="H1164" s="75" t="s">
        <v>310</v>
      </c>
      <c r="I1164" s="75"/>
      <c r="J1164" s="75">
        <v>2024</v>
      </c>
      <c r="K1164" s="75" t="s">
        <v>1399</v>
      </c>
      <c r="L1164" s="75"/>
    </row>
    <row r="1165" spans="1:12" hidden="1" x14ac:dyDescent="0.25">
      <c r="A1165" s="78">
        <v>45099</v>
      </c>
      <c r="B1165" s="75" t="s">
        <v>2644</v>
      </c>
      <c r="C1165" s="75" t="s">
        <v>2645</v>
      </c>
      <c r="D1165" s="75"/>
      <c r="E1165" s="75">
        <v>68427709</v>
      </c>
      <c r="F1165" s="89">
        <v>10000</v>
      </c>
      <c r="G1165" s="75" t="s">
        <v>309</v>
      </c>
      <c r="H1165" s="75" t="s">
        <v>310</v>
      </c>
      <c r="I1165" s="75"/>
      <c r="J1165" s="75">
        <v>2024</v>
      </c>
      <c r="K1165" s="75" t="s">
        <v>1399</v>
      </c>
      <c r="L1165" s="75" t="s">
        <v>2646</v>
      </c>
    </row>
    <row r="1166" spans="1:12" hidden="1" x14ac:dyDescent="0.25">
      <c r="A1166" s="78">
        <v>45099</v>
      </c>
      <c r="B1166" s="75" t="s">
        <v>2647</v>
      </c>
      <c r="C1166" s="75" t="s">
        <v>2645</v>
      </c>
      <c r="D1166" s="75"/>
      <c r="E1166" s="75">
        <v>68427709</v>
      </c>
      <c r="F1166" s="89">
        <v>15000</v>
      </c>
      <c r="G1166" s="75" t="s">
        <v>309</v>
      </c>
      <c r="H1166" s="75" t="s">
        <v>310</v>
      </c>
      <c r="I1166" s="75"/>
      <c r="J1166" s="75">
        <v>2024</v>
      </c>
      <c r="K1166" s="75" t="s">
        <v>1399</v>
      </c>
      <c r="L1166" s="75" t="s">
        <v>2646</v>
      </c>
    </row>
    <row r="1167" spans="1:12" hidden="1" x14ac:dyDescent="0.25">
      <c r="A1167" s="78">
        <v>45099</v>
      </c>
      <c r="B1167" s="116" t="s">
        <v>1626</v>
      </c>
      <c r="C1167" s="75" t="s">
        <v>2648</v>
      </c>
      <c r="D1167" s="75"/>
      <c r="E1167" s="75">
        <v>68427709</v>
      </c>
      <c r="F1167" s="89">
        <v>-35000</v>
      </c>
      <c r="G1167" s="75" t="s">
        <v>309</v>
      </c>
      <c r="H1167" s="75" t="s">
        <v>310</v>
      </c>
      <c r="I1167" s="75"/>
      <c r="J1167" s="75">
        <v>2024</v>
      </c>
      <c r="K1167" s="75" t="s">
        <v>1399</v>
      </c>
      <c r="L1167" s="75"/>
    </row>
    <row r="1168" spans="1:12" hidden="1" x14ac:dyDescent="0.25">
      <c r="A1168" s="78">
        <v>45099</v>
      </c>
      <c r="B1168" s="75" t="s">
        <v>2649</v>
      </c>
      <c r="C1168" s="75" t="s">
        <v>2650</v>
      </c>
      <c r="D1168" s="75"/>
      <c r="E1168" s="75">
        <v>68427709</v>
      </c>
      <c r="F1168" s="89">
        <v>-27000</v>
      </c>
      <c r="G1168" s="75" t="s">
        <v>309</v>
      </c>
      <c r="H1168" s="75" t="s">
        <v>310</v>
      </c>
      <c r="I1168" s="75"/>
      <c r="J1168" s="75">
        <v>2024</v>
      </c>
      <c r="K1168" s="75" t="s">
        <v>1399</v>
      </c>
      <c r="L1168" s="75"/>
    </row>
    <row r="1169" spans="1:12" ht="120" hidden="1" x14ac:dyDescent="0.25">
      <c r="A1169" s="78">
        <v>45099</v>
      </c>
      <c r="B1169" s="75" t="s">
        <v>2651</v>
      </c>
      <c r="C1169" s="165" t="s">
        <v>2652</v>
      </c>
      <c r="D1169" s="75"/>
      <c r="E1169" s="75">
        <v>68427709</v>
      </c>
      <c r="F1169" s="89">
        <v>250000</v>
      </c>
      <c r="G1169" s="75" t="s">
        <v>309</v>
      </c>
      <c r="H1169" s="75" t="s">
        <v>310</v>
      </c>
      <c r="I1169" s="75"/>
      <c r="J1169" s="75">
        <v>2024</v>
      </c>
      <c r="K1169" s="75" t="s">
        <v>1399</v>
      </c>
      <c r="L1169" s="75" t="s">
        <v>2646</v>
      </c>
    </row>
    <row r="1170" spans="1:12" hidden="1" x14ac:dyDescent="0.25">
      <c r="A1170" s="78">
        <v>45099</v>
      </c>
      <c r="B1170" s="116" t="s">
        <v>2653</v>
      </c>
      <c r="C1170" s="75" t="s">
        <v>2654</v>
      </c>
      <c r="D1170" s="75"/>
      <c r="E1170" s="75">
        <v>68427709</v>
      </c>
      <c r="F1170" s="89">
        <v>0</v>
      </c>
      <c r="G1170" s="75" t="s">
        <v>309</v>
      </c>
      <c r="H1170" s="75" t="s">
        <v>310</v>
      </c>
      <c r="I1170" s="75"/>
      <c r="J1170" s="75">
        <v>2024</v>
      </c>
      <c r="K1170" s="75" t="s">
        <v>1399</v>
      </c>
      <c r="L1170" s="75" t="s">
        <v>2646</v>
      </c>
    </row>
    <row r="1171" spans="1:12" hidden="1" x14ac:dyDescent="0.25">
      <c r="A1171" s="78">
        <v>45099</v>
      </c>
      <c r="B1171" s="75" t="s">
        <v>2655</v>
      </c>
      <c r="C1171" s="75" t="s">
        <v>2656</v>
      </c>
      <c r="D1171" s="75"/>
      <c r="E1171" s="75">
        <v>68427709</v>
      </c>
      <c r="F1171" s="89">
        <v>1500</v>
      </c>
      <c r="G1171" s="75" t="s">
        <v>309</v>
      </c>
      <c r="H1171" s="75" t="s">
        <v>310</v>
      </c>
      <c r="I1171" s="75"/>
      <c r="J1171" s="75">
        <v>2024</v>
      </c>
      <c r="K1171" s="75" t="s">
        <v>1399</v>
      </c>
      <c r="L1171" s="75"/>
    </row>
    <row r="1172" spans="1:12" hidden="1" x14ac:dyDescent="0.25">
      <c r="A1172" s="78">
        <v>45099</v>
      </c>
      <c r="B1172" s="144" t="s">
        <v>2657</v>
      </c>
      <c r="C1172" s="75" t="s">
        <v>2658</v>
      </c>
      <c r="D1172" s="75"/>
      <c r="E1172" s="75">
        <v>68427709</v>
      </c>
      <c r="F1172" s="89">
        <v>65000</v>
      </c>
      <c r="G1172" s="75" t="s">
        <v>309</v>
      </c>
      <c r="H1172" s="75" t="s">
        <v>310</v>
      </c>
      <c r="I1172" s="75"/>
      <c r="J1172" s="75">
        <v>2024</v>
      </c>
      <c r="K1172" s="75" t="s">
        <v>1399</v>
      </c>
      <c r="L1172" s="75"/>
    </row>
    <row r="1173" spans="1:12" hidden="1" x14ac:dyDescent="0.25">
      <c r="A1173" s="78">
        <v>45099</v>
      </c>
      <c r="B1173" s="75" t="s">
        <v>2414</v>
      </c>
      <c r="C1173" s="75" t="s">
        <v>2659</v>
      </c>
      <c r="D1173" s="75"/>
      <c r="E1173" s="75">
        <v>68427709</v>
      </c>
      <c r="F1173" s="89">
        <v>10000</v>
      </c>
      <c r="G1173" s="75" t="s">
        <v>309</v>
      </c>
      <c r="H1173" s="75" t="s">
        <v>310</v>
      </c>
      <c r="I1173" s="75"/>
      <c r="J1173" s="75">
        <v>2024</v>
      </c>
      <c r="K1173" s="75" t="s">
        <v>1399</v>
      </c>
      <c r="L1173" s="75"/>
    </row>
    <row r="1174" spans="1:12" hidden="1" x14ac:dyDescent="0.25">
      <c r="A1174" s="78">
        <v>45099</v>
      </c>
      <c r="B1174" s="75" t="s">
        <v>786</v>
      </c>
      <c r="C1174" s="75" t="s">
        <v>2660</v>
      </c>
      <c r="D1174" s="75"/>
      <c r="E1174" s="75">
        <v>68427709</v>
      </c>
      <c r="F1174" s="89">
        <v>300000</v>
      </c>
      <c r="G1174" s="75" t="s">
        <v>309</v>
      </c>
      <c r="H1174" s="75" t="s">
        <v>310</v>
      </c>
      <c r="I1174" s="75"/>
      <c r="J1174" s="75">
        <v>2024</v>
      </c>
      <c r="K1174" s="75" t="s">
        <v>1399</v>
      </c>
      <c r="L1174" s="75"/>
    </row>
    <row r="1175" spans="1:12" hidden="1" x14ac:dyDescent="0.25">
      <c r="A1175" s="78">
        <v>45099</v>
      </c>
      <c r="B1175" s="75" t="s">
        <v>2661</v>
      </c>
      <c r="C1175" s="75" t="s">
        <v>2662</v>
      </c>
      <c r="D1175" s="75"/>
      <c r="E1175" s="75">
        <v>68427709</v>
      </c>
      <c r="F1175" s="89">
        <v>150000</v>
      </c>
      <c r="G1175" s="75" t="s">
        <v>309</v>
      </c>
      <c r="H1175" s="75" t="s">
        <v>310</v>
      </c>
      <c r="I1175" s="75"/>
      <c r="J1175" s="75">
        <v>2024</v>
      </c>
      <c r="K1175" s="75" t="s">
        <v>1399</v>
      </c>
      <c r="L1175" s="75"/>
    </row>
    <row r="1176" spans="1:12" hidden="1" x14ac:dyDescent="0.25">
      <c r="A1176" s="78">
        <v>45099</v>
      </c>
      <c r="B1176" s="116" t="s">
        <v>2029</v>
      </c>
      <c r="C1176" s="75" t="s">
        <v>2663</v>
      </c>
      <c r="D1176" s="75"/>
      <c r="E1176" s="75">
        <v>68427709</v>
      </c>
      <c r="F1176" s="89">
        <v>60000</v>
      </c>
      <c r="G1176" s="75" t="s">
        <v>309</v>
      </c>
      <c r="H1176" s="75" t="s">
        <v>310</v>
      </c>
      <c r="I1176" s="75"/>
      <c r="J1176" s="75">
        <v>2024</v>
      </c>
      <c r="K1176" s="75" t="s">
        <v>1399</v>
      </c>
      <c r="L1176" s="75"/>
    </row>
    <row r="1177" spans="1:12" hidden="1" x14ac:dyDescent="0.25">
      <c r="A1177" s="78">
        <v>45099</v>
      </c>
      <c r="B1177" s="116" t="s">
        <v>2030</v>
      </c>
      <c r="C1177" s="75" t="s">
        <v>2664</v>
      </c>
      <c r="D1177" s="75"/>
      <c r="E1177" s="75">
        <v>68427709</v>
      </c>
      <c r="F1177" s="89">
        <v>-8000</v>
      </c>
      <c r="G1177" s="75" t="s">
        <v>309</v>
      </c>
      <c r="H1177" s="75" t="s">
        <v>310</v>
      </c>
      <c r="I1177" s="75"/>
      <c r="J1177" s="75">
        <v>2024</v>
      </c>
      <c r="K1177" s="75" t="s">
        <v>1399</v>
      </c>
      <c r="L1177" s="75"/>
    </row>
    <row r="1178" spans="1:12" hidden="1" x14ac:dyDescent="0.25">
      <c r="A1178" s="78">
        <v>45099</v>
      </c>
      <c r="B1178" s="116" t="s">
        <v>2031</v>
      </c>
      <c r="C1178" s="75" t="s">
        <v>2665</v>
      </c>
      <c r="D1178" s="75"/>
      <c r="E1178" s="75">
        <v>68427709</v>
      </c>
      <c r="F1178" s="89">
        <v>15000</v>
      </c>
      <c r="G1178" s="75" t="s">
        <v>309</v>
      </c>
      <c r="H1178" s="75" t="s">
        <v>310</v>
      </c>
      <c r="I1178" s="75"/>
      <c r="J1178" s="75">
        <v>2024</v>
      </c>
      <c r="K1178" s="75" t="s">
        <v>1399</v>
      </c>
      <c r="L1178" s="75"/>
    </row>
    <row r="1179" spans="1:12" hidden="1" x14ac:dyDescent="0.25">
      <c r="A1179" s="78">
        <v>45099</v>
      </c>
      <c r="B1179" s="75" t="s">
        <v>2666</v>
      </c>
      <c r="C1179" s="75" t="s">
        <v>2667</v>
      </c>
      <c r="D1179" s="75"/>
      <c r="E1179" s="75">
        <v>68427709</v>
      </c>
      <c r="F1179" s="89">
        <v>75000</v>
      </c>
      <c r="G1179" s="75" t="s">
        <v>309</v>
      </c>
      <c r="H1179" s="75" t="s">
        <v>310</v>
      </c>
      <c r="I1179" s="75"/>
      <c r="J1179" s="75">
        <v>2024</v>
      </c>
      <c r="K1179" s="75" t="s">
        <v>1399</v>
      </c>
      <c r="L1179" s="75"/>
    </row>
    <row r="1180" spans="1:12" hidden="1" x14ac:dyDescent="0.25">
      <c r="A1180" s="78">
        <v>45099</v>
      </c>
      <c r="B1180" s="75" t="s">
        <v>2668</v>
      </c>
      <c r="C1180" s="75" t="s">
        <v>2656</v>
      </c>
      <c r="D1180" s="75"/>
      <c r="E1180" s="75">
        <v>68427709</v>
      </c>
      <c r="F1180" s="89">
        <v>15000</v>
      </c>
      <c r="G1180" s="75" t="s">
        <v>309</v>
      </c>
      <c r="H1180" s="75" t="s">
        <v>310</v>
      </c>
      <c r="I1180" s="75"/>
      <c r="J1180" s="75">
        <v>2024</v>
      </c>
      <c r="K1180" s="75" t="s">
        <v>1399</v>
      </c>
      <c r="L1180" s="75"/>
    </row>
    <row r="1181" spans="1:12" hidden="1" x14ac:dyDescent="0.25">
      <c r="A1181" s="78">
        <v>45099</v>
      </c>
      <c r="B1181" s="75" t="s">
        <v>835</v>
      </c>
      <c r="C1181" s="75" t="s">
        <v>2669</v>
      </c>
      <c r="D1181" s="75"/>
      <c r="E1181" s="75">
        <v>68427709</v>
      </c>
      <c r="F1181" s="89">
        <v>-30000</v>
      </c>
      <c r="G1181" s="75" t="s">
        <v>309</v>
      </c>
      <c r="H1181" s="75" t="s">
        <v>310</v>
      </c>
      <c r="I1181" s="75"/>
      <c r="J1181" s="75">
        <v>2024</v>
      </c>
      <c r="K1181" s="75" t="s">
        <v>1399</v>
      </c>
      <c r="L1181" s="75"/>
    </row>
    <row r="1182" spans="1:12" hidden="1" x14ac:dyDescent="0.25">
      <c r="A1182" s="78">
        <v>45099</v>
      </c>
      <c r="B1182" s="215" t="s">
        <v>2446</v>
      </c>
      <c r="C1182" s="75" t="s">
        <v>2670</v>
      </c>
      <c r="D1182" s="75"/>
      <c r="E1182" s="75">
        <v>68427709</v>
      </c>
      <c r="F1182" s="89">
        <v>347000</v>
      </c>
      <c r="G1182" s="75" t="s">
        <v>309</v>
      </c>
      <c r="H1182" s="75" t="s">
        <v>310</v>
      </c>
      <c r="I1182" s="75"/>
      <c r="J1182" s="75">
        <v>2024</v>
      </c>
      <c r="K1182" s="75" t="s">
        <v>1399</v>
      </c>
      <c r="L1182" s="75"/>
    </row>
    <row r="1183" spans="1:12" hidden="1" x14ac:dyDescent="0.25">
      <c r="A1183" s="78">
        <v>45099</v>
      </c>
      <c r="B1183" s="75" t="s">
        <v>1416</v>
      </c>
      <c r="C1183" s="75" t="s">
        <v>2656</v>
      </c>
      <c r="D1183" s="75"/>
      <c r="E1183" s="75">
        <v>68427709</v>
      </c>
      <c r="F1183" s="89">
        <v>1000</v>
      </c>
      <c r="G1183" s="75" t="s">
        <v>309</v>
      </c>
      <c r="H1183" s="75" t="s">
        <v>310</v>
      </c>
      <c r="I1183" s="75"/>
      <c r="J1183" s="75">
        <v>2024</v>
      </c>
      <c r="K1183" s="75" t="s">
        <v>1399</v>
      </c>
      <c r="L1183" s="75"/>
    </row>
    <row r="1184" spans="1:12" hidden="1" x14ac:dyDescent="0.25">
      <c r="A1184" s="78">
        <v>45099</v>
      </c>
      <c r="B1184" s="75" t="s">
        <v>2427</v>
      </c>
      <c r="C1184" s="75" t="s">
        <v>2671</v>
      </c>
      <c r="D1184" s="75"/>
      <c r="E1184" s="75">
        <v>68427709</v>
      </c>
      <c r="F1184" s="89">
        <v>362000</v>
      </c>
      <c r="G1184" s="75" t="s">
        <v>309</v>
      </c>
      <c r="H1184" s="75" t="s">
        <v>310</v>
      </c>
      <c r="I1184" s="75"/>
      <c r="J1184" s="75">
        <v>2024</v>
      </c>
      <c r="K1184" s="75" t="s">
        <v>1399</v>
      </c>
      <c r="L1184" s="75" t="s">
        <v>2672</v>
      </c>
    </row>
    <row r="1185" spans="1:12" hidden="1" x14ac:dyDescent="0.25">
      <c r="A1185" s="78">
        <v>45099</v>
      </c>
      <c r="B1185" s="75" t="s">
        <v>2037</v>
      </c>
      <c r="C1185" s="75" t="s">
        <v>2656</v>
      </c>
      <c r="D1185" s="75"/>
      <c r="E1185" s="75">
        <v>68427709</v>
      </c>
      <c r="F1185" s="89">
        <v>1200</v>
      </c>
      <c r="G1185" s="75" t="s">
        <v>309</v>
      </c>
      <c r="H1185" s="75" t="s">
        <v>310</v>
      </c>
      <c r="I1185" s="75"/>
      <c r="J1185" s="75">
        <v>2024</v>
      </c>
      <c r="K1185" s="75" t="s">
        <v>1399</v>
      </c>
      <c r="L1185" s="75"/>
    </row>
    <row r="1186" spans="1:12" hidden="1" x14ac:dyDescent="0.25">
      <c r="A1186" s="78">
        <v>45099</v>
      </c>
      <c r="B1186" s="75" t="s">
        <v>2430</v>
      </c>
      <c r="C1186" s="75" t="s">
        <v>2656</v>
      </c>
      <c r="D1186" s="75"/>
      <c r="E1186" s="75">
        <v>68427709</v>
      </c>
      <c r="F1186" s="89">
        <v>1000</v>
      </c>
      <c r="G1186" s="75" t="s">
        <v>309</v>
      </c>
      <c r="H1186" s="75" t="s">
        <v>310</v>
      </c>
      <c r="I1186" s="75"/>
      <c r="J1186" s="75">
        <v>2024</v>
      </c>
      <c r="K1186" s="75" t="s">
        <v>1399</v>
      </c>
      <c r="L1186" s="75"/>
    </row>
    <row r="1187" spans="1:12" hidden="1" x14ac:dyDescent="0.25">
      <c r="A1187" s="78">
        <v>45099</v>
      </c>
      <c r="B1187" s="75" t="s">
        <v>1580</v>
      </c>
      <c r="C1187" s="75" t="s">
        <v>2656</v>
      </c>
      <c r="D1187" s="75"/>
      <c r="E1187" s="75">
        <v>68427709</v>
      </c>
      <c r="F1187" s="89">
        <v>15000</v>
      </c>
      <c r="G1187" s="75" t="s">
        <v>309</v>
      </c>
      <c r="H1187" s="75" t="s">
        <v>310</v>
      </c>
      <c r="I1187" s="75"/>
      <c r="J1187" s="75">
        <v>2024</v>
      </c>
      <c r="K1187" s="75" t="s">
        <v>1399</v>
      </c>
      <c r="L1187" s="75"/>
    </row>
    <row r="1188" spans="1:12" hidden="1" x14ac:dyDescent="0.25">
      <c r="A1188" s="78">
        <v>45099</v>
      </c>
      <c r="B1188" s="75" t="s">
        <v>2673</v>
      </c>
      <c r="C1188" s="75" t="s">
        <v>2674</v>
      </c>
      <c r="D1188" s="75"/>
      <c r="E1188" s="75">
        <v>68427709</v>
      </c>
      <c r="F1188" s="89">
        <v>-35000</v>
      </c>
      <c r="G1188" s="75" t="s">
        <v>309</v>
      </c>
      <c r="H1188" s="75" t="s">
        <v>310</v>
      </c>
      <c r="I1188" s="75"/>
      <c r="J1188" s="75">
        <v>2024</v>
      </c>
      <c r="K1188" s="75" t="s">
        <v>1399</v>
      </c>
      <c r="L1188" s="75"/>
    </row>
    <row r="1189" spans="1:12" hidden="1" x14ac:dyDescent="0.25">
      <c r="A1189" s="78">
        <v>45099</v>
      </c>
      <c r="B1189" s="75" t="s">
        <v>833</v>
      </c>
      <c r="C1189" s="75" t="s">
        <v>2675</v>
      </c>
      <c r="D1189" s="75"/>
      <c r="E1189" s="75">
        <v>68427709</v>
      </c>
      <c r="F1189" s="89">
        <v>32000</v>
      </c>
      <c r="G1189" s="75" t="s">
        <v>309</v>
      </c>
      <c r="H1189" s="75" t="s">
        <v>310</v>
      </c>
      <c r="I1189" s="75"/>
      <c r="J1189" s="75">
        <v>2024</v>
      </c>
      <c r="K1189" s="75" t="s">
        <v>1399</v>
      </c>
      <c r="L1189" s="75"/>
    </row>
    <row r="1190" spans="1:12" hidden="1" x14ac:dyDescent="0.25">
      <c r="A1190" s="78">
        <v>45099</v>
      </c>
      <c r="B1190" s="75" t="s">
        <v>1162</v>
      </c>
      <c r="C1190" s="75" t="s">
        <v>2676</v>
      </c>
      <c r="D1190" s="75"/>
      <c r="E1190" s="75">
        <v>68427709</v>
      </c>
      <c r="F1190" s="89">
        <v>-140000</v>
      </c>
      <c r="G1190" s="75" t="s">
        <v>309</v>
      </c>
      <c r="H1190" s="75" t="s">
        <v>310</v>
      </c>
      <c r="I1190" s="75"/>
      <c r="J1190" s="75">
        <v>2024</v>
      </c>
      <c r="K1190" s="75" t="s">
        <v>1399</v>
      </c>
      <c r="L1190" s="75"/>
    </row>
    <row r="1191" spans="1:12" hidden="1" x14ac:dyDescent="0.25">
      <c r="A1191" s="78">
        <v>45099</v>
      </c>
      <c r="B1191" s="75" t="s">
        <v>2435</v>
      </c>
      <c r="C1191" s="75" t="s">
        <v>2677</v>
      </c>
      <c r="D1191" s="75"/>
      <c r="E1191" s="75">
        <v>68427709</v>
      </c>
      <c r="F1191" s="89">
        <v>100000</v>
      </c>
      <c r="G1191" s="75" t="s">
        <v>309</v>
      </c>
      <c r="H1191" s="75" t="s">
        <v>310</v>
      </c>
      <c r="I1191" s="75"/>
      <c r="J1191" s="75">
        <v>2024</v>
      </c>
      <c r="K1191" s="75" t="s">
        <v>1399</v>
      </c>
      <c r="L1191" s="75"/>
    </row>
    <row r="1192" spans="1:12" hidden="1" x14ac:dyDescent="0.25">
      <c r="A1192" s="78">
        <v>45099</v>
      </c>
      <c r="B1192" s="75" t="s">
        <v>2678</v>
      </c>
      <c r="C1192" s="75" t="s">
        <v>2679</v>
      </c>
      <c r="D1192" s="75" t="s">
        <v>1829</v>
      </c>
      <c r="E1192" s="75">
        <v>68427709</v>
      </c>
      <c r="F1192" s="89">
        <v>125000</v>
      </c>
      <c r="G1192" s="75" t="s">
        <v>309</v>
      </c>
      <c r="H1192" s="75" t="s">
        <v>310</v>
      </c>
      <c r="I1192" s="75"/>
      <c r="J1192" s="75">
        <v>2024</v>
      </c>
      <c r="K1192" s="75" t="s">
        <v>1399</v>
      </c>
      <c r="L1192" s="75"/>
    </row>
    <row r="1193" spans="1:12" hidden="1" x14ac:dyDescent="0.25">
      <c r="A1193" s="78">
        <v>45099</v>
      </c>
      <c r="B1193" s="75" t="s">
        <v>2680</v>
      </c>
      <c r="C1193" s="75" t="s">
        <v>2681</v>
      </c>
      <c r="D1193" s="75" t="s">
        <v>1829</v>
      </c>
      <c r="E1193" s="75">
        <v>68427709</v>
      </c>
      <c r="F1193" s="89">
        <v>125000</v>
      </c>
      <c r="G1193" s="75" t="s">
        <v>309</v>
      </c>
      <c r="H1193" s="75" t="s">
        <v>310</v>
      </c>
      <c r="I1193" s="75"/>
      <c r="J1193" s="75">
        <v>2024</v>
      </c>
      <c r="K1193" s="75" t="s">
        <v>1399</v>
      </c>
      <c r="L1193" s="75"/>
    </row>
    <row r="1194" spans="1:12" hidden="1" x14ac:dyDescent="0.25">
      <c r="A1194" s="78">
        <v>45099</v>
      </c>
      <c r="B1194" s="215" t="s">
        <v>2682</v>
      </c>
      <c r="C1194" s="75" t="s">
        <v>2683</v>
      </c>
      <c r="D1194" s="75" t="s">
        <v>1829</v>
      </c>
      <c r="E1194" s="75">
        <v>68427709</v>
      </c>
      <c r="F1194" s="89">
        <v>64000</v>
      </c>
      <c r="G1194" s="75" t="s">
        <v>309</v>
      </c>
      <c r="H1194" s="75" t="s">
        <v>310</v>
      </c>
      <c r="I1194" s="75"/>
      <c r="J1194" s="75">
        <v>2024</v>
      </c>
      <c r="K1194" s="75" t="s">
        <v>1399</v>
      </c>
      <c r="L1194" s="75"/>
    </row>
    <row r="1195" spans="1:12" hidden="1" x14ac:dyDescent="0.25">
      <c r="A1195" s="78">
        <v>45099</v>
      </c>
      <c r="B1195" s="116" t="s">
        <v>1626</v>
      </c>
      <c r="C1195" s="75" t="s">
        <v>2684</v>
      </c>
      <c r="D1195" s="75" t="s">
        <v>1829</v>
      </c>
      <c r="E1195" s="75">
        <v>68427709</v>
      </c>
      <c r="F1195" s="89">
        <v>50000</v>
      </c>
      <c r="G1195" s="75" t="s">
        <v>309</v>
      </c>
      <c r="H1195" s="75" t="s">
        <v>310</v>
      </c>
      <c r="I1195" s="75"/>
      <c r="J1195" s="75">
        <v>2024</v>
      </c>
      <c r="K1195" s="75" t="s">
        <v>1399</v>
      </c>
      <c r="L1195" s="75"/>
    </row>
    <row r="1196" spans="1:12" hidden="1" x14ac:dyDescent="0.25">
      <c r="A1196" s="78">
        <v>45099</v>
      </c>
      <c r="B1196" s="116" t="s">
        <v>2685</v>
      </c>
      <c r="C1196" s="75" t="s">
        <v>2686</v>
      </c>
      <c r="D1196" s="75" t="s">
        <v>1829</v>
      </c>
      <c r="E1196" s="75">
        <v>68427709</v>
      </c>
      <c r="F1196" s="89">
        <v>10000</v>
      </c>
      <c r="G1196" s="75" t="s">
        <v>309</v>
      </c>
      <c r="H1196" s="75" t="s">
        <v>310</v>
      </c>
      <c r="I1196" s="75"/>
      <c r="J1196" s="75">
        <v>2024</v>
      </c>
      <c r="K1196" s="75" t="s">
        <v>1399</v>
      </c>
      <c r="L1196" s="75"/>
    </row>
    <row r="1197" spans="1:12" hidden="1" x14ac:dyDescent="0.25">
      <c r="A1197" s="78">
        <v>45099</v>
      </c>
      <c r="B1197" s="75" t="s">
        <v>2687</v>
      </c>
      <c r="C1197" s="75" t="s">
        <v>2688</v>
      </c>
      <c r="D1197" s="75" t="s">
        <v>1829</v>
      </c>
      <c r="E1197" s="75">
        <v>68427709</v>
      </c>
      <c r="F1197" s="89">
        <v>12500</v>
      </c>
      <c r="G1197" s="75" t="s">
        <v>309</v>
      </c>
      <c r="H1197" s="75" t="s">
        <v>310</v>
      </c>
      <c r="I1197" s="75"/>
      <c r="J1197" s="75">
        <v>2024</v>
      </c>
      <c r="K1197" s="75" t="s">
        <v>1399</v>
      </c>
      <c r="L1197" s="75"/>
    </row>
    <row r="1198" spans="1:12" hidden="1" x14ac:dyDescent="0.25">
      <c r="A1198" s="131">
        <v>45099</v>
      </c>
      <c r="B1198" s="75" t="s">
        <v>2384</v>
      </c>
      <c r="C1198" s="75" t="s">
        <v>1937</v>
      </c>
      <c r="D1198" s="132"/>
      <c r="E1198" s="75">
        <v>68427709</v>
      </c>
      <c r="F1198" s="89">
        <v>5000</v>
      </c>
      <c r="G1198" s="75" t="s">
        <v>309</v>
      </c>
      <c r="H1198" s="75" t="s">
        <v>310</v>
      </c>
      <c r="I1198" s="75" t="s">
        <v>1896</v>
      </c>
      <c r="J1198" s="75">
        <v>2024</v>
      </c>
      <c r="K1198" s="75" t="s">
        <v>2510</v>
      </c>
      <c r="L1198" s="75"/>
    </row>
    <row r="1199" spans="1:12" hidden="1" x14ac:dyDescent="0.25">
      <c r="A1199" s="131">
        <v>45099</v>
      </c>
      <c r="B1199" s="75" t="s">
        <v>2689</v>
      </c>
      <c r="C1199" s="75" t="s">
        <v>2690</v>
      </c>
      <c r="D1199" s="132" t="s">
        <v>1829</v>
      </c>
      <c r="E1199" s="75">
        <v>68427709</v>
      </c>
      <c r="F1199" s="89">
        <v>30000</v>
      </c>
      <c r="G1199" s="75" t="s">
        <v>309</v>
      </c>
      <c r="H1199" s="75" t="s">
        <v>310</v>
      </c>
      <c r="I1199" s="75" t="s">
        <v>329</v>
      </c>
      <c r="J1199" s="75">
        <v>2024</v>
      </c>
      <c r="K1199" s="75" t="s">
        <v>2691</v>
      </c>
      <c r="L1199" s="75"/>
    </row>
    <row r="1200" spans="1:12" hidden="1" x14ac:dyDescent="0.25">
      <c r="A1200" s="131">
        <v>45099</v>
      </c>
      <c r="B1200" s="75" t="s">
        <v>2689</v>
      </c>
      <c r="C1200" s="75" t="s">
        <v>2692</v>
      </c>
      <c r="D1200" s="132" t="s">
        <v>1829</v>
      </c>
      <c r="E1200" s="75">
        <v>68427709</v>
      </c>
      <c r="F1200" s="89">
        <v>110000</v>
      </c>
      <c r="G1200" s="75" t="s">
        <v>309</v>
      </c>
      <c r="H1200" s="75" t="s">
        <v>310</v>
      </c>
      <c r="I1200" s="75" t="s">
        <v>329</v>
      </c>
      <c r="J1200" s="75">
        <v>2024</v>
      </c>
      <c r="K1200" s="75" t="s">
        <v>2691</v>
      </c>
      <c r="L1200" s="75"/>
    </row>
    <row r="1201" spans="1:12" hidden="1" x14ac:dyDescent="0.25">
      <c r="A1201" s="131">
        <v>45099</v>
      </c>
      <c r="B1201" s="75" t="s">
        <v>2689</v>
      </c>
      <c r="C1201" s="75" t="s">
        <v>2693</v>
      </c>
      <c r="D1201" s="132" t="s">
        <v>1829</v>
      </c>
      <c r="E1201" s="75">
        <v>68427709</v>
      </c>
      <c r="F1201" s="89">
        <v>162000</v>
      </c>
      <c r="G1201" s="75" t="s">
        <v>309</v>
      </c>
      <c r="H1201" s="75" t="s">
        <v>310</v>
      </c>
      <c r="I1201" s="75" t="s">
        <v>1896</v>
      </c>
      <c r="J1201" s="75">
        <v>2024</v>
      </c>
      <c r="K1201" s="75" t="s">
        <v>2691</v>
      </c>
      <c r="L1201" s="75"/>
    </row>
    <row r="1202" spans="1:12" hidden="1" x14ac:dyDescent="0.25">
      <c r="A1202" s="131">
        <v>45099</v>
      </c>
      <c r="B1202" s="75" t="s">
        <v>2694</v>
      </c>
      <c r="C1202" s="75" t="s">
        <v>2695</v>
      </c>
      <c r="D1202" s="132"/>
      <c r="E1202" s="75">
        <v>68427709</v>
      </c>
      <c r="F1202" s="89">
        <v>65000</v>
      </c>
      <c r="G1202" s="75" t="s">
        <v>309</v>
      </c>
      <c r="H1202" s="75" t="s">
        <v>310</v>
      </c>
      <c r="I1202" s="75" t="s">
        <v>329</v>
      </c>
      <c r="J1202" s="75">
        <v>2024</v>
      </c>
      <c r="K1202" s="75" t="s">
        <v>2344</v>
      </c>
      <c r="L1202" s="75"/>
    </row>
    <row r="1203" spans="1:12" hidden="1" x14ac:dyDescent="0.25">
      <c r="A1203" s="78">
        <v>45099</v>
      </c>
      <c r="B1203" s="21" t="s">
        <v>548</v>
      </c>
      <c r="C1203" s="148" t="s">
        <v>2696</v>
      </c>
      <c r="D1203" s="75"/>
      <c r="E1203" s="75">
        <v>68427709</v>
      </c>
      <c r="F1203" s="89">
        <v>250000</v>
      </c>
      <c r="G1203" s="75" t="s">
        <v>309</v>
      </c>
      <c r="H1203" s="75" t="s">
        <v>310</v>
      </c>
      <c r="I1203" s="75" t="s">
        <v>329</v>
      </c>
      <c r="J1203" s="75">
        <v>2024</v>
      </c>
      <c r="K1203" s="75" t="s">
        <v>1288</v>
      </c>
      <c r="L1203" s="75"/>
    </row>
    <row r="1204" spans="1:12" hidden="1" x14ac:dyDescent="0.25">
      <c r="A1204" s="78">
        <v>45103</v>
      </c>
      <c r="B1204" s="75" t="s">
        <v>2697</v>
      </c>
      <c r="C1204" s="75" t="s">
        <v>2698</v>
      </c>
      <c r="D1204" s="75"/>
      <c r="E1204" s="75">
        <v>68427709</v>
      </c>
      <c r="F1204" s="89">
        <v>-40000</v>
      </c>
      <c r="G1204" s="75" t="s">
        <v>309</v>
      </c>
      <c r="H1204" s="75" t="s">
        <v>310</v>
      </c>
      <c r="I1204" s="75" t="s">
        <v>329</v>
      </c>
      <c r="J1204" s="75">
        <v>2024</v>
      </c>
      <c r="K1204" s="75" t="s">
        <v>1288</v>
      </c>
      <c r="L1204" s="75"/>
    </row>
    <row r="1205" spans="1:12" hidden="1" x14ac:dyDescent="0.25">
      <c r="A1205" s="78">
        <v>45104</v>
      </c>
      <c r="B1205" s="75" t="s">
        <v>2110</v>
      </c>
      <c r="C1205" s="75"/>
      <c r="D1205" s="75" t="s">
        <v>1829</v>
      </c>
      <c r="E1205" s="75">
        <v>68427709</v>
      </c>
      <c r="F1205" s="89">
        <v>42000</v>
      </c>
      <c r="G1205" s="75" t="s">
        <v>309</v>
      </c>
      <c r="H1205" s="75" t="s">
        <v>310</v>
      </c>
      <c r="I1205" s="75" t="s">
        <v>1896</v>
      </c>
      <c r="J1205" s="75">
        <v>2024</v>
      </c>
      <c r="K1205" s="75" t="s">
        <v>868</v>
      </c>
      <c r="L1205" s="75"/>
    </row>
    <row r="1206" spans="1:12" hidden="1" x14ac:dyDescent="0.25">
      <c r="A1206" s="78">
        <v>45105</v>
      </c>
      <c r="B1206" s="75" t="s">
        <v>2388</v>
      </c>
      <c r="C1206" s="75" t="s">
        <v>2699</v>
      </c>
      <c r="D1206" s="75"/>
      <c r="E1206" s="75">
        <v>68427709</v>
      </c>
      <c r="F1206" s="89">
        <v>-30000</v>
      </c>
      <c r="G1206" s="75" t="s">
        <v>309</v>
      </c>
      <c r="H1206" s="75" t="s">
        <v>310</v>
      </c>
      <c r="I1206" s="75" t="s">
        <v>1896</v>
      </c>
      <c r="J1206" s="75">
        <v>2024</v>
      </c>
      <c r="K1206" s="75" t="s">
        <v>1288</v>
      </c>
      <c r="L1206" s="75"/>
    </row>
    <row r="1207" spans="1:12" hidden="1" x14ac:dyDescent="0.25">
      <c r="A1207" s="78">
        <v>45105</v>
      </c>
      <c r="B1207" s="75" t="s">
        <v>2388</v>
      </c>
      <c r="C1207" s="75" t="s">
        <v>2700</v>
      </c>
      <c r="D1207" s="75"/>
      <c r="E1207" s="75">
        <v>68427709</v>
      </c>
      <c r="F1207" s="89">
        <v>-170000</v>
      </c>
      <c r="G1207" s="75" t="s">
        <v>309</v>
      </c>
      <c r="H1207" s="75" t="s">
        <v>310</v>
      </c>
      <c r="I1207" s="75" t="s">
        <v>1896</v>
      </c>
      <c r="J1207" s="75">
        <v>2024</v>
      </c>
      <c r="K1207" s="75" t="s">
        <v>1399</v>
      </c>
      <c r="L1207" s="75"/>
    </row>
    <row r="1208" spans="1:12" hidden="1" x14ac:dyDescent="0.25">
      <c r="A1208" s="78">
        <v>45131</v>
      </c>
      <c r="B1208" s="75" t="s">
        <v>2701</v>
      </c>
      <c r="C1208" s="75" t="s">
        <v>2702</v>
      </c>
      <c r="D1208" s="75"/>
      <c r="E1208" s="75">
        <v>68427709</v>
      </c>
      <c r="F1208" s="89">
        <v>22000</v>
      </c>
      <c r="G1208" s="75" t="s">
        <v>309</v>
      </c>
      <c r="H1208" s="75" t="s">
        <v>310</v>
      </c>
      <c r="I1208" s="75" t="s">
        <v>1896</v>
      </c>
      <c r="J1208" s="75">
        <v>2024</v>
      </c>
      <c r="K1208" s="75" t="s">
        <v>1399</v>
      </c>
      <c r="L1208" s="75"/>
    </row>
    <row r="1209" spans="1:12" hidden="1" x14ac:dyDescent="0.25">
      <c r="A1209" s="78">
        <v>45155</v>
      </c>
      <c r="B1209" s="215" t="s">
        <v>2703</v>
      </c>
      <c r="C1209" s="75"/>
      <c r="D1209" s="75"/>
      <c r="E1209" s="75">
        <v>68427709</v>
      </c>
      <c r="F1209" s="222">
        <v>42000</v>
      </c>
      <c r="G1209" s="75" t="s">
        <v>309</v>
      </c>
      <c r="H1209" s="75" t="s">
        <v>310</v>
      </c>
      <c r="I1209" s="75" t="s">
        <v>1896</v>
      </c>
      <c r="J1209" s="75">
        <v>2024</v>
      </c>
      <c r="K1209" s="75" t="s">
        <v>1830</v>
      </c>
      <c r="L1209" s="75"/>
    </row>
    <row r="1210" spans="1:12" hidden="1" x14ac:dyDescent="0.25">
      <c r="A1210" s="78">
        <v>45155</v>
      </c>
      <c r="B1210" s="75" t="s">
        <v>2704</v>
      </c>
      <c r="C1210" s="75"/>
      <c r="D1210" s="75"/>
      <c r="E1210" s="75">
        <v>68427709</v>
      </c>
      <c r="F1210" s="222">
        <v>23000</v>
      </c>
      <c r="G1210" s="75" t="s">
        <v>309</v>
      </c>
      <c r="H1210" s="75" t="s">
        <v>310</v>
      </c>
      <c r="I1210" s="75" t="s">
        <v>1896</v>
      </c>
      <c r="J1210" s="75">
        <v>2024</v>
      </c>
      <c r="K1210" s="75" t="s">
        <v>1830</v>
      </c>
      <c r="L1210" s="75"/>
    </row>
    <row r="1211" spans="1:12" hidden="1" x14ac:dyDescent="0.25">
      <c r="A1211" s="78">
        <v>45155</v>
      </c>
      <c r="B1211" s="116" t="s">
        <v>2705</v>
      </c>
      <c r="C1211" s="75"/>
      <c r="D1211" s="75"/>
      <c r="E1211" s="75">
        <v>68427709</v>
      </c>
      <c r="F1211" s="222">
        <v>190000</v>
      </c>
      <c r="G1211" s="75" t="s">
        <v>309</v>
      </c>
      <c r="H1211" s="75" t="s">
        <v>310</v>
      </c>
      <c r="I1211" s="75" t="s">
        <v>1896</v>
      </c>
      <c r="J1211" s="75">
        <v>2024</v>
      </c>
      <c r="K1211" s="75" t="s">
        <v>1830</v>
      </c>
      <c r="L1211" s="75"/>
    </row>
    <row r="1212" spans="1:12" hidden="1" x14ac:dyDescent="0.25">
      <c r="A1212" s="78">
        <v>45155</v>
      </c>
      <c r="B1212" s="75" t="s">
        <v>2706</v>
      </c>
      <c r="C1212" s="75"/>
      <c r="D1212" s="75"/>
      <c r="E1212" s="75">
        <v>68427709</v>
      </c>
      <c r="F1212" s="89">
        <v>-90000</v>
      </c>
      <c r="G1212" s="75" t="s">
        <v>309</v>
      </c>
      <c r="H1212" s="75" t="s">
        <v>310</v>
      </c>
      <c r="I1212" s="75" t="s">
        <v>1896</v>
      </c>
      <c r="J1212" s="75">
        <v>2024</v>
      </c>
      <c r="K1212" s="75" t="s">
        <v>2707</v>
      </c>
      <c r="L1212" s="75"/>
    </row>
    <row r="1213" spans="1:12" hidden="1" x14ac:dyDescent="0.25">
      <c r="A1213" s="78">
        <v>45163</v>
      </c>
      <c r="B1213" s="75" t="s">
        <v>2708</v>
      </c>
      <c r="C1213" s="75"/>
      <c r="D1213" s="75"/>
      <c r="E1213" s="75">
        <v>68427709</v>
      </c>
      <c r="F1213" s="166">
        <v>28000</v>
      </c>
      <c r="G1213" s="75" t="s">
        <v>309</v>
      </c>
      <c r="H1213" s="75" t="s">
        <v>310</v>
      </c>
      <c r="I1213" s="75" t="s">
        <v>329</v>
      </c>
      <c r="J1213" s="75">
        <v>2024</v>
      </c>
      <c r="K1213" s="75" t="s">
        <v>2135</v>
      </c>
      <c r="L1213" s="75"/>
    </row>
    <row r="1214" spans="1:12" hidden="1" x14ac:dyDescent="0.25">
      <c r="A1214" s="78">
        <v>45163</v>
      </c>
      <c r="B1214" s="75" t="s">
        <v>2709</v>
      </c>
      <c r="C1214" s="75"/>
      <c r="D1214" s="75"/>
      <c r="E1214" s="75">
        <v>68427709</v>
      </c>
      <c r="F1214" s="166">
        <v>-40000</v>
      </c>
      <c r="G1214" s="75" t="s">
        <v>309</v>
      </c>
      <c r="H1214" s="75" t="s">
        <v>310</v>
      </c>
      <c r="I1214" s="75" t="s">
        <v>329</v>
      </c>
      <c r="J1214" s="75">
        <v>2024</v>
      </c>
      <c r="K1214" s="75" t="s">
        <v>2135</v>
      </c>
      <c r="L1214" s="75"/>
    </row>
    <row r="1215" spans="1:12" hidden="1" x14ac:dyDescent="0.25">
      <c r="A1215" s="78">
        <v>45163</v>
      </c>
      <c r="B1215" s="75" t="s">
        <v>2710</v>
      </c>
      <c r="C1215" s="75"/>
      <c r="D1215" s="75"/>
      <c r="E1215" s="75">
        <v>68427709</v>
      </c>
      <c r="F1215" s="166">
        <v>150000</v>
      </c>
      <c r="G1215" s="75" t="s">
        <v>309</v>
      </c>
      <c r="H1215" s="75" t="s">
        <v>310</v>
      </c>
      <c r="I1215" s="75" t="s">
        <v>1896</v>
      </c>
      <c r="J1215" s="75">
        <v>2024</v>
      </c>
      <c r="K1215" s="75" t="s">
        <v>2135</v>
      </c>
      <c r="L1215" s="75"/>
    </row>
    <row r="1216" spans="1:12" hidden="1" x14ac:dyDescent="0.25">
      <c r="A1216" s="78">
        <v>45163</v>
      </c>
      <c r="B1216" s="75" t="s">
        <v>2711</v>
      </c>
      <c r="C1216" s="75"/>
      <c r="D1216" s="75"/>
      <c r="E1216" s="75">
        <v>68427709</v>
      </c>
      <c r="F1216" s="89">
        <v>235000</v>
      </c>
      <c r="G1216" s="75" t="s">
        <v>309</v>
      </c>
      <c r="H1216" s="75" t="s">
        <v>310</v>
      </c>
      <c r="I1216" s="75" t="s">
        <v>1896</v>
      </c>
      <c r="J1216" s="75">
        <v>2024</v>
      </c>
      <c r="K1216" s="75" t="s">
        <v>312</v>
      </c>
      <c r="L1216" s="75"/>
    </row>
    <row r="1217" spans="1:12" x14ac:dyDescent="0.25">
      <c r="A1217" s="80"/>
      <c r="B1217" s="80" t="s">
        <v>2712</v>
      </c>
      <c r="C1217" s="80"/>
      <c r="D1217" s="80"/>
      <c r="E1217" s="80"/>
      <c r="F1217" s="115"/>
      <c r="G1217" s="80"/>
      <c r="H1217" s="80"/>
      <c r="I1217" s="80"/>
      <c r="J1217" s="80"/>
      <c r="K1217" s="80"/>
      <c r="L1217" s="80"/>
    </row>
    <row r="1218" spans="1:12" x14ac:dyDescent="0.25">
      <c r="A1218" s="78">
        <v>45187</v>
      </c>
      <c r="B1218" s="75" t="s">
        <v>2713</v>
      </c>
      <c r="C1218" s="75" t="s">
        <v>2714</v>
      </c>
      <c r="D1218" s="75"/>
      <c r="E1218" s="75">
        <v>68427709</v>
      </c>
      <c r="F1218" s="89">
        <v>78860</v>
      </c>
      <c r="G1218" s="75" t="s">
        <v>309</v>
      </c>
      <c r="H1218" s="75" t="s">
        <v>310</v>
      </c>
      <c r="I1218" s="75" t="s">
        <v>1896</v>
      </c>
      <c r="J1218" s="75">
        <v>2025</v>
      </c>
      <c r="K1218" s="75" t="s">
        <v>2112</v>
      </c>
      <c r="L1218" s="75"/>
    </row>
    <row r="1219" spans="1:12" x14ac:dyDescent="0.25">
      <c r="A1219" s="78">
        <v>45334</v>
      </c>
      <c r="B1219" s="75" t="s">
        <v>2715</v>
      </c>
      <c r="C1219" s="75" t="s">
        <v>2716</v>
      </c>
      <c r="D1219" s="75"/>
      <c r="E1219" s="75">
        <v>68427709</v>
      </c>
      <c r="F1219" s="89">
        <v>20000</v>
      </c>
      <c r="G1219" s="75" t="s">
        <v>309</v>
      </c>
      <c r="H1219" s="75" t="s">
        <v>310</v>
      </c>
      <c r="I1219" s="75" t="s">
        <v>1896</v>
      </c>
      <c r="J1219" s="75">
        <v>2025</v>
      </c>
      <c r="K1219" s="75" t="s">
        <v>312</v>
      </c>
      <c r="L1219" s="75"/>
    </row>
    <row r="1220" spans="1:12" x14ac:dyDescent="0.25">
      <c r="A1220" s="78">
        <v>45334</v>
      </c>
      <c r="B1220" s="75" t="s">
        <v>2717</v>
      </c>
      <c r="C1220" s="92" t="s">
        <v>2718</v>
      </c>
      <c r="D1220" s="75" t="s">
        <v>1096</v>
      </c>
      <c r="E1220" s="75">
        <v>68427709</v>
      </c>
      <c r="F1220" s="89">
        <v>-70000</v>
      </c>
      <c r="G1220" s="75" t="s">
        <v>309</v>
      </c>
      <c r="H1220" s="75" t="s">
        <v>310</v>
      </c>
      <c r="I1220" s="75" t="s">
        <v>1896</v>
      </c>
      <c r="J1220" s="75">
        <v>2025</v>
      </c>
      <c r="K1220" s="75" t="s">
        <v>312</v>
      </c>
      <c r="L1220" s="75"/>
    </row>
    <row r="1221" spans="1:12" x14ac:dyDescent="0.25">
      <c r="A1221" s="78">
        <v>45391</v>
      </c>
      <c r="B1221" s="75" t="s">
        <v>1616</v>
      </c>
      <c r="C1221" s="75" t="s">
        <v>2719</v>
      </c>
      <c r="D1221" s="75"/>
      <c r="E1221" s="75">
        <v>68427709</v>
      </c>
      <c r="F1221" s="89">
        <v>-18000</v>
      </c>
      <c r="G1221" s="75" t="s">
        <v>2720</v>
      </c>
      <c r="H1221" s="75" t="s">
        <v>310</v>
      </c>
      <c r="I1221" s="75" t="s">
        <v>2721</v>
      </c>
      <c r="J1221" s="75">
        <v>2025</v>
      </c>
      <c r="K1221" s="75" t="s">
        <v>1288</v>
      </c>
      <c r="L1221" s="75"/>
    </row>
    <row r="1222" spans="1:12" x14ac:dyDescent="0.25">
      <c r="A1222" s="78">
        <v>45391</v>
      </c>
      <c r="B1222" s="75" t="s">
        <v>1462</v>
      </c>
      <c r="C1222" s="75" t="s">
        <v>2722</v>
      </c>
      <c r="D1222" s="75"/>
      <c r="E1222" s="75">
        <v>68427709</v>
      </c>
      <c r="F1222" s="89">
        <v>0</v>
      </c>
      <c r="G1222" s="75" t="s">
        <v>309</v>
      </c>
      <c r="H1222" s="75" t="s">
        <v>310</v>
      </c>
      <c r="I1222" s="75" t="s">
        <v>1896</v>
      </c>
      <c r="J1222" s="75">
        <v>2025</v>
      </c>
      <c r="K1222" s="75" t="s">
        <v>1288</v>
      </c>
      <c r="L1222" s="75"/>
    </row>
    <row r="1223" spans="1:12" x14ac:dyDescent="0.25">
      <c r="A1223" s="131">
        <v>45391</v>
      </c>
      <c r="B1223" s="75" t="s">
        <v>2723</v>
      </c>
      <c r="C1223" s="132" t="s">
        <v>2724</v>
      </c>
      <c r="D1223" s="75" t="s">
        <v>473</v>
      </c>
      <c r="E1223" s="75">
        <v>68427709</v>
      </c>
      <c r="F1223" s="89">
        <v>-31000</v>
      </c>
      <c r="G1223" s="75" t="s">
        <v>309</v>
      </c>
      <c r="H1223" s="75" t="s">
        <v>310</v>
      </c>
      <c r="I1223" s="75" t="s">
        <v>1144</v>
      </c>
      <c r="J1223" s="75">
        <v>2025</v>
      </c>
      <c r="K1223" s="75" t="s">
        <v>312</v>
      </c>
      <c r="L1223" s="75"/>
    </row>
    <row r="1224" spans="1:12" x14ac:dyDescent="0.25">
      <c r="A1224" s="131">
        <v>45393</v>
      </c>
      <c r="B1224" s="75" t="s">
        <v>2725</v>
      </c>
      <c r="C1224" s="132" t="s">
        <v>2726</v>
      </c>
      <c r="D1224" s="75" t="s">
        <v>473</v>
      </c>
      <c r="E1224" s="75">
        <v>68427709</v>
      </c>
      <c r="F1224" s="89">
        <v>-10400</v>
      </c>
      <c r="G1224" s="75" t="s">
        <v>309</v>
      </c>
      <c r="H1224" s="75" t="s">
        <v>310</v>
      </c>
      <c r="I1224" s="75" t="s">
        <v>1144</v>
      </c>
      <c r="J1224" s="75">
        <v>2025</v>
      </c>
      <c r="K1224" s="75" t="s">
        <v>312</v>
      </c>
      <c r="L1224" s="75"/>
    </row>
    <row r="1225" spans="1:12" x14ac:dyDescent="0.25">
      <c r="A1225" s="131">
        <v>45393</v>
      </c>
      <c r="B1225" s="75" t="s">
        <v>2727</v>
      </c>
      <c r="C1225" s="132" t="s">
        <v>2728</v>
      </c>
      <c r="D1225" s="75" t="s">
        <v>473</v>
      </c>
      <c r="E1225" s="75">
        <v>68427709</v>
      </c>
      <c r="F1225" s="89">
        <v>-10400</v>
      </c>
      <c r="G1225" s="75" t="s">
        <v>309</v>
      </c>
      <c r="H1225" s="75" t="s">
        <v>310</v>
      </c>
      <c r="I1225" s="75" t="s">
        <v>1144</v>
      </c>
      <c r="J1225" s="75">
        <v>2025</v>
      </c>
      <c r="K1225" s="75" t="s">
        <v>312</v>
      </c>
      <c r="L1225" s="75"/>
    </row>
    <row r="1226" spans="1:12" x14ac:dyDescent="0.25">
      <c r="A1226" s="131">
        <v>45425</v>
      </c>
      <c r="B1226" s="75" t="s">
        <v>2729</v>
      </c>
      <c r="C1226" s="132" t="s">
        <v>2730</v>
      </c>
      <c r="D1226" s="75"/>
      <c r="E1226" s="75">
        <v>68427709</v>
      </c>
      <c r="F1226" s="89">
        <v>1</v>
      </c>
      <c r="G1226" s="75" t="s">
        <v>993</v>
      </c>
      <c r="H1226" s="75" t="s">
        <v>310</v>
      </c>
      <c r="I1226" s="75" t="s">
        <v>1896</v>
      </c>
      <c r="J1226" s="75">
        <v>2025</v>
      </c>
      <c r="K1226" s="75" t="s">
        <v>2731</v>
      </c>
      <c r="L1226" s="75" t="s">
        <v>2732</v>
      </c>
    </row>
    <row r="1227" spans="1:12" x14ac:dyDescent="0.25">
      <c r="A1227" s="78">
        <v>45426</v>
      </c>
      <c r="B1227" s="75" t="s">
        <v>2733</v>
      </c>
      <c r="C1227" s="75" t="s">
        <v>2734</v>
      </c>
      <c r="D1227" s="75"/>
      <c r="E1227" s="75">
        <v>68427719</v>
      </c>
      <c r="F1227" s="89">
        <v>110000</v>
      </c>
      <c r="G1227" s="75" t="s">
        <v>309</v>
      </c>
      <c r="H1227" s="75" t="s">
        <v>310</v>
      </c>
      <c r="I1227" s="75" t="s">
        <v>1896</v>
      </c>
      <c r="J1227" s="75">
        <v>2025</v>
      </c>
      <c r="K1227" s="75" t="s">
        <v>1271</v>
      </c>
      <c r="L1227" s="75"/>
    </row>
    <row r="1228" spans="1:12" x14ac:dyDescent="0.25">
      <c r="A1228" s="78">
        <v>45426</v>
      </c>
      <c r="B1228" s="75" t="s">
        <v>1327</v>
      </c>
      <c r="C1228" s="75" t="s">
        <v>2735</v>
      </c>
      <c r="D1228" s="75"/>
      <c r="E1228" s="75">
        <v>68427719</v>
      </c>
      <c r="F1228" s="89">
        <v>-24000</v>
      </c>
      <c r="G1228" s="75" t="s">
        <v>309</v>
      </c>
      <c r="H1228" s="75" t="s">
        <v>310</v>
      </c>
      <c r="I1228" s="75" t="s">
        <v>1896</v>
      </c>
      <c r="J1228" s="75">
        <v>2025</v>
      </c>
      <c r="K1228" s="75" t="s">
        <v>1271</v>
      </c>
      <c r="L1228" s="75"/>
    </row>
    <row r="1229" spans="1:12" x14ac:dyDescent="0.25">
      <c r="A1229" s="78">
        <v>45426</v>
      </c>
      <c r="B1229" s="75" t="s">
        <v>2736</v>
      </c>
      <c r="C1229" s="75" t="s">
        <v>2737</v>
      </c>
      <c r="D1229" s="75"/>
      <c r="E1229" s="75">
        <v>68427719</v>
      </c>
      <c r="F1229" s="89">
        <v>28000</v>
      </c>
      <c r="G1229" s="75" t="s">
        <v>309</v>
      </c>
      <c r="H1229" s="75" t="s">
        <v>310</v>
      </c>
      <c r="I1229" s="75" t="s">
        <v>1896</v>
      </c>
      <c r="J1229" s="75">
        <v>2025</v>
      </c>
      <c r="K1229" s="75" t="s">
        <v>1271</v>
      </c>
      <c r="L1229" s="75"/>
    </row>
    <row r="1230" spans="1:12" x14ac:dyDescent="0.25">
      <c r="A1230" s="78">
        <v>45426</v>
      </c>
      <c r="B1230" s="75" t="s">
        <v>2738</v>
      </c>
      <c r="C1230" s="75" t="s">
        <v>2739</v>
      </c>
      <c r="D1230" s="75" t="s">
        <v>2740</v>
      </c>
      <c r="E1230" s="75">
        <v>68427719</v>
      </c>
      <c r="F1230" s="89">
        <v>109000</v>
      </c>
      <c r="G1230" s="75" t="s">
        <v>309</v>
      </c>
      <c r="H1230" s="75" t="s">
        <v>310</v>
      </c>
      <c r="I1230" s="75" t="s">
        <v>1896</v>
      </c>
      <c r="J1230" s="75">
        <v>2025</v>
      </c>
      <c r="K1230" s="75" t="s">
        <v>1271</v>
      </c>
      <c r="L1230" s="75" t="s">
        <v>2741</v>
      </c>
    </row>
    <row r="1231" spans="1:12" x14ac:dyDescent="0.25">
      <c r="A1231" s="78">
        <v>45426</v>
      </c>
      <c r="B1231" s="75" t="s">
        <v>2742</v>
      </c>
      <c r="C1231" s="75" t="s">
        <v>2739</v>
      </c>
      <c r="D1231" s="75" t="s">
        <v>2740</v>
      </c>
      <c r="E1231" s="75">
        <v>68427719</v>
      </c>
      <c r="F1231" s="224">
        <v>125000</v>
      </c>
      <c r="G1231" s="75" t="s">
        <v>309</v>
      </c>
      <c r="H1231" s="75" t="s">
        <v>310</v>
      </c>
      <c r="I1231" s="75" t="s">
        <v>1896</v>
      </c>
      <c r="J1231" s="75">
        <v>2025</v>
      </c>
      <c r="K1231" s="75" t="s">
        <v>1271</v>
      </c>
      <c r="L1231" s="75" t="s">
        <v>2741</v>
      </c>
    </row>
    <row r="1232" spans="1:12" x14ac:dyDescent="0.25">
      <c r="A1232" s="78">
        <v>45426</v>
      </c>
      <c r="B1232" s="75" t="s">
        <v>2416</v>
      </c>
      <c r="C1232" s="75" t="s">
        <v>2743</v>
      </c>
      <c r="D1232" s="75"/>
      <c r="E1232" s="75">
        <v>68427709</v>
      </c>
      <c r="F1232" s="224">
        <v>-120000</v>
      </c>
      <c r="G1232" s="75" t="s">
        <v>2720</v>
      </c>
      <c r="H1232" s="75" t="s">
        <v>310</v>
      </c>
      <c r="I1232" s="75" t="s">
        <v>1896</v>
      </c>
      <c r="J1232" s="75">
        <v>2025</v>
      </c>
      <c r="K1232" s="75" t="s">
        <v>2744</v>
      </c>
      <c r="L1232" s="75"/>
    </row>
    <row r="1233" spans="1:12" x14ac:dyDescent="0.25">
      <c r="A1233" s="78">
        <v>45426</v>
      </c>
      <c r="B1233" s="116" t="s">
        <v>2745</v>
      </c>
      <c r="C1233" s="75" t="s">
        <v>2735</v>
      </c>
      <c r="D1233" s="75"/>
      <c r="E1233" s="75">
        <v>68427709</v>
      </c>
      <c r="F1233" s="89">
        <v>-79000</v>
      </c>
      <c r="G1233" s="75" t="s">
        <v>309</v>
      </c>
      <c r="H1233" s="75" t="s">
        <v>310</v>
      </c>
      <c r="I1233" s="75" t="s">
        <v>1896</v>
      </c>
      <c r="J1233" s="75">
        <v>2025</v>
      </c>
      <c r="K1233" s="75" t="s">
        <v>2744</v>
      </c>
      <c r="L1233" s="75" t="s">
        <v>2746</v>
      </c>
    </row>
    <row r="1234" spans="1:12" x14ac:dyDescent="0.25">
      <c r="A1234" s="78">
        <v>45426</v>
      </c>
      <c r="B1234" s="116" t="s">
        <v>2365</v>
      </c>
      <c r="C1234" s="75" t="s">
        <v>2735</v>
      </c>
      <c r="D1234" s="75"/>
      <c r="E1234" s="75">
        <v>68427709</v>
      </c>
      <c r="F1234" s="89">
        <v>-113000</v>
      </c>
      <c r="G1234" s="75" t="s">
        <v>309</v>
      </c>
      <c r="H1234" s="75" t="s">
        <v>310</v>
      </c>
      <c r="I1234" s="75" t="s">
        <v>1896</v>
      </c>
      <c r="J1234" s="75">
        <v>2025</v>
      </c>
      <c r="K1234" s="75" t="s">
        <v>2744</v>
      </c>
      <c r="L1234" s="75" t="s">
        <v>2746</v>
      </c>
    </row>
    <row r="1235" spans="1:12" x14ac:dyDescent="0.25">
      <c r="A1235" s="78">
        <v>45426</v>
      </c>
      <c r="B1235" s="75" t="s">
        <v>2747</v>
      </c>
      <c r="C1235" s="75" t="s">
        <v>2748</v>
      </c>
      <c r="D1235" s="75"/>
      <c r="E1235" s="75">
        <v>68427709</v>
      </c>
      <c r="F1235" s="224">
        <v>0</v>
      </c>
      <c r="G1235" s="75" t="s">
        <v>309</v>
      </c>
      <c r="H1235" s="75" t="s">
        <v>310</v>
      </c>
      <c r="I1235" s="75" t="s">
        <v>1896</v>
      </c>
      <c r="J1235" s="75">
        <v>2025</v>
      </c>
      <c r="K1235" s="75" t="s">
        <v>312</v>
      </c>
      <c r="L1235" s="75"/>
    </row>
    <row r="1236" spans="1:12" x14ac:dyDescent="0.25">
      <c r="A1236" s="78">
        <v>45426</v>
      </c>
      <c r="B1236" s="75" t="s">
        <v>2749</v>
      </c>
      <c r="C1236" s="75" t="s">
        <v>2748</v>
      </c>
      <c r="D1236" s="75"/>
      <c r="E1236" s="75">
        <v>68427709</v>
      </c>
      <c r="F1236" s="224">
        <v>0</v>
      </c>
      <c r="G1236" s="75" t="s">
        <v>309</v>
      </c>
      <c r="H1236" s="75" t="s">
        <v>310</v>
      </c>
      <c r="I1236" s="75" t="s">
        <v>1896</v>
      </c>
      <c r="J1236" s="75">
        <v>2025</v>
      </c>
      <c r="K1236" s="75" t="s">
        <v>312</v>
      </c>
      <c r="L1236" s="75"/>
    </row>
    <row r="1237" spans="1:12" x14ac:dyDescent="0.25">
      <c r="A1237" s="78">
        <v>45426</v>
      </c>
      <c r="B1237" s="75" t="s">
        <v>2750</v>
      </c>
      <c r="C1237" s="75" t="s">
        <v>2748</v>
      </c>
      <c r="D1237" s="75"/>
      <c r="E1237" s="75">
        <v>68427709</v>
      </c>
      <c r="F1237" s="224">
        <v>0</v>
      </c>
      <c r="G1237" s="75" t="s">
        <v>309</v>
      </c>
      <c r="H1237" s="75" t="s">
        <v>310</v>
      </c>
      <c r="I1237" s="75" t="s">
        <v>1896</v>
      </c>
      <c r="J1237" s="75">
        <v>2025</v>
      </c>
      <c r="K1237" s="75" t="s">
        <v>312</v>
      </c>
      <c r="L1237" s="75"/>
    </row>
    <row r="1238" spans="1:12" x14ac:dyDescent="0.25">
      <c r="A1238" s="78">
        <v>45426</v>
      </c>
      <c r="B1238" s="75" t="s">
        <v>1218</v>
      </c>
      <c r="C1238" s="75" t="s">
        <v>2751</v>
      </c>
      <c r="D1238" s="75"/>
      <c r="E1238" s="75">
        <v>68427719</v>
      </c>
      <c r="F1238" s="224">
        <v>30000</v>
      </c>
      <c r="G1238" s="75" t="s">
        <v>309</v>
      </c>
      <c r="H1238" s="75" t="s">
        <v>310</v>
      </c>
      <c r="I1238" s="75" t="s">
        <v>1896</v>
      </c>
      <c r="J1238" s="75">
        <v>2025</v>
      </c>
      <c r="K1238" s="75" t="s">
        <v>1271</v>
      </c>
      <c r="L1238" s="75"/>
    </row>
    <row r="1239" spans="1:12" x14ac:dyDescent="0.25">
      <c r="A1239" s="78">
        <v>45426</v>
      </c>
      <c r="B1239" s="75" t="s">
        <v>1219</v>
      </c>
      <c r="C1239" s="75" t="s">
        <v>2751</v>
      </c>
      <c r="D1239" s="75"/>
      <c r="E1239" s="75">
        <v>68427719</v>
      </c>
      <c r="F1239" s="224">
        <v>75000</v>
      </c>
      <c r="G1239" s="75" t="s">
        <v>309</v>
      </c>
      <c r="H1239" s="75" t="s">
        <v>310</v>
      </c>
      <c r="I1239" s="75" t="s">
        <v>1896</v>
      </c>
      <c r="J1239" s="75">
        <v>2025</v>
      </c>
      <c r="K1239" s="75" t="s">
        <v>1271</v>
      </c>
      <c r="L1239" s="75"/>
    </row>
    <row r="1240" spans="1:12" x14ac:dyDescent="0.25">
      <c r="A1240" s="78">
        <v>45426</v>
      </c>
      <c r="B1240" s="75" t="s">
        <v>1215</v>
      </c>
      <c r="C1240" s="75" t="s">
        <v>2751</v>
      </c>
      <c r="D1240" s="75"/>
      <c r="E1240" s="75">
        <v>68427719</v>
      </c>
      <c r="F1240" s="224">
        <v>70000</v>
      </c>
      <c r="G1240" s="75" t="s">
        <v>309</v>
      </c>
      <c r="H1240" s="75" t="s">
        <v>310</v>
      </c>
      <c r="I1240" s="75" t="s">
        <v>1896</v>
      </c>
      <c r="J1240" s="75">
        <v>2025</v>
      </c>
      <c r="K1240" s="75" t="s">
        <v>1271</v>
      </c>
      <c r="L1240" s="75"/>
    </row>
    <row r="1241" spans="1:12" x14ac:dyDescent="0.25">
      <c r="A1241" s="78">
        <v>45426</v>
      </c>
      <c r="B1241" s="75" t="s">
        <v>1215</v>
      </c>
      <c r="C1241" s="75" t="s">
        <v>2752</v>
      </c>
      <c r="D1241" s="75"/>
      <c r="E1241" s="75">
        <v>68427719</v>
      </c>
      <c r="F1241" s="224">
        <v>60000</v>
      </c>
      <c r="G1241" s="75" t="s">
        <v>309</v>
      </c>
      <c r="H1241" s="75" t="s">
        <v>310</v>
      </c>
      <c r="I1241" s="75" t="s">
        <v>1896</v>
      </c>
      <c r="J1241" s="75">
        <v>2025</v>
      </c>
      <c r="K1241" s="75" t="s">
        <v>1271</v>
      </c>
      <c r="L1241" s="75"/>
    </row>
    <row r="1242" spans="1:12" x14ac:dyDescent="0.25">
      <c r="A1242" s="78">
        <v>45426</v>
      </c>
      <c r="B1242" s="116" t="s">
        <v>2368</v>
      </c>
      <c r="C1242" s="75" t="s">
        <v>741</v>
      </c>
      <c r="D1242" s="75"/>
      <c r="E1242" s="75">
        <v>68427719</v>
      </c>
      <c r="F1242" s="224">
        <v>217000</v>
      </c>
      <c r="G1242" s="75" t="s">
        <v>309</v>
      </c>
      <c r="H1242" s="75" t="s">
        <v>310</v>
      </c>
      <c r="I1242" s="75" t="s">
        <v>1896</v>
      </c>
      <c r="J1242" s="75">
        <v>2025</v>
      </c>
      <c r="K1242" s="75" t="s">
        <v>1271</v>
      </c>
      <c r="L1242" s="75"/>
    </row>
    <row r="1243" spans="1:12" x14ac:dyDescent="0.25">
      <c r="A1243" s="78">
        <v>45426</v>
      </c>
      <c r="B1243" s="116" t="s">
        <v>2543</v>
      </c>
      <c r="C1243" s="75" t="s">
        <v>2735</v>
      </c>
      <c r="D1243" s="75"/>
      <c r="E1243" s="75">
        <v>68427719</v>
      </c>
      <c r="F1243" s="89">
        <v>-16000</v>
      </c>
      <c r="G1243" s="75" t="s">
        <v>309</v>
      </c>
      <c r="H1243" s="75" t="s">
        <v>310</v>
      </c>
      <c r="I1243" s="75" t="s">
        <v>1896</v>
      </c>
      <c r="J1243" s="75">
        <v>2025</v>
      </c>
      <c r="K1243" s="75" t="s">
        <v>1271</v>
      </c>
      <c r="L1243" s="75"/>
    </row>
    <row r="1244" spans="1:12" x14ac:dyDescent="0.25">
      <c r="A1244" s="78">
        <v>45426</v>
      </c>
      <c r="B1244" s="75" t="s">
        <v>1423</v>
      </c>
      <c r="C1244" s="75" t="s">
        <v>2753</v>
      </c>
      <c r="D1244" s="75"/>
      <c r="E1244" s="75">
        <v>68427709</v>
      </c>
      <c r="F1244" s="224">
        <v>3000</v>
      </c>
      <c r="G1244" s="75" t="s">
        <v>309</v>
      </c>
      <c r="H1244" s="75" t="s">
        <v>310</v>
      </c>
      <c r="I1244" s="75" t="s">
        <v>1896</v>
      </c>
      <c r="J1244" s="75">
        <v>2025</v>
      </c>
      <c r="K1244" s="75" t="s">
        <v>1900</v>
      </c>
      <c r="L1244" s="75"/>
    </row>
    <row r="1245" spans="1:12" x14ac:dyDescent="0.25">
      <c r="A1245" s="78">
        <v>45426</v>
      </c>
      <c r="B1245" s="75" t="s">
        <v>1779</v>
      </c>
      <c r="C1245" s="75" t="s">
        <v>2754</v>
      </c>
      <c r="D1245" s="75"/>
      <c r="E1245" s="75">
        <v>68427709</v>
      </c>
      <c r="F1245" s="224">
        <v>28000</v>
      </c>
      <c r="G1245" s="75" t="s">
        <v>309</v>
      </c>
      <c r="H1245" s="75" t="s">
        <v>310</v>
      </c>
      <c r="I1245" s="75" t="s">
        <v>1896</v>
      </c>
      <c r="J1245" s="75">
        <v>2025</v>
      </c>
      <c r="K1245" s="75" t="s">
        <v>1900</v>
      </c>
      <c r="L1245" s="75"/>
    </row>
    <row r="1246" spans="1:12" x14ac:dyDescent="0.25">
      <c r="A1246" s="78">
        <v>45426</v>
      </c>
      <c r="B1246" s="75" t="s">
        <v>307</v>
      </c>
      <c r="C1246" s="75" t="s">
        <v>2755</v>
      </c>
      <c r="D1246" s="75"/>
      <c r="E1246" s="75">
        <v>68427709</v>
      </c>
      <c r="F1246" s="224">
        <v>1</v>
      </c>
      <c r="G1246" s="75" t="s">
        <v>993</v>
      </c>
      <c r="H1246" s="75" t="s">
        <v>310</v>
      </c>
      <c r="I1246" s="75" t="s">
        <v>1896</v>
      </c>
      <c r="J1246" s="75">
        <v>2025</v>
      </c>
      <c r="K1246" s="75" t="s">
        <v>1900</v>
      </c>
      <c r="L1246" s="75" t="s">
        <v>2756</v>
      </c>
    </row>
    <row r="1247" spans="1:12" x14ac:dyDescent="0.25">
      <c r="A1247" s="78">
        <v>45426</v>
      </c>
      <c r="B1247" s="75" t="s">
        <v>1423</v>
      </c>
      <c r="C1247" s="75" t="s">
        <v>2757</v>
      </c>
      <c r="D1247" s="75"/>
      <c r="E1247" s="75">
        <v>68427709</v>
      </c>
      <c r="F1247" s="224">
        <v>0</v>
      </c>
      <c r="G1247" s="75" t="s">
        <v>309</v>
      </c>
      <c r="H1247" s="75" t="s">
        <v>310</v>
      </c>
      <c r="I1247" s="75" t="s">
        <v>2758</v>
      </c>
      <c r="J1247" s="75">
        <v>2025</v>
      </c>
      <c r="K1247" s="75" t="s">
        <v>312</v>
      </c>
      <c r="L1247" s="75"/>
    </row>
    <row r="1248" spans="1:12" x14ac:dyDescent="0.25">
      <c r="A1248" s="78">
        <v>45433</v>
      </c>
      <c r="B1248" s="75" t="s">
        <v>2413</v>
      </c>
      <c r="C1248" s="75" t="s">
        <v>2759</v>
      </c>
      <c r="D1248" s="75"/>
      <c r="E1248" s="75">
        <v>68427709</v>
      </c>
      <c r="F1248" s="224">
        <v>-430000</v>
      </c>
      <c r="G1248" s="75" t="s">
        <v>2720</v>
      </c>
      <c r="H1248" s="75" t="s">
        <v>310</v>
      </c>
      <c r="I1248" s="75" t="s">
        <v>1896</v>
      </c>
      <c r="J1248" s="75">
        <v>2025</v>
      </c>
      <c r="K1248" s="75" t="s">
        <v>1288</v>
      </c>
      <c r="L1248" s="75"/>
    </row>
    <row r="1249" spans="1:12" x14ac:dyDescent="0.25">
      <c r="A1249" s="78">
        <v>45433</v>
      </c>
      <c r="B1249" s="75" t="s">
        <v>2760</v>
      </c>
      <c r="C1249" s="75" t="s">
        <v>2761</v>
      </c>
      <c r="D1249" s="75"/>
      <c r="E1249" s="75">
        <v>68427709</v>
      </c>
      <c r="F1249" s="224">
        <v>385000</v>
      </c>
      <c r="G1249" s="75" t="s">
        <v>309</v>
      </c>
      <c r="H1249" s="75" t="s">
        <v>310</v>
      </c>
      <c r="I1249" s="75" t="s">
        <v>329</v>
      </c>
      <c r="J1249" s="75">
        <v>2025</v>
      </c>
      <c r="K1249" s="75" t="s">
        <v>868</v>
      </c>
      <c r="L1249" s="75" t="s">
        <v>2762</v>
      </c>
    </row>
    <row r="1250" spans="1:12" x14ac:dyDescent="0.25">
      <c r="A1250" s="78">
        <v>45433</v>
      </c>
      <c r="B1250" s="92" t="s">
        <v>1067</v>
      </c>
      <c r="C1250" s="75" t="s">
        <v>2763</v>
      </c>
      <c r="D1250" s="75"/>
      <c r="E1250" s="75">
        <v>68427709</v>
      </c>
      <c r="F1250" s="224">
        <v>-407000</v>
      </c>
      <c r="G1250" s="75" t="s">
        <v>309</v>
      </c>
      <c r="H1250" s="75" t="s">
        <v>310</v>
      </c>
      <c r="I1250" s="75" t="s">
        <v>2721</v>
      </c>
      <c r="J1250" s="75">
        <v>2025</v>
      </c>
      <c r="K1250" s="75" t="s">
        <v>1288</v>
      </c>
      <c r="L1250" s="75"/>
    </row>
    <row r="1251" spans="1:12" x14ac:dyDescent="0.25">
      <c r="A1251" s="78">
        <v>45433</v>
      </c>
      <c r="B1251" s="75" t="s">
        <v>2764</v>
      </c>
      <c r="C1251" s="75" t="s">
        <v>2765</v>
      </c>
      <c r="D1251" s="75"/>
      <c r="E1251" s="75">
        <v>68427709</v>
      </c>
      <c r="F1251" s="224">
        <v>-103000</v>
      </c>
      <c r="G1251" s="75" t="s">
        <v>309</v>
      </c>
      <c r="H1251" s="75" t="s">
        <v>310</v>
      </c>
      <c r="I1251" s="75" t="s">
        <v>329</v>
      </c>
      <c r="J1251" s="75">
        <v>2025</v>
      </c>
      <c r="K1251" s="75" t="s">
        <v>1288</v>
      </c>
      <c r="L1251" s="75"/>
    </row>
    <row r="1252" spans="1:12" x14ac:dyDescent="0.25">
      <c r="A1252" s="78">
        <v>45433</v>
      </c>
      <c r="B1252" s="75" t="s">
        <v>1682</v>
      </c>
      <c r="C1252" s="75" t="s">
        <v>2766</v>
      </c>
      <c r="D1252" s="75"/>
      <c r="E1252" s="75">
        <v>68427709</v>
      </c>
      <c r="F1252" s="224">
        <v>-180000</v>
      </c>
      <c r="G1252" s="75" t="s">
        <v>309</v>
      </c>
      <c r="H1252" s="75" t="s">
        <v>310</v>
      </c>
      <c r="I1252" s="75" t="s">
        <v>329</v>
      </c>
      <c r="J1252" s="75">
        <v>2025</v>
      </c>
      <c r="K1252" s="75" t="s">
        <v>1288</v>
      </c>
      <c r="L1252" s="75"/>
    </row>
    <row r="1253" spans="1:12" x14ac:dyDescent="0.25">
      <c r="A1253" s="78">
        <v>45433</v>
      </c>
      <c r="B1253" s="92" t="s">
        <v>1679</v>
      </c>
      <c r="C1253" s="75" t="s">
        <v>2766</v>
      </c>
      <c r="D1253" s="75"/>
      <c r="E1253" s="75">
        <v>68427709</v>
      </c>
      <c r="F1253" s="224">
        <v>-45000</v>
      </c>
      <c r="G1253" s="75" t="s">
        <v>309</v>
      </c>
      <c r="H1253" s="75" t="s">
        <v>310</v>
      </c>
      <c r="I1253" s="75" t="s">
        <v>329</v>
      </c>
      <c r="J1253" s="75">
        <v>2025</v>
      </c>
      <c r="K1253" s="75" t="s">
        <v>1288</v>
      </c>
      <c r="L1253" s="75"/>
    </row>
    <row r="1254" spans="1:12" x14ac:dyDescent="0.25">
      <c r="A1254" s="78">
        <v>45433</v>
      </c>
      <c r="B1254" s="75" t="s">
        <v>2767</v>
      </c>
      <c r="C1254" s="75" t="s">
        <v>2768</v>
      </c>
      <c r="D1254" s="75"/>
      <c r="E1254" s="75">
        <v>68427709</v>
      </c>
      <c r="F1254" s="224">
        <v>-200000</v>
      </c>
      <c r="G1254" s="75" t="s">
        <v>309</v>
      </c>
      <c r="H1254" s="75" t="s">
        <v>310</v>
      </c>
      <c r="I1254" s="75" t="s">
        <v>329</v>
      </c>
      <c r="J1254" s="75">
        <v>2025</v>
      </c>
      <c r="K1254" s="75" t="s">
        <v>1288</v>
      </c>
      <c r="L1254" s="75"/>
    </row>
    <row r="1255" spans="1:12" x14ac:dyDescent="0.25">
      <c r="A1255" s="78">
        <v>45433</v>
      </c>
      <c r="B1255" s="75" t="s">
        <v>2769</v>
      </c>
      <c r="C1255" s="75" t="s">
        <v>2770</v>
      </c>
      <c r="D1255" s="75"/>
      <c r="E1255" s="75">
        <v>68427709</v>
      </c>
      <c r="F1255" s="89">
        <v>-100000</v>
      </c>
      <c r="G1255" s="75" t="s">
        <v>309</v>
      </c>
      <c r="H1255" s="75" t="s">
        <v>310</v>
      </c>
      <c r="I1255" s="75" t="s">
        <v>329</v>
      </c>
      <c r="J1255" s="75">
        <v>2025</v>
      </c>
      <c r="K1255" s="75" t="s">
        <v>1288</v>
      </c>
      <c r="L1255" s="75"/>
    </row>
    <row r="1256" spans="1:12" x14ac:dyDescent="0.25">
      <c r="A1256" s="78">
        <v>45433</v>
      </c>
      <c r="B1256" s="75" t="s">
        <v>2694</v>
      </c>
      <c r="C1256" s="75" t="s">
        <v>2771</v>
      </c>
      <c r="D1256" s="75"/>
      <c r="E1256" s="75">
        <v>68427709</v>
      </c>
      <c r="F1256" s="89">
        <v>-27000</v>
      </c>
      <c r="G1256" s="78" t="s">
        <v>309</v>
      </c>
      <c r="H1256" s="75" t="s">
        <v>310</v>
      </c>
      <c r="I1256" s="75" t="s">
        <v>329</v>
      </c>
      <c r="J1256" s="75">
        <v>2025</v>
      </c>
      <c r="K1256" s="75" t="s">
        <v>1288</v>
      </c>
      <c r="L1256" s="75"/>
    </row>
    <row r="1257" spans="1:12" x14ac:dyDescent="0.25">
      <c r="A1257" s="78">
        <v>45433</v>
      </c>
      <c r="B1257" s="75" t="s">
        <v>2772</v>
      </c>
      <c r="C1257" s="75" t="s">
        <v>2773</v>
      </c>
      <c r="D1257" s="75"/>
      <c r="E1257" s="75">
        <v>68427709</v>
      </c>
      <c r="F1257" s="224">
        <v>61500</v>
      </c>
      <c r="G1257" s="78" t="s">
        <v>309</v>
      </c>
      <c r="H1257" s="75" t="s">
        <v>310</v>
      </c>
      <c r="I1257" s="75" t="s">
        <v>329</v>
      </c>
      <c r="J1257" s="75">
        <v>2025</v>
      </c>
      <c r="K1257" s="75" t="s">
        <v>1288</v>
      </c>
      <c r="L1257" s="75"/>
    </row>
    <row r="1258" spans="1:12" x14ac:dyDescent="0.25">
      <c r="A1258" s="78">
        <v>45433</v>
      </c>
      <c r="B1258" s="75" t="s">
        <v>2774</v>
      </c>
      <c r="C1258" s="75" t="s">
        <v>2775</v>
      </c>
      <c r="D1258" s="75"/>
      <c r="E1258" s="75">
        <v>68427709</v>
      </c>
      <c r="F1258" s="89">
        <v>-30000</v>
      </c>
      <c r="G1258" s="78" t="s">
        <v>309</v>
      </c>
      <c r="H1258" s="75" t="s">
        <v>310</v>
      </c>
      <c r="I1258" s="75" t="s">
        <v>1896</v>
      </c>
      <c r="J1258" s="75">
        <v>2025</v>
      </c>
      <c r="K1258" s="75" t="s">
        <v>1288</v>
      </c>
      <c r="L1258" s="75"/>
    </row>
    <row r="1259" spans="1:12" x14ac:dyDescent="0.25">
      <c r="A1259" s="78">
        <v>45433</v>
      </c>
      <c r="B1259" s="75" t="s">
        <v>2776</v>
      </c>
      <c r="C1259" s="75" t="s">
        <v>2775</v>
      </c>
      <c r="D1259" s="75"/>
      <c r="E1259" s="75">
        <v>68427709</v>
      </c>
      <c r="F1259" s="89">
        <v>-87000</v>
      </c>
      <c r="G1259" s="78" t="s">
        <v>309</v>
      </c>
      <c r="H1259" s="75" t="s">
        <v>310</v>
      </c>
      <c r="I1259" s="75" t="s">
        <v>329</v>
      </c>
      <c r="J1259" s="75">
        <v>2025</v>
      </c>
      <c r="K1259" s="75" t="s">
        <v>1288</v>
      </c>
      <c r="L1259" s="75"/>
    </row>
    <row r="1260" spans="1:12" x14ac:dyDescent="0.25">
      <c r="A1260" s="78">
        <v>45433</v>
      </c>
      <c r="B1260" s="75" t="s">
        <v>2777</v>
      </c>
      <c r="C1260" s="75" t="s">
        <v>2778</v>
      </c>
      <c r="D1260" s="75"/>
      <c r="E1260" s="75">
        <v>68427709</v>
      </c>
      <c r="F1260" s="224">
        <v>130000</v>
      </c>
      <c r="G1260" s="78" t="s">
        <v>309</v>
      </c>
      <c r="H1260" s="75" t="s">
        <v>310</v>
      </c>
      <c r="I1260" s="75" t="s">
        <v>1896</v>
      </c>
      <c r="J1260" s="75">
        <v>2025</v>
      </c>
      <c r="K1260" s="75" t="s">
        <v>2112</v>
      </c>
      <c r="L1260" s="75" t="s">
        <v>2779</v>
      </c>
    </row>
    <row r="1261" spans="1:12" x14ac:dyDescent="0.25">
      <c r="A1261" s="78">
        <v>45434</v>
      </c>
      <c r="B1261" s="75" t="s">
        <v>2780</v>
      </c>
      <c r="C1261" s="75" t="s">
        <v>2735</v>
      </c>
      <c r="D1261" s="75"/>
      <c r="E1261" s="75">
        <v>68427709</v>
      </c>
      <c r="F1261" s="89">
        <v>-23000</v>
      </c>
      <c r="G1261" s="78" t="s">
        <v>309</v>
      </c>
      <c r="H1261" s="75" t="s">
        <v>310</v>
      </c>
      <c r="I1261" s="75" t="s">
        <v>1896</v>
      </c>
      <c r="J1261" s="75">
        <v>2025</v>
      </c>
      <c r="K1261" s="116" t="s">
        <v>2781</v>
      </c>
      <c r="L1261" s="75"/>
    </row>
    <row r="1262" spans="1:12" x14ac:dyDescent="0.25">
      <c r="A1262" s="78">
        <v>45434</v>
      </c>
      <c r="B1262" s="75" t="s">
        <v>2556</v>
      </c>
      <c r="C1262" s="75" t="s">
        <v>2578</v>
      </c>
      <c r="D1262" s="75"/>
      <c r="E1262" s="75">
        <v>68427709</v>
      </c>
      <c r="F1262" s="224">
        <v>7500</v>
      </c>
      <c r="G1262" s="78" t="s">
        <v>309</v>
      </c>
      <c r="H1262" s="75" t="s">
        <v>310</v>
      </c>
      <c r="I1262" s="75" t="s">
        <v>1896</v>
      </c>
      <c r="J1262" s="75">
        <v>2025</v>
      </c>
      <c r="K1262" s="116" t="s">
        <v>2781</v>
      </c>
      <c r="L1262" s="75"/>
    </row>
    <row r="1263" spans="1:12" x14ac:dyDescent="0.25">
      <c r="A1263" s="78">
        <v>45434</v>
      </c>
      <c r="B1263" s="75" t="s">
        <v>1049</v>
      </c>
      <c r="C1263" s="75" t="s">
        <v>2782</v>
      </c>
      <c r="D1263" s="75"/>
      <c r="E1263" s="75">
        <v>68427709</v>
      </c>
      <c r="F1263" s="89">
        <v>-200000</v>
      </c>
      <c r="G1263" s="78" t="s">
        <v>309</v>
      </c>
      <c r="H1263" s="75" t="s">
        <v>310</v>
      </c>
      <c r="I1263" s="75" t="s">
        <v>631</v>
      </c>
      <c r="J1263" s="75">
        <v>2025</v>
      </c>
      <c r="K1263" s="116" t="s">
        <v>2781</v>
      </c>
      <c r="L1263" s="75" t="s">
        <v>2783</v>
      </c>
    </row>
    <row r="1264" spans="1:12" x14ac:dyDescent="0.25">
      <c r="A1264" s="78">
        <v>45434</v>
      </c>
      <c r="B1264" s="75" t="s">
        <v>2784</v>
      </c>
      <c r="C1264" s="75" t="s">
        <v>2735</v>
      </c>
      <c r="D1264" s="75"/>
      <c r="E1264" s="75">
        <v>68427709</v>
      </c>
      <c r="F1264" s="89">
        <v>-10000</v>
      </c>
      <c r="G1264" s="78" t="s">
        <v>309</v>
      </c>
      <c r="H1264" s="75" t="s">
        <v>310</v>
      </c>
      <c r="I1264" s="75" t="s">
        <v>631</v>
      </c>
      <c r="J1264" s="75">
        <v>2025</v>
      </c>
      <c r="K1264" s="116" t="s">
        <v>2781</v>
      </c>
      <c r="L1264" s="75"/>
    </row>
    <row r="1265" spans="1:12" x14ac:dyDescent="0.25">
      <c r="A1265" s="131">
        <v>45434</v>
      </c>
      <c r="B1265" s="75" t="s">
        <v>2785</v>
      </c>
      <c r="C1265" s="75" t="s">
        <v>2735</v>
      </c>
      <c r="D1265" s="75"/>
      <c r="E1265" s="75">
        <v>68427709</v>
      </c>
      <c r="F1265" s="89">
        <v>-157000</v>
      </c>
      <c r="G1265" s="78" t="s">
        <v>309</v>
      </c>
      <c r="H1265" s="75" t="s">
        <v>310</v>
      </c>
      <c r="I1265" s="75" t="s">
        <v>631</v>
      </c>
      <c r="J1265" s="75">
        <v>2025</v>
      </c>
      <c r="K1265" s="116" t="s">
        <v>2781</v>
      </c>
      <c r="L1265" s="75"/>
    </row>
    <row r="1266" spans="1:12" x14ac:dyDescent="0.25">
      <c r="A1266" s="131">
        <v>45434</v>
      </c>
      <c r="B1266" s="75" t="s">
        <v>2187</v>
      </c>
      <c r="C1266" s="75" t="s">
        <v>2786</v>
      </c>
      <c r="D1266" s="75"/>
      <c r="E1266" s="75">
        <v>68427709</v>
      </c>
      <c r="F1266" s="89">
        <v>-15000</v>
      </c>
      <c r="G1266" s="78" t="s">
        <v>309</v>
      </c>
      <c r="H1266" s="75" t="s">
        <v>310</v>
      </c>
      <c r="I1266" s="75" t="s">
        <v>631</v>
      </c>
      <c r="J1266" s="75">
        <v>2025</v>
      </c>
      <c r="K1266" s="116" t="s">
        <v>2781</v>
      </c>
      <c r="L1266" s="75"/>
    </row>
    <row r="1267" spans="1:12" x14ac:dyDescent="0.25">
      <c r="A1267" s="131">
        <v>45434</v>
      </c>
      <c r="B1267" s="75" t="s">
        <v>2787</v>
      </c>
      <c r="C1267" s="75" t="s">
        <v>2788</v>
      </c>
      <c r="D1267" s="75"/>
      <c r="E1267" s="75">
        <v>68427709</v>
      </c>
      <c r="F1267" s="224">
        <v>25000</v>
      </c>
      <c r="G1267" s="78" t="s">
        <v>309</v>
      </c>
      <c r="H1267" s="75" t="s">
        <v>310</v>
      </c>
      <c r="I1267" s="75" t="s">
        <v>631</v>
      </c>
      <c r="J1267" s="75">
        <v>2025</v>
      </c>
      <c r="K1267" s="116" t="s">
        <v>2781</v>
      </c>
      <c r="L1267" s="75"/>
    </row>
    <row r="1268" spans="1:12" x14ac:dyDescent="0.25">
      <c r="A1268" s="131">
        <v>45434</v>
      </c>
      <c r="B1268" s="75" t="s">
        <v>2789</v>
      </c>
      <c r="C1268" s="75" t="s">
        <v>2790</v>
      </c>
      <c r="D1268" s="75"/>
      <c r="E1268" s="75">
        <v>68427709</v>
      </c>
      <c r="F1268" s="224">
        <v>65000</v>
      </c>
      <c r="G1268" s="78" t="s">
        <v>309</v>
      </c>
      <c r="H1268" s="75" t="s">
        <v>310</v>
      </c>
      <c r="I1268" s="75" t="s">
        <v>631</v>
      </c>
      <c r="J1268" s="75">
        <v>2025</v>
      </c>
      <c r="K1268" s="116" t="s">
        <v>2781</v>
      </c>
      <c r="L1268" s="75"/>
    </row>
    <row r="1269" spans="1:12" x14ac:dyDescent="0.25">
      <c r="A1269" s="131">
        <v>45434</v>
      </c>
      <c r="B1269" s="75" t="s">
        <v>2791</v>
      </c>
      <c r="C1269" s="75" t="s">
        <v>2792</v>
      </c>
      <c r="D1269" s="75"/>
      <c r="E1269" s="75">
        <v>68427709</v>
      </c>
      <c r="F1269" s="224">
        <v>35000</v>
      </c>
      <c r="G1269" s="78" t="s">
        <v>309</v>
      </c>
      <c r="H1269" s="75" t="s">
        <v>310</v>
      </c>
      <c r="I1269" s="75" t="s">
        <v>631</v>
      </c>
      <c r="J1269" s="75">
        <v>2025</v>
      </c>
      <c r="K1269" s="116" t="s">
        <v>2781</v>
      </c>
      <c r="L1269" s="75"/>
    </row>
    <row r="1270" spans="1:12" x14ac:dyDescent="0.25">
      <c r="A1270" s="131">
        <v>45434</v>
      </c>
      <c r="B1270" s="75" t="s">
        <v>2793</v>
      </c>
      <c r="C1270" s="75" t="s">
        <v>2794</v>
      </c>
      <c r="D1270" s="75"/>
      <c r="E1270" s="75">
        <v>68427709</v>
      </c>
      <c r="F1270" s="224">
        <v>70000</v>
      </c>
      <c r="G1270" s="78" t="s">
        <v>309</v>
      </c>
      <c r="H1270" s="75" t="s">
        <v>310</v>
      </c>
      <c r="I1270" s="75" t="s">
        <v>631</v>
      </c>
      <c r="J1270" s="75">
        <v>2025</v>
      </c>
      <c r="K1270" s="116" t="s">
        <v>2781</v>
      </c>
      <c r="L1270" s="75"/>
    </row>
    <row r="1271" spans="1:12" x14ac:dyDescent="0.25">
      <c r="A1271" s="131">
        <v>45434</v>
      </c>
      <c r="B1271" s="75" t="s">
        <v>2795</v>
      </c>
      <c r="C1271" s="75" t="s">
        <v>2794</v>
      </c>
      <c r="D1271" s="75"/>
      <c r="E1271" s="75">
        <v>68427709</v>
      </c>
      <c r="F1271" s="224">
        <v>30000</v>
      </c>
      <c r="G1271" s="78" t="s">
        <v>309</v>
      </c>
      <c r="H1271" s="75" t="s">
        <v>310</v>
      </c>
      <c r="I1271" s="75" t="s">
        <v>631</v>
      </c>
      <c r="J1271" s="75">
        <v>2025</v>
      </c>
      <c r="K1271" s="116" t="s">
        <v>2781</v>
      </c>
      <c r="L1271" s="75" t="s">
        <v>2783</v>
      </c>
    </row>
    <row r="1272" spans="1:12" x14ac:dyDescent="0.25">
      <c r="A1272" s="131">
        <v>45434</v>
      </c>
      <c r="B1272" s="75" t="s">
        <v>1905</v>
      </c>
      <c r="C1272" s="75" t="s">
        <v>2578</v>
      </c>
      <c r="D1272" s="75"/>
      <c r="E1272" s="75">
        <v>68427709</v>
      </c>
      <c r="F1272" s="224">
        <v>44000</v>
      </c>
      <c r="G1272" s="78" t="s">
        <v>309</v>
      </c>
      <c r="H1272" s="75" t="s">
        <v>310</v>
      </c>
      <c r="I1272" s="75" t="s">
        <v>631</v>
      </c>
      <c r="J1272" s="75">
        <v>2025</v>
      </c>
      <c r="K1272" s="116" t="s">
        <v>2781</v>
      </c>
      <c r="L1272" s="75" t="s">
        <v>2783</v>
      </c>
    </row>
    <row r="1273" spans="1:12" x14ac:dyDescent="0.25">
      <c r="A1273" s="131">
        <v>45434</v>
      </c>
      <c r="B1273" s="75" t="s">
        <v>1495</v>
      </c>
      <c r="C1273" s="75" t="s">
        <v>2796</v>
      </c>
      <c r="D1273" s="75"/>
      <c r="E1273" s="75">
        <v>68427709</v>
      </c>
      <c r="F1273" s="89">
        <v>-95000</v>
      </c>
      <c r="G1273" s="78" t="s">
        <v>309</v>
      </c>
      <c r="H1273" s="75" t="s">
        <v>310</v>
      </c>
      <c r="I1273" s="75" t="s">
        <v>631</v>
      </c>
      <c r="J1273" s="75">
        <v>2025</v>
      </c>
      <c r="K1273" s="75" t="s">
        <v>2797</v>
      </c>
      <c r="L1273" s="75"/>
    </row>
    <row r="1274" spans="1:12" x14ac:dyDescent="0.25">
      <c r="A1274" s="131">
        <v>45434</v>
      </c>
      <c r="B1274" s="75" t="s">
        <v>2798</v>
      </c>
      <c r="C1274" s="75" t="s">
        <v>2799</v>
      </c>
      <c r="D1274" s="75"/>
      <c r="E1274" s="75">
        <v>68427709</v>
      </c>
      <c r="F1274" s="224">
        <v>0</v>
      </c>
      <c r="G1274" s="78" t="s">
        <v>309</v>
      </c>
      <c r="H1274" s="75" t="s">
        <v>310</v>
      </c>
      <c r="I1274" s="75" t="s">
        <v>631</v>
      </c>
      <c r="J1274" s="75">
        <v>2025</v>
      </c>
      <c r="K1274" s="75" t="s">
        <v>2800</v>
      </c>
      <c r="L1274" s="75" t="s">
        <v>2801</v>
      </c>
    </row>
    <row r="1275" spans="1:12" x14ac:dyDescent="0.25">
      <c r="A1275" s="131">
        <v>45434</v>
      </c>
      <c r="B1275" s="75" t="s">
        <v>1488</v>
      </c>
      <c r="C1275" s="75" t="s">
        <v>2802</v>
      </c>
      <c r="D1275" s="75"/>
      <c r="E1275" s="75">
        <v>68427709</v>
      </c>
      <c r="F1275" s="224">
        <v>180000</v>
      </c>
      <c r="G1275" s="78" t="s">
        <v>309</v>
      </c>
      <c r="H1275" s="75" t="s">
        <v>310</v>
      </c>
      <c r="I1275" s="75" t="s">
        <v>631</v>
      </c>
      <c r="J1275" s="75">
        <v>2025</v>
      </c>
      <c r="K1275" s="75" t="s">
        <v>2797</v>
      </c>
      <c r="L1275" s="75" t="s">
        <v>2803</v>
      </c>
    </row>
    <row r="1276" spans="1:12" x14ac:dyDescent="0.25">
      <c r="A1276" s="131">
        <v>45434</v>
      </c>
      <c r="B1276" s="75" t="s">
        <v>2804</v>
      </c>
      <c r="C1276" s="75" t="s">
        <v>2805</v>
      </c>
      <c r="D1276" s="75"/>
      <c r="E1276" s="75">
        <v>68427709</v>
      </c>
      <c r="F1276" s="224">
        <v>1</v>
      </c>
      <c r="G1276" s="78" t="s">
        <v>993</v>
      </c>
      <c r="H1276" s="75" t="s">
        <v>310</v>
      </c>
      <c r="I1276" s="75" t="s">
        <v>631</v>
      </c>
      <c r="J1276" s="75">
        <v>2025</v>
      </c>
      <c r="K1276" s="75" t="s">
        <v>2806</v>
      </c>
      <c r="L1276" s="75" t="s">
        <v>2807</v>
      </c>
    </row>
    <row r="1277" spans="1:12" x14ac:dyDescent="0.25">
      <c r="A1277" s="131">
        <v>45434</v>
      </c>
      <c r="B1277" s="75" t="s">
        <v>2808</v>
      </c>
      <c r="C1277" s="75" t="s">
        <v>2809</v>
      </c>
      <c r="D1277" s="75"/>
      <c r="E1277" s="75">
        <v>68427709</v>
      </c>
      <c r="F1277" s="224">
        <v>1</v>
      </c>
      <c r="G1277" s="78" t="s">
        <v>993</v>
      </c>
      <c r="H1277" s="75" t="s">
        <v>310</v>
      </c>
      <c r="I1277" s="75" t="s">
        <v>631</v>
      </c>
      <c r="J1277" s="75">
        <v>2025</v>
      </c>
      <c r="K1277" s="75" t="s">
        <v>2810</v>
      </c>
      <c r="L1277" s="75" t="s">
        <v>2811</v>
      </c>
    </row>
    <row r="1278" spans="1:12" x14ac:dyDescent="0.25">
      <c r="A1278" s="131">
        <v>45434</v>
      </c>
      <c r="B1278" s="75" t="s">
        <v>2812</v>
      </c>
      <c r="C1278" s="75" t="s">
        <v>2813</v>
      </c>
      <c r="D1278" s="75"/>
      <c r="E1278" s="75">
        <v>68427709</v>
      </c>
      <c r="F1278" s="224">
        <v>1</v>
      </c>
      <c r="G1278" s="78" t="s">
        <v>993</v>
      </c>
      <c r="H1278" s="75" t="s">
        <v>310</v>
      </c>
      <c r="I1278" s="75" t="s">
        <v>631</v>
      </c>
      <c r="J1278" s="75">
        <v>2025</v>
      </c>
      <c r="K1278" s="75" t="s">
        <v>2797</v>
      </c>
      <c r="L1278" s="75" t="s">
        <v>2814</v>
      </c>
    </row>
    <row r="1279" spans="1:12" x14ac:dyDescent="0.25">
      <c r="A1279" s="131">
        <v>45435</v>
      </c>
      <c r="B1279" s="116" t="s">
        <v>2815</v>
      </c>
      <c r="C1279" s="75" t="s">
        <v>2796</v>
      </c>
      <c r="D1279" s="75"/>
      <c r="E1279" s="75">
        <v>68427709</v>
      </c>
      <c r="F1279" s="89">
        <v>-11250</v>
      </c>
      <c r="G1279" s="78" t="s">
        <v>309</v>
      </c>
      <c r="H1279" s="75" t="s">
        <v>310</v>
      </c>
      <c r="I1279" s="75" t="s">
        <v>631</v>
      </c>
      <c r="J1279" s="75">
        <v>2025</v>
      </c>
      <c r="K1279" s="75" t="s">
        <v>2112</v>
      </c>
      <c r="L1279" s="75"/>
    </row>
    <row r="1280" spans="1:12" x14ac:dyDescent="0.25">
      <c r="A1280" s="131">
        <v>45435</v>
      </c>
      <c r="B1280" s="219" t="s">
        <v>2816</v>
      </c>
      <c r="C1280" s="75" t="s">
        <v>2796</v>
      </c>
      <c r="D1280" s="75"/>
      <c r="E1280" s="75">
        <v>68427709</v>
      </c>
      <c r="F1280" s="89">
        <v>-70000</v>
      </c>
      <c r="G1280" s="78" t="s">
        <v>309</v>
      </c>
      <c r="H1280" s="75" t="s">
        <v>310</v>
      </c>
      <c r="I1280" s="75" t="s">
        <v>631</v>
      </c>
      <c r="J1280" s="75">
        <v>2025</v>
      </c>
      <c r="K1280" s="75" t="s">
        <v>2112</v>
      </c>
      <c r="L1280" s="75"/>
    </row>
    <row r="1281" spans="1:12" x14ac:dyDescent="0.25">
      <c r="A1281" s="131">
        <v>45435</v>
      </c>
      <c r="B1281" s="75" t="s">
        <v>2377</v>
      </c>
      <c r="C1281" s="132" t="s">
        <v>2817</v>
      </c>
      <c r="D1281" s="75"/>
      <c r="E1281" s="75">
        <v>68427709</v>
      </c>
      <c r="F1281" s="89">
        <v>-307000</v>
      </c>
      <c r="G1281" s="78" t="s">
        <v>309</v>
      </c>
      <c r="H1281" s="75" t="s">
        <v>310</v>
      </c>
      <c r="I1281" s="75" t="s">
        <v>631</v>
      </c>
      <c r="J1281" s="75">
        <v>2025</v>
      </c>
      <c r="K1281" s="75" t="s">
        <v>2112</v>
      </c>
      <c r="L1281" s="75"/>
    </row>
    <row r="1282" spans="1:12" x14ac:dyDescent="0.25">
      <c r="A1282" s="131">
        <v>45435</v>
      </c>
      <c r="B1282" s="75" t="s">
        <v>2818</v>
      </c>
      <c r="C1282" s="132" t="s">
        <v>2819</v>
      </c>
      <c r="D1282" s="75"/>
      <c r="E1282" s="75">
        <v>68427709</v>
      </c>
      <c r="F1282" s="224">
        <v>300000</v>
      </c>
      <c r="G1282" s="78" t="s">
        <v>309</v>
      </c>
      <c r="H1282" s="75" t="s">
        <v>310</v>
      </c>
      <c r="I1282" s="75" t="s">
        <v>631</v>
      </c>
      <c r="J1282" s="75">
        <v>2025</v>
      </c>
      <c r="K1282" s="75" t="s">
        <v>2112</v>
      </c>
      <c r="L1282" s="75"/>
    </row>
    <row r="1283" spans="1:12" x14ac:dyDescent="0.25">
      <c r="A1283" s="131">
        <v>45435</v>
      </c>
      <c r="B1283" s="75" t="s">
        <v>2110</v>
      </c>
      <c r="C1283" s="132" t="s">
        <v>2820</v>
      </c>
      <c r="D1283" s="75"/>
      <c r="E1283" s="75">
        <v>68427709</v>
      </c>
      <c r="F1283" s="89">
        <v>-162000</v>
      </c>
      <c r="G1283" s="78" t="s">
        <v>309</v>
      </c>
      <c r="H1283" s="75" t="s">
        <v>310</v>
      </c>
      <c r="I1283" s="75" t="s">
        <v>631</v>
      </c>
      <c r="J1283" s="75">
        <v>2025</v>
      </c>
      <c r="K1283" s="75" t="s">
        <v>2112</v>
      </c>
      <c r="L1283" s="75"/>
    </row>
    <row r="1284" spans="1:12" x14ac:dyDescent="0.25">
      <c r="A1284" s="131">
        <v>45435</v>
      </c>
      <c r="B1284" s="75" t="s">
        <v>2821</v>
      </c>
      <c r="C1284" s="132" t="s">
        <v>2822</v>
      </c>
      <c r="D1284" s="75"/>
      <c r="E1284" s="75">
        <v>68427709</v>
      </c>
      <c r="F1284" s="89">
        <f>-307000</f>
        <v>-307000</v>
      </c>
      <c r="G1284" s="78" t="s">
        <v>309</v>
      </c>
      <c r="H1284" s="75" t="s">
        <v>310</v>
      </c>
      <c r="I1284" s="75" t="s">
        <v>631</v>
      </c>
      <c r="J1284" s="75">
        <v>2025</v>
      </c>
      <c r="K1284" s="75" t="s">
        <v>2112</v>
      </c>
      <c r="L1284" s="75"/>
    </row>
    <row r="1285" spans="1:12" x14ac:dyDescent="0.25">
      <c r="A1285" s="131">
        <v>45435</v>
      </c>
      <c r="B1285" s="75" t="s">
        <v>2823</v>
      </c>
      <c r="C1285" s="132" t="s">
        <v>2824</v>
      </c>
      <c r="D1285" s="75"/>
      <c r="E1285" s="75">
        <v>68427709</v>
      </c>
      <c r="F1285" s="224">
        <v>26000</v>
      </c>
      <c r="G1285" s="78" t="s">
        <v>309</v>
      </c>
      <c r="H1285" s="75" t="s">
        <v>310</v>
      </c>
      <c r="I1285" s="75" t="s">
        <v>631</v>
      </c>
      <c r="J1285" s="75">
        <v>2025</v>
      </c>
      <c r="K1285" s="75" t="s">
        <v>2112</v>
      </c>
      <c r="L1285" s="75" t="s">
        <v>2825</v>
      </c>
    </row>
    <row r="1286" spans="1:12" x14ac:dyDescent="0.25">
      <c r="A1286" s="131">
        <v>45435</v>
      </c>
      <c r="B1286" s="75" t="s">
        <v>2826</v>
      </c>
      <c r="C1286" s="132" t="s">
        <v>2824</v>
      </c>
      <c r="D1286" s="75"/>
      <c r="E1286" s="75">
        <v>68427709</v>
      </c>
      <c r="F1286" s="89">
        <v>-28100</v>
      </c>
      <c r="G1286" s="78" t="s">
        <v>309</v>
      </c>
      <c r="H1286" s="75" t="s">
        <v>310</v>
      </c>
      <c r="I1286" s="75" t="s">
        <v>631</v>
      </c>
      <c r="J1286" s="75">
        <v>2025</v>
      </c>
      <c r="K1286" s="75" t="s">
        <v>2112</v>
      </c>
      <c r="L1286" s="75"/>
    </row>
    <row r="1287" spans="1:12" x14ac:dyDescent="0.25">
      <c r="A1287" s="131">
        <v>45435</v>
      </c>
      <c r="B1287" s="116" t="s">
        <v>2615</v>
      </c>
      <c r="C1287" s="132" t="s">
        <v>2827</v>
      </c>
      <c r="D1287" s="75"/>
      <c r="E1287" s="75">
        <v>68427709</v>
      </c>
      <c r="F1287" s="224">
        <v>0</v>
      </c>
      <c r="G1287" s="75" t="s">
        <v>309</v>
      </c>
      <c r="H1287" s="75" t="s">
        <v>310</v>
      </c>
      <c r="I1287" s="75" t="s">
        <v>2758</v>
      </c>
      <c r="J1287" s="75">
        <v>2025</v>
      </c>
      <c r="K1287" s="75" t="s">
        <v>2112</v>
      </c>
      <c r="L1287" s="75"/>
    </row>
    <row r="1288" spans="1:12" x14ac:dyDescent="0.25">
      <c r="A1288" s="131">
        <v>45435</v>
      </c>
      <c r="B1288" s="21" t="s">
        <v>2617</v>
      </c>
      <c r="C1288" s="133"/>
      <c r="D1288" s="133"/>
      <c r="E1288" s="133">
        <v>68427709</v>
      </c>
      <c r="F1288" s="225">
        <v>1</v>
      </c>
      <c r="G1288" s="168" t="s">
        <v>993</v>
      </c>
      <c r="H1288" s="133" t="s">
        <v>310</v>
      </c>
      <c r="I1288" s="133" t="s">
        <v>631</v>
      </c>
      <c r="J1288" s="133">
        <v>2025</v>
      </c>
      <c r="K1288" s="133" t="s">
        <v>2112</v>
      </c>
      <c r="L1288" s="133"/>
    </row>
    <row r="1289" spans="1:12" x14ac:dyDescent="0.25">
      <c r="A1289" s="131">
        <v>45435</v>
      </c>
      <c r="B1289" s="75" t="s">
        <v>2828</v>
      </c>
      <c r="C1289" s="75" t="s">
        <v>2829</v>
      </c>
      <c r="D1289" s="75"/>
      <c r="E1289" s="75">
        <v>68427709</v>
      </c>
      <c r="F1289" s="224">
        <v>300000</v>
      </c>
      <c r="G1289" s="78" t="s">
        <v>309</v>
      </c>
      <c r="H1289" s="133" t="s">
        <v>310</v>
      </c>
      <c r="I1289" s="75" t="s">
        <v>631</v>
      </c>
      <c r="J1289" s="75">
        <v>2025</v>
      </c>
      <c r="K1289" s="75" t="s">
        <v>2112</v>
      </c>
      <c r="L1289" s="75"/>
    </row>
    <row r="1290" spans="1:12" x14ac:dyDescent="0.25">
      <c r="A1290" s="131">
        <v>45435</v>
      </c>
      <c r="B1290" s="144" t="s">
        <v>2830</v>
      </c>
      <c r="C1290" s="75" t="s">
        <v>2831</v>
      </c>
      <c r="D1290" s="75"/>
      <c r="E1290" s="75">
        <v>68427709</v>
      </c>
      <c r="F1290" s="224">
        <v>0</v>
      </c>
      <c r="G1290" s="78" t="s">
        <v>309</v>
      </c>
      <c r="H1290" s="75" t="s">
        <v>310</v>
      </c>
      <c r="I1290" s="75" t="s">
        <v>631</v>
      </c>
      <c r="J1290" s="75">
        <v>2025</v>
      </c>
      <c r="K1290" s="75" t="s">
        <v>2112</v>
      </c>
      <c r="L1290" s="75"/>
    </row>
    <row r="1291" spans="1:12" x14ac:dyDescent="0.25">
      <c r="A1291" s="131">
        <v>45435</v>
      </c>
      <c r="B1291" s="75" t="s">
        <v>2832</v>
      </c>
      <c r="C1291" s="75" t="s">
        <v>2833</v>
      </c>
      <c r="D1291" s="75"/>
      <c r="E1291" s="75">
        <v>68427709</v>
      </c>
      <c r="F1291" s="89">
        <v>-8000</v>
      </c>
      <c r="G1291" s="78" t="s">
        <v>309</v>
      </c>
      <c r="H1291" s="75" t="s">
        <v>310</v>
      </c>
      <c r="I1291" s="75" t="s">
        <v>631</v>
      </c>
      <c r="J1291" s="75">
        <v>2025</v>
      </c>
      <c r="K1291" s="75" t="s">
        <v>423</v>
      </c>
      <c r="L1291" s="75"/>
    </row>
    <row r="1292" spans="1:12" x14ac:dyDescent="0.25">
      <c r="A1292" s="131">
        <v>45435</v>
      </c>
      <c r="B1292" s="75" t="s">
        <v>2834</v>
      </c>
      <c r="C1292" s="75"/>
      <c r="D1292" s="75"/>
      <c r="E1292" s="75">
        <v>68427709</v>
      </c>
      <c r="F1292" s="224">
        <v>1</v>
      </c>
      <c r="G1292" s="78" t="s">
        <v>2835</v>
      </c>
      <c r="H1292" s="75" t="s">
        <v>310</v>
      </c>
      <c r="I1292" s="75" t="s">
        <v>631</v>
      </c>
      <c r="J1292" s="75">
        <v>2025</v>
      </c>
      <c r="K1292" s="75" t="s">
        <v>2112</v>
      </c>
      <c r="L1292" s="75"/>
    </row>
    <row r="1293" spans="1:12" x14ac:dyDescent="0.25">
      <c r="A1293" s="131">
        <v>45435</v>
      </c>
      <c r="B1293" s="75" t="s">
        <v>2836</v>
      </c>
      <c r="C1293" s="75" t="s">
        <v>2837</v>
      </c>
      <c r="D1293" s="75"/>
      <c r="E1293" s="75">
        <v>68427709</v>
      </c>
      <c r="F1293" s="224" t="s">
        <v>2838</v>
      </c>
      <c r="G1293" s="78" t="s">
        <v>993</v>
      </c>
      <c r="H1293" s="75" t="s">
        <v>310</v>
      </c>
      <c r="I1293" s="75" t="s">
        <v>1189</v>
      </c>
      <c r="J1293" s="75">
        <v>2025</v>
      </c>
      <c r="K1293" s="75" t="s">
        <v>1288</v>
      </c>
      <c r="L1293" s="75" t="s">
        <v>2839</v>
      </c>
    </row>
    <row r="1294" spans="1:12" x14ac:dyDescent="0.25">
      <c r="A1294" s="131">
        <v>45439</v>
      </c>
      <c r="B1294" s="75" t="s">
        <v>1197</v>
      </c>
      <c r="C1294" s="75" t="s">
        <v>2840</v>
      </c>
      <c r="D1294" s="75"/>
      <c r="E1294" s="75">
        <v>68427709</v>
      </c>
      <c r="F1294" s="224">
        <v>30000</v>
      </c>
      <c r="G1294" s="78" t="s">
        <v>309</v>
      </c>
      <c r="H1294" s="75" t="s">
        <v>310</v>
      </c>
      <c r="I1294" s="75" t="s">
        <v>631</v>
      </c>
      <c r="J1294" s="75">
        <v>2025</v>
      </c>
      <c r="K1294" s="75" t="s">
        <v>1984</v>
      </c>
      <c r="L1294" s="75"/>
    </row>
    <row r="1295" spans="1:12" x14ac:dyDescent="0.25">
      <c r="A1295" s="131">
        <v>45435</v>
      </c>
      <c r="B1295" s="75" t="s">
        <v>659</v>
      </c>
      <c r="C1295" s="75" t="s">
        <v>2841</v>
      </c>
      <c r="D1295" s="75"/>
      <c r="E1295" s="75">
        <v>68427709</v>
      </c>
      <c r="F1295" s="224">
        <v>40000</v>
      </c>
      <c r="G1295" s="78" t="s">
        <v>309</v>
      </c>
      <c r="H1295" s="75" t="s">
        <v>310</v>
      </c>
      <c r="I1295" s="75" t="s">
        <v>631</v>
      </c>
      <c r="J1295" s="75">
        <v>2025</v>
      </c>
      <c r="K1295" s="75" t="s">
        <v>1984</v>
      </c>
      <c r="L1295" s="75"/>
    </row>
    <row r="1296" spans="1:12" x14ac:dyDescent="0.25">
      <c r="A1296" s="131">
        <v>45439</v>
      </c>
      <c r="B1296" s="75" t="s">
        <v>2638</v>
      </c>
      <c r="C1296" s="75" t="s">
        <v>2842</v>
      </c>
      <c r="D1296" s="75"/>
      <c r="E1296" s="75">
        <v>68427709</v>
      </c>
      <c r="F1296" s="224">
        <v>84000</v>
      </c>
      <c r="G1296" s="78" t="s">
        <v>309</v>
      </c>
      <c r="H1296" s="75" t="s">
        <v>310</v>
      </c>
      <c r="I1296" s="75" t="s">
        <v>631</v>
      </c>
      <c r="J1296" s="75">
        <v>2025</v>
      </c>
      <c r="K1296" s="75" t="s">
        <v>1984</v>
      </c>
      <c r="L1296" s="75"/>
    </row>
    <row r="1297" spans="1:12" x14ac:dyDescent="0.25">
      <c r="A1297" s="131">
        <v>45439</v>
      </c>
      <c r="B1297" s="75" t="s">
        <v>1177</v>
      </c>
      <c r="C1297" s="75" t="s">
        <v>2578</v>
      </c>
      <c r="D1297" s="75"/>
      <c r="E1297" s="75">
        <v>68427709</v>
      </c>
      <c r="F1297" s="224">
        <v>1500</v>
      </c>
      <c r="G1297" s="78" t="s">
        <v>309</v>
      </c>
      <c r="H1297" s="75" t="s">
        <v>310</v>
      </c>
      <c r="I1297" s="75" t="s">
        <v>631</v>
      </c>
      <c r="J1297" s="75">
        <v>2025</v>
      </c>
      <c r="K1297" s="75" t="s">
        <v>2843</v>
      </c>
      <c r="L1297" s="75"/>
    </row>
    <row r="1298" spans="1:12" x14ac:dyDescent="0.25">
      <c r="A1298" s="131">
        <v>45439</v>
      </c>
      <c r="B1298" s="75" t="s">
        <v>2651</v>
      </c>
      <c r="C1298" s="75" t="s">
        <v>2844</v>
      </c>
      <c r="D1298" s="75"/>
      <c r="E1298" s="75">
        <v>68427709</v>
      </c>
      <c r="F1298" s="224">
        <v>-229000</v>
      </c>
      <c r="G1298" s="78" t="s">
        <v>309</v>
      </c>
      <c r="H1298" s="75" t="s">
        <v>310</v>
      </c>
      <c r="I1298" s="75" t="s">
        <v>631</v>
      </c>
      <c r="J1298" s="75">
        <v>2025</v>
      </c>
      <c r="K1298" s="75" t="s">
        <v>2843</v>
      </c>
      <c r="L1298" s="75"/>
    </row>
    <row r="1299" spans="1:12" x14ac:dyDescent="0.25">
      <c r="A1299" s="131">
        <v>45439</v>
      </c>
      <c r="B1299" s="75" t="s">
        <v>2845</v>
      </c>
      <c r="C1299" s="75" t="s">
        <v>2578</v>
      </c>
      <c r="D1299" s="75"/>
      <c r="E1299" s="75">
        <v>68427709</v>
      </c>
      <c r="F1299" s="224">
        <v>300</v>
      </c>
      <c r="G1299" s="78" t="s">
        <v>309</v>
      </c>
      <c r="H1299" s="75" t="s">
        <v>310</v>
      </c>
      <c r="I1299" s="75" t="s">
        <v>631</v>
      </c>
      <c r="J1299" s="75">
        <v>2025</v>
      </c>
      <c r="K1299" s="75" t="s">
        <v>2843</v>
      </c>
      <c r="L1299" s="75"/>
    </row>
    <row r="1300" spans="1:12" x14ac:dyDescent="0.25">
      <c r="A1300" s="131">
        <v>45439</v>
      </c>
      <c r="B1300" s="75" t="s">
        <v>1146</v>
      </c>
      <c r="C1300" s="75" t="s">
        <v>2846</v>
      </c>
      <c r="D1300" s="75"/>
      <c r="E1300" s="75">
        <v>68427709</v>
      </c>
      <c r="F1300" s="224">
        <v>30000</v>
      </c>
      <c r="G1300" s="78" t="s">
        <v>2720</v>
      </c>
      <c r="H1300" s="75" t="s">
        <v>310</v>
      </c>
      <c r="I1300" s="75" t="s">
        <v>631</v>
      </c>
      <c r="J1300" s="75">
        <v>2025</v>
      </c>
      <c r="K1300" s="75" t="s">
        <v>2843</v>
      </c>
      <c r="L1300" s="75"/>
    </row>
    <row r="1301" spans="1:12" x14ac:dyDescent="0.25">
      <c r="A1301" s="131">
        <v>45439</v>
      </c>
      <c r="B1301" s="75" t="s">
        <v>2847</v>
      </c>
      <c r="C1301" s="75"/>
      <c r="D1301" s="75"/>
      <c r="E1301" s="75">
        <v>68427709</v>
      </c>
      <c r="F1301" s="224">
        <v>112000</v>
      </c>
      <c r="G1301" s="78" t="s">
        <v>2720</v>
      </c>
      <c r="H1301" s="75" t="s">
        <v>310</v>
      </c>
      <c r="I1301" s="75" t="s">
        <v>631</v>
      </c>
      <c r="J1301" s="75">
        <v>2025</v>
      </c>
      <c r="K1301" s="75" t="s">
        <v>2843</v>
      </c>
      <c r="L1301" s="75"/>
    </row>
    <row r="1302" spans="1:12" x14ac:dyDescent="0.25">
      <c r="A1302" s="131">
        <v>45439</v>
      </c>
      <c r="B1302" s="75" t="s">
        <v>2848</v>
      </c>
      <c r="C1302" s="75"/>
      <c r="D1302" s="75"/>
      <c r="E1302" s="75">
        <v>68427709</v>
      </c>
      <c r="F1302" s="224">
        <v>11000</v>
      </c>
      <c r="G1302" s="78" t="s">
        <v>2720</v>
      </c>
      <c r="H1302" s="75" t="s">
        <v>310</v>
      </c>
      <c r="I1302" s="75" t="s">
        <v>631</v>
      </c>
      <c r="J1302" s="75">
        <v>2025</v>
      </c>
      <c r="K1302" s="75" t="s">
        <v>2843</v>
      </c>
      <c r="L1302" s="75"/>
    </row>
    <row r="1303" spans="1:12" x14ac:dyDescent="0.25">
      <c r="A1303" s="131">
        <v>45439</v>
      </c>
      <c r="B1303" s="75" t="s">
        <v>2849</v>
      </c>
      <c r="C1303" s="75"/>
      <c r="D1303" s="75"/>
      <c r="E1303" s="75">
        <v>68427709</v>
      </c>
      <c r="F1303" s="224">
        <v>46200</v>
      </c>
      <c r="G1303" s="78" t="s">
        <v>2720</v>
      </c>
      <c r="H1303" s="75" t="s">
        <v>310</v>
      </c>
      <c r="I1303" s="75" t="s">
        <v>631</v>
      </c>
      <c r="J1303" s="75">
        <v>2025</v>
      </c>
      <c r="K1303" s="75" t="s">
        <v>2843</v>
      </c>
      <c r="L1303" s="75"/>
    </row>
    <row r="1304" spans="1:12" x14ac:dyDescent="0.25">
      <c r="A1304" s="131">
        <v>45439</v>
      </c>
      <c r="B1304" s="75" t="s">
        <v>2850</v>
      </c>
      <c r="C1304" s="75" t="s">
        <v>2851</v>
      </c>
      <c r="D1304" s="75"/>
      <c r="E1304" s="75">
        <v>68427709</v>
      </c>
      <c r="F1304" s="224">
        <v>120000</v>
      </c>
      <c r="G1304" s="78" t="s">
        <v>309</v>
      </c>
      <c r="H1304" s="75" t="s">
        <v>310</v>
      </c>
      <c r="I1304" s="75" t="s">
        <v>631</v>
      </c>
      <c r="J1304" s="75">
        <v>2025</v>
      </c>
      <c r="K1304" s="75" t="s">
        <v>2843</v>
      </c>
      <c r="L1304" s="75"/>
    </row>
    <row r="1305" spans="1:12" x14ac:dyDescent="0.25">
      <c r="A1305" s="131">
        <v>45439</v>
      </c>
      <c r="B1305" s="75" t="s">
        <v>2852</v>
      </c>
      <c r="C1305" s="75"/>
      <c r="D1305" s="75"/>
      <c r="E1305" s="75">
        <v>68427709</v>
      </c>
      <c r="F1305" s="224">
        <v>1</v>
      </c>
      <c r="G1305" s="78" t="s">
        <v>993</v>
      </c>
      <c r="H1305" s="75" t="s">
        <v>310</v>
      </c>
      <c r="I1305" s="75" t="s">
        <v>329</v>
      </c>
      <c r="J1305" s="75">
        <v>2025</v>
      </c>
      <c r="K1305" s="75" t="s">
        <v>2843</v>
      </c>
      <c r="L1305" s="75"/>
    </row>
    <row r="1306" spans="1:12" x14ac:dyDescent="0.25">
      <c r="A1306" s="131">
        <v>45439</v>
      </c>
      <c r="B1306" s="75" t="s">
        <v>2853</v>
      </c>
      <c r="C1306" s="75"/>
      <c r="D1306" s="75"/>
      <c r="E1306" s="75">
        <v>68427709</v>
      </c>
      <c r="F1306" s="224">
        <v>95000</v>
      </c>
      <c r="G1306" s="78" t="s">
        <v>2720</v>
      </c>
      <c r="H1306" s="75" t="s">
        <v>310</v>
      </c>
      <c r="I1306" s="75" t="s">
        <v>631</v>
      </c>
      <c r="J1306" s="75">
        <v>2025</v>
      </c>
      <c r="K1306" s="75" t="s">
        <v>2843</v>
      </c>
      <c r="L1306" s="75"/>
    </row>
    <row r="1307" spans="1:12" x14ac:dyDescent="0.25">
      <c r="A1307" s="131">
        <v>45439</v>
      </c>
      <c r="B1307" s="75" t="s">
        <v>2854</v>
      </c>
      <c r="C1307" s="75"/>
      <c r="D1307" s="75"/>
      <c r="E1307" s="75">
        <v>68427709</v>
      </c>
      <c r="F1307" s="224">
        <v>100000</v>
      </c>
      <c r="G1307" s="78" t="s">
        <v>309</v>
      </c>
      <c r="H1307" s="75" t="s">
        <v>310</v>
      </c>
      <c r="I1307" s="75" t="s">
        <v>329</v>
      </c>
      <c r="J1307" s="75">
        <v>2025</v>
      </c>
      <c r="K1307" s="75" t="s">
        <v>2843</v>
      </c>
      <c r="L1307" s="75"/>
    </row>
    <row r="1308" spans="1:12" x14ac:dyDescent="0.25">
      <c r="A1308" s="131">
        <v>45439</v>
      </c>
      <c r="B1308" s="75" t="s">
        <v>2855</v>
      </c>
      <c r="C1308" s="75"/>
      <c r="D1308" s="75"/>
      <c r="E1308" s="75">
        <v>68427709</v>
      </c>
      <c r="F1308" s="224">
        <v>1</v>
      </c>
      <c r="G1308" s="78" t="s">
        <v>993</v>
      </c>
      <c r="H1308" s="75" t="s">
        <v>310</v>
      </c>
      <c r="I1308" s="75" t="s">
        <v>329</v>
      </c>
      <c r="J1308" s="75">
        <v>2025</v>
      </c>
      <c r="K1308" s="75" t="s">
        <v>2843</v>
      </c>
      <c r="L1308" s="75" t="s">
        <v>2856</v>
      </c>
    </row>
    <row r="1309" spans="1:12" x14ac:dyDescent="0.25">
      <c r="A1309" s="131">
        <v>45439</v>
      </c>
      <c r="B1309" s="75" t="s">
        <v>2857</v>
      </c>
      <c r="C1309" s="75"/>
      <c r="D1309" s="75"/>
      <c r="E1309" s="75">
        <v>68427709</v>
      </c>
      <c r="F1309" s="224">
        <v>12000</v>
      </c>
      <c r="G1309" s="78" t="s">
        <v>2720</v>
      </c>
      <c r="H1309" s="75" t="s">
        <v>310</v>
      </c>
      <c r="I1309" s="75" t="s">
        <v>631</v>
      </c>
      <c r="J1309" s="75">
        <v>2025</v>
      </c>
      <c r="K1309" s="75" t="s">
        <v>2843</v>
      </c>
      <c r="L1309" s="75"/>
    </row>
    <row r="1310" spans="1:12" x14ac:dyDescent="0.25">
      <c r="A1310" s="131">
        <v>45439</v>
      </c>
      <c r="B1310" s="75" t="s">
        <v>2858</v>
      </c>
      <c r="C1310" s="75"/>
      <c r="D1310" s="75"/>
      <c r="E1310" s="75">
        <v>68427709</v>
      </c>
      <c r="F1310" s="224">
        <v>1</v>
      </c>
      <c r="G1310" s="78" t="s">
        <v>993</v>
      </c>
      <c r="H1310" s="75" t="s">
        <v>310</v>
      </c>
      <c r="I1310" s="75" t="s">
        <v>631</v>
      </c>
      <c r="J1310" s="75">
        <v>2025</v>
      </c>
      <c r="K1310" s="75" t="s">
        <v>2843</v>
      </c>
      <c r="L1310" s="75"/>
    </row>
    <row r="1311" spans="1:12" x14ac:dyDescent="0.25">
      <c r="A1311" s="131">
        <v>45439</v>
      </c>
      <c r="B1311" s="75" t="s">
        <v>2859</v>
      </c>
      <c r="C1311" s="75"/>
      <c r="D1311" s="75"/>
      <c r="E1311" s="75">
        <v>68427709</v>
      </c>
      <c r="F1311" s="224">
        <v>300000</v>
      </c>
      <c r="G1311" s="78" t="s">
        <v>2720</v>
      </c>
      <c r="H1311" s="75" t="s">
        <v>310</v>
      </c>
      <c r="I1311" s="75" t="s">
        <v>329</v>
      </c>
      <c r="J1311" s="75">
        <v>2025</v>
      </c>
      <c r="K1311" s="75" t="s">
        <v>2843</v>
      </c>
      <c r="L1311" s="75" t="s">
        <v>2860</v>
      </c>
    </row>
    <row r="1312" spans="1:12" x14ac:dyDescent="0.25">
      <c r="A1312" s="131">
        <v>45447</v>
      </c>
      <c r="B1312" s="75" t="s">
        <v>2861</v>
      </c>
      <c r="C1312" s="75" t="s">
        <v>2862</v>
      </c>
      <c r="D1312" s="75" t="s">
        <v>2863</v>
      </c>
      <c r="E1312" s="75">
        <v>68427709</v>
      </c>
      <c r="F1312" s="224">
        <v>370000</v>
      </c>
      <c r="G1312" s="78" t="s">
        <v>309</v>
      </c>
      <c r="H1312" s="75" t="s">
        <v>310</v>
      </c>
      <c r="I1312" s="75" t="s">
        <v>631</v>
      </c>
      <c r="J1312" s="75">
        <v>2025</v>
      </c>
      <c r="K1312" s="75" t="s">
        <v>2864</v>
      </c>
      <c r="L1312" s="75" t="s">
        <v>2865</v>
      </c>
    </row>
    <row r="1313" spans="1:12" x14ac:dyDescent="0.25">
      <c r="A1313" s="131">
        <v>45447</v>
      </c>
      <c r="B1313" s="75" t="s">
        <v>2866</v>
      </c>
      <c r="C1313" s="75" t="s">
        <v>2867</v>
      </c>
      <c r="D1313" s="75" t="s">
        <v>2863</v>
      </c>
      <c r="E1313" s="75">
        <v>68427709</v>
      </c>
      <c r="F1313" s="224">
        <v>210000</v>
      </c>
      <c r="G1313" s="78" t="s">
        <v>309</v>
      </c>
      <c r="H1313" s="75" t="s">
        <v>310</v>
      </c>
      <c r="I1313" s="75" t="s">
        <v>329</v>
      </c>
      <c r="J1313" s="75">
        <v>2025</v>
      </c>
      <c r="K1313" s="75" t="s">
        <v>2864</v>
      </c>
      <c r="L1313" s="75"/>
    </row>
    <row r="1314" spans="1:12" x14ac:dyDescent="0.25">
      <c r="A1314" s="78">
        <v>45447</v>
      </c>
      <c r="B1314" s="75" t="s">
        <v>2868</v>
      </c>
      <c r="C1314" s="75" t="s">
        <v>2869</v>
      </c>
      <c r="D1314" s="75"/>
      <c r="E1314" s="75">
        <v>68427709</v>
      </c>
      <c r="F1314" s="224">
        <v>40000</v>
      </c>
      <c r="G1314" s="78" t="s">
        <v>309</v>
      </c>
      <c r="H1314" s="75" t="s">
        <v>310</v>
      </c>
      <c r="I1314" s="75" t="s">
        <v>631</v>
      </c>
      <c r="J1314" s="75">
        <v>2025</v>
      </c>
      <c r="K1314" s="75" t="s">
        <v>2870</v>
      </c>
      <c r="L1314" s="75" t="s">
        <v>2871</v>
      </c>
    </row>
    <row r="1315" spans="1:12" x14ac:dyDescent="0.25">
      <c r="A1315" s="78">
        <v>45447</v>
      </c>
      <c r="B1315" s="75" t="s">
        <v>2872</v>
      </c>
      <c r="C1315" s="75" t="s">
        <v>2873</v>
      </c>
      <c r="D1315" s="75" t="s">
        <v>473</v>
      </c>
      <c r="E1315" s="75">
        <v>68427709</v>
      </c>
      <c r="F1315" s="224">
        <v>-200000</v>
      </c>
      <c r="G1315" s="78" t="s">
        <v>309</v>
      </c>
      <c r="H1315" s="75" t="s">
        <v>310</v>
      </c>
      <c r="I1315" s="75" t="s">
        <v>1144</v>
      </c>
      <c r="J1315" s="75">
        <v>2025</v>
      </c>
      <c r="K1315" s="75" t="s">
        <v>2870</v>
      </c>
      <c r="L1315" s="75"/>
    </row>
    <row r="1316" spans="1:12" x14ac:dyDescent="0.25">
      <c r="A1316" s="78">
        <v>45447</v>
      </c>
      <c r="B1316" s="75" t="s">
        <v>2435</v>
      </c>
      <c r="C1316" s="75" t="s">
        <v>2874</v>
      </c>
      <c r="D1316" s="75" t="s">
        <v>473</v>
      </c>
      <c r="E1316" s="75">
        <v>68427709</v>
      </c>
      <c r="F1316" s="224">
        <v>-100000</v>
      </c>
      <c r="G1316" s="78" t="s">
        <v>309</v>
      </c>
      <c r="H1316" s="75" t="s">
        <v>310</v>
      </c>
      <c r="I1316" s="75" t="s">
        <v>1144</v>
      </c>
      <c r="J1316" s="75">
        <v>2025</v>
      </c>
      <c r="K1316" s="75" t="s">
        <v>2870</v>
      </c>
      <c r="L1316" s="75"/>
    </row>
    <row r="1317" spans="1:12" x14ac:dyDescent="0.25">
      <c r="A1317" s="78">
        <v>45454</v>
      </c>
      <c r="B1317" s="75" t="s">
        <v>1816</v>
      </c>
      <c r="C1317" s="75" t="s">
        <v>2875</v>
      </c>
      <c r="D1317" s="75"/>
      <c r="E1317" s="75">
        <v>68427709</v>
      </c>
      <c r="F1317" s="224">
        <v>70000</v>
      </c>
      <c r="G1317" s="78" t="s">
        <v>309</v>
      </c>
      <c r="H1317" s="75" t="s">
        <v>310</v>
      </c>
      <c r="I1317" s="75" t="s">
        <v>631</v>
      </c>
      <c r="J1317" s="75">
        <v>2025</v>
      </c>
      <c r="K1317" s="75" t="s">
        <v>1819</v>
      </c>
      <c r="L1317" s="75"/>
    </row>
    <row r="1318" spans="1:12" x14ac:dyDescent="0.25">
      <c r="A1318" s="78">
        <v>45454</v>
      </c>
      <c r="B1318" s="75" t="s">
        <v>2463</v>
      </c>
      <c r="C1318" s="75" t="s">
        <v>2876</v>
      </c>
      <c r="D1318" s="75"/>
      <c r="E1318" s="75">
        <v>68427709</v>
      </c>
      <c r="F1318" s="224">
        <v>4000</v>
      </c>
      <c r="G1318" s="78" t="s">
        <v>309</v>
      </c>
      <c r="H1318" s="75" t="s">
        <v>310</v>
      </c>
      <c r="I1318" s="75" t="s">
        <v>631</v>
      </c>
      <c r="J1318" s="75">
        <v>2025</v>
      </c>
      <c r="K1318" s="75" t="s">
        <v>1819</v>
      </c>
      <c r="L1318" s="75"/>
    </row>
    <row r="1319" spans="1:12" x14ac:dyDescent="0.25">
      <c r="A1319" s="78">
        <v>45454</v>
      </c>
      <c r="B1319" s="75" t="s">
        <v>815</v>
      </c>
      <c r="C1319" s="75" t="s">
        <v>2877</v>
      </c>
      <c r="D1319" s="75"/>
      <c r="E1319" s="75">
        <v>68427709</v>
      </c>
      <c r="F1319" s="224">
        <v>-1000</v>
      </c>
      <c r="G1319" s="78" t="s">
        <v>309</v>
      </c>
      <c r="H1319" s="75" t="s">
        <v>310</v>
      </c>
      <c r="I1319" s="75" t="s">
        <v>631</v>
      </c>
      <c r="J1319" s="75">
        <v>2025</v>
      </c>
      <c r="K1319" s="75" t="s">
        <v>1819</v>
      </c>
      <c r="L1319" s="75"/>
    </row>
    <row r="1320" spans="1:12" x14ac:dyDescent="0.25">
      <c r="A1320" s="78">
        <v>45454</v>
      </c>
      <c r="B1320" s="75" t="s">
        <v>2832</v>
      </c>
      <c r="C1320" s="75" t="s">
        <v>2878</v>
      </c>
      <c r="D1320" s="75"/>
      <c r="E1320" s="75">
        <v>68427709</v>
      </c>
      <c r="F1320" s="224">
        <v>-8000</v>
      </c>
      <c r="G1320" s="78" t="s">
        <v>2720</v>
      </c>
      <c r="H1320" s="75" t="s">
        <v>310</v>
      </c>
      <c r="I1320" s="75" t="s">
        <v>631</v>
      </c>
      <c r="J1320" s="75">
        <v>2025</v>
      </c>
      <c r="K1320" s="75" t="s">
        <v>1819</v>
      </c>
      <c r="L1320" s="75"/>
    </row>
    <row r="1321" spans="1:12" x14ac:dyDescent="0.25">
      <c r="A1321" s="78">
        <v>45454</v>
      </c>
      <c r="B1321" s="75" t="s">
        <v>1714</v>
      </c>
      <c r="C1321" s="75" t="s">
        <v>2879</v>
      </c>
      <c r="D1321" s="75"/>
      <c r="E1321" s="75">
        <v>68427709</v>
      </c>
      <c r="F1321" s="224">
        <v>12000</v>
      </c>
      <c r="G1321" s="78" t="s">
        <v>309</v>
      </c>
      <c r="H1321" s="75" t="s">
        <v>310</v>
      </c>
      <c r="I1321" s="75" t="s">
        <v>631</v>
      </c>
      <c r="J1321" s="75">
        <v>2025</v>
      </c>
      <c r="K1321" s="75" t="s">
        <v>1819</v>
      </c>
      <c r="L1321" s="75"/>
    </row>
    <row r="1322" spans="1:12" x14ac:dyDescent="0.25">
      <c r="A1322" s="78">
        <v>45454</v>
      </c>
      <c r="B1322" s="75" t="s">
        <v>2466</v>
      </c>
      <c r="C1322" s="75" t="s">
        <v>2880</v>
      </c>
      <c r="D1322" s="75"/>
      <c r="E1322" s="75">
        <v>68427709</v>
      </c>
      <c r="F1322" s="224">
        <v>5000</v>
      </c>
      <c r="G1322" s="78" t="s">
        <v>309</v>
      </c>
      <c r="H1322" s="75" t="s">
        <v>310</v>
      </c>
      <c r="I1322" s="75" t="s">
        <v>631</v>
      </c>
      <c r="J1322" s="75">
        <v>2025</v>
      </c>
      <c r="K1322" s="75" t="s">
        <v>1819</v>
      </c>
      <c r="L1322" s="75"/>
    </row>
    <row r="1323" spans="1:12" x14ac:dyDescent="0.25">
      <c r="A1323" s="78">
        <v>45454</v>
      </c>
      <c r="B1323" s="75" t="s">
        <v>2105</v>
      </c>
      <c r="C1323" s="75" t="s">
        <v>1800</v>
      </c>
      <c r="D1323" s="75"/>
      <c r="E1323" s="75">
        <v>68427709</v>
      </c>
      <c r="F1323" s="224">
        <v>-40000</v>
      </c>
      <c r="G1323" s="78" t="s">
        <v>309</v>
      </c>
      <c r="H1323" s="75" t="s">
        <v>310</v>
      </c>
      <c r="I1323" s="75" t="s">
        <v>631</v>
      </c>
      <c r="J1323" s="75">
        <v>2025</v>
      </c>
      <c r="K1323" s="75" t="s">
        <v>1819</v>
      </c>
      <c r="L1323" s="75"/>
    </row>
    <row r="1324" spans="1:12" x14ac:dyDescent="0.25">
      <c r="A1324" s="78">
        <v>45454</v>
      </c>
      <c r="B1324" s="75" t="s">
        <v>2479</v>
      </c>
      <c r="C1324" s="75" t="s">
        <v>2881</v>
      </c>
      <c r="D1324" s="75"/>
      <c r="E1324" s="75">
        <v>68427709</v>
      </c>
      <c r="F1324" s="224">
        <v>-31500</v>
      </c>
      <c r="G1324" s="78" t="s">
        <v>309</v>
      </c>
      <c r="H1324" s="75" t="s">
        <v>310</v>
      </c>
      <c r="I1324" s="75" t="s">
        <v>631</v>
      </c>
      <c r="J1324" s="75">
        <v>2025</v>
      </c>
      <c r="K1324" s="75" t="s">
        <v>1819</v>
      </c>
      <c r="L1324" s="75"/>
    </row>
    <row r="1325" spans="1:12" x14ac:dyDescent="0.25">
      <c r="A1325" s="78">
        <v>45454</v>
      </c>
      <c r="B1325" s="75" t="s">
        <v>1925</v>
      </c>
      <c r="C1325" s="75" t="s">
        <v>2882</v>
      </c>
      <c r="D1325" s="75"/>
      <c r="E1325" s="75">
        <v>68427709</v>
      </c>
      <c r="F1325" s="224">
        <v>3000</v>
      </c>
      <c r="G1325" s="78" t="s">
        <v>309</v>
      </c>
      <c r="H1325" s="75" t="s">
        <v>310</v>
      </c>
      <c r="I1325" s="75" t="s">
        <v>631</v>
      </c>
      <c r="J1325" s="75">
        <v>2025</v>
      </c>
      <c r="K1325" s="75" t="s">
        <v>1819</v>
      </c>
      <c r="L1325" s="75"/>
    </row>
    <row r="1326" spans="1:12" x14ac:dyDescent="0.25">
      <c r="A1326" s="78">
        <v>45454</v>
      </c>
      <c r="B1326" s="75" t="s">
        <v>2883</v>
      </c>
      <c r="C1326" s="75" t="s">
        <v>1800</v>
      </c>
      <c r="D1326" s="75"/>
      <c r="E1326" s="75">
        <v>68427709</v>
      </c>
      <c r="F1326" s="224">
        <v>-24000</v>
      </c>
      <c r="G1326" s="78" t="s">
        <v>309</v>
      </c>
      <c r="H1326" s="75" t="s">
        <v>310</v>
      </c>
      <c r="I1326" s="75" t="s">
        <v>631</v>
      </c>
      <c r="J1326" s="75">
        <v>2025</v>
      </c>
      <c r="K1326" s="75" t="s">
        <v>1819</v>
      </c>
      <c r="L1326" s="75"/>
    </row>
    <row r="1327" spans="1:12" x14ac:dyDescent="0.25">
      <c r="A1327" s="78">
        <v>45454</v>
      </c>
      <c r="B1327" s="75" t="s">
        <v>2581</v>
      </c>
      <c r="C1327" s="75" t="s">
        <v>2884</v>
      </c>
      <c r="D1327" s="75"/>
      <c r="E1327" s="75">
        <v>68427709</v>
      </c>
      <c r="F1327" s="224">
        <v>75000</v>
      </c>
      <c r="G1327" s="78" t="s">
        <v>309</v>
      </c>
      <c r="H1327" s="75" t="s">
        <v>310</v>
      </c>
      <c r="I1327" s="75" t="s">
        <v>631</v>
      </c>
      <c r="J1327" s="75">
        <v>2025</v>
      </c>
      <c r="K1327" s="75" t="s">
        <v>1819</v>
      </c>
      <c r="L1327" s="75"/>
    </row>
    <row r="1328" spans="1:12" x14ac:dyDescent="0.25">
      <c r="A1328" s="78">
        <v>45454</v>
      </c>
      <c r="B1328" s="75" t="s">
        <v>2885</v>
      </c>
      <c r="C1328" s="75" t="s">
        <v>2886</v>
      </c>
      <c r="D1328" s="75"/>
      <c r="E1328" s="75">
        <v>68427709</v>
      </c>
      <c r="F1328" s="224">
        <v>2000</v>
      </c>
      <c r="G1328" s="78" t="s">
        <v>309</v>
      </c>
      <c r="H1328" s="75" t="s">
        <v>310</v>
      </c>
      <c r="I1328" s="75" t="s">
        <v>631</v>
      </c>
      <c r="J1328" s="75">
        <v>2025</v>
      </c>
      <c r="K1328" s="75" t="s">
        <v>1819</v>
      </c>
      <c r="L1328" s="75"/>
    </row>
    <row r="1329" spans="1:12" x14ac:dyDescent="0.25">
      <c r="A1329" s="78">
        <v>45454</v>
      </c>
      <c r="B1329" s="75" t="s">
        <v>2475</v>
      </c>
      <c r="C1329" s="75" t="s">
        <v>2887</v>
      </c>
      <c r="D1329" s="75"/>
      <c r="E1329" s="75">
        <v>68427709</v>
      </c>
      <c r="F1329" s="224">
        <v>5399.9999999999982</v>
      </c>
      <c r="G1329" s="78" t="s">
        <v>309</v>
      </c>
      <c r="H1329" s="75" t="s">
        <v>310</v>
      </c>
      <c r="I1329" s="75" t="s">
        <v>631</v>
      </c>
      <c r="J1329" s="75">
        <v>2025</v>
      </c>
      <c r="K1329" s="75" t="s">
        <v>1819</v>
      </c>
      <c r="L1329" s="75"/>
    </row>
    <row r="1330" spans="1:12" x14ac:dyDescent="0.25">
      <c r="A1330" s="78">
        <v>45454</v>
      </c>
      <c r="B1330" s="75" t="s">
        <v>2583</v>
      </c>
      <c r="C1330" s="75" t="s">
        <v>2888</v>
      </c>
      <c r="D1330" s="75"/>
      <c r="E1330" s="75">
        <v>68427709</v>
      </c>
      <c r="F1330" s="89">
        <v>-432000</v>
      </c>
      <c r="G1330" s="78" t="s">
        <v>309</v>
      </c>
      <c r="H1330" s="75" t="s">
        <v>310</v>
      </c>
      <c r="I1330" s="75" t="s">
        <v>631</v>
      </c>
      <c r="J1330" s="75">
        <v>2025</v>
      </c>
      <c r="K1330" s="75" t="s">
        <v>1819</v>
      </c>
      <c r="L1330" s="75"/>
    </row>
    <row r="1331" spans="1:12" x14ac:dyDescent="0.25">
      <c r="A1331" s="78">
        <v>45454</v>
      </c>
      <c r="B1331" s="75" t="s">
        <v>2889</v>
      </c>
      <c r="C1331" s="75" t="s">
        <v>2890</v>
      </c>
      <c r="D1331" s="75"/>
      <c r="E1331" s="75">
        <v>68427709</v>
      </c>
      <c r="F1331" s="224">
        <v>78000</v>
      </c>
      <c r="G1331" s="78" t="s">
        <v>309</v>
      </c>
      <c r="H1331" s="75" t="s">
        <v>310</v>
      </c>
      <c r="I1331" s="75" t="s">
        <v>631</v>
      </c>
      <c r="J1331" s="75">
        <v>2025</v>
      </c>
      <c r="K1331" s="75" t="s">
        <v>1819</v>
      </c>
      <c r="L1331" s="75"/>
    </row>
    <row r="1332" spans="1:12" x14ac:dyDescent="0.25">
      <c r="A1332" s="78">
        <v>45454</v>
      </c>
      <c r="B1332" s="75" t="s">
        <v>962</v>
      </c>
      <c r="C1332" s="75" t="s">
        <v>2891</v>
      </c>
      <c r="D1332" s="75"/>
      <c r="E1332" s="75">
        <v>68427709</v>
      </c>
      <c r="F1332" s="224">
        <v>55000</v>
      </c>
      <c r="G1332" s="78" t="s">
        <v>309</v>
      </c>
      <c r="H1332" s="75" t="s">
        <v>310</v>
      </c>
      <c r="I1332" s="75" t="s">
        <v>631</v>
      </c>
      <c r="J1332" s="75">
        <v>2025</v>
      </c>
      <c r="K1332" s="75" t="s">
        <v>1819</v>
      </c>
      <c r="L1332" s="75"/>
    </row>
    <row r="1333" spans="1:12" x14ac:dyDescent="0.25">
      <c r="A1333" s="78">
        <v>45454</v>
      </c>
      <c r="B1333" s="75" t="s">
        <v>2467</v>
      </c>
      <c r="C1333" s="75" t="s">
        <v>2892</v>
      </c>
      <c r="D1333" s="75"/>
      <c r="E1333" s="75">
        <v>68427709</v>
      </c>
      <c r="F1333" s="224">
        <v>11000</v>
      </c>
      <c r="G1333" s="78" t="s">
        <v>309</v>
      </c>
      <c r="H1333" s="75" t="s">
        <v>310</v>
      </c>
      <c r="I1333" s="75" t="s">
        <v>631</v>
      </c>
      <c r="J1333" s="75">
        <v>2025</v>
      </c>
      <c r="K1333" s="75" t="s">
        <v>1819</v>
      </c>
      <c r="L1333" s="75"/>
    </row>
    <row r="1334" spans="1:12" x14ac:dyDescent="0.25">
      <c r="A1334" s="78">
        <v>45454</v>
      </c>
      <c r="B1334" s="75" t="s">
        <v>2893</v>
      </c>
      <c r="C1334" s="75" t="s">
        <v>1800</v>
      </c>
      <c r="D1334" s="75"/>
      <c r="E1334" s="75">
        <v>68427709</v>
      </c>
      <c r="F1334" s="224">
        <v>-76000</v>
      </c>
      <c r="G1334" s="78" t="s">
        <v>309</v>
      </c>
      <c r="H1334" s="75" t="s">
        <v>310</v>
      </c>
      <c r="I1334" s="75" t="s">
        <v>631</v>
      </c>
      <c r="J1334" s="75">
        <v>2025</v>
      </c>
      <c r="K1334" s="75" t="s">
        <v>1819</v>
      </c>
      <c r="L1334" s="75"/>
    </row>
    <row r="1335" spans="1:12" x14ac:dyDescent="0.25">
      <c r="A1335" s="78">
        <v>45454</v>
      </c>
      <c r="B1335" s="75" t="s">
        <v>2894</v>
      </c>
      <c r="C1335" s="75" t="s">
        <v>2895</v>
      </c>
      <c r="D1335" s="75"/>
      <c r="E1335" s="75">
        <v>68427709</v>
      </c>
      <c r="F1335" s="224">
        <v>-5000</v>
      </c>
      <c r="G1335" s="78" t="s">
        <v>309</v>
      </c>
      <c r="H1335" s="75" t="s">
        <v>310</v>
      </c>
      <c r="I1335" s="75" t="s">
        <v>631</v>
      </c>
      <c r="J1335" s="75">
        <v>2025</v>
      </c>
      <c r="K1335" s="75" t="s">
        <v>1819</v>
      </c>
      <c r="L1335" s="75"/>
    </row>
    <row r="1336" spans="1:12" x14ac:dyDescent="0.25">
      <c r="A1336" s="78">
        <v>45454</v>
      </c>
      <c r="B1336" s="75" t="s">
        <v>2896</v>
      </c>
      <c r="C1336" s="75" t="s">
        <v>2897</v>
      </c>
      <c r="D1336" s="75"/>
      <c r="E1336" s="75">
        <v>68427709</v>
      </c>
      <c r="F1336" s="224">
        <v>-33300.000000000015</v>
      </c>
      <c r="G1336" s="78" t="s">
        <v>309</v>
      </c>
      <c r="H1336" s="75" t="s">
        <v>310</v>
      </c>
      <c r="I1336" s="75" t="s">
        <v>631</v>
      </c>
      <c r="J1336" s="75">
        <v>2025</v>
      </c>
      <c r="K1336" s="75" t="s">
        <v>1819</v>
      </c>
      <c r="L1336" s="75"/>
    </row>
    <row r="1337" spans="1:12" x14ac:dyDescent="0.25">
      <c r="A1337" s="78">
        <v>45454</v>
      </c>
      <c r="B1337" s="75" t="s">
        <v>2703</v>
      </c>
      <c r="C1337" s="75" t="s">
        <v>2898</v>
      </c>
      <c r="D1337" s="75"/>
      <c r="E1337" s="75">
        <v>68427709</v>
      </c>
      <c r="F1337" s="224">
        <v>-20000</v>
      </c>
      <c r="G1337" s="78" t="s">
        <v>309</v>
      </c>
      <c r="H1337" s="75" t="s">
        <v>310</v>
      </c>
      <c r="I1337" s="75" t="s">
        <v>631</v>
      </c>
      <c r="J1337" s="75">
        <v>2025</v>
      </c>
      <c r="K1337" s="75" t="s">
        <v>1819</v>
      </c>
      <c r="L1337" s="75"/>
    </row>
    <row r="1338" spans="1:12" x14ac:dyDescent="0.25">
      <c r="A1338" s="78">
        <v>45454</v>
      </c>
      <c r="B1338" s="75" t="s">
        <v>2704</v>
      </c>
      <c r="C1338" s="75" t="s">
        <v>2899</v>
      </c>
      <c r="D1338" s="75"/>
      <c r="E1338" s="75">
        <v>68427709</v>
      </c>
      <c r="F1338" s="224">
        <v>-8000</v>
      </c>
      <c r="G1338" s="78" t="s">
        <v>309</v>
      </c>
      <c r="H1338" s="75" t="s">
        <v>310</v>
      </c>
      <c r="I1338" s="75" t="s">
        <v>631</v>
      </c>
      <c r="J1338" s="75">
        <v>2025</v>
      </c>
      <c r="K1338" s="75" t="s">
        <v>1819</v>
      </c>
      <c r="L1338" s="75"/>
    </row>
    <row r="1339" spans="1:12" x14ac:dyDescent="0.25">
      <c r="A1339" s="78">
        <v>45454</v>
      </c>
      <c r="B1339" s="75" t="s">
        <v>2705</v>
      </c>
      <c r="C1339" s="75" t="s">
        <v>2900</v>
      </c>
      <c r="D1339" s="75"/>
      <c r="E1339" s="75">
        <v>68427709</v>
      </c>
      <c r="F1339" s="224">
        <v>170000</v>
      </c>
      <c r="G1339" s="78" t="s">
        <v>309</v>
      </c>
      <c r="H1339" s="75" t="s">
        <v>310</v>
      </c>
      <c r="I1339" s="75" t="s">
        <v>631</v>
      </c>
      <c r="J1339" s="75">
        <v>2025</v>
      </c>
      <c r="K1339" s="75" t="s">
        <v>1819</v>
      </c>
      <c r="L1339" s="75"/>
    </row>
    <row r="1340" spans="1:12" x14ac:dyDescent="0.25">
      <c r="A1340" s="78">
        <v>45454</v>
      </c>
      <c r="B1340" s="75" t="s">
        <v>2901</v>
      </c>
      <c r="C1340" s="75" t="s">
        <v>2902</v>
      </c>
      <c r="D1340" s="75" t="s">
        <v>2903</v>
      </c>
      <c r="E1340" s="75">
        <v>68427709</v>
      </c>
      <c r="F1340" s="224">
        <v>30000</v>
      </c>
      <c r="G1340" s="78" t="s">
        <v>309</v>
      </c>
      <c r="H1340" s="75" t="s">
        <v>310</v>
      </c>
      <c r="I1340" s="75" t="s">
        <v>631</v>
      </c>
      <c r="J1340" s="75">
        <v>2025</v>
      </c>
      <c r="K1340" s="75" t="s">
        <v>1819</v>
      </c>
      <c r="L1340" s="75"/>
    </row>
    <row r="1341" spans="1:12" x14ac:dyDescent="0.25">
      <c r="A1341" s="78">
        <v>45454</v>
      </c>
      <c r="B1341" s="75" t="s">
        <v>2904</v>
      </c>
      <c r="C1341" s="75" t="s">
        <v>2905</v>
      </c>
      <c r="D1341" s="75"/>
      <c r="E1341" s="75">
        <v>68427709</v>
      </c>
      <c r="F1341" s="224">
        <v>73000</v>
      </c>
      <c r="G1341" s="78" t="s">
        <v>309</v>
      </c>
      <c r="H1341" s="75" t="s">
        <v>310</v>
      </c>
      <c r="I1341" s="75" t="s">
        <v>631</v>
      </c>
      <c r="J1341" s="75">
        <v>2025</v>
      </c>
      <c r="K1341" s="75" t="s">
        <v>1819</v>
      </c>
      <c r="L1341" s="75"/>
    </row>
    <row r="1342" spans="1:12" x14ac:dyDescent="0.25">
      <c r="A1342" s="78">
        <v>45454</v>
      </c>
      <c r="B1342" s="75" t="s">
        <v>2906</v>
      </c>
      <c r="C1342" s="75" t="s">
        <v>2907</v>
      </c>
      <c r="D1342" s="75"/>
      <c r="E1342" s="75">
        <v>68427709</v>
      </c>
      <c r="F1342" s="224">
        <v>0</v>
      </c>
      <c r="G1342" s="75" t="s">
        <v>309</v>
      </c>
      <c r="H1342" s="75" t="s">
        <v>310</v>
      </c>
      <c r="I1342" s="75" t="s">
        <v>2758</v>
      </c>
      <c r="J1342" s="75">
        <v>2025</v>
      </c>
      <c r="K1342" s="75" t="s">
        <v>1819</v>
      </c>
      <c r="L1342" s="75"/>
    </row>
    <row r="1343" spans="1:12" x14ac:dyDescent="0.25">
      <c r="A1343" s="78">
        <v>45454</v>
      </c>
      <c r="B1343" s="75" t="s">
        <v>2908</v>
      </c>
      <c r="C1343" s="75" t="s">
        <v>2909</v>
      </c>
      <c r="D1343" s="75"/>
      <c r="E1343" s="75">
        <v>68427709</v>
      </c>
      <c r="F1343" s="224">
        <v>0</v>
      </c>
      <c r="G1343" s="75" t="s">
        <v>309</v>
      </c>
      <c r="H1343" s="75" t="s">
        <v>310</v>
      </c>
      <c r="I1343" s="75" t="s">
        <v>2758</v>
      </c>
      <c r="J1343" s="75">
        <v>2025</v>
      </c>
      <c r="K1343" s="75" t="s">
        <v>1819</v>
      </c>
      <c r="L1343" s="75"/>
    </row>
    <row r="1344" spans="1:12" x14ac:dyDescent="0.25">
      <c r="A1344" s="78">
        <v>45454</v>
      </c>
      <c r="B1344" s="75" t="s">
        <v>2910</v>
      </c>
      <c r="C1344" s="174" t="s">
        <v>2911</v>
      </c>
      <c r="D1344" s="75"/>
      <c r="E1344" s="75">
        <v>68427709</v>
      </c>
      <c r="F1344" s="224">
        <v>0</v>
      </c>
      <c r="G1344" s="75" t="s">
        <v>309</v>
      </c>
      <c r="H1344" s="75" t="s">
        <v>310</v>
      </c>
      <c r="I1344" s="75" t="s">
        <v>2758</v>
      </c>
      <c r="J1344" s="75">
        <v>2025</v>
      </c>
      <c r="K1344" s="75" t="s">
        <v>1819</v>
      </c>
      <c r="L1344" s="75"/>
    </row>
    <row r="1345" spans="1:12" x14ac:dyDescent="0.25">
      <c r="A1345" s="78">
        <v>45454</v>
      </c>
      <c r="B1345" s="75" t="s">
        <v>2912</v>
      </c>
      <c r="C1345" s="215" t="s">
        <v>2913</v>
      </c>
      <c r="D1345" s="75" t="s">
        <v>2914</v>
      </c>
      <c r="E1345" s="75">
        <v>68427709</v>
      </c>
      <c r="F1345" s="224">
        <v>94000</v>
      </c>
      <c r="G1345" s="78" t="s">
        <v>993</v>
      </c>
      <c r="H1345" s="75" t="s">
        <v>310</v>
      </c>
      <c r="I1345" s="75" t="s">
        <v>631</v>
      </c>
      <c r="J1345" s="75">
        <v>2025</v>
      </c>
      <c r="K1345" s="75" t="s">
        <v>2870</v>
      </c>
      <c r="L1345" s="75"/>
    </row>
    <row r="1346" spans="1:12" x14ac:dyDescent="0.25">
      <c r="A1346" s="78">
        <v>45454</v>
      </c>
      <c r="B1346" s="92" t="s">
        <v>2625</v>
      </c>
      <c r="C1346" s="174" t="s">
        <v>2915</v>
      </c>
      <c r="D1346" s="75"/>
      <c r="E1346" s="75">
        <v>68427709</v>
      </c>
      <c r="F1346" s="224">
        <v>-94000</v>
      </c>
      <c r="G1346" s="78" t="s">
        <v>993</v>
      </c>
      <c r="H1346" s="75" t="s">
        <v>310</v>
      </c>
      <c r="I1346" s="75" t="s">
        <v>631</v>
      </c>
      <c r="J1346" s="75">
        <v>2025</v>
      </c>
      <c r="K1346" s="75" t="s">
        <v>2870</v>
      </c>
      <c r="L1346" s="75"/>
    </row>
    <row r="1347" spans="1:12" x14ac:dyDescent="0.25">
      <c r="A1347" s="78">
        <v>45457</v>
      </c>
      <c r="B1347" s="75" t="s">
        <v>2916</v>
      </c>
      <c r="C1347" s="174" t="s">
        <v>2917</v>
      </c>
      <c r="D1347" s="75"/>
      <c r="E1347" s="75">
        <v>68427709</v>
      </c>
      <c r="F1347" s="224">
        <v>130000</v>
      </c>
      <c r="G1347" s="78" t="s">
        <v>309</v>
      </c>
      <c r="H1347" s="75" t="s">
        <v>310</v>
      </c>
      <c r="I1347" s="75" t="s">
        <v>329</v>
      </c>
      <c r="J1347" s="75">
        <v>2025</v>
      </c>
      <c r="K1347" s="75" t="s">
        <v>2918</v>
      </c>
      <c r="L1347" s="75"/>
    </row>
    <row r="1348" spans="1:12" x14ac:dyDescent="0.25">
      <c r="A1348" s="78">
        <v>45457</v>
      </c>
      <c r="B1348" s="75" t="s">
        <v>2919</v>
      </c>
      <c r="C1348" s="174" t="s">
        <v>2920</v>
      </c>
      <c r="D1348" s="75"/>
      <c r="E1348" s="75">
        <v>68427709</v>
      </c>
      <c r="F1348" s="224">
        <v>-150000</v>
      </c>
      <c r="G1348" s="78" t="s">
        <v>309</v>
      </c>
      <c r="H1348" s="75" t="s">
        <v>310</v>
      </c>
      <c r="I1348" s="75" t="s">
        <v>631</v>
      </c>
      <c r="J1348" s="75">
        <v>2025</v>
      </c>
      <c r="K1348" s="75" t="s">
        <v>2918</v>
      </c>
      <c r="L1348" s="75"/>
    </row>
    <row r="1349" spans="1:12" x14ac:dyDescent="0.25">
      <c r="A1349" s="78">
        <v>45457</v>
      </c>
      <c r="B1349" s="75" t="s">
        <v>2921</v>
      </c>
      <c r="C1349" s="75" t="s">
        <v>2922</v>
      </c>
      <c r="D1349" s="75"/>
      <c r="E1349" s="75">
        <v>68427709</v>
      </c>
      <c r="F1349" s="224">
        <v>-23000</v>
      </c>
      <c r="G1349" s="78" t="s">
        <v>309</v>
      </c>
      <c r="H1349" s="75" t="s">
        <v>310</v>
      </c>
      <c r="I1349" s="75" t="s">
        <v>631</v>
      </c>
      <c r="J1349" s="75">
        <v>2025</v>
      </c>
      <c r="K1349" s="75" t="s">
        <v>2918</v>
      </c>
      <c r="L1349" s="75"/>
    </row>
    <row r="1350" spans="1:12" x14ac:dyDescent="0.25">
      <c r="A1350" s="78">
        <v>45457</v>
      </c>
      <c r="B1350" s="75" t="s">
        <v>2923</v>
      </c>
      <c r="C1350" s="75" t="s">
        <v>2924</v>
      </c>
      <c r="D1350" s="75"/>
      <c r="E1350" s="75">
        <v>68427709</v>
      </c>
      <c r="F1350" s="224">
        <v>60000</v>
      </c>
      <c r="G1350" s="78" t="s">
        <v>309</v>
      </c>
      <c r="H1350" s="75" t="s">
        <v>310</v>
      </c>
      <c r="I1350" s="75" t="s">
        <v>631</v>
      </c>
      <c r="J1350" s="75">
        <v>2025</v>
      </c>
      <c r="K1350" s="75" t="s">
        <v>2918</v>
      </c>
      <c r="L1350" s="75"/>
    </row>
    <row r="1351" spans="1:12" x14ac:dyDescent="0.25">
      <c r="A1351" s="78">
        <v>45463</v>
      </c>
      <c r="B1351" s="75" t="s">
        <v>1548</v>
      </c>
      <c r="C1351" s="75"/>
      <c r="D1351" s="75"/>
      <c r="E1351" s="75">
        <v>68427709</v>
      </c>
      <c r="F1351" s="224">
        <v>-173600</v>
      </c>
      <c r="G1351" s="78" t="s">
        <v>309</v>
      </c>
      <c r="H1351" s="75" t="s">
        <v>310</v>
      </c>
      <c r="I1351" s="75" t="s">
        <v>1144</v>
      </c>
      <c r="J1351" s="75">
        <v>2025</v>
      </c>
      <c r="K1351" s="75" t="s">
        <v>2410</v>
      </c>
      <c r="L1351" s="75"/>
    </row>
    <row r="1352" spans="1:12" x14ac:dyDescent="0.25">
      <c r="A1352" s="78">
        <v>45463</v>
      </c>
      <c r="B1352" s="75" t="s">
        <v>1569</v>
      </c>
      <c r="C1352" s="75"/>
      <c r="D1352" s="75"/>
      <c r="E1352" s="75">
        <v>68427709</v>
      </c>
      <c r="F1352" s="224">
        <v>-10000</v>
      </c>
      <c r="G1352" s="78" t="s">
        <v>309</v>
      </c>
      <c r="H1352" s="75" t="s">
        <v>310</v>
      </c>
      <c r="I1352" s="75" t="s">
        <v>1144</v>
      </c>
      <c r="J1352" s="75">
        <v>2025</v>
      </c>
      <c r="K1352" s="75" t="s">
        <v>2410</v>
      </c>
      <c r="L1352" s="75"/>
    </row>
    <row r="1353" spans="1:12" x14ac:dyDescent="0.25">
      <c r="A1353" s="78">
        <v>45463</v>
      </c>
      <c r="B1353" s="75" t="s">
        <v>2925</v>
      </c>
      <c r="C1353" s="75"/>
      <c r="D1353" s="75"/>
      <c r="E1353" s="75">
        <v>68427709</v>
      </c>
      <c r="F1353" s="224">
        <v>-47500</v>
      </c>
      <c r="G1353" s="78" t="s">
        <v>309</v>
      </c>
      <c r="H1353" s="75" t="s">
        <v>310</v>
      </c>
      <c r="I1353" s="75" t="s">
        <v>1144</v>
      </c>
      <c r="J1353" s="75">
        <v>2025</v>
      </c>
      <c r="K1353" s="75" t="s">
        <v>2410</v>
      </c>
      <c r="L1353" s="75"/>
    </row>
    <row r="1354" spans="1:12" x14ac:dyDescent="0.25">
      <c r="A1354" s="78">
        <v>45463</v>
      </c>
      <c r="B1354" s="75" t="s">
        <v>2926</v>
      </c>
      <c r="C1354" s="75"/>
      <c r="D1354" s="75"/>
      <c r="E1354" s="75">
        <v>68427709</v>
      </c>
      <c r="F1354" s="224">
        <v>2000</v>
      </c>
      <c r="G1354" s="78" t="s">
        <v>309</v>
      </c>
      <c r="H1354" s="75" t="s">
        <v>310</v>
      </c>
      <c r="I1354" s="75" t="s">
        <v>1144</v>
      </c>
      <c r="J1354" s="75">
        <v>2025</v>
      </c>
      <c r="K1354" s="75" t="s">
        <v>2410</v>
      </c>
      <c r="L1354" s="75"/>
    </row>
    <row r="1355" spans="1:12" x14ac:dyDescent="0.25">
      <c r="A1355" s="78">
        <v>45463</v>
      </c>
      <c r="B1355" s="75" t="s">
        <v>2649</v>
      </c>
      <c r="C1355" s="75"/>
      <c r="D1355" s="75"/>
      <c r="E1355" s="75">
        <v>68427709</v>
      </c>
      <c r="F1355" s="224">
        <v>-19000</v>
      </c>
      <c r="G1355" s="78" t="s">
        <v>309</v>
      </c>
      <c r="H1355" s="75" t="s">
        <v>310</v>
      </c>
      <c r="I1355" s="75" t="s">
        <v>1144</v>
      </c>
      <c r="J1355" s="75">
        <v>2025</v>
      </c>
      <c r="K1355" s="75" t="s">
        <v>2410</v>
      </c>
      <c r="L1355" s="75"/>
    </row>
    <row r="1356" spans="1:12" x14ac:dyDescent="0.25">
      <c r="A1356" s="78">
        <v>45463</v>
      </c>
      <c r="B1356" s="75" t="s">
        <v>1179</v>
      </c>
      <c r="C1356" s="75"/>
      <c r="D1356" s="75"/>
      <c r="E1356" s="75">
        <v>68427709</v>
      </c>
      <c r="F1356" s="224">
        <v>-50000</v>
      </c>
      <c r="G1356" s="78" t="s">
        <v>309</v>
      </c>
      <c r="H1356" s="75" t="s">
        <v>310</v>
      </c>
      <c r="I1356" s="75" t="s">
        <v>1144</v>
      </c>
      <c r="J1356" s="75">
        <v>2025</v>
      </c>
      <c r="K1356" s="75" t="s">
        <v>2410</v>
      </c>
      <c r="L1356" s="75"/>
    </row>
    <row r="1357" spans="1:12" x14ac:dyDescent="0.25">
      <c r="A1357" s="78">
        <v>45463</v>
      </c>
      <c r="B1357" s="75" t="s">
        <v>2438</v>
      </c>
      <c r="C1357" s="75"/>
      <c r="D1357" s="75"/>
      <c r="E1357" s="75">
        <v>68427709</v>
      </c>
      <c r="F1357" s="224">
        <v>-25000</v>
      </c>
      <c r="G1357" s="78" t="s">
        <v>309</v>
      </c>
      <c r="H1357" s="75" t="s">
        <v>310</v>
      </c>
      <c r="I1357" s="75" t="s">
        <v>1144</v>
      </c>
      <c r="J1357" s="75">
        <v>2025</v>
      </c>
      <c r="K1357" s="75" t="s">
        <v>2410</v>
      </c>
      <c r="L1357" s="75"/>
    </row>
    <row r="1358" spans="1:12" x14ac:dyDescent="0.25">
      <c r="A1358" s="78">
        <v>45463</v>
      </c>
      <c r="B1358" s="75" t="s">
        <v>2927</v>
      </c>
      <c r="C1358" s="75"/>
      <c r="D1358" s="75"/>
      <c r="E1358" s="75">
        <v>68427709</v>
      </c>
      <c r="F1358" s="224">
        <v>-25000</v>
      </c>
      <c r="G1358" s="78" t="s">
        <v>309</v>
      </c>
      <c r="H1358" s="75" t="s">
        <v>310</v>
      </c>
      <c r="I1358" s="75" t="s">
        <v>1144</v>
      </c>
      <c r="J1358" s="75">
        <v>2025</v>
      </c>
      <c r="K1358" s="75" t="s">
        <v>2410</v>
      </c>
      <c r="L1358" s="75"/>
    </row>
    <row r="1359" spans="1:12" x14ac:dyDescent="0.25">
      <c r="A1359" s="78">
        <v>45463</v>
      </c>
      <c r="B1359" s="75" t="s">
        <v>2928</v>
      </c>
      <c r="C1359" s="75"/>
      <c r="D1359" s="75"/>
      <c r="E1359" s="75">
        <v>68427709</v>
      </c>
      <c r="F1359" s="224">
        <v>-24920</v>
      </c>
      <c r="G1359" s="78" t="s">
        <v>309</v>
      </c>
      <c r="H1359" s="75" t="s">
        <v>310</v>
      </c>
      <c r="I1359" s="75" t="s">
        <v>1144</v>
      </c>
      <c r="J1359" s="75">
        <v>2025</v>
      </c>
      <c r="K1359" s="75" t="s">
        <v>2410</v>
      </c>
      <c r="L1359" s="75"/>
    </row>
    <row r="1360" spans="1:12" x14ac:dyDescent="0.25">
      <c r="A1360" s="78">
        <v>45463</v>
      </c>
      <c r="B1360" s="75" t="s">
        <v>2435</v>
      </c>
      <c r="C1360" s="75"/>
      <c r="D1360" s="75"/>
      <c r="E1360" s="75">
        <v>68427709</v>
      </c>
      <c r="F1360" s="224">
        <v>25200</v>
      </c>
      <c r="G1360" s="78" t="s">
        <v>2720</v>
      </c>
      <c r="H1360" s="75" t="s">
        <v>310</v>
      </c>
      <c r="I1360" s="75" t="s">
        <v>1144</v>
      </c>
      <c r="J1360" s="75">
        <v>2025</v>
      </c>
      <c r="K1360" s="75" t="s">
        <v>2410</v>
      </c>
      <c r="L1360" s="75"/>
    </row>
    <row r="1361" spans="1:12" x14ac:dyDescent="0.25">
      <c r="A1361" s="78">
        <v>45463</v>
      </c>
      <c r="B1361" s="75" t="s">
        <v>2655</v>
      </c>
      <c r="C1361" s="75"/>
      <c r="D1361" s="75"/>
      <c r="E1361" s="75">
        <v>68427709</v>
      </c>
      <c r="F1361" s="224">
        <v>-21500</v>
      </c>
      <c r="G1361" s="78" t="s">
        <v>309</v>
      </c>
      <c r="H1361" s="75" t="s">
        <v>310</v>
      </c>
      <c r="I1361" s="75" t="s">
        <v>1144</v>
      </c>
      <c r="J1361" s="75">
        <v>2025</v>
      </c>
      <c r="K1361" s="75" t="s">
        <v>2410</v>
      </c>
      <c r="L1361" s="75"/>
    </row>
    <row r="1362" spans="1:12" x14ac:dyDescent="0.25">
      <c r="A1362" s="78">
        <v>45463</v>
      </c>
      <c r="B1362" s="75" t="s">
        <v>2434</v>
      </c>
      <c r="C1362" s="75"/>
      <c r="D1362" s="75"/>
      <c r="E1362" s="75">
        <v>68427709</v>
      </c>
      <c r="F1362" s="224">
        <v>0</v>
      </c>
      <c r="G1362" s="78" t="s">
        <v>2720</v>
      </c>
      <c r="H1362" s="75" t="s">
        <v>310</v>
      </c>
      <c r="I1362" s="75" t="s">
        <v>631</v>
      </c>
      <c r="J1362" s="75">
        <v>2025</v>
      </c>
      <c r="K1362" s="75" t="s">
        <v>2410</v>
      </c>
      <c r="L1362" s="75"/>
    </row>
    <row r="1363" spans="1:12" x14ac:dyDescent="0.25">
      <c r="A1363" s="78">
        <v>45463</v>
      </c>
      <c r="B1363" s="75" t="s">
        <v>2067</v>
      </c>
      <c r="C1363" s="75"/>
      <c r="D1363" s="75"/>
      <c r="E1363" s="75">
        <v>68427709</v>
      </c>
      <c r="F1363" s="224">
        <v>5000</v>
      </c>
      <c r="G1363" s="78" t="s">
        <v>309</v>
      </c>
      <c r="H1363" s="75" t="s">
        <v>310</v>
      </c>
      <c r="I1363" s="75" t="s">
        <v>631</v>
      </c>
      <c r="J1363" s="75">
        <v>2025</v>
      </c>
      <c r="K1363" s="75" t="s">
        <v>2410</v>
      </c>
      <c r="L1363" s="75"/>
    </row>
    <row r="1364" spans="1:12" x14ac:dyDescent="0.25">
      <c r="A1364" s="78">
        <v>45463</v>
      </c>
      <c r="B1364" s="75" t="s">
        <v>2929</v>
      </c>
      <c r="C1364" s="75" t="s">
        <v>2930</v>
      </c>
      <c r="D1364" s="75"/>
      <c r="E1364" s="75">
        <v>68427709</v>
      </c>
      <c r="F1364" s="224">
        <v>-30000</v>
      </c>
      <c r="G1364" s="78" t="s">
        <v>309</v>
      </c>
      <c r="H1364" s="75" t="s">
        <v>310</v>
      </c>
      <c r="I1364" s="75" t="s">
        <v>631</v>
      </c>
      <c r="J1364" s="75">
        <v>2025</v>
      </c>
      <c r="K1364" s="75" t="s">
        <v>2410</v>
      </c>
      <c r="L1364" s="75"/>
    </row>
    <row r="1365" spans="1:12" x14ac:dyDescent="0.25">
      <c r="A1365" s="78">
        <v>45463</v>
      </c>
      <c r="B1365" s="75" t="s">
        <v>2931</v>
      </c>
      <c r="C1365" s="75" t="s">
        <v>2930</v>
      </c>
      <c r="D1365" s="75"/>
      <c r="E1365" s="75">
        <v>68427709</v>
      </c>
      <c r="F1365" s="224">
        <v>-180000</v>
      </c>
      <c r="G1365" s="78" t="s">
        <v>309</v>
      </c>
      <c r="H1365" s="75" t="s">
        <v>310</v>
      </c>
      <c r="I1365" s="75" t="s">
        <v>631</v>
      </c>
      <c r="J1365" s="75">
        <v>2025</v>
      </c>
      <c r="K1365" s="75" t="s">
        <v>2410</v>
      </c>
      <c r="L1365" s="75"/>
    </row>
    <row r="1366" spans="1:12" x14ac:dyDescent="0.25">
      <c r="A1366" s="78">
        <v>45463</v>
      </c>
      <c r="B1366" s="75" t="s">
        <v>2932</v>
      </c>
      <c r="C1366" s="75"/>
      <c r="D1366" s="75"/>
      <c r="E1366" s="75">
        <v>68427709</v>
      </c>
      <c r="F1366" s="224">
        <v>-23544</v>
      </c>
      <c r="G1366" s="78" t="s">
        <v>309</v>
      </c>
      <c r="H1366" s="75" t="s">
        <v>310</v>
      </c>
      <c r="I1366" s="227" t="s">
        <v>1144</v>
      </c>
      <c r="J1366" s="75">
        <v>2025</v>
      </c>
      <c r="K1366" s="75" t="s">
        <v>2410</v>
      </c>
      <c r="L1366" s="75"/>
    </row>
    <row r="1367" spans="1:12" x14ac:dyDescent="0.25">
      <c r="A1367" s="78">
        <v>45463</v>
      </c>
      <c r="B1367" s="75" t="s">
        <v>2933</v>
      </c>
      <c r="C1367" s="75" t="s">
        <v>1800</v>
      </c>
      <c r="D1367" s="75"/>
      <c r="E1367" s="75">
        <v>68427709</v>
      </c>
      <c r="F1367" s="224">
        <v>-54000</v>
      </c>
      <c r="G1367" s="78" t="s">
        <v>309</v>
      </c>
      <c r="H1367" s="75" t="s">
        <v>310</v>
      </c>
      <c r="I1367" s="227" t="s">
        <v>631</v>
      </c>
      <c r="J1367" s="75">
        <v>2025</v>
      </c>
      <c r="K1367" s="75" t="s">
        <v>2410</v>
      </c>
      <c r="L1367" s="75"/>
    </row>
    <row r="1368" spans="1:12" x14ac:dyDescent="0.25">
      <c r="A1368" s="78">
        <v>45463</v>
      </c>
      <c r="B1368" s="75" t="s">
        <v>2440</v>
      </c>
      <c r="C1368" s="75" t="s">
        <v>2934</v>
      </c>
      <c r="D1368" s="75"/>
      <c r="E1368" s="75">
        <v>68427709</v>
      </c>
      <c r="F1368" s="224">
        <v>-2000</v>
      </c>
      <c r="G1368" s="78" t="s">
        <v>309</v>
      </c>
      <c r="H1368" s="75" t="s">
        <v>310</v>
      </c>
      <c r="I1368" s="227" t="s">
        <v>631</v>
      </c>
      <c r="J1368" s="75">
        <v>2025</v>
      </c>
      <c r="K1368" s="75" t="s">
        <v>2410</v>
      </c>
      <c r="L1368" s="75"/>
    </row>
    <row r="1369" spans="1:12" x14ac:dyDescent="0.25">
      <c r="A1369" s="78">
        <v>45463</v>
      </c>
      <c r="B1369" s="75" t="s">
        <v>2657</v>
      </c>
      <c r="C1369" s="75"/>
      <c r="D1369" s="75" t="s">
        <v>2935</v>
      </c>
      <c r="E1369" s="75">
        <v>68427709</v>
      </c>
      <c r="F1369" s="224">
        <v>315000</v>
      </c>
      <c r="G1369" s="78" t="s">
        <v>309</v>
      </c>
      <c r="H1369" s="75" t="s">
        <v>310</v>
      </c>
      <c r="I1369" s="227" t="s">
        <v>1144</v>
      </c>
      <c r="J1369" s="75">
        <v>2025</v>
      </c>
      <c r="K1369" s="75" t="s">
        <v>2410</v>
      </c>
      <c r="L1369" s="75"/>
    </row>
    <row r="1370" spans="1:12" x14ac:dyDescent="0.25">
      <c r="A1370" s="78">
        <v>45463</v>
      </c>
      <c r="B1370" s="75" t="s">
        <v>787</v>
      </c>
      <c r="C1370" s="75"/>
      <c r="D1370" s="75"/>
      <c r="E1370" s="75">
        <v>68427709</v>
      </c>
      <c r="F1370" s="224">
        <v>-25000</v>
      </c>
      <c r="G1370" s="78" t="s">
        <v>309</v>
      </c>
      <c r="H1370" s="75" t="s">
        <v>310</v>
      </c>
      <c r="I1370" s="227" t="s">
        <v>1144</v>
      </c>
      <c r="J1370" s="75">
        <v>2025</v>
      </c>
      <c r="K1370" s="75" t="s">
        <v>2410</v>
      </c>
      <c r="L1370" s="75"/>
    </row>
    <row r="1371" spans="1:12" x14ac:dyDescent="0.25">
      <c r="A1371" s="78">
        <v>45463</v>
      </c>
      <c r="B1371" s="75" t="s">
        <v>786</v>
      </c>
      <c r="C1371" s="75" t="s">
        <v>2936</v>
      </c>
      <c r="D1371" s="75"/>
      <c r="E1371" s="75">
        <v>68427709</v>
      </c>
      <c r="F1371" s="224">
        <v>950000</v>
      </c>
      <c r="G1371" s="78" t="s">
        <v>309</v>
      </c>
      <c r="H1371" s="75" t="s">
        <v>310</v>
      </c>
      <c r="I1371" s="227" t="s">
        <v>1144</v>
      </c>
      <c r="J1371" s="75">
        <v>2025</v>
      </c>
      <c r="K1371" s="75" t="s">
        <v>2410</v>
      </c>
      <c r="L1371" s="75"/>
    </row>
    <row r="1372" spans="1:12" x14ac:dyDescent="0.25">
      <c r="A1372" s="78">
        <v>45463</v>
      </c>
      <c r="B1372" s="75" t="s">
        <v>2020</v>
      </c>
      <c r="C1372" s="75"/>
      <c r="D1372" s="75"/>
      <c r="E1372" s="75">
        <v>68427709</v>
      </c>
      <c r="F1372" s="224">
        <v>100000</v>
      </c>
      <c r="G1372" s="78" t="s">
        <v>309</v>
      </c>
      <c r="H1372" s="75" t="s">
        <v>310</v>
      </c>
      <c r="I1372" s="227" t="s">
        <v>1144</v>
      </c>
      <c r="J1372" s="75">
        <v>2025</v>
      </c>
      <c r="K1372" s="75" t="s">
        <v>2410</v>
      </c>
      <c r="L1372" s="75"/>
    </row>
    <row r="1373" spans="1:12" x14ac:dyDescent="0.25">
      <c r="A1373" s="78">
        <v>45463</v>
      </c>
      <c r="B1373" s="75" t="s">
        <v>2413</v>
      </c>
      <c r="C1373" s="75"/>
      <c r="D1373" s="75"/>
      <c r="E1373" s="75">
        <v>68427709</v>
      </c>
      <c r="F1373" s="224">
        <v>-10000</v>
      </c>
      <c r="G1373" s="78" t="s">
        <v>993</v>
      </c>
      <c r="H1373" s="75" t="s">
        <v>310</v>
      </c>
      <c r="I1373" s="227" t="s">
        <v>1144</v>
      </c>
      <c r="J1373" s="75">
        <v>2025</v>
      </c>
      <c r="K1373" s="75" t="s">
        <v>2410</v>
      </c>
      <c r="L1373" s="75"/>
    </row>
    <row r="1374" spans="1:12" x14ac:dyDescent="0.25">
      <c r="A1374" s="78">
        <v>45463</v>
      </c>
      <c r="B1374" s="75" t="s">
        <v>782</v>
      </c>
      <c r="C1374" s="75"/>
      <c r="D1374" s="75"/>
      <c r="E1374" s="75">
        <v>68427709</v>
      </c>
      <c r="F1374" s="224">
        <v>75000</v>
      </c>
      <c r="G1374" s="78" t="s">
        <v>309</v>
      </c>
      <c r="H1374" s="75" t="s">
        <v>310</v>
      </c>
      <c r="I1374" s="227" t="s">
        <v>1144</v>
      </c>
      <c r="J1374" s="75">
        <v>2025</v>
      </c>
      <c r="K1374" s="75" t="s">
        <v>2410</v>
      </c>
      <c r="L1374" s="75"/>
    </row>
    <row r="1375" spans="1:12" x14ac:dyDescent="0.25">
      <c r="A1375" s="78">
        <v>45463</v>
      </c>
      <c r="B1375" s="75" t="s">
        <v>2029</v>
      </c>
      <c r="C1375" s="75" t="s">
        <v>2937</v>
      </c>
      <c r="D1375" s="75"/>
      <c r="E1375" s="75">
        <v>68427709</v>
      </c>
      <c r="F1375" s="224">
        <v>-30000</v>
      </c>
      <c r="G1375" s="78" t="s">
        <v>309</v>
      </c>
      <c r="H1375" s="75" t="s">
        <v>310</v>
      </c>
      <c r="I1375" s="227" t="s">
        <v>1144</v>
      </c>
      <c r="J1375" s="75">
        <v>2025</v>
      </c>
      <c r="K1375" s="75" t="s">
        <v>2410</v>
      </c>
      <c r="L1375" s="75"/>
    </row>
    <row r="1376" spans="1:12" x14ac:dyDescent="0.25">
      <c r="A1376" s="78">
        <v>45463</v>
      </c>
      <c r="B1376" s="75" t="s">
        <v>2030</v>
      </c>
      <c r="C1376" s="75"/>
      <c r="D1376" s="75"/>
      <c r="E1376" s="75">
        <v>68427709</v>
      </c>
      <c r="F1376" s="224">
        <v>-25000</v>
      </c>
      <c r="G1376" s="78" t="s">
        <v>309</v>
      </c>
      <c r="H1376" s="75" t="s">
        <v>310</v>
      </c>
      <c r="I1376" s="227" t="s">
        <v>1144</v>
      </c>
      <c r="J1376" s="75">
        <v>2025</v>
      </c>
      <c r="K1376" s="75" t="s">
        <v>2410</v>
      </c>
      <c r="L1376" s="75"/>
    </row>
    <row r="1377" spans="1:12" x14ac:dyDescent="0.25">
      <c r="A1377" s="78">
        <v>45463</v>
      </c>
      <c r="B1377" s="75" t="s">
        <v>2031</v>
      </c>
      <c r="C1377" s="75"/>
      <c r="D1377" s="75"/>
      <c r="E1377" s="75">
        <v>68427709</v>
      </c>
      <c r="F1377" s="224">
        <v>30000</v>
      </c>
      <c r="G1377" s="78" t="s">
        <v>309</v>
      </c>
      <c r="H1377" s="75" t="s">
        <v>310</v>
      </c>
      <c r="I1377" s="227" t="s">
        <v>1144</v>
      </c>
      <c r="J1377" s="75">
        <v>2025</v>
      </c>
      <c r="K1377" s="75" t="s">
        <v>2410</v>
      </c>
      <c r="L1377" s="75"/>
    </row>
    <row r="1378" spans="1:12" x14ac:dyDescent="0.25">
      <c r="A1378" s="78">
        <v>45463</v>
      </c>
      <c r="B1378" s="75" t="s">
        <v>2938</v>
      </c>
      <c r="C1378" s="75"/>
      <c r="D1378" s="75"/>
      <c r="E1378" s="75">
        <v>68427709</v>
      </c>
      <c r="F1378" s="224">
        <v>15000</v>
      </c>
      <c r="G1378" s="78" t="s">
        <v>309</v>
      </c>
      <c r="H1378" s="75" t="s">
        <v>310</v>
      </c>
      <c r="I1378" s="227" t="s">
        <v>1144</v>
      </c>
      <c r="J1378" s="75">
        <v>2025</v>
      </c>
      <c r="K1378" s="75" t="s">
        <v>2410</v>
      </c>
      <c r="L1378" s="75" t="s">
        <v>2939</v>
      </c>
    </row>
    <row r="1379" spans="1:12" x14ac:dyDescent="0.25">
      <c r="A1379" s="78">
        <v>45463</v>
      </c>
      <c r="B1379" s="75" t="s">
        <v>1703</v>
      </c>
      <c r="C1379" s="75" t="s">
        <v>2940</v>
      </c>
      <c r="D1379" s="75"/>
      <c r="E1379" s="75">
        <v>68427709</v>
      </c>
      <c r="F1379" s="224">
        <v>-75000</v>
      </c>
      <c r="G1379" s="78" t="s">
        <v>309</v>
      </c>
      <c r="H1379" s="75" t="s">
        <v>310</v>
      </c>
      <c r="I1379" s="227" t="s">
        <v>631</v>
      </c>
      <c r="J1379" s="75">
        <v>2025</v>
      </c>
      <c r="K1379" s="75" t="s">
        <v>2410</v>
      </c>
      <c r="L1379" s="75"/>
    </row>
    <row r="1380" spans="1:12" x14ac:dyDescent="0.25">
      <c r="A1380" s="78">
        <v>45463</v>
      </c>
      <c r="B1380" s="75" t="s">
        <v>2941</v>
      </c>
      <c r="C1380" s="75"/>
      <c r="D1380" s="75"/>
      <c r="E1380" s="75">
        <v>68427709</v>
      </c>
      <c r="F1380" s="224">
        <v>-107500</v>
      </c>
      <c r="G1380" s="78" t="s">
        <v>309</v>
      </c>
      <c r="H1380" s="75" t="s">
        <v>310</v>
      </c>
      <c r="I1380" s="227" t="s">
        <v>1144</v>
      </c>
      <c r="J1380" s="75">
        <v>2025</v>
      </c>
      <c r="K1380" s="75" t="s">
        <v>2410</v>
      </c>
      <c r="L1380" s="75"/>
    </row>
    <row r="1381" spans="1:12" x14ac:dyDescent="0.25">
      <c r="A1381" s="78">
        <v>45463</v>
      </c>
      <c r="B1381" s="75" t="s">
        <v>835</v>
      </c>
      <c r="C1381" s="75"/>
      <c r="D1381" s="75" t="s">
        <v>2903</v>
      </c>
      <c r="E1381" s="75">
        <v>68427709</v>
      </c>
      <c r="F1381" s="224">
        <v>200000</v>
      </c>
      <c r="G1381" s="78" t="s">
        <v>309</v>
      </c>
      <c r="H1381" s="75" t="s">
        <v>310</v>
      </c>
      <c r="I1381" s="227" t="s">
        <v>329</v>
      </c>
      <c r="J1381" s="75">
        <v>2025</v>
      </c>
      <c r="K1381" s="75" t="s">
        <v>2410</v>
      </c>
      <c r="L1381" s="75"/>
    </row>
    <row r="1382" spans="1:12" x14ac:dyDescent="0.25">
      <c r="A1382" s="78">
        <v>45463</v>
      </c>
      <c r="B1382" s="75" t="s">
        <v>2446</v>
      </c>
      <c r="C1382" s="75" t="s">
        <v>2942</v>
      </c>
      <c r="D1382" s="75"/>
      <c r="E1382" s="75">
        <v>68427709</v>
      </c>
      <c r="F1382" s="224">
        <v>-7000</v>
      </c>
      <c r="G1382" s="78" t="s">
        <v>309</v>
      </c>
      <c r="H1382" s="75" t="s">
        <v>310</v>
      </c>
      <c r="I1382" s="227" t="s">
        <v>631</v>
      </c>
      <c r="J1382" s="75">
        <v>2025</v>
      </c>
      <c r="K1382" s="75" t="s">
        <v>2410</v>
      </c>
      <c r="L1382" s="75"/>
    </row>
    <row r="1383" spans="1:12" x14ac:dyDescent="0.25">
      <c r="A1383" s="78">
        <v>45463</v>
      </c>
      <c r="B1383" s="75" t="s">
        <v>1416</v>
      </c>
      <c r="C1383" s="75"/>
      <c r="D1383" s="75"/>
      <c r="E1383" s="75">
        <v>68427709</v>
      </c>
      <c r="F1383" s="224">
        <v>-21000</v>
      </c>
      <c r="G1383" s="78" t="s">
        <v>309</v>
      </c>
      <c r="H1383" s="75" t="s">
        <v>310</v>
      </c>
      <c r="I1383" s="227" t="s">
        <v>329</v>
      </c>
      <c r="J1383" s="75">
        <v>2025</v>
      </c>
      <c r="K1383" s="75" t="s">
        <v>2410</v>
      </c>
      <c r="L1383" s="75"/>
    </row>
    <row r="1384" spans="1:12" x14ac:dyDescent="0.25">
      <c r="A1384" s="78">
        <v>45463</v>
      </c>
      <c r="B1384" s="75" t="s">
        <v>2427</v>
      </c>
      <c r="C1384" s="75"/>
      <c r="D1384" s="75"/>
      <c r="E1384" s="75">
        <v>68427709</v>
      </c>
      <c r="F1384" s="224">
        <v>-34000</v>
      </c>
      <c r="G1384" s="78" t="s">
        <v>309</v>
      </c>
      <c r="H1384" s="75" t="s">
        <v>310</v>
      </c>
      <c r="I1384" s="227" t="s">
        <v>329</v>
      </c>
      <c r="J1384" s="75">
        <v>2025</v>
      </c>
      <c r="K1384" s="75" t="s">
        <v>2410</v>
      </c>
      <c r="L1384" s="75"/>
    </row>
    <row r="1385" spans="1:12" x14ac:dyDescent="0.25">
      <c r="A1385" s="78">
        <v>45463</v>
      </c>
      <c r="B1385" s="75" t="s">
        <v>2037</v>
      </c>
      <c r="C1385" s="75"/>
      <c r="D1385" s="75"/>
      <c r="E1385" s="75">
        <v>68427709</v>
      </c>
      <c r="F1385" s="224">
        <v>-11200</v>
      </c>
      <c r="G1385" s="78" t="s">
        <v>309</v>
      </c>
      <c r="H1385" s="75" t="s">
        <v>310</v>
      </c>
      <c r="I1385" s="227" t="s">
        <v>329</v>
      </c>
      <c r="J1385" s="75">
        <v>2025</v>
      </c>
      <c r="K1385" s="75" t="s">
        <v>2410</v>
      </c>
      <c r="L1385" s="75"/>
    </row>
    <row r="1386" spans="1:12" x14ac:dyDescent="0.25">
      <c r="A1386" s="78">
        <v>45463</v>
      </c>
      <c r="B1386" s="75" t="s">
        <v>2430</v>
      </c>
      <c r="C1386" s="75"/>
      <c r="D1386" s="75"/>
      <c r="E1386" s="75">
        <v>68427709</v>
      </c>
      <c r="F1386" s="224">
        <v>-21000</v>
      </c>
      <c r="G1386" s="78" t="s">
        <v>309</v>
      </c>
      <c r="H1386" s="75" t="s">
        <v>310</v>
      </c>
      <c r="I1386" s="227" t="s">
        <v>329</v>
      </c>
      <c r="J1386" s="75">
        <v>2025</v>
      </c>
      <c r="K1386" s="75" t="s">
        <v>2410</v>
      </c>
      <c r="L1386" s="75"/>
    </row>
    <row r="1387" spans="1:12" x14ac:dyDescent="0.25">
      <c r="A1387" s="78">
        <v>45463</v>
      </c>
      <c r="B1387" s="75" t="s">
        <v>1580</v>
      </c>
      <c r="C1387" s="75"/>
      <c r="D1387" s="75"/>
      <c r="E1387" s="75">
        <v>68427709</v>
      </c>
      <c r="F1387" s="224">
        <v>16000</v>
      </c>
      <c r="G1387" s="78" t="s">
        <v>309</v>
      </c>
      <c r="H1387" s="75" t="s">
        <v>310</v>
      </c>
      <c r="I1387" s="227" t="s">
        <v>1144</v>
      </c>
      <c r="J1387" s="75">
        <v>2025</v>
      </c>
      <c r="K1387" s="75" t="s">
        <v>2410</v>
      </c>
      <c r="L1387" s="75"/>
    </row>
    <row r="1388" spans="1:12" x14ac:dyDescent="0.25">
      <c r="A1388" s="78">
        <v>45463</v>
      </c>
      <c r="B1388" s="75" t="s">
        <v>2673</v>
      </c>
      <c r="C1388" s="75"/>
      <c r="D1388" s="75"/>
      <c r="E1388" s="75">
        <v>68427709</v>
      </c>
      <c r="F1388" s="224">
        <v>-35000</v>
      </c>
      <c r="G1388" s="78" t="s">
        <v>309</v>
      </c>
      <c r="H1388" s="75" t="s">
        <v>310</v>
      </c>
      <c r="I1388" s="227" t="s">
        <v>631</v>
      </c>
      <c r="J1388" s="75">
        <v>2025</v>
      </c>
      <c r="K1388" s="75" t="s">
        <v>2410</v>
      </c>
      <c r="L1388" s="75"/>
    </row>
    <row r="1389" spans="1:12" x14ac:dyDescent="0.25">
      <c r="A1389" s="78">
        <v>45463</v>
      </c>
      <c r="B1389" s="75" t="s">
        <v>2943</v>
      </c>
      <c r="C1389" s="75"/>
      <c r="D1389" s="75" t="s">
        <v>2863</v>
      </c>
      <c r="E1389" s="75">
        <v>68427709</v>
      </c>
      <c r="F1389" s="224">
        <v>25000</v>
      </c>
      <c r="G1389" s="78" t="s">
        <v>2720</v>
      </c>
      <c r="H1389" s="75" t="s">
        <v>310</v>
      </c>
      <c r="I1389" s="227" t="s">
        <v>631</v>
      </c>
      <c r="J1389" s="75">
        <v>2025</v>
      </c>
      <c r="K1389" s="75" t="s">
        <v>2410</v>
      </c>
      <c r="L1389" s="75" t="s">
        <v>2944</v>
      </c>
    </row>
    <row r="1390" spans="1:12" x14ac:dyDescent="0.25">
      <c r="A1390" s="78">
        <v>45463</v>
      </c>
      <c r="B1390" s="75" t="s">
        <v>2682</v>
      </c>
      <c r="C1390" s="75"/>
      <c r="D1390" s="75" t="s">
        <v>2903</v>
      </c>
      <c r="E1390" s="75">
        <v>68427709</v>
      </c>
      <c r="F1390" s="224">
        <v>-4000</v>
      </c>
      <c r="G1390" s="78" t="s">
        <v>309</v>
      </c>
      <c r="H1390" s="75" t="s">
        <v>310</v>
      </c>
      <c r="I1390" s="227" t="s">
        <v>329</v>
      </c>
      <c r="J1390" s="75">
        <v>2025</v>
      </c>
      <c r="K1390" s="75" t="s">
        <v>2410</v>
      </c>
      <c r="L1390" s="75"/>
    </row>
    <row r="1391" spans="1:12" x14ac:dyDescent="0.25">
      <c r="A1391" s="78">
        <v>45463</v>
      </c>
      <c r="B1391" s="75" t="s">
        <v>2945</v>
      </c>
      <c r="C1391" s="75"/>
      <c r="D1391" s="75" t="s">
        <v>2946</v>
      </c>
      <c r="E1391" s="75">
        <v>68427709</v>
      </c>
      <c r="F1391" s="224">
        <v>25000</v>
      </c>
      <c r="G1391" s="78" t="s">
        <v>309</v>
      </c>
      <c r="H1391" s="75" t="s">
        <v>310</v>
      </c>
      <c r="I1391" s="227" t="s">
        <v>631</v>
      </c>
      <c r="J1391" s="75">
        <v>2025</v>
      </c>
      <c r="K1391" s="75" t="s">
        <v>2410</v>
      </c>
      <c r="L1391" s="75" t="s">
        <v>2947</v>
      </c>
    </row>
    <row r="1392" spans="1:12" x14ac:dyDescent="0.25">
      <c r="A1392" s="78">
        <v>45463</v>
      </c>
      <c r="B1392" s="75" t="s">
        <v>2948</v>
      </c>
      <c r="C1392" s="75"/>
      <c r="D1392" s="75" t="s">
        <v>2903</v>
      </c>
      <c r="E1392" s="75">
        <v>68427709</v>
      </c>
      <c r="F1392" s="224">
        <v>36000</v>
      </c>
      <c r="G1392" s="78" t="s">
        <v>309</v>
      </c>
      <c r="H1392" s="75" t="s">
        <v>310</v>
      </c>
      <c r="I1392" s="227" t="s">
        <v>631</v>
      </c>
      <c r="J1392" s="75">
        <v>2025</v>
      </c>
      <c r="K1392" s="75" t="s">
        <v>2410</v>
      </c>
      <c r="L1392" s="75"/>
    </row>
    <row r="1393" spans="1:12" x14ac:dyDescent="0.25">
      <c r="A1393" s="78">
        <v>45463</v>
      </c>
      <c r="B1393" s="75" t="s">
        <v>2949</v>
      </c>
      <c r="C1393" s="75"/>
      <c r="D1393" s="75" t="s">
        <v>2903</v>
      </c>
      <c r="E1393" s="75">
        <v>68427709</v>
      </c>
      <c r="F1393" s="224">
        <v>400000</v>
      </c>
      <c r="G1393" s="78" t="s">
        <v>309</v>
      </c>
      <c r="H1393" s="75" t="s">
        <v>310</v>
      </c>
      <c r="I1393" s="227" t="s">
        <v>1144</v>
      </c>
      <c r="J1393" s="75">
        <v>2025</v>
      </c>
      <c r="K1393" s="75" t="s">
        <v>2410</v>
      </c>
      <c r="L1393" s="75"/>
    </row>
    <row r="1394" spans="1:12" x14ac:dyDescent="0.25">
      <c r="A1394" s="78">
        <v>45463</v>
      </c>
      <c r="B1394" s="75" t="s">
        <v>2950</v>
      </c>
      <c r="C1394" s="75"/>
      <c r="D1394" s="75" t="s">
        <v>2903</v>
      </c>
      <c r="E1394" s="75">
        <v>68427709</v>
      </c>
      <c r="F1394" s="224">
        <v>16000</v>
      </c>
      <c r="G1394" s="78" t="s">
        <v>309</v>
      </c>
      <c r="H1394" s="75" t="s">
        <v>310</v>
      </c>
      <c r="I1394" s="227" t="s">
        <v>329</v>
      </c>
      <c r="J1394" s="75">
        <v>2025</v>
      </c>
      <c r="K1394" s="75" t="s">
        <v>2410</v>
      </c>
      <c r="L1394" s="75"/>
    </row>
    <row r="1395" spans="1:12" x14ac:dyDescent="0.25">
      <c r="A1395" s="78">
        <v>45463</v>
      </c>
      <c r="B1395" s="75" t="s">
        <v>2951</v>
      </c>
      <c r="C1395" s="75"/>
      <c r="D1395" s="75" t="s">
        <v>2903</v>
      </c>
      <c r="E1395" s="75">
        <v>68427709</v>
      </c>
      <c r="F1395" s="224">
        <v>7000</v>
      </c>
      <c r="G1395" s="78" t="s">
        <v>309</v>
      </c>
      <c r="H1395" s="75" t="s">
        <v>310</v>
      </c>
      <c r="I1395" s="227" t="s">
        <v>329</v>
      </c>
      <c r="J1395" s="75">
        <v>2025</v>
      </c>
      <c r="K1395" s="75" t="s">
        <v>2410</v>
      </c>
      <c r="L1395" s="75"/>
    </row>
    <row r="1396" spans="1:12" x14ac:dyDescent="0.25">
      <c r="A1396" s="78">
        <v>45463</v>
      </c>
      <c r="B1396" s="75" t="s">
        <v>2952</v>
      </c>
      <c r="C1396" s="75"/>
      <c r="D1396" s="75" t="s">
        <v>2903</v>
      </c>
      <c r="E1396" s="75">
        <v>68427709</v>
      </c>
      <c r="F1396" s="224">
        <v>13000</v>
      </c>
      <c r="G1396" s="78" t="s">
        <v>309</v>
      </c>
      <c r="H1396" s="75" t="s">
        <v>310</v>
      </c>
      <c r="I1396" s="227" t="s">
        <v>329</v>
      </c>
      <c r="J1396" s="75">
        <v>2025</v>
      </c>
      <c r="K1396" s="75" t="s">
        <v>2410</v>
      </c>
      <c r="L1396" s="75"/>
    </row>
    <row r="1397" spans="1:12" x14ac:dyDescent="0.25">
      <c r="A1397" s="78">
        <v>45463</v>
      </c>
      <c r="B1397" s="75" t="s">
        <v>2953</v>
      </c>
      <c r="C1397" s="75"/>
      <c r="D1397" s="75" t="s">
        <v>2903</v>
      </c>
      <c r="E1397" s="75">
        <v>68427709</v>
      </c>
      <c r="F1397" s="224">
        <v>2500</v>
      </c>
      <c r="G1397" s="78" t="s">
        <v>309</v>
      </c>
      <c r="H1397" s="75" t="s">
        <v>310</v>
      </c>
      <c r="I1397" s="227" t="s">
        <v>329</v>
      </c>
      <c r="J1397" s="75">
        <v>2025</v>
      </c>
      <c r="K1397" s="75" t="s">
        <v>2410</v>
      </c>
      <c r="L1397" s="75"/>
    </row>
    <row r="1398" spans="1:12" x14ac:dyDescent="0.25">
      <c r="A1398" s="78">
        <v>45463</v>
      </c>
      <c r="B1398" s="75" t="s">
        <v>2954</v>
      </c>
      <c r="C1398" s="75"/>
      <c r="D1398" s="75" t="s">
        <v>2903</v>
      </c>
      <c r="E1398" s="75">
        <v>68427709</v>
      </c>
      <c r="F1398" s="224">
        <v>36000</v>
      </c>
      <c r="G1398" s="78" t="s">
        <v>309</v>
      </c>
      <c r="H1398" s="75" t="s">
        <v>310</v>
      </c>
      <c r="I1398" s="227" t="s">
        <v>329</v>
      </c>
      <c r="J1398" s="75">
        <v>2025</v>
      </c>
      <c r="K1398" s="75" t="s">
        <v>2410</v>
      </c>
      <c r="L1398" s="75"/>
    </row>
    <row r="1399" spans="1:12" x14ac:dyDescent="0.25">
      <c r="A1399" s="78">
        <v>45463</v>
      </c>
      <c r="B1399" s="75" t="s">
        <v>2955</v>
      </c>
      <c r="C1399" s="75"/>
      <c r="D1399" s="75" t="s">
        <v>2903</v>
      </c>
      <c r="E1399" s="75">
        <v>68427709</v>
      </c>
      <c r="F1399" s="224">
        <v>40000</v>
      </c>
      <c r="G1399" s="78" t="s">
        <v>309</v>
      </c>
      <c r="H1399" s="75" t="s">
        <v>310</v>
      </c>
      <c r="I1399" s="227" t="s">
        <v>1144</v>
      </c>
      <c r="J1399" s="75">
        <v>2025</v>
      </c>
      <c r="K1399" s="75" t="s">
        <v>2410</v>
      </c>
      <c r="L1399" s="75"/>
    </row>
    <row r="1400" spans="1:12" x14ac:dyDescent="0.25">
      <c r="A1400" s="78">
        <v>45463</v>
      </c>
      <c r="B1400" s="75" t="s">
        <v>2956</v>
      </c>
      <c r="C1400" s="75"/>
      <c r="D1400" s="75" t="s">
        <v>2903</v>
      </c>
      <c r="E1400" s="75">
        <v>68427709</v>
      </c>
      <c r="F1400" s="224">
        <v>194400</v>
      </c>
      <c r="G1400" s="78" t="s">
        <v>309</v>
      </c>
      <c r="H1400" s="75" t="s">
        <v>310</v>
      </c>
      <c r="I1400" s="227" t="s">
        <v>329</v>
      </c>
      <c r="J1400" s="75">
        <v>2025</v>
      </c>
      <c r="K1400" s="75" t="s">
        <v>2410</v>
      </c>
      <c r="L1400" s="75"/>
    </row>
    <row r="1401" spans="1:12" x14ac:dyDescent="0.25">
      <c r="A1401" s="78">
        <v>45463</v>
      </c>
      <c r="B1401" s="75" t="s">
        <v>2957</v>
      </c>
      <c r="C1401" s="75"/>
      <c r="D1401" s="75" t="s">
        <v>2903</v>
      </c>
      <c r="E1401" s="75">
        <v>68427709</v>
      </c>
      <c r="F1401" s="224">
        <v>200000</v>
      </c>
      <c r="G1401" s="78" t="s">
        <v>309</v>
      </c>
      <c r="H1401" s="75" t="s">
        <v>310</v>
      </c>
      <c r="I1401" s="227" t="s">
        <v>1144</v>
      </c>
      <c r="J1401" s="75">
        <v>2025</v>
      </c>
      <c r="K1401" s="75" t="s">
        <v>2410</v>
      </c>
      <c r="L1401" s="75"/>
    </row>
    <row r="1402" spans="1:12" x14ac:dyDescent="0.25">
      <c r="A1402" s="78">
        <v>45463</v>
      </c>
      <c r="B1402" s="75" t="s">
        <v>2958</v>
      </c>
      <c r="C1402" s="75"/>
      <c r="D1402" s="75" t="s">
        <v>2903</v>
      </c>
      <c r="E1402" s="75">
        <v>68427709</v>
      </c>
      <c r="F1402" s="224">
        <v>150000</v>
      </c>
      <c r="G1402" s="78" t="s">
        <v>309</v>
      </c>
      <c r="H1402" s="75" t="s">
        <v>310</v>
      </c>
      <c r="I1402" s="227" t="s">
        <v>329</v>
      </c>
      <c r="J1402" s="75">
        <v>2025</v>
      </c>
      <c r="K1402" s="75" t="s">
        <v>2410</v>
      </c>
      <c r="L1402" s="75"/>
    </row>
    <row r="1403" spans="1:12" x14ac:dyDescent="0.25">
      <c r="A1403" s="78">
        <v>45463</v>
      </c>
      <c r="B1403" s="75" t="s">
        <v>2959</v>
      </c>
      <c r="C1403" s="75"/>
      <c r="D1403" s="75" t="s">
        <v>2903</v>
      </c>
      <c r="E1403" s="75">
        <v>68427709</v>
      </c>
      <c r="F1403" s="224">
        <v>97200</v>
      </c>
      <c r="G1403" s="78" t="s">
        <v>309</v>
      </c>
      <c r="H1403" s="75" t="s">
        <v>310</v>
      </c>
      <c r="I1403" s="227" t="s">
        <v>1144</v>
      </c>
      <c r="J1403" s="75">
        <v>2025</v>
      </c>
      <c r="K1403" s="75" t="s">
        <v>2410</v>
      </c>
      <c r="L1403" s="75"/>
    </row>
    <row r="1404" spans="1:12" x14ac:dyDescent="0.25">
      <c r="A1404" s="78">
        <v>45463</v>
      </c>
      <c r="B1404" s="75" t="s">
        <v>2960</v>
      </c>
      <c r="C1404" s="75"/>
      <c r="D1404" s="75" t="s">
        <v>2903</v>
      </c>
      <c r="E1404" s="75">
        <v>68427709</v>
      </c>
      <c r="F1404" s="224">
        <v>31560</v>
      </c>
      <c r="G1404" s="78" t="s">
        <v>309</v>
      </c>
      <c r="H1404" s="75" t="s">
        <v>310</v>
      </c>
      <c r="I1404" s="227" t="s">
        <v>329</v>
      </c>
      <c r="J1404" s="75">
        <v>2025</v>
      </c>
      <c r="K1404" s="75" t="s">
        <v>2410</v>
      </c>
      <c r="L1404" s="75"/>
    </row>
    <row r="1405" spans="1:12" x14ac:dyDescent="0.25">
      <c r="A1405" s="78">
        <v>45463</v>
      </c>
      <c r="B1405" s="75" t="s">
        <v>2961</v>
      </c>
      <c r="C1405" s="75"/>
      <c r="D1405" s="75" t="s">
        <v>2903</v>
      </c>
      <c r="E1405" s="75">
        <v>68427709</v>
      </c>
      <c r="F1405" s="224">
        <v>43528.800000000003</v>
      </c>
      <c r="G1405" s="78" t="s">
        <v>309</v>
      </c>
      <c r="H1405" s="75" t="s">
        <v>310</v>
      </c>
      <c r="I1405" s="227" t="s">
        <v>1144</v>
      </c>
      <c r="J1405" s="75">
        <v>2025</v>
      </c>
      <c r="K1405" s="75" t="s">
        <v>2410</v>
      </c>
      <c r="L1405" s="75"/>
    </row>
    <row r="1406" spans="1:12" x14ac:dyDescent="0.25">
      <c r="A1406" s="78">
        <v>45463</v>
      </c>
      <c r="B1406" s="75" t="s">
        <v>2962</v>
      </c>
      <c r="C1406" s="75"/>
      <c r="D1406" s="75" t="s">
        <v>2903</v>
      </c>
      <c r="E1406" s="75">
        <v>68427709</v>
      </c>
      <c r="F1406" s="224">
        <v>25000</v>
      </c>
      <c r="G1406" s="78" t="s">
        <v>309</v>
      </c>
      <c r="H1406" s="75" t="s">
        <v>310</v>
      </c>
      <c r="I1406" s="227" t="s">
        <v>329</v>
      </c>
      <c r="J1406" s="75">
        <v>2025</v>
      </c>
      <c r="K1406" s="75" t="s">
        <v>2410</v>
      </c>
      <c r="L1406" s="75"/>
    </row>
    <row r="1407" spans="1:12" x14ac:dyDescent="0.25">
      <c r="A1407" s="78">
        <v>45463</v>
      </c>
      <c r="B1407" s="75" t="s">
        <v>2963</v>
      </c>
      <c r="C1407" s="75"/>
      <c r="D1407" s="75" t="s">
        <v>2903</v>
      </c>
      <c r="E1407" s="75">
        <v>68427709</v>
      </c>
      <c r="F1407" s="224">
        <v>40000</v>
      </c>
      <c r="G1407" s="78" t="s">
        <v>309</v>
      </c>
      <c r="H1407" s="75" t="s">
        <v>310</v>
      </c>
      <c r="I1407" s="227" t="s">
        <v>631</v>
      </c>
      <c r="J1407" s="75">
        <v>2025</v>
      </c>
      <c r="K1407" s="75" t="s">
        <v>2410</v>
      </c>
      <c r="L1407" s="75"/>
    </row>
    <row r="1408" spans="1:12" x14ac:dyDescent="0.25">
      <c r="A1408" s="78">
        <v>45463</v>
      </c>
      <c r="B1408" s="75" t="s">
        <v>2964</v>
      </c>
      <c r="C1408" s="75"/>
      <c r="D1408" s="75" t="s">
        <v>2903</v>
      </c>
      <c r="E1408" s="75">
        <v>68427709</v>
      </c>
      <c r="F1408" s="224">
        <v>850</v>
      </c>
      <c r="G1408" s="78" t="s">
        <v>309</v>
      </c>
      <c r="H1408" s="75" t="s">
        <v>310</v>
      </c>
      <c r="I1408" s="227" t="s">
        <v>631</v>
      </c>
      <c r="J1408" s="75">
        <v>2025</v>
      </c>
      <c r="K1408" s="75" t="s">
        <v>2410</v>
      </c>
      <c r="L1408" s="75"/>
    </row>
    <row r="1409" spans="1:12" x14ac:dyDescent="0.25">
      <c r="A1409" s="78">
        <v>45463</v>
      </c>
      <c r="B1409" s="75" t="s">
        <v>2965</v>
      </c>
      <c r="C1409" s="75"/>
      <c r="D1409" s="75" t="s">
        <v>2903</v>
      </c>
      <c r="E1409" s="75">
        <v>68427709</v>
      </c>
      <c r="F1409" s="224">
        <v>600</v>
      </c>
      <c r="G1409" s="78" t="s">
        <v>309</v>
      </c>
      <c r="H1409" s="75" t="s">
        <v>310</v>
      </c>
      <c r="I1409" s="227" t="s">
        <v>631</v>
      </c>
      <c r="J1409" s="75">
        <v>2025</v>
      </c>
      <c r="K1409" s="75" t="s">
        <v>2410</v>
      </c>
      <c r="L1409" s="75"/>
    </row>
    <row r="1410" spans="1:12" x14ac:dyDescent="0.25">
      <c r="A1410" s="78">
        <v>45463</v>
      </c>
      <c r="B1410" s="75" t="s">
        <v>2966</v>
      </c>
      <c r="C1410" s="75"/>
      <c r="D1410" s="75" t="s">
        <v>2903</v>
      </c>
      <c r="E1410" s="75">
        <v>68427709</v>
      </c>
      <c r="F1410" s="224">
        <v>96000</v>
      </c>
      <c r="G1410" s="78" t="s">
        <v>309</v>
      </c>
      <c r="H1410" s="75" t="s">
        <v>310</v>
      </c>
      <c r="I1410" s="227" t="s">
        <v>329</v>
      </c>
      <c r="J1410" s="75">
        <v>2025</v>
      </c>
      <c r="K1410" s="75" t="s">
        <v>2410</v>
      </c>
      <c r="L1410" s="75"/>
    </row>
    <row r="1411" spans="1:12" x14ac:dyDescent="0.25">
      <c r="A1411" s="78">
        <v>45463</v>
      </c>
      <c r="B1411" s="75" t="s">
        <v>2967</v>
      </c>
      <c r="C1411" s="75"/>
      <c r="D1411" s="75" t="s">
        <v>2903</v>
      </c>
      <c r="E1411" s="75">
        <v>68427709</v>
      </c>
      <c r="F1411" s="224">
        <v>40000</v>
      </c>
      <c r="G1411" s="78" t="s">
        <v>498</v>
      </c>
      <c r="H1411" s="75" t="s">
        <v>310</v>
      </c>
      <c r="I1411" s="227" t="s">
        <v>631</v>
      </c>
      <c r="J1411" s="75">
        <v>2025</v>
      </c>
      <c r="K1411" s="75" t="s">
        <v>2410</v>
      </c>
      <c r="L1411" s="75"/>
    </row>
    <row r="1412" spans="1:12" x14ac:dyDescent="0.25">
      <c r="A1412" s="78">
        <v>45463</v>
      </c>
      <c r="B1412" s="75" t="s">
        <v>2968</v>
      </c>
      <c r="C1412" s="75"/>
      <c r="D1412" s="75" t="s">
        <v>2903</v>
      </c>
      <c r="E1412" s="75">
        <v>68427709</v>
      </c>
      <c r="F1412" s="224">
        <v>7000</v>
      </c>
      <c r="G1412" s="78" t="s">
        <v>309</v>
      </c>
      <c r="H1412" s="75" t="s">
        <v>310</v>
      </c>
      <c r="I1412" s="227" t="s">
        <v>1144</v>
      </c>
      <c r="J1412" s="75">
        <v>2025</v>
      </c>
      <c r="K1412" s="75" t="s">
        <v>2410</v>
      </c>
      <c r="L1412" s="75"/>
    </row>
    <row r="1413" spans="1:12" x14ac:dyDescent="0.25">
      <c r="A1413" s="78">
        <v>45463</v>
      </c>
      <c r="B1413" s="75" t="s">
        <v>2969</v>
      </c>
      <c r="C1413" s="75"/>
      <c r="D1413" s="75" t="s">
        <v>2903</v>
      </c>
      <c r="E1413" s="75">
        <v>68427709</v>
      </c>
      <c r="F1413" s="224">
        <v>120000</v>
      </c>
      <c r="G1413" s="78" t="s">
        <v>498</v>
      </c>
      <c r="H1413" s="75" t="s">
        <v>310</v>
      </c>
      <c r="I1413" s="227" t="s">
        <v>1144</v>
      </c>
      <c r="J1413" s="75">
        <v>2025</v>
      </c>
      <c r="K1413" s="75" t="s">
        <v>2410</v>
      </c>
      <c r="L1413" s="75"/>
    </row>
    <row r="1414" spans="1:12" x14ac:dyDescent="0.25">
      <c r="A1414" s="78">
        <v>45463</v>
      </c>
      <c r="B1414" s="75" t="s">
        <v>2970</v>
      </c>
      <c r="C1414" s="75"/>
      <c r="D1414" s="75" t="s">
        <v>2903</v>
      </c>
      <c r="E1414" s="75">
        <v>68427709</v>
      </c>
      <c r="F1414" s="224">
        <v>20000</v>
      </c>
      <c r="G1414" s="78" t="s">
        <v>309</v>
      </c>
      <c r="H1414" s="75" t="s">
        <v>310</v>
      </c>
      <c r="I1414" s="227" t="s">
        <v>631</v>
      </c>
      <c r="J1414" s="75">
        <v>2025</v>
      </c>
      <c r="K1414" s="75" t="s">
        <v>2410</v>
      </c>
      <c r="L1414" s="75"/>
    </row>
    <row r="1415" spans="1:12" x14ac:dyDescent="0.25">
      <c r="A1415" s="78">
        <v>45463</v>
      </c>
      <c r="B1415" s="75" t="s">
        <v>2971</v>
      </c>
      <c r="C1415" s="75" t="s">
        <v>2972</v>
      </c>
      <c r="D1415" s="75" t="s">
        <v>2973</v>
      </c>
      <c r="E1415" s="75">
        <v>68427709</v>
      </c>
      <c r="F1415" s="224">
        <v>350000</v>
      </c>
      <c r="G1415" s="78" t="s">
        <v>309</v>
      </c>
      <c r="H1415" s="75" t="s">
        <v>310</v>
      </c>
      <c r="I1415" s="227" t="s">
        <v>1144</v>
      </c>
      <c r="J1415" s="75">
        <v>2025</v>
      </c>
      <c r="K1415" s="75" t="s">
        <v>2410</v>
      </c>
      <c r="L1415" s="75"/>
    </row>
    <row r="1416" spans="1:12" x14ac:dyDescent="0.25">
      <c r="A1416" s="78">
        <v>45463</v>
      </c>
      <c r="B1416" s="75" t="s">
        <v>2974</v>
      </c>
      <c r="C1416" s="75" t="s">
        <v>2972</v>
      </c>
      <c r="D1416" s="75" t="s">
        <v>2973</v>
      </c>
      <c r="E1416" s="75">
        <v>68427709</v>
      </c>
      <c r="F1416" s="224">
        <v>60000</v>
      </c>
      <c r="G1416" s="78" t="s">
        <v>309</v>
      </c>
      <c r="H1416" s="75" t="s">
        <v>310</v>
      </c>
      <c r="I1416" s="227" t="s">
        <v>1144</v>
      </c>
      <c r="J1416" s="75">
        <v>2025</v>
      </c>
      <c r="K1416" s="75" t="s">
        <v>2410</v>
      </c>
      <c r="L1416" s="75"/>
    </row>
    <row r="1417" spans="1:12" x14ac:dyDescent="0.25">
      <c r="A1417" s="78">
        <v>45464</v>
      </c>
      <c r="B1417" s="75" t="s">
        <v>2975</v>
      </c>
      <c r="C1417" s="75" t="s">
        <v>2976</v>
      </c>
      <c r="D1417" s="75" t="s">
        <v>517</v>
      </c>
      <c r="E1417" s="75">
        <v>68427709</v>
      </c>
      <c r="F1417" s="224">
        <v>40000</v>
      </c>
      <c r="G1417" s="78" t="s">
        <v>309</v>
      </c>
      <c r="H1417" s="75" t="s">
        <v>310</v>
      </c>
      <c r="I1417" s="227" t="s">
        <v>1144</v>
      </c>
      <c r="J1417" s="75">
        <v>2025</v>
      </c>
      <c r="K1417" s="75" t="s">
        <v>2410</v>
      </c>
      <c r="L1417" s="75"/>
    </row>
    <row r="1418" spans="1:12" x14ac:dyDescent="0.25">
      <c r="A1418" s="78">
        <v>45464</v>
      </c>
      <c r="B1418" s="75" t="s">
        <v>2977</v>
      </c>
      <c r="C1418" s="75" t="s">
        <v>2978</v>
      </c>
      <c r="D1418" s="75" t="s">
        <v>517</v>
      </c>
      <c r="E1418" s="75">
        <v>68427709</v>
      </c>
      <c r="F1418" s="224">
        <v>-34000</v>
      </c>
      <c r="G1418" s="78" t="s">
        <v>309</v>
      </c>
      <c r="H1418" s="75" t="s">
        <v>310</v>
      </c>
      <c r="I1418" s="227" t="s">
        <v>1144</v>
      </c>
      <c r="J1418" s="75">
        <v>2025</v>
      </c>
      <c r="K1418" s="75" t="s">
        <v>2410</v>
      </c>
      <c r="L1418" s="75"/>
    </row>
    <row r="1419" spans="1:12" x14ac:dyDescent="0.25">
      <c r="A1419" s="78">
        <v>45464</v>
      </c>
      <c r="B1419" s="75" t="s">
        <v>2979</v>
      </c>
      <c r="C1419" s="75" t="s">
        <v>2980</v>
      </c>
      <c r="D1419" s="75" t="s">
        <v>2903</v>
      </c>
      <c r="E1419" s="75">
        <v>68427709</v>
      </c>
      <c r="F1419" s="224">
        <v>172000</v>
      </c>
      <c r="G1419" s="78" t="s">
        <v>309</v>
      </c>
      <c r="H1419" s="75" t="s">
        <v>310</v>
      </c>
      <c r="I1419" s="227" t="s">
        <v>631</v>
      </c>
      <c r="J1419" s="75">
        <v>2025</v>
      </c>
      <c r="K1419" s="75" t="s">
        <v>2410</v>
      </c>
      <c r="L1419" s="75"/>
    </row>
    <row r="1420" spans="1:12" x14ac:dyDescent="0.25">
      <c r="A1420" s="78">
        <v>45464</v>
      </c>
      <c r="B1420" s="75" t="s">
        <v>2981</v>
      </c>
      <c r="C1420" s="75"/>
      <c r="D1420" s="75" t="s">
        <v>2903</v>
      </c>
      <c r="E1420" s="75">
        <v>68427709</v>
      </c>
      <c r="F1420" s="224">
        <v>3700</v>
      </c>
      <c r="G1420" s="78" t="s">
        <v>309</v>
      </c>
      <c r="H1420" s="75" t="s">
        <v>310</v>
      </c>
      <c r="I1420" s="227" t="s">
        <v>631</v>
      </c>
      <c r="J1420" s="75">
        <v>2025</v>
      </c>
      <c r="K1420" s="75" t="s">
        <v>2410</v>
      </c>
      <c r="L1420" s="75"/>
    </row>
    <row r="1421" spans="1:12" x14ac:dyDescent="0.25">
      <c r="A1421" s="78">
        <v>45464</v>
      </c>
      <c r="B1421" s="75" t="s">
        <v>2982</v>
      </c>
      <c r="C1421" s="75" t="s">
        <v>2983</v>
      </c>
      <c r="D1421" s="75" t="s">
        <v>2903</v>
      </c>
      <c r="E1421" s="75">
        <v>68427709</v>
      </c>
      <c r="F1421" s="224">
        <v>14300</v>
      </c>
      <c r="G1421" s="78" t="s">
        <v>309</v>
      </c>
      <c r="H1421" s="75" t="s">
        <v>310</v>
      </c>
      <c r="I1421" s="227" t="s">
        <v>631</v>
      </c>
      <c r="J1421" s="75">
        <v>2025</v>
      </c>
      <c r="K1421" s="75" t="s">
        <v>2410</v>
      </c>
      <c r="L1421" s="75"/>
    </row>
    <row r="1422" spans="1:12" x14ac:dyDescent="0.25">
      <c r="A1422" s="78">
        <v>45464</v>
      </c>
      <c r="B1422" s="75" t="s">
        <v>2984</v>
      </c>
      <c r="C1422" s="75" t="s">
        <v>2985</v>
      </c>
      <c r="D1422" s="75" t="s">
        <v>2903</v>
      </c>
      <c r="E1422" s="75">
        <v>68427709</v>
      </c>
      <c r="F1422" s="224">
        <v>12000</v>
      </c>
      <c r="G1422" s="78" t="s">
        <v>309</v>
      </c>
      <c r="H1422" s="75" t="s">
        <v>310</v>
      </c>
      <c r="I1422" s="227" t="s">
        <v>329</v>
      </c>
      <c r="J1422" s="75">
        <v>2025</v>
      </c>
      <c r="K1422" s="75" t="s">
        <v>2410</v>
      </c>
      <c r="L1422" s="75"/>
    </row>
    <row r="1423" spans="1:12" x14ac:dyDescent="0.25">
      <c r="A1423" s="78">
        <v>45464</v>
      </c>
      <c r="B1423" s="75" t="s">
        <v>2986</v>
      </c>
      <c r="C1423" s="75" t="s">
        <v>2987</v>
      </c>
      <c r="D1423" s="75" t="s">
        <v>2903</v>
      </c>
      <c r="E1423" s="75">
        <v>68427709</v>
      </c>
      <c r="F1423" s="224">
        <v>87000</v>
      </c>
      <c r="G1423" s="78" t="s">
        <v>309</v>
      </c>
      <c r="H1423" s="75" t="s">
        <v>310</v>
      </c>
      <c r="I1423" s="227" t="s">
        <v>631</v>
      </c>
      <c r="J1423" s="75">
        <v>2025</v>
      </c>
      <c r="K1423" s="75" t="s">
        <v>2410</v>
      </c>
      <c r="L1423" s="75"/>
    </row>
    <row r="1424" spans="1:12" x14ac:dyDescent="0.25">
      <c r="A1424" s="78">
        <v>45464</v>
      </c>
      <c r="B1424" s="75" t="s">
        <v>2988</v>
      </c>
      <c r="C1424" s="75" t="s">
        <v>2989</v>
      </c>
      <c r="D1424" s="75" t="s">
        <v>2903</v>
      </c>
      <c r="E1424" s="75">
        <v>68427709</v>
      </c>
      <c r="F1424" s="224">
        <v>900</v>
      </c>
      <c r="G1424" s="78" t="s">
        <v>309</v>
      </c>
      <c r="H1424" s="75" t="s">
        <v>310</v>
      </c>
      <c r="I1424" s="227" t="s">
        <v>1144</v>
      </c>
      <c r="J1424" s="75">
        <v>2025</v>
      </c>
      <c r="K1424" s="75" t="s">
        <v>2410</v>
      </c>
      <c r="L1424" s="75"/>
    </row>
    <row r="1425" spans="1:12" x14ac:dyDescent="0.25">
      <c r="A1425" s="78">
        <v>45464</v>
      </c>
      <c r="B1425" s="75" t="s">
        <v>2990</v>
      </c>
      <c r="C1425" s="75" t="s">
        <v>2991</v>
      </c>
      <c r="D1425" s="75" t="s">
        <v>2903</v>
      </c>
      <c r="E1425" s="75">
        <v>68427709</v>
      </c>
      <c r="F1425" s="224">
        <v>127000</v>
      </c>
      <c r="G1425" s="78" t="s">
        <v>309</v>
      </c>
      <c r="H1425" s="75" t="s">
        <v>310</v>
      </c>
      <c r="I1425" s="227" t="s">
        <v>631</v>
      </c>
      <c r="J1425" s="75">
        <v>2025</v>
      </c>
      <c r="K1425" s="75" t="s">
        <v>2410</v>
      </c>
      <c r="L1425" s="75"/>
    </row>
    <row r="1426" spans="1:12" x14ac:dyDescent="0.25">
      <c r="A1426" s="78">
        <v>45467</v>
      </c>
      <c r="B1426" s="75" t="s">
        <v>2992</v>
      </c>
      <c r="C1426" s="75" t="s">
        <v>2993</v>
      </c>
      <c r="D1426" s="75"/>
      <c r="E1426" s="75">
        <v>68427709</v>
      </c>
      <c r="F1426" s="224">
        <v>46500</v>
      </c>
      <c r="G1426" s="78" t="s">
        <v>309</v>
      </c>
      <c r="H1426" s="75" t="s">
        <v>310</v>
      </c>
      <c r="I1426" s="227" t="s">
        <v>1144</v>
      </c>
      <c r="J1426" s="75">
        <v>2025</v>
      </c>
      <c r="K1426" s="75" t="s">
        <v>2994</v>
      </c>
      <c r="L1426" s="75"/>
    </row>
    <row r="1427" spans="1:12" x14ac:dyDescent="0.25">
      <c r="A1427" s="78">
        <v>45467</v>
      </c>
      <c r="B1427" s="75" t="s">
        <v>2995</v>
      </c>
      <c r="C1427" s="75" t="s">
        <v>2996</v>
      </c>
      <c r="D1427" s="75"/>
      <c r="E1427" s="75">
        <v>68427709</v>
      </c>
      <c r="F1427" s="224">
        <v>16400</v>
      </c>
      <c r="G1427" s="78" t="s">
        <v>309</v>
      </c>
      <c r="H1427" s="75" t="s">
        <v>310</v>
      </c>
      <c r="I1427" s="227" t="s">
        <v>329</v>
      </c>
      <c r="J1427" s="75">
        <v>2025</v>
      </c>
      <c r="K1427" s="75" t="s">
        <v>2994</v>
      </c>
      <c r="L1427" s="75"/>
    </row>
    <row r="1428" spans="1:12" x14ac:dyDescent="0.25">
      <c r="A1428" s="78">
        <v>45474</v>
      </c>
      <c r="B1428" s="75" t="s">
        <v>2997</v>
      </c>
      <c r="C1428" s="75" t="s">
        <v>2998</v>
      </c>
      <c r="D1428" s="75"/>
      <c r="E1428" s="75">
        <v>68427709</v>
      </c>
      <c r="F1428" s="224">
        <v>75000</v>
      </c>
      <c r="G1428" s="78" t="s">
        <v>309</v>
      </c>
      <c r="H1428" s="75" t="s">
        <v>310</v>
      </c>
      <c r="I1428" s="227" t="s">
        <v>329</v>
      </c>
      <c r="J1428" s="75">
        <v>2025</v>
      </c>
      <c r="K1428" s="75" t="s">
        <v>1984</v>
      </c>
      <c r="L1428" s="75"/>
    </row>
    <row r="1429" spans="1:12" x14ac:dyDescent="0.25">
      <c r="A1429" s="78">
        <v>45485</v>
      </c>
      <c r="B1429" s="75" t="s">
        <v>2999</v>
      </c>
      <c r="C1429" s="75" t="s">
        <v>3000</v>
      </c>
      <c r="D1429" s="75"/>
      <c r="E1429" s="75">
        <v>68427709</v>
      </c>
      <c r="F1429" s="224">
        <v>81000</v>
      </c>
      <c r="G1429" s="78" t="s">
        <v>309</v>
      </c>
      <c r="H1429" s="75" t="s">
        <v>310</v>
      </c>
      <c r="I1429" s="227" t="s">
        <v>329</v>
      </c>
      <c r="J1429" s="75">
        <v>2025</v>
      </c>
      <c r="K1429" s="75" t="s">
        <v>3001</v>
      </c>
      <c r="L1429" s="75"/>
    </row>
    <row r="1430" spans="1:12" x14ac:dyDescent="0.25">
      <c r="A1430" s="78">
        <v>45482</v>
      </c>
      <c r="B1430" s="75" t="s">
        <v>3002</v>
      </c>
      <c r="C1430" s="75" t="s">
        <v>2906</v>
      </c>
      <c r="D1430" s="75"/>
      <c r="E1430" s="75">
        <v>68427709</v>
      </c>
      <c r="F1430" s="224">
        <v>0</v>
      </c>
      <c r="G1430" s="75" t="s">
        <v>309</v>
      </c>
      <c r="H1430" s="75" t="s">
        <v>310</v>
      </c>
      <c r="I1430" s="75" t="s">
        <v>2758</v>
      </c>
      <c r="J1430" s="75">
        <v>2025</v>
      </c>
      <c r="K1430" s="75" t="s">
        <v>1819</v>
      </c>
      <c r="L1430" s="75"/>
    </row>
    <row r="1431" spans="1:12" x14ac:dyDescent="0.25">
      <c r="A1431" s="78">
        <v>45495</v>
      </c>
      <c r="B1431" s="75" t="s">
        <v>461</v>
      </c>
      <c r="C1431" s="75" t="s">
        <v>2824</v>
      </c>
      <c r="D1431" s="75"/>
      <c r="E1431" s="75">
        <v>68427709</v>
      </c>
      <c r="F1431" s="224">
        <v>13000</v>
      </c>
      <c r="G1431" s="78" t="s">
        <v>309</v>
      </c>
      <c r="H1431" s="75" t="s">
        <v>310</v>
      </c>
      <c r="I1431" s="227" t="s">
        <v>631</v>
      </c>
      <c r="J1431" s="75">
        <v>2025</v>
      </c>
      <c r="K1431" s="75" t="s">
        <v>2781</v>
      </c>
      <c r="L1431" s="75"/>
    </row>
    <row r="1432" spans="1:12" x14ac:dyDescent="0.25">
      <c r="A1432" s="78">
        <v>45495</v>
      </c>
      <c r="B1432" s="75" t="s">
        <v>3003</v>
      </c>
      <c r="C1432" s="75" t="s">
        <v>2824</v>
      </c>
      <c r="D1432" s="75"/>
      <c r="E1432" s="75">
        <v>68427709</v>
      </c>
      <c r="F1432" s="224">
        <v>13000</v>
      </c>
      <c r="G1432" s="78" t="s">
        <v>309</v>
      </c>
      <c r="H1432" s="75" t="s">
        <v>310</v>
      </c>
      <c r="I1432" s="227" t="s">
        <v>631</v>
      </c>
      <c r="J1432" s="75">
        <v>2025</v>
      </c>
      <c r="K1432" s="75" t="s">
        <v>2781</v>
      </c>
      <c r="L1432" s="75"/>
    </row>
    <row r="1433" spans="1:12" x14ac:dyDescent="0.25">
      <c r="A1433" s="231">
        <v>45482</v>
      </c>
      <c r="B1433" s="148" t="s">
        <v>3004</v>
      </c>
      <c r="C1433" s="148" t="s">
        <v>2734</v>
      </c>
      <c r="D1433" s="148"/>
      <c r="E1433" s="148">
        <v>68427709</v>
      </c>
      <c r="F1433" s="232">
        <v>0</v>
      </c>
      <c r="G1433" s="148" t="s">
        <v>993</v>
      </c>
      <c r="H1433" s="148"/>
      <c r="I1433" s="233"/>
      <c r="J1433" s="75">
        <v>2025</v>
      </c>
      <c r="K1433" s="148"/>
      <c r="L1433" s="148"/>
    </row>
    <row r="1434" spans="1:12" x14ac:dyDescent="0.25">
      <c r="A1434" s="78">
        <v>45495</v>
      </c>
      <c r="B1434" s="75" t="s">
        <v>3005</v>
      </c>
      <c r="C1434" s="75" t="s">
        <v>3006</v>
      </c>
      <c r="D1434" s="75"/>
      <c r="E1434" s="75">
        <v>68427709</v>
      </c>
      <c r="F1434" s="224">
        <v>20000</v>
      </c>
      <c r="G1434" s="78" t="s">
        <v>309</v>
      </c>
      <c r="H1434" s="75" t="s">
        <v>310</v>
      </c>
      <c r="I1434" s="227" t="s">
        <v>631</v>
      </c>
      <c r="J1434" s="75">
        <v>2025</v>
      </c>
      <c r="K1434" s="75" t="s">
        <v>1930</v>
      </c>
      <c r="L1434" s="75"/>
    </row>
    <row r="1435" spans="1:12" x14ac:dyDescent="0.25">
      <c r="A1435" s="78">
        <v>45509</v>
      </c>
      <c r="B1435" s="75" t="s">
        <v>3007</v>
      </c>
      <c r="C1435" s="75"/>
      <c r="D1435" s="75"/>
      <c r="E1435" s="75">
        <v>68427709</v>
      </c>
      <c r="F1435" s="224">
        <v>0</v>
      </c>
      <c r="G1435" s="75" t="s">
        <v>309</v>
      </c>
      <c r="H1435" s="75" t="s">
        <v>310</v>
      </c>
      <c r="I1435" s="227" t="s">
        <v>2758</v>
      </c>
      <c r="J1435" s="75">
        <v>2025</v>
      </c>
      <c r="K1435" s="75" t="s">
        <v>2870</v>
      </c>
      <c r="L1435" s="75"/>
    </row>
    <row r="1436" spans="1:12" x14ac:dyDescent="0.25">
      <c r="A1436" s="78">
        <v>45580</v>
      </c>
      <c r="B1436" s="75" t="s">
        <v>3008</v>
      </c>
      <c r="C1436" s="75" t="s">
        <v>3009</v>
      </c>
      <c r="D1436" s="75"/>
      <c r="E1436" s="75">
        <v>68427709</v>
      </c>
      <c r="F1436" s="224">
        <v>-420000</v>
      </c>
      <c r="G1436" s="75" t="s">
        <v>3010</v>
      </c>
      <c r="H1436" s="75" t="s">
        <v>3011</v>
      </c>
      <c r="I1436" s="239"/>
      <c r="J1436" s="75">
        <v>2025</v>
      </c>
      <c r="K1436" s="21" t="s">
        <v>2112</v>
      </c>
    </row>
    <row r="1437" spans="1:12" x14ac:dyDescent="0.25">
      <c r="A1437" s="37">
        <v>41927</v>
      </c>
      <c r="B1437" s="75" t="s">
        <v>2828</v>
      </c>
      <c r="C1437" t="s">
        <v>3012</v>
      </c>
      <c r="E1437" s="75">
        <v>68427709</v>
      </c>
      <c r="F1437" s="101">
        <v>70000</v>
      </c>
      <c r="G1437" s="78" t="s">
        <v>309</v>
      </c>
      <c r="H1437" s="21" t="s">
        <v>310</v>
      </c>
      <c r="I1437" s="239" t="s">
        <v>2186</v>
      </c>
      <c r="J1437" s="21">
        <v>2025</v>
      </c>
      <c r="K1437" s="21" t="s">
        <v>2112</v>
      </c>
    </row>
    <row r="1438" spans="1:12" x14ac:dyDescent="0.25">
      <c r="A1438" s="161"/>
      <c r="B1438" s="161"/>
      <c r="C1438" s="161"/>
      <c r="D1438" s="161"/>
      <c r="E1438" s="161"/>
      <c r="F1438" s="161"/>
      <c r="G1438" s="161"/>
      <c r="H1438" s="161"/>
      <c r="I1438" s="238"/>
      <c r="J1438" s="161"/>
      <c r="K1438" s="161"/>
      <c r="L1438" s="161"/>
    </row>
    <row r="1439" spans="1:12" x14ac:dyDescent="0.25">
      <c r="A1439" s="78">
        <v>45566</v>
      </c>
      <c r="B1439" s="75" t="s">
        <v>3013</v>
      </c>
      <c r="C1439" s="75" t="s">
        <v>3014</v>
      </c>
      <c r="D1439" s="75"/>
      <c r="E1439" s="75">
        <v>68427709</v>
      </c>
      <c r="F1439" s="89">
        <v>-10000</v>
      </c>
      <c r="G1439" s="75" t="s">
        <v>993</v>
      </c>
      <c r="H1439" s="75" t="s">
        <v>310</v>
      </c>
      <c r="I1439" s="227" t="s">
        <v>329</v>
      </c>
      <c r="J1439" s="75">
        <v>2026</v>
      </c>
      <c r="K1439" s="75" t="s">
        <v>3015</v>
      </c>
      <c r="L1439" s="75"/>
    </row>
    <row r="1440" spans="1:12" x14ac:dyDescent="0.25">
      <c r="A1440" s="78">
        <v>45593</v>
      </c>
      <c r="B1440" s="75" t="s">
        <v>3016</v>
      </c>
      <c r="C1440" s="75" t="s">
        <v>3017</v>
      </c>
      <c r="D1440" s="75"/>
      <c r="E1440" s="75">
        <v>68427709</v>
      </c>
      <c r="F1440" s="89">
        <v>-134000</v>
      </c>
      <c r="G1440" s="75" t="s">
        <v>993</v>
      </c>
      <c r="H1440" s="75" t="s">
        <v>310</v>
      </c>
      <c r="I1440" s="227" t="s">
        <v>1896</v>
      </c>
      <c r="J1440" s="75">
        <v>2026</v>
      </c>
      <c r="K1440" s="75" t="s">
        <v>2510</v>
      </c>
      <c r="L1440" s="75"/>
    </row>
    <row r="1441" spans="1:12" x14ac:dyDescent="0.25">
      <c r="A1441" s="78">
        <v>45593</v>
      </c>
      <c r="B1441" s="75" t="s">
        <v>3018</v>
      </c>
      <c r="C1441" s="75" t="s">
        <v>2824</v>
      </c>
      <c r="D1441" s="75"/>
      <c r="E1441" s="75">
        <v>68427709</v>
      </c>
      <c r="F1441" s="89">
        <v>-160000</v>
      </c>
      <c r="G1441" s="75" t="s">
        <v>993</v>
      </c>
      <c r="H1441" s="75" t="s">
        <v>310</v>
      </c>
      <c r="I1441" s="227" t="s">
        <v>1896</v>
      </c>
      <c r="J1441" s="75">
        <v>2026</v>
      </c>
      <c r="K1441" s="75" t="s">
        <v>2510</v>
      </c>
      <c r="L1441" s="75"/>
    </row>
    <row r="1442" spans="1:12" x14ac:dyDescent="0.25">
      <c r="A1442" s="78">
        <v>45594</v>
      </c>
      <c r="B1442" s="75" t="s">
        <v>3019</v>
      </c>
      <c r="C1442" s="75" t="s">
        <v>3020</v>
      </c>
      <c r="D1442" s="75"/>
      <c r="E1442" s="75">
        <v>68427709</v>
      </c>
      <c r="F1442" s="89">
        <v>126000</v>
      </c>
      <c r="G1442" s="75" t="s">
        <v>993</v>
      </c>
      <c r="H1442" s="75" t="s">
        <v>310</v>
      </c>
      <c r="I1442" s="227" t="s">
        <v>1896</v>
      </c>
      <c r="J1442" s="75">
        <v>2026</v>
      </c>
      <c r="K1442" s="75" t="s">
        <v>3021</v>
      </c>
      <c r="L1442" s="75"/>
    </row>
    <row r="1443" spans="1:12" x14ac:dyDescent="0.25">
      <c r="A1443" s="78">
        <v>45594</v>
      </c>
      <c r="B1443" s="75" t="s">
        <v>1387</v>
      </c>
      <c r="C1443" s="75" t="s">
        <v>741</v>
      </c>
      <c r="D1443" s="75"/>
      <c r="E1443" s="75">
        <v>68427709</v>
      </c>
      <c r="F1443" s="89">
        <v>30000</v>
      </c>
      <c r="G1443" s="75" t="s">
        <v>993</v>
      </c>
      <c r="H1443" s="75" t="s">
        <v>310</v>
      </c>
      <c r="I1443" s="227" t="s">
        <v>1896</v>
      </c>
      <c r="J1443" s="75">
        <v>2026</v>
      </c>
      <c r="K1443" s="75" t="s">
        <v>2510</v>
      </c>
      <c r="L1443" s="75"/>
    </row>
    <row r="1444" spans="1:12" x14ac:dyDescent="0.25">
      <c r="A1444" s="78">
        <v>45596</v>
      </c>
      <c r="B1444" s="75" t="s">
        <v>3022</v>
      </c>
      <c r="C1444" s="75" t="s">
        <v>3023</v>
      </c>
      <c r="D1444" s="75"/>
      <c r="E1444" s="75">
        <v>68427709</v>
      </c>
      <c r="F1444" s="89">
        <v>-100000</v>
      </c>
      <c r="G1444" s="75" t="s">
        <v>993</v>
      </c>
      <c r="H1444" s="75" t="s">
        <v>310</v>
      </c>
      <c r="I1444" s="227" t="s">
        <v>1144</v>
      </c>
      <c r="J1444" s="75">
        <v>2026</v>
      </c>
      <c r="K1444" s="75" t="s">
        <v>2870</v>
      </c>
      <c r="L1444" s="75"/>
    </row>
    <row r="1445" spans="1:12" ht="45" x14ac:dyDescent="0.25">
      <c r="A1445" s="78">
        <v>45604</v>
      </c>
      <c r="B1445" s="75" t="s">
        <v>3024</v>
      </c>
      <c r="C1445" s="165" t="s">
        <v>3025</v>
      </c>
      <c r="D1445" s="75"/>
      <c r="E1445" s="75">
        <v>68427709</v>
      </c>
      <c r="F1445" s="89">
        <v>0</v>
      </c>
      <c r="G1445" s="75" t="s">
        <v>993</v>
      </c>
      <c r="H1445" s="75" t="s">
        <v>3011</v>
      </c>
      <c r="I1445" s="227" t="s">
        <v>1896</v>
      </c>
      <c r="J1445" s="75">
        <v>2026</v>
      </c>
      <c r="K1445" s="75" t="s">
        <v>3026</v>
      </c>
      <c r="L1445" s="75"/>
    </row>
    <row r="1446" spans="1:12" x14ac:dyDescent="0.25">
      <c r="A1446" s="78">
        <v>45635</v>
      </c>
      <c r="B1446" s="75" t="s">
        <v>2193</v>
      </c>
      <c r="C1446" s="75" t="s">
        <v>3027</v>
      </c>
      <c r="D1446" s="75"/>
      <c r="E1446" s="75">
        <v>68427709</v>
      </c>
      <c r="F1446" s="89">
        <v>-14000</v>
      </c>
      <c r="G1446" s="75" t="s">
        <v>993</v>
      </c>
      <c r="H1446" s="75" t="s">
        <v>3011</v>
      </c>
      <c r="I1446" s="227" t="s">
        <v>1896</v>
      </c>
      <c r="J1446" s="75">
        <v>2026</v>
      </c>
      <c r="K1446" s="75" t="s">
        <v>2510</v>
      </c>
      <c r="L1446" s="75"/>
    </row>
    <row r="1447" spans="1:12" x14ac:dyDescent="0.25">
      <c r="A1447" s="78">
        <v>45635</v>
      </c>
      <c r="B1447" s="75" t="s">
        <v>3028</v>
      </c>
      <c r="C1447" s="75" t="s">
        <v>3029</v>
      </c>
      <c r="D1447" s="75"/>
      <c r="E1447" s="75">
        <v>68427709</v>
      </c>
      <c r="F1447" s="89">
        <v>19800</v>
      </c>
      <c r="G1447" s="75" t="s">
        <v>993</v>
      </c>
      <c r="H1447" s="75" t="s">
        <v>3011</v>
      </c>
      <c r="I1447" s="227" t="s">
        <v>329</v>
      </c>
      <c r="J1447" s="75">
        <v>2026</v>
      </c>
      <c r="K1447" s="75" t="s">
        <v>2870</v>
      </c>
      <c r="L1447" s="75"/>
    </row>
    <row r="1448" spans="1:12" x14ac:dyDescent="0.25">
      <c r="A1448" s="78">
        <v>45635</v>
      </c>
      <c r="B1448" s="75" t="s">
        <v>3030</v>
      </c>
      <c r="C1448" s="75" t="s">
        <v>3031</v>
      </c>
      <c r="D1448" s="75"/>
      <c r="E1448" s="75">
        <v>68427709</v>
      </c>
      <c r="F1448" s="89">
        <v>-29000</v>
      </c>
      <c r="G1448" s="75" t="s">
        <v>993</v>
      </c>
      <c r="H1448" s="75" t="s">
        <v>3011</v>
      </c>
      <c r="I1448" s="227" t="s">
        <v>329</v>
      </c>
      <c r="J1448" s="75">
        <v>2026</v>
      </c>
      <c r="K1448" s="75" t="s">
        <v>2870</v>
      </c>
      <c r="L1448" s="75"/>
    </row>
    <row r="1449" spans="1:12" x14ac:dyDescent="0.25">
      <c r="A1449" s="78">
        <v>45636</v>
      </c>
      <c r="B1449" s="75" t="s">
        <v>3032</v>
      </c>
      <c r="C1449" s="75" t="s">
        <v>3033</v>
      </c>
      <c r="D1449" s="75"/>
      <c r="E1449" s="75">
        <v>68427709</v>
      </c>
      <c r="F1449" s="89">
        <v>20000</v>
      </c>
      <c r="G1449" s="75" t="s">
        <v>993</v>
      </c>
      <c r="H1449" s="75" t="s">
        <v>3011</v>
      </c>
      <c r="I1449" s="227" t="s">
        <v>1896</v>
      </c>
      <c r="J1449" s="75">
        <v>2026</v>
      </c>
      <c r="K1449" s="75" t="s">
        <v>2500</v>
      </c>
      <c r="L1449" s="75"/>
    </row>
    <row r="1450" spans="1:12" x14ac:dyDescent="0.25">
      <c r="A1450" s="78">
        <v>45320</v>
      </c>
      <c r="B1450" s="75" t="s">
        <v>2029</v>
      </c>
      <c r="C1450" s="75" t="s">
        <v>3034</v>
      </c>
      <c r="D1450" s="75"/>
      <c r="E1450" s="75">
        <v>68427709</v>
      </c>
      <c r="F1450" s="89">
        <v>-60000</v>
      </c>
      <c r="G1450" s="75" t="s">
        <v>993</v>
      </c>
      <c r="H1450" s="75" t="s">
        <v>3011</v>
      </c>
      <c r="I1450" s="227"/>
      <c r="J1450" s="75">
        <v>2026</v>
      </c>
      <c r="K1450" s="75"/>
      <c r="L1450" s="75"/>
    </row>
    <row r="1451" spans="1:12" x14ac:dyDescent="0.25">
      <c r="A1451" s="78">
        <v>45686</v>
      </c>
      <c r="B1451" s="75" t="s">
        <v>3035</v>
      </c>
      <c r="C1451" s="75" t="s">
        <v>3036</v>
      </c>
      <c r="D1451" s="75"/>
      <c r="E1451" s="75">
        <v>68427709</v>
      </c>
      <c r="F1451" s="89">
        <v>57000</v>
      </c>
      <c r="G1451" s="75" t="s">
        <v>993</v>
      </c>
      <c r="H1451" s="75" t="s">
        <v>3011</v>
      </c>
      <c r="I1451" s="227"/>
      <c r="J1451" s="75">
        <v>2026</v>
      </c>
      <c r="K1451" s="75"/>
      <c r="L1451" s="75"/>
    </row>
    <row r="1452" spans="1:12" x14ac:dyDescent="0.25">
      <c r="A1452" s="78">
        <v>45700</v>
      </c>
      <c r="B1452" s="75" t="s">
        <v>3037</v>
      </c>
      <c r="C1452" s="75"/>
      <c r="D1452" s="75"/>
      <c r="E1452" s="75">
        <v>68427709</v>
      </c>
      <c r="F1452" s="89">
        <v>206000</v>
      </c>
      <c r="G1452" s="75" t="s">
        <v>993</v>
      </c>
      <c r="H1452" s="75" t="s">
        <v>3011</v>
      </c>
      <c r="I1452" s="227" t="s">
        <v>1896</v>
      </c>
      <c r="J1452" s="75">
        <v>2026</v>
      </c>
      <c r="K1452" s="227" t="s">
        <v>2781</v>
      </c>
      <c r="L1452" s="75"/>
    </row>
    <row r="1453" spans="1:12" x14ac:dyDescent="0.25">
      <c r="A1453" s="78">
        <v>45769</v>
      </c>
      <c r="B1453" s="75" t="s">
        <v>3038</v>
      </c>
      <c r="C1453" s="75" t="s">
        <v>3039</v>
      </c>
      <c r="D1453" s="75"/>
      <c r="E1453" s="75">
        <v>68427709</v>
      </c>
      <c r="F1453" s="89" t="s">
        <v>2172</v>
      </c>
      <c r="G1453" s="75" t="s">
        <v>993</v>
      </c>
      <c r="H1453" s="75" t="s">
        <v>3011</v>
      </c>
      <c r="I1453" s="227"/>
      <c r="J1453" s="75">
        <v>2026</v>
      </c>
      <c r="K1453" s="75" t="s">
        <v>3040</v>
      </c>
      <c r="L1453" s="75"/>
    </row>
    <row r="1454" spans="1:12" x14ac:dyDescent="0.25">
      <c r="A1454" s="78">
        <v>45778</v>
      </c>
      <c r="B1454" s="133" t="s">
        <v>3041</v>
      </c>
      <c r="C1454" s="133" t="s">
        <v>3042</v>
      </c>
      <c r="D1454" s="75"/>
      <c r="E1454" s="75">
        <v>68427709</v>
      </c>
      <c r="F1454" s="89">
        <v>454900</v>
      </c>
      <c r="G1454" s="75" t="s">
        <v>993</v>
      </c>
      <c r="H1454" s="75" t="s">
        <v>3011</v>
      </c>
      <c r="I1454" s="227" t="s">
        <v>1896</v>
      </c>
      <c r="J1454" s="75">
        <v>2026</v>
      </c>
      <c r="K1454" s="75" t="s">
        <v>2994</v>
      </c>
      <c r="L1454" s="75" t="s">
        <v>3043</v>
      </c>
    </row>
    <row r="1455" spans="1:12" x14ac:dyDescent="0.25">
      <c r="A1455" s="131">
        <v>45778</v>
      </c>
      <c r="B1455" s="75" t="s">
        <v>3044</v>
      </c>
      <c r="C1455" s="75" t="s">
        <v>3045</v>
      </c>
      <c r="D1455" s="132"/>
      <c r="E1455" s="75">
        <v>68427709</v>
      </c>
      <c r="F1455" s="89">
        <v>-356500</v>
      </c>
      <c r="G1455" s="75" t="s">
        <v>993</v>
      </c>
      <c r="H1455" s="75" t="s">
        <v>3011</v>
      </c>
      <c r="I1455" s="227" t="s">
        <v>1896</v>
      </c>
      <c r="J1455" s="75">
        <v>2026</v>
      </c>
      <c r="K1455" s="75"/>
      <c r="L1455" s="75"/>
    </row>
    <row r="1456" spans="1:12" x14ac:dyDescent="0.25">
      <c r="A1456" s="131">
        <v>45778</v>
      </c>
      <c r="B1456" s="75" t="s">
        <v>3046</v>
      </c>
      <c r="C1456" s="75" t="s">
        <v>3045</v>
      </c>
      <c r="D1456" s="132"/>
      <c r="E1456" s="75">
        <v>68427709</v>
      </c>
      <c r="F1456" s="89">
        <v>-98400</v>
      </c>
      <c r="G1456" s="75" t="s">
        <v>993</v>
      </c>
      <c r="H1456" s="75" t="s">
        <v>3011</v>
      </c>
      <c r="I1456" s="227" t="s">
        <v>329</v>
      </c>
      <c r="J1456" s="75">
        <v>2026</v>
      </c>
      <c r="K1456" s="75"/>
      <c r="L1456" s="75"/>
    </row>
    <row r="1457" spans="1:12" x14ac:dyDescent="0.25">
      <c r="A1457" s="131">
        <v>45790</v>
      </c>
      <c r="B1457" s="75" t="s">
        <v>3047</v>
      </c>
      <c r="C1457" s="75"/>
      <c r="D1457" s="132"/>
      <c r="E1457" s="75">
        <v>68427709</v>
      </c>
      <c r="F1457" s="89">
        <v>10000</v>
      </c>
      <c r="G1457" s="75" t="s">
        <v>993</v>
      </c>
      <c r="H1457" s="75" t="s">
        <v>3011</v>
      </c>
      <c r="I1457" s="227" t="s">
        <v>1896</v>
      </c>
      <c r="J1457" s="75">
        <v>2026</v>
      </c>
      <c r="K1457" s="75" t="s">
        <v>375</v>
      </c>
      <c r="L1457" s="75"/>
    </row>
    <row r="1458" spans="1:12" x14ac:dyDescent="0.25">
      <c r="A1458" s="131">
        <v>45796</v>
      </c>
      <c r="B1458" s="75" t="s">
        <v>3048</v>
      </c>
      <c r="C1458" s="75"/>
      <c r="D1458" s="132"/>
      <c r="E1458" s="75">
        <v>68427709</v>
      </c>
      <c r="F1458" s="89">
        <v>65000</v>
      </c>
      <c r="G1458" s="75" t="s">
        <v>993</v>
      </c>
      <c r="H1458" s="75" t="s">
        <v>3011</v>
      </c>
      <c r="I1458" s="227" t="s">
        <v>1896</v>
      </c>
      <c r="J1458" s="75">
        <v>2026</v>
      </c>
      <c r="K1458" s="75"/>
      <c r="L1458" s="75"/>
    </row>
    <row r="1459" spans="1:12" x14ac:dyDescent="0.25">
      <c r="A1459" s="131">
        <v>45819</v>
      </c>
      <c r="B1459" s="75" t="s">
        <v>3049</v>
      </c>
      <c r="C1459" s="75" t="s">
        <v>3050</v>
      </c>
      <c r="D1459" s="132"/>
      <c r="E1459" s="75">
        <v>68427709</v>
      </c>
      <c r="F1459" s="89">
        <v>-160000</v>
      </c>
      <c r="G1459" s="75" t="s">
        <v>993</v>
      </c>
      <c r="H1459" s="75" t="s">
        <v>3011</v>
      </c>
      <c r="I1459" s="227" t="s">
        <v>1896</v>
      </c>
      <c r="J1459" s="75">
        <v>2026</v>
      </c>
      <c r="K1459" s="75" t="s">
        <v>1288</v>
      </c>
      <c r="L1459" s="75"/>
    </row>
    <row r="1460" spans="1:12" x14ac:dyDescent="0.25">
      <c r="A1460" s="131">
        <v>45819</v>
      </c>
      <c r="B1460" s="75" t="s">
        <v>3051</v>
      </c>
      <c r="C1460" s="75" t="s">
        <v>3050</v>
      </c>
      <c r="D1460" s="132"/>
      <c r="E1460" s="75">
        <v>68427709</v>
      </c>
      <c r="F1460" s="89">
        <v>-100000</v>
      </c>
      <c r="G1460" s="75" t="s">
        <v>993</v>
      </c>
      <c r="H1460" s="75" t="s">
        <v>3011</v>
      </c>
      <c r="I1460" s="227" t="s">
        <v>1896</v>
      </c>
      <c r="J1460" s="75">
        <v>2026</v>
      </c>
      <c r="K1460" s="75" t="s">
        <v>1288</v>
      </c>
      <c r="L1460" s="75"/>
    </row>
    <row r="1461" spans="1:12" x14ac:dyDescent="0.25">
      <c r="A1461" s="131">
        <v>45819</v>
      </c>
      <c r="B1461" s="75" t="s">
        <v>3052</v>
      </c>
      <c r="C1461" s="75" t="s">
        <v>3053</v>
      </c>
      <c r="D1461" s="132"/>
      <c r="E1461" s="75">
        <v>68427709</v>
      </c>
      <c r="F1461" s="89">
        <v>-314000</v>
      </c>
      <c r="G1461" s="75" t="s">
        <v>993</v>
      </c>
      <c r="H1461" s="75" t="s">
        <v>3011</v>
      </c>
      <c r="I1461" s="227" t="s">
        <v>1896</v>
      </c>
      <c r="J1461" s="75">
        <v>2026</v>
      </c>
      <c r="K1461" s="75" t="s">
        <v>1288</v>
      </c>
      <c r="L1461" s="75"/>
    </row>
    <row r="1462" spans="1:12" x14ac:dyDescent="0.25">
      <c r="A1462" s="131">
        <v>45833</v>
      </c>
      <c r="B1462" s="75" t="s">
        <v>3054</v>
      </c>
      <c r="C1462" s="75" t="s">
        <v>2578</v>
      </c>
      <c r="D1462" s="132"/>
      <c r="E1462" s="75">
        <v>68427709</v>
      </c>
      <c r="F1462" s="89">
        <v>7000</v>
      </c>
      <c r="G1462" s="75" t="s">
        <v>993</v>
      </c>
      <c r="H1462" s="75" t="s">
        <v>3011</v>
      </c>
      <c r="I1462" s="227" t="s">
        <v>1896</v>
      </c>
      <c r="J1462" s="75">
        <v>2026</v>
      </c>
      <c r="K1462" s="75" t="s">
        <v>2870</v>
      </c>
      <c r="L1462" s="75"/>
    </row>
    <row r="1463" spans="1:12" x14ac:dyDescent="0.25">
      <c r="A1463" s="131">
        <v>45833</v>
      </c>
      <c r="B1463" s="144" t="s">
        <v>2625</v>
      </c>
      <c r="C1463" s="75" t="s">
        <v>3055</v>
      </c>
      <c r="D1463" s="132"/>
      <c r="E1463" s="75">
        <v>68427709</v>
      </c>
      <c r="F1463" s="89">
        <v>70000</v>
      </c>
      <c r="G1463" s="75" t="s">
        <v>993</v>
      </c>
      <c r="H1463" s="75" t="s">
        <v>3011</v>
      </c>
      <c r="I1463" s="227" t="s">
        <v>1896</v>
      </c>
      <c r="J1463" s="75">
        <v>2026</v>
      </c>
      <c r="K1463" s="75" t="s">
        <v>2870</v>
      </c>
      <c r="L1463" s="75"/>
    </row>
    <row r="1464" spans="1:12" x14ac:dyDescent="0.25">
      <c r="A1464" s="131">
        <v>45833</v>
      </c>
      <c r="B1464" s="75" t="s">
        <v>2623</v>
      </c>
      <c r="C1464" s="75" t="s">
        <v>3055</v>
      </c>
      <c r="D1464" s="132"/>
      <c r="E1464" s="75">
        <v>68427709</v>
      </c>
      <c r="F1464" s="89">
        <v>1200</v>
      </c>
      <c r="G1464" s="75" t="s">
        <v>993</v>
      </c>
      <c r="H1464" s="75" t="s">
        <v>3011</v>
      </c>
      <c r="I1464" s="227" t="s">
        <v>1896</v>
      </c>
      <c r="J1464" s="75">
        <v>2026</v>
      </c>
      <c r="K1464" s="75" t="s">
        <v>2870</v>
      </c>
      <c r="L1464" s="75"/>
    </row>
    <row r="1465" spans="1:12" x14ac:dyDescent="0.25">
      <c r="A1465" s="131">
        <v>45833</v>
      </c>
      <c r="B1465" s="75" t="s">
        <v>2273</v>
      </c>
      <c r="C1465" s="75" t="s">
        <v>3056</v>
      </c>
      <c r="D1465" s="132"/>
      <c r="E1465" s="75">
        <v>68427709</v>
      </c>
      <c r="F1465" s="89">
        <v>-103300</v>
      </c>
      <c r="G1465" s="75" t="s">
        <v>993</v>
      </c>
      <c r="H1465" s="75" t="s">
        <v>3011</v>
      </c>
      <c r="I1465" s="227" t="s">
        <v>1144</v>
      </c>
      <c r="J1465" s="75">
        <v>2026</v>
      </c>
      <c r="K1465" s="75" t="s">
        <v>2870</v>
      </c>
      <c r="L1465" s="75"/>
    </row>
    <row r="1466" spans="1:12" x14ac:dyDescent="0.25">
      <c r="A1466" s="131">
        <v>45833</v>
      </c>
      <c r="B1466" s="75" t="s">
        <v>3057</v>
      </c>
      <c r="C1466" s="75" t="s">
        <v>1800</v>
      </c>
      <c r="D1466" s="132"/>
      <c r="E1466" s="75">
        <v>68427709</v>
      </c>
      <c r="F1466" s="89">
        <v>-10400</v>
      </c>
      <c r="G1466" s="75" t="s">
        <v>993</v>
      </c>
      <c r="H1466" s="75" t="s">
        <v>3011</v>
      </c>
      <c r="I1466" s="227" t="s">
        <v>1144</v>
      </c>
      <c r="J1466" s="75">
        <v>2026</v>
      </c>
      <c r="K1466" s="75" t="s">
        <v>2870</v>
      </c>
      <c r="L1466" s="75"/>
    </row>
    <row r="1467" spans="1:12" x14ac:dyDescent="0.25">
      <c r="A1467" s="131">
        <v>45833</v>
      </c>
      <c r="B1467" s="75" t="s">
        <v>2271</v>
      </c>
      <c r="C1467" s="75" t="s">
        <v>3058</v>
      </c>
      <c r="D1467" s="132"/>
      <c r="E1467" s="75">
        <v>68427709</v>
      </c>
      <c r="F1467" s="89">
        <v>-41400</v>
      </c>
      <c r="G1467" s="75" t="s">
        <v>993</v>
      </c>
      <c r="H1467" s="75" t="s">
        <v>3011</v>
      </c>
      <c r="I1467" s="227" t="s">
        <v>1144</v>
      </c>
      <c r="J1467" s="75">
        <v>2026</v>
      </c>
      <c r="K1467" s="75" t="s">
        <v>2870</v>
      </c>
      <c r="L1467" s="75"/>
    </row>
    <row r="1468" spans="1:12" x14ac:dyDescent="0.25">
      <c r="A1468" s="131">
        <v>45833</v>
      </c>
      <c r="B1468" t="s">
        <v>2236</v>
      </c>
      <c r="C1468" s="75" t="s">
        <v>1800</v>
      </c>
      <c r="D1468" s="132"/>
      <c r="E1468" s="75">
        <v>68427709</v>
      </c>
      <c r="F1468" s="89">
        <v>-20700</v>
      </c>
      <c r="G1468" s="75" t="s">
        <v>993</v>
      </c>
      <c r="H1468" s="75" t="s">
        <v>3011</v>
      </c>
      <c r="I1468" s="227" t="s">
        <v>1144</v>
      </c>
      <c r="J1468" s="75">
        <v>2026</v>
      </c>
      <c r="K1468" s="75" t="s">
        <v>2870</v>
      </c>
      <c r="L1468" s="75"/>
    </row>
    <row r="1469" spans="1:12" x14ac:dyDescent="0.25">
      <c r="A1469" s="131">
        <v>45833</v>
      </c>
      <c r="B1469" s="133" t="s">
        <v>3059</v>
      </c>
      <c r="C1469" s="75" t="s">
        <v>3060</v>
      </c>
      <c r="D1469" s="132"/>
      <c r="E1469" s="75">
        <v>68427709</v>
      </c>
      <c r="F1469" s="89">
        <v>-40000</v>
      </c>
      <c r="G1469" s="75" t="s">
        <v>993</v>
      </c>
      <c r="H1469" s="75" t="s">
        <v>3011</v>
      </c>
      <c r="I1469" s="227" t="s">
        <v>329</v>
      </c>
      <c r="J1469" s="75">
        <v>2026</v>
      </c>
      <c r="K1469" s="75" t="s">
        <v>2870</v>
      </c>
      <c r="L1469" s="75"/>
    </row>
    <row r="1470" spans="1:12" x14ac:dyDescent="0.25">
      <c r="A1470" s="131">
        <v>45833</v>
      </c>
      <c r="B1470" s="144" t="s">
        <v>2525</v>
      </c>
      <c r="C1470" s="132" t="s">
        <v>3060</v>
      </c>
      <c r="D1470" s="132"/>
      <c r="E1470" s="75">
        <v>68427709</v>
      </c>
      <c r="F1470" s="89">
        <v>-100000</v>
      </c>
      <c r="G1470" s="75" t="s">
        <v>993</v>
      </c>
      <c r="H1470" s="75" t="s">
        <v>3011</v>
      </c>
      <c r="I1470" s="227" t="s">
        <v>329</v>
      </c>
      <c r="J1470" s="75">
        <v>2026</v>
      </c>
      <c r="K1470" s="75" t="s">
        <v>2870</v>
      </c>
      <c r="L1470" s="75"/>
    </row>
    <row r="1471" spans="1:12" x14ac:dyDescent="0.25">
      <c r="A1471" s="131">
        <v>45833</v>
      </c>
      <c r="B1471" s="75" t="s">
        <v>3061</v>
      </c>
      <c r="C1471" s="132" t="s">
        <v>3060</v>
      </c>
      <c r="D1471" s="132"/>
      <c r="E1471" s="75">
        <v>68427709</v>
      </c>
      <c r="F1471" s="89">
        <v>-80000</v>
      </c>
      <c r="G1471" s="75" t="s">
        <v>993</v>
      </c>
      <c r="H1471" s="75" t="s">
        <v>3011</v>
      </c>
      <c r="I1471" s="227" t="s">
        <v>329</v>
      </c>
      <c r="J1471" s="75">
        <v>2026</v>
      </c>
      <c r="K1471" s="75" t="s">
        <v>2870</v>
      </c>
      <c r="L1471" s="75"/>
    </row>
    <row r="1472" spans="1:12" x14ac:dyDescent="0.25">
      <c r="A1472" s="131">
        <v>45833</v>
      </c>
      <c r="B1472" s="75" t="s">
        <v>949</v>
      </c>
      <c r="C1472" s="132" t="s">
        <v>3062</v>
      </c>
      <c r="D1472" s="132"/>
      <c r="E1472" s="75">
        <v>68427709</v>
      </c>
      <c r="F1472" s="89">
        <v>22000</v>
      </c>
      <c r="G1472" s="75" t="s">
        <v>993</v>
      </c>
      <c r="H1472" s="75" t="s">
        <v>3011</v>
      </c>
      <c r="I1472" s="227" t="s">
        <v>1896</v>
      </c>
      <c r="J1472" s="75">
        <v>2026</v>
      </c>
      <c r="K1472" s="75" t="s">
        <v>2870</v>
      </c>
      <c r="L1472" s="75"/>
    </row>
    <row r="1473" spans="1:12" x14ac:dyDescent="0.25">
      <c r="A1473" s="131">
        <v>45833</v>
      </c>
      <c r="B1473" s="75" t="s">
        <v>3063</v>
      </c>
      <c r="C1473" s="132" t="s">
        <v>3064</v>
      </c>
      <c r="D1473" s="132"/>
      <c r="E1473" s="75">
        <v>68427709</v>
      </c>
      <c r="F1473" s="89">
        <v>40000</v>
      </c>
      <c r="G1473" s="75" t="s">
        <v>993</v>
      </c>
      <c r="H1473" s="75" t="s">
        <v>3011</v>
      </c>
      <c r="I1473" s="227" t="s">
        <v>329</v>
      </c>
      <c r="J1473" s="75">
        <v>2026</v>
      </c>
      <c r="K1473" s="75" t="s">
        <v>2870</v>
      </c>
      <c r="L1473" s="75"/>
    </row>
    <row r="1474" spans="1:12" x14ac:dyDescent="0.25">
      <c r="A1474" s="131">
        <v>45833</v>
      </c>
      <c r="B1474" s="116" t="s">
        <v>3065</v>
      </c>
      <c r="C1474" s="290"/>
      <c r="D1474" s="75"/>
      <c r="E1474" s="75">
        <v>68427709</v>
      </c>
      <c r="F1474" s="89"/>
      <c r="G1474" s="75" t="s">
        <v>993</v>
      </c>
      <c r="H1474" s="75" t="s">
        <v>3011</v>
      </c>
      <c r="I1474" s="227"/>
      <c r="J1474" s="75">
        <v>2026</v>
      </c>
      <c r="K1474" s="75" t="s">
        <v>2870</v>
      </c>
      <c r="L1474" s="75" t="s">
        <v>3066</v>
      </c>
    </row>
    <row r="1475" spans="1:12" x14ac:dyDescent="0.25">
      <c r="A1475" s="131">
        <v>45833</v>
      </c>
      <c r="B1475" s="144" t="s">
        <v>3067</v>
      </c>
      <c r="C1475" s="132"/>
      <c r="D1475" s="75"/>
      <c r="E1475" s="75">
        <v>68427709</v>
      </c>
      <c r="F1475" s="89"/>
      <c r="G1475" s="75" t="s">
        <v>993</v>
      </c>
      <c r="H1475" s="75" t="s">
        <v>3011</v>
      </c>
      <c r="I1475" s="227"/>
      <c r="J1475" s="75">
        <v>2026</v>
      </c>
      <c r="K1475" s="75" t="s">
        <v>2870</v>
      </c>
      <c r="L1475" s="75" t="s">
        <v>3066</v>
      </c>
    </row>
    <row r="1476" spans="1:12" x14ac:dyDescent="0.25">
      <c r="A1476" s="131">
        <v>45833</v>
      </c>
      <c r="B1476" s="75" t="s">
        <v>2318</v>
      </c>
      <c r="C1476" s="132" t="s">
        <v>3068</v>
      </c>
      <c r="D1476" s="75"/>
      <c r="E1476" s="75">
        <v>68427709</v>
      </c>
      <c r="F1476" s="89"/>
      <c r="G1476" s="75" t="s">
        <v>993</v>
      </c>
      <c r="H1476" s="75" t="s">
        <v>3011</v>
      </c>
      <c r="I1476" s="227"/>
      <c r="J1476" s="75">
        <v>2026</v>
      </c>
      <c r="K1476" s="75" t="s">
        <v>2870</v>
      </c>
      <c r="L1476" s="75"/>
    </row>
    <row r="1477" spans="1:12" x14ac:dyDescent="0.25">
      <c r="A1477" s="131">
        <v>45833</v>
      </c>
      <c r="B1477" s="75"/>
      <c r="C1477" s="132"/>
      <c r="D1477" s="75"/>
      <c r="E1477" s="75">
        <v>68427709</v>
      </c>
      <c r="F1477" s="89"/>
      <c r="G1477" s="75"/>
      <c r="H1477" s="75"/>
      <c r="I1477" s="227"/>
      <c r="J1477" s="75"/>
      <c r="K1477" s="75"/>
      <c r="L1477" s="75"/>
    </row>
    <row r="1478" spans="1:12" x14ac:dyDescent="0.25">
      <c r="A1478" s="86"/>
      <c r="B1478" s="75"/>
      <c r="C1478" s="132"/>
      <c r="D1478" s="75"/>
      <c r="E1478" s="75">
        <v>68427709</v>
      </c>
      <c r="F1478" s="89"/>
      <c r="G1478" s="75"/>
      <c r="H1478" s="75"/>
      <c r="I1478" s="227"/>
      <c r="J1478" s="75"/>
      <c r="K1478" s="75"/>
      <c r="L1478" s="75"/>
    </row>
    <row r="1479" spans="1:12" x14ac:dyDescent="0.25">
      <c r="A1479" s="86"/>
      <c r="B1479" s="75"/>
      <c r="C1479" s="132"/>
      <c r="D1479" s="75"/>
      <c r="E1479" s="75">
        <v>68427709</v>
      </c>
      <c r="F1479" s="89"/>
      <c r="G1479" s="75"/>
      <c r="H1479" s="75"/>
      <c r="I1479" s="227"/>
      <c r="J1479" s="75"/>
      <c r="K1479" s="75"/>
      <c r="L1479" s="75"/>
    </row>
    <row r="1480" spans="1:12" x14ac:dyDescent="0.25">
      <c r="A1480" s="75"/>
      <c r="B1480" s="148"/>
      <c r="C1480" s="75"/>
      <c r="D1480" s="75"/>
      <c r="E1480" s="75"/>
      <c r="F1480" s="89"/>
      <c r="G1480" s="75"/>
      <c r="H1480" s="75"/>
      <c r="I1480" s="227"/>
      <c r="J1480" s="75"/>
      <c r="K1480" s="75"/>
      <c r="L1480" s="75"/>
    </row>
    <row r="1481" spans="1:12" x14ac:dyDescent="0.25">
      <c r="A1481" s="75"/>
      <c r="B1481" s="75"/>
      <c r="C1481" s="75"/>
      <c r="D1481" s="75"/>
      <c r="E1481" s="75"/>
      <c r="F1481" s="89"/>
      <c r="G1481" s="75"/>
      <c r="H1481" s="75"/>
      <c r="I1481" s="227"/>
      <c r="J1481" s="75"/>
      <c r="K1481" s="75"/>
      <c r="L1481" s="75"/>
    </row>
    <row r="1482" spans="1:12" x14ac:dyDescent="0.25">
      <c r="A1482" s="75"/>
      <c r="B1482" s="75"/>
      <c r="C1482" s="75"/>
      <c r="D1482" s="75"/>
      <c r="E1482" s="75"/>
      <c r="F1482" s="89"/>
      <c r="G1482" s="75"/>
      <c r="H1482" s="75"/>
      <c r="I1482" s="227"/>
      <c r="J1482" s="75"/>
      <c r="K1482" s="75"/>
      <c r="L1482" s="75"/>
    </row>
    <row r="1483" spans="1:12" x14ac:dyDescent="0.25">
      <c r="A1483" s="75"/>
      <c r="B1483" s="75"/>
      <c r="C1483" s="75"/>
      <c r="D1483" s="75"/>
      <c r="E1483" s="75"/>
      <c r="F1483" s="89"/>
      <c r="G1483" s="75"/>
      <c r="H1483" s="75"/>
      <c r="I1483" s="227"/>
      <c r="J1483" s="75"/>
      <c r="K1483" s="75"/>
      <c r="L1483" s="75"/>
    </row>
    <row r="1484" spans="1:12" x14ac:dyDescent="0.25">
      <c r="A1484" s="75"/>
      <c r="B1484" s="75"/>
      <c r="C1484" s="75"/>
      <c r="D1484" s="75"/>
      <c r="E1484" s="75"/>
      <c r="F1484" s="89"/>
      <c r="G1484" s="75"/>
      <c r="H1484" s="75"/>
      <c r="I1484" s="227"/>
      <c r="J1484" s="75"/>
      <c r="K1484" s="75"/>
      <c r="L1484" s="75"/>
    </row>
    <row r="1485" spans="1:12" x14ac:dyDescent="0.25">
      <c r="A1485" s="75"/>
      <c r="B1485" s="75"/>
      <c r="C1485" s="75"/>
      <c r="D1485" s="75"/>
      <c r="E1485" s="75"/>
      <c r="F1485" s="89"/>
      <c r="G1485" s="75"/>
      <c r="H1485" s="75"/>
      <c r="I1485" s="227"/>
      <c r="J1485" s="75"/>
      <c r="K1485" s="75"/>
      <c r="L1485" s="75"/>
    </row>
    <row r="1486" spans="1:12" x14ac:dyDescent="0.25">
      <c r="A1486" s="75"/>
      <c r="B1486" s="75"/>
      <c r="C1486" s="75"/>
      <c r="D1486" s="75"/>
      <c r="E1486" s="75"/>
      <c r="F1486" s="89"/>
      <c r="G1486" s="75"/>
      <c r="H1486" s="75"/>
      <c r="I1486" s="227"/>
      <c r="J1486" s="75"/>
      <c r="K1486" s="75"/>
      <c r="L1486" s="75"/>
    </row>
    <row r="1487" spans="1:12" x14ac:dyDescent="0.25">
      <c r="A1487" s="75"/>
      <c r="B1487" s="75"/>
      <c r="C1487" s="75"/>
      <c r="D1487" s="75"/>
      <c r="E1487" s="75"/>
      <c r="F1487" s="89"/>
      <c r="G1487" s="75"/>
      <c r="H1487" s="75"/>
      <c r="I1487" s="227"/>
      <c r="J1487" s="75"/>
      <c r="K1487" s="75"/>
      <c r="L1487" s="75"/>
    </row>
    <row r="1488" spans="1:12" x14ac:dyDescent="0.25">
      <c r="A1488" s="75"/>
      <c r="B1488" s="75"/>
      <c r="C1488" s="75"/>
      <c r="D1488" s="75"/>
      <c r="E1488" s="75"/>
      <c r="F1488" s="89"/>
      <c r="G1488" s="75"/>
      <c r="H1488" s="75"/>
      <c r="I1488" s="227"/>
      <c r="J1488" s="75"/>
      <c r="K1488" s="75"/>
      <c r="L1488" s="75"/>
    </row>
    <row r="1489" spans="1:12" x14ac:dyDescent="0.25">
      <c r="A1489" s="75"/>
      <c r="B1489" s="75"/>
      <c r="C1489" s="75"/>
      <c r="D1489" s="75"/>
      <c r="E1489" s="75"/>
      <c r="F1489" s="89"/>
      <c r="G1489" s="75"/>
      <c r="H1489" s="75"/>
      <c r="I1489" s="227"/>
      <c r="J1489" s="75"/>
      <c r="K1489" s="75"/>
      <c r="L1489" s="75"/>
    </row>
    <row r="1490" spans="1:12" x14ac:dyDescent="0.25">
      <c r="A1490" s="75"/>
      <c r="B1490" s="75"/>
      <c r="C1490" s="75"/>
      <c r="D1490" s="75"/>
      <c r="E1490" s="75"/>
      <c r="F1490" s="89"/>
      <c r="G1490" s="75"/>
      <c r="H1490" s="75"/>
      <c r="I1490" s="227"/>
      <c r="J1490" s="75"/>
      <c r="K1490" s="75"/>
      <c r="L1490" s="75"/>
    </row>
    <row r="1491" spans="1:12" x14ac:dyDescent="0.25">
      <c r="A1491" s="75"/>
      <c r="B1491" s="75"/>
      <c r="C1491" s="75"/>
      <c r="D1491" s="75"/>
      <c r="E1491" s="75"/>
      <c r="F1491" s="89"/>
      <c r="G1491" s="75"/>
      <c r="H1491" s="75"/>
      <c r="I1491" s="227"/>
      <c r="J1491" s="75"/>
      <c r="K1491" s="75"/>
      <c r="L1491" s="75"/>
    </row>
    <row r="1492" spans="1:12" x14ac:dyDescent="0.25">
      <c r="A1492" s="75"/>
      <c r="B1492" s="75"/>
      <c r="C1492" s="75"/>
      <c r="D1492" s="75"/>
      <c r="E1492" s="75"/>
      <c r="F1492" s="89"/>
      <c r="G1492" s="75"/>
      <c r="H1492" s="75"/>
      <c r="I1492" s="227"/>
      <c r="J1492" s="75"/>
      <c r="K1492" s="75"/>
      <c r="L1492" s="75"/>
    </row>
    <row r="1493" spans="1:12" x14ac:dyDescent="0.25">
      <c r="A1493" s="75"/>
      <c r="B1493" s="75"/>
      <c r="C1493" s="75"/>
      <c r="D1493" s="75"/>
      <c r="E1493" s="75"/>
      <c r="F1493" s="89"/>
      <c r="G1493" s="75"/>
      <c r="H1493" s="75"/>
      <c r="I1493" s="227"/>
      <c r="J1493" s="75"/>
      <c r="K1493" s="75"/>
      <c r="L1493" s="75"/>
    </row>
    <row r="1494" spans="1:12" x14ac:dyDescent="0.25">
      <c r="A1494" s="75"/>
      <c r="B1494" s="75"/>
      <c r="C1494" s="75"/>
      <c r="D1494" s="75"/>
      <c r="E1494" s="75"/>
      <c r="F1494" s="89"/>
      <c r="G1494" s="75"/>
      <c r="H1494" s="75"/>
      <c r="I1494" s="227"/>
      <c r="J1494" s="75"/>
      <c r="K1494" s="75"/>
      <c r="L1494" s="75"/>
    </row>
    <row r="1495" spans="1:12" x14ac:dyDescent="0.25">
      <c r="A1495" s="75"/>
      <c r="B1495" s="75"/>
      <c r="C1495" s="75"/>
      <c r="D1495" s="75"/>
      <c r="E1495" s="75"/>
      <c r="F1495" s="89"/>
      <c r="G1495" s="75"/>
      <c r="H1495" s="75"/>
      <c r="I1495" s="227"/>
      <c r="J1495" s="75"/>
      <c r="K1495" s="75"/>
      <c r="L1495" s="75"/>
    </row>
    <row r="1496" spans="1:12" x14ac:dyDescent="0.25">
      <c r="A1496" s="75"/>
      <c r="B1496" s="75"/>
      <c r="C1496" s="75"/>
      <c r="D1496" s="75"/>
      <c r="E1496" s="75"/>
      <c r="F1496" s="89"/>
      <c r="G1496" s="75"/>
      <c r="H1496" s="75"/>
      <c r="I1496" s="227"/>
      <c r="J1496" s="75"/>
      <c r="K1496" s="75"/>
      <c r="L1496" s="75"/>
    </row>
    <row r="1497" spans="1:12" x14ac:dyDescent="0.25">
      <c r="A1497" s="75"/>
      <c r="B1497" s="75"/>
      <c r="C1497" s="75"/>
      <c r="D1497" s="75"/>
      <c r="E1497" s="75"/>
      <c r="F1497" s="89"/>
      <c r="G1497" s="75"/>
      <c r="H1497" s="75"/>
      <c r="I1497" s="227"/>
      <c r="J1497" s="75"/>
      <c r="K1497" s="75"/>
      <c r="L1497" s="75"/>
    </row>
    <row r="1498" spans="1:12" x14ac:dyDescent="0.25">
      <c r="A1498" s="75"/>
      <c r="B1498" s="75"/>
      <c r="C1498" s="75"/>
      <c r="D1498" s="75"/>
      <c r="E1498" s="75"/>
      <c r="F1498" s="89"/>
      <c r="G1498" s="75"/>
      <c r="H1498" s="75"/>
      <c r="I1498" s="227"/>
      <c r="J1498" s="75"/>
      <c r="K1498" s="75"/>
      <c r="L1498" s="75"/>
    </row>
    <row r="1499" spans="1:12" x14ac:dyDescent="0.25">
      <c r="A1499" s="75"/>
      <c r="B1499" s="75"/>
      <c r="C1499" s="75"/>
      <c r="D1499" s="75"/>
      <c r="E1499" s="75"/>
      <c r="F1499" s="89"/>
      <c r="G1499" s="75"/>
      <c r="H1499" s="75"/>
      <c r="I1499" s="227"/>
      <c r="J1499" s="75"/>
      <c r="K1499" s="75"/>
      <c r="L1499" s="75"/>
    </row>
    <row r="1500" spans="1:12" x14ac:dyDescent="0.25">
      <c r="A1500" s="75"/>
      <c r="B1500" s="75"/>
      <c r="C1500" s="75"/>
      <c r="D1500" s="75"/>
      <c r="E1500" s="75"/>
      <c r="F1500" s="89"/>
      <c r="G1500" s="75"/>
      <c r="H1500" s="75"/>
      <c r="I1500" s="227"/>
      <c r="J1500" s="75"/>
      <c r="K1500" s="75"/>
      <c r="L1500" s="75"/>
    </row>
    <row r="1501" spans="1:12" x14ac:dyDescent="0.25">
      <c r="A1501" s="75"/>
      <c r="B1501" s="75"/>
      <c r="C1501" s="75"/>
      <c r="D1501" s="75"/>
      <c r="E1501" s="75"/>
      <c r="F1501" s="89"/>
      <c r="G1501" s="75"/>
      <c r="H1501" s="75"/>
      <c r="I1501" s="227"/>
      <c r="J1501" s="75"/>
      <c r="K1501" s="75"/>
      <c r="L1501" s="75"/>
    </row>
    <row r="1502" spans="1:12" x14ac:dyDescent="0.25">
      <c r="A1502" s="75"/>
      <c r="B1502" s="75"/>
      <c r="C1502" s="75"/>
      <c r="D1502" s="75"/>
      <c r="E1502" s="75"/>
      <c r="F1502" s="75"/>
      <c r="G1502" s="75"/>
      <c r="H1502" s="75"/>
      <c r="I1502" s="227"/>
      <c r="J1502" s="75"/>
      <c r="K1502" s="75"/>
      <c r="L1502" s="75"/>
    </row>
    <row r="1503" spans="1:12" x14ac:dyDescent="0.25">
      <c r="A1503" s="75"/>
      <c r="B1503" s="75"/>
      <c r="C1503" s="75"/>
      <c r="D1503" s="75"/>
      <c r="E1503" s="75"/>
      <c r="F1503" s="75"/>
      <c r="G1503" s="75"/>
      <c r="H1503" s="75"/>
      <c r="I1503" s="227"/>
      <c r="J1503" s="75"/>
      <c r="K1503" s="75"/>
      <c r="L1503" s="75"/>
    </row>
    <row r="1504" spans="1:12" x14ac:dyDescent="0.25">
      <c r="A1504" s="75"/>
      <c r="B1504" s="75"/>
      <c r="C1504" s="75"/>
      <c r="D1504" s="75"/>
      <c r="E1504" s="75"/>
      <c r="F1504" s="75"/>
      <c r="G1504" s="75"/>
      <c r="H1504" s="75"/>
      <c r="I1504" s="227"/>
      <c r="J1504" s="75"/>
      <c r="K1504" s="75"/>
      <c r="L1504" s="75"/>
    </row>
    <row r="1505" spans="1:12" x14ac:dyDescent="0.25">
      <c r="A1505" s="75"/>
      <c r="B1505" s="75"/>
      <c r="C1505" s="75"/>
      <c r="D1505" s="75"/>
      <c r="E1505" s="75"/>
      <c r="F1505" s="75"/>
      <c r="G1505" s="75"/>
      <c r="H1505" s="75"/>
      <c r="I1505" s="227"/>
      <c r="J1505" s="75"/>
      <c r="K1505" s="75"/>
      <c r="L1505" s="75"/>
    </row>
    <row r="1506" spans="1:12" x14ac:dyDescent="0.25">
      <c r="A1506" s="75"/>
      <c r="B1506" s="75"/>
      <c r="C1506" s="75"/>
      <c r="D1506" s="75"/>
      <c r="E1506" s="75"/>
      <c r="F1506" s="75"/>
      <c r="G1506" s="75"/>
      <c r="H1506" s="75"/>
      <c r="I1506" s="227"/>
      <c r="J1506" s="75"/>
      <c r="K1506" s="75"/>
      <c r="L1506" s="75"/>
    </row>
    <row r="1507" spans="1:12" x14ac:dyDescent="0.25">
      <c r="A1507" s="75"/>
      <c r="B1507" s="75"/>
      <c r="C1507" s="75"/>
      <c r="D1507" s="75"/>
      <c r="E1507" s="75"/>
      <c r="F1507" s="75"/>
      <c r="G1507" s="75"/>
      <c r="H1507" s="75"/>
      <c r="I1507" s="227"/>
      <c r="J1507" s="75"/>
      <c r="K1507" s="75"/>
      <c r="L1507" s="75"/>
    </row>
    <row r="1508" spans="1:12" x14ac:dyDescent="0.25">
      <c r="A1508" s="75"/>
      <c r="B1508" s="75"/>
      <c r="C1508" s="75"/>
      <c r="D1508" s="75"/>
      <c r="E1508" s="75"/>
      <c r="F1508" s="75"/>
      <c r="G1508" s="75"/>
      <c r="H1508" s="75"/>
      <c r="I1508" s="227"/>
      <c r="J1508" s="75"/>
      <c r="K1508" s="75"/>
      <c r="L1508" s="75"/>
    </row>
    <row r="1509" spans="1:12" x14ac:dyDescent="0.25">
      <c r="A1509" s="75"/>
      <c r="B1509" s="75"/>
      <c r="C1509" s="75"/>
      <c r="D1509" s="75"/>
      <c r="E1509" s="75"/>
      <c r="F1509" s="75"/>
      <c r="G1509" s="75"/>
      <c r="H1509" s="75"/>
      <c r="I1509" s="227"/>
      <c r="J1509" s="75"/>
      <c r="K1509" s="75"/>
      <c r="L1509" s="75"/>
    </row>
    <row r="1510" spans="1:12" x14ac:dyDescent="0.25">
      <c r="A1510" s="75"/>
      <c r="B1510" s="75"/>
      <c r="C1510" s="75"/>
      <c r="D1510" s="75"/>
      <c r="E1510" s="75"/>
      <c r="F1510" s="75"/>
      <c r="G1510" s="75"/>
      <c r="H1510" s="75"/>
      <c r="I1510" s="227"/>
      <c r="J1510" s="75"/>
      <c r="K1510" s="75"/>
      <c r="L1510" s="75"/>
    </row>
    <row r="1511" spans="1:12" x14ac:dyDescent="0.25">
      <c r="A1511" s="75"/>
      <c r="B1511" s="75"/>
      <c r="C1511" s="75"/>
      <c r="D1511" s="75"/>
      <c r="E1511" s="75"/>
      <c r="F1511" s="75"/>
      <c r="G1511" s="75"/>
      <c r="H1511" s="75"/>
      <c r="I1511" s="227"/>
      <c r="J1511" s="75"/>
      <c r="K1511" s="75"/>
      <c r="L1511" s="75"/>
    </row>
    <row r="1512" spans="1:12" x14ac:dyDescent="0.25">
      <c r="A1512" s="75"/>
      <c r="B1512" s="75"/>
      <c r="C1512" s="75"/>
      <c r="D1512" s="75"/>
      <c r="E1512" s="75"/>
      <c r="F1512" s="75"/>
      <c r="G1512" s="75"/>
      <c r="H1512" s="75"/>
      <c r="I1512" s="227"/>
      <c r="J1512" s="75"/>
      <c r="K1512" s="75"/>
      <c r="L1512" s="75"/>
    </row>
    <row r="1513" spans="1:12" x14ac:dyDescent="0.25">
      <c r="A1513" s="75"/>
      <c r="B1513" s="75"/>
      <c r="C1513" s="75"/>
      <c r="D1513" s="75"/>
      <c r="E1513" s="75"/>
      <c r="F1513" s="75"/>
      <c r="G1513" s="75"/>
      <c r="H1513" s="75"/>
      <c r="I1513" s="227"/>
      <c r="J1513" s="75"/>
      <c r="K1513" s="75"/>
      <c r="L1513" s="75"/>
    </row>
  </sheetData>
  <autoFilter ref="A1217:M1437" xr:uid="{00000000-0001-0000-0400-000000000000}"/>
  <sortState xmlns:xlrd2="http://schemas.microsoft.com/office/spreadsheetml/2017/richdata2" ref="B356:F356">
    <sortCondition descending="1" ref="B355"/>
  </sortState>
  <dataValidations disablePrompts="1" count="1">
    <dataValidation type="list" allowBlank="1" showInputMessage="1" showErrorMessage="1" sqref="I2:I198 I202 I362 I364 I368" xr:uid="{00000000-0002-0000-0400-000000000000}">
      <formula1>"Maintenance,Support,Hardware/NW,Hosting,Subscription,Other,License"</formula1>
    </dataValidation>
  </dataValidations>
  <pageMargins left="0.7" right="0.7" top="0.75" bottom="0.75" header="0.3" footer="0.3"/>
  <pageSetup orientation="portrait" r:id="rId1"/>
  <customProperties>
    <customPr name="_pios_id"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filterMode="1">
    <tabColor rgb="FF92D050"/>
  </sheetPr>
  <dimension ref="A1:AF408"/>
  <sheetViews>
    <sheetView showGridLines="0" tabSelected="1" zoomScale="110" zoomScaleNormal="110" workbookViewId="0">
      <selection activeCell="C328" sqref="C328:U328"/>
    </sheetView>
  </sheetViews>
  <sheetFormatPr defaultColWidth="24.42578125" defaultRowHeight="15" customHeight="1" x14ac:dyDescent="0.25"/>
  <cols>
    <col min="1" max="1" width="9" bestFit="1" customWidth="1"/>
    <col min="2" max="2" width="15" bestFit="1" customWidth="1"/>
    <col min="3" max="3" width="90" customWidth="1"/>
    <col min="4" max="4" width="19.42578125" hidden="1" customWidth="1"/>
    <col min="5" max="6" width="13.42578125" hidden="1" customWidth="1"/>
    <col min="7" max="7" width="29.42578125" hidden="1" customWidth="1"/>
    <col min="8" max="8" width="24.42578125" hidden="1" customWidth="1"/>
    <col min="9" max="9" width="10.42578125" hidden="1" customWidth="1"/>
    <col min="10" max="10" width="11.42578125" hidden="1" customWidth="1"/>
    <col min="11" max="11" width="12.42578125" hidden="1" customWidth="1"/>
    <col min="12" max="12" width="21.42578125" customWidth="1"/>
    <col min="13" max="13" width="13.42578125" style="20" hidden="1" customWidth="1"/>
    <col min="14" max="14" width="7.42578125" style="20" hidden="1" customWidth="1"/>
    <col min="15" max="15" width="11.42578125" customWidth="1"/>
    <col min="16" max="17" width="11.42578125" hidden="1" customWidth="1"/>
    <col min="18" max="18" width="20.42578125" hidden="1" customWidth="1"/>
    <col min="19" max="19" width="14.42578125" style="1" hidden="1" customWidth="1"/>
    <col min="20" max="20" width="15.42578125" style="1" hidden="1" customWidth="1"/>
    <col min="21" max="22" width="15.42578125" style="1" customWidth="1"/>
    <col min="23" max="23" width="29.42578125" style="1" customWidth="1"/>
    <col min="24" max="24" width="15.42578125" style="1" customWidth="1"/>
    <col min="25" max="25" width="11.42578125" hidden="1" customWidth="1"/>
    <col min="26" max="26" width="33" customWidth="1"/>
    <col min="28" max="28" width="10.42578125" bestFit="1" customWidth="1"/>
    <col min="29" max="29" width="17.42578125" bestFit="1" customWidth="1"/>
    <col min="30" max="30" width="13.42578125" bestFit="1" customWidth="1"/>
    <col min="31" max="31" width="9.42578125" bestFit="1" customWidth="1"/>
    <col min="32" max="32" width="48.42578125" bestFit="1" customWidth="1"/>
  </cols>
  <sheetData>
    <row r="1" spans="1:32" x14ac:dyDescent="0.25">
      <c r="A1" s="90" t="s">
        <v>301</v>
      </c>
      <c r="B1" s="26" t="s">
        <v>3069</v>
      </c>
      <c r="C1" s="90" t="s">
        <v>11</v>
      </c>
      <c r="D1" s="26" t="s">
        <v>3070</v>
      </c>
      <c r="E1" s="4" t="s">
        <v>299</v>
      </c>
      <c r="F1" s="90" t="s">
        <v>10</v>
      </c>
      <c r="G1" s="90" t="s">
        <v>3071</v>
      </c>
      <c r="H1" s="90" t="s">
        <v>3072</v>
      </c>
      <c r="I1" s="90" t="s">
        <v>3073</v>
      </c>
      <c r="J1" s="90" t="s">
        <v>3074</v>
      </c>
      <c r="K1" s="90" t="s">
        <v>3075</v>
      </c>
      <c r="L1" s="90" t="s">
        <v>3076</v>
      </c>
      <c r="M1" s="90" t="s">
        <v>3077</v>
      </c>
      <c r="N1" s="90" t="s">
        <v>3078</v>
      </c>
      <c r="O1" s="90" t="s">
        <v>3079</v>
      </c>
      <c r="P1" s="90" t="s">
        <v>3080</v>
      </c>
      <c r="Q1" s="90" t="s">
        <v>3081</v>
      </c>
      <c r="R1" s="95" t="s">
        <v>3082</v>
      </c>
      <c r="S1" s="3" t="s">
        <v>3083</v>
      </c>
      <c r="T1" s="3" t="s">
        <v>3084</v>
      </c>
      <c r="U1" s="3" t="s">
        <v>3085</v>
      </c>
      <c r="V1" s="3" t="s">
        <v>6800</v>
      </c>
      <c r="W1" s="3" t="s">
        <v>6796</v>
      </c>
      <c r="X1" s="3" t="s">
        <v>3086</v>
      </c>
      <c r="Y1" s="4" t="s">
        <v>3087</v>
      </c>
      <c r="Z1" s="2" t="s">
        <v>3088</v>
      </c>
      <c r="AA1" s="26" t="s">
        <v>2489</v>
      </c>
      <c r="AB1" s="26" t="s">
        <v>3089</v>
      </c>
      <c r="AC1" s="4" t="s">
        <v>3090</v>
      </c>
      <c r="AD1" s="4" t="s">
        <v>3091</v>
      </c>
      <c r="AE1" s="4" t="s">
        <v>3092</v>
      </c>
      <c r="AF1" s="4" t="s">
        <v>3093</v>
      </c>
    </row>
    <row r="2" spans="1:32" hidden="1" x14ac:dyDescent="0.25">
      <c r="A2" t="s">
        <v>3094</v>
      </c>
      <c r="B2" t="str">
        <f t="shared" ref="B2:B65" si="0">IF(T2=U2,"No Change",IF(AND(U2&lt;&gt;0,U2&lt;T2),"Decrease",IF(AND(U2&lt;&gt;0,T2=0),"New",IF(AND(T2&lt;&gt;0,U2=0),"Decommissioned","Increase"))))</f>
        <v>No Change</v>
      </c>
      <c r="C2" s="92" t="s">
        <v>2625</v>
      </c>
      <c r="D2" t="s">
        <v>3095</v>
      </c>
      <c r="E2">
        <v>68427709</v>
      </c>
      <c r="F2" s="96" t="s">
        <v>57</v>
      </c>
      <c r="G2" s="92" t="s">
        <v>58</v>
      </c>
      <c r="H2" s="92" t="s">
        <v>46</v>
      </c>
      <c r="I2" t="s">
        <v>3096</v>
      </c>
      <c r="J2" t="s">
        <v>2274</v>
      </c>
      <c r="K2" s="92">
        <v>118054</v>
      </c>
      <c r="L2" s="92" t="s">
        <v>1096</v>
      </c>
      <c r="M2" s="93">
        <v>5401117445</v>
      </c>
      <c r="N2" s="93">
        <v>10</v>
      </c>
      <c r="O2" s="92" t="s">
        <v>2870</v>
      </c>
      <c r="P2" s="22" t="s">
        <v>2870</v>
      </c>
      <c r="Q2" s="201" t="s">
        <v>3097</v>
      </c>
      <c r="R2" s="92" t="s">
        <v>3098</v>
      </c>
      <c r="S2" s="7">
        <v>369640</v>
      </c>
      <c r="T2" s="7">
        <v>415640</v>
      </c>
      <c r="U2" s="7">
        <v>415640</v>
      </c>
      <c r="V2" s="7"/>
      <c r="W2" s="7"/>
      <c r="X2" s="7">
        <f t="shared" ref="X2:X65" si="1">U2-T2</f>
        <v>0</v>
      </c>
      <c r="Y2" s="5">
        <f t="shared" ref="Y2:Y33" si="2">IF(B2="New",1,IFERROR(X2/T2,0))</f>
        <v>0</v>
      </c>
      <c r="Z2" s="6"/>
      <c r="AA2" s="29">
        <f>SUMPRODUCT((BIdetails!$J$5:$J$3000=M2)*(BIdetails!$K$5:$K$3000=N2)*(BIdetails!$M$5:$M$3000))</f>
        <v>0</v>
      </c>
      <c r="AB2" s="30">
        <f t="shared" ref="AB2:AB65" si="3">IF(U2=0,"",(AA2/U2))</f>
        <v>0</v>
      </c>
      <c r="AC2" s="27" t="s">
        <v>3099</v>
      </c>
      <c r="AD2" s="27" t="s">
        <v>3100</v>
      </c>
      <c r="AE2" s="27" t="s">
        <v>3101</v>
      </c>
      <c r="AF2" s="27"/>
    </row>
    <row r="3" spans="1:32" hidden="1" x14ac:dyDescent="0.25">
      <c r="A3" t="s">
        <v>3094</v>
      </c>
      <c r="B3" t="str">
        <f t="shared" si="0"/>
        <v>No Change</v>
      </c>
      <c r="C3" t="s">
        <v>2623</v>
      </c>
      <c r="D3" t="s">
        <v>3102</v>
      </c>
      <c r="E3">
        <v>68427709</v>
      </c>
      <c r="F3" s="91" t="s">
        <v>54</v>
      </c>
      <c r="G3" t="s">
        <v>55</v>
      </c>
      <c r="H3" t="s">
        <v>46</v>
      </c>
      <c r="I3" t="s">
        <v>3096</v>
      </c>
      <c r="J3" s="228" t="s">
        <v>3103</v>
      </c>
      <c r="K3">
        <v>118054</v>
      </c>
      <c r="L3" t="s">
        <v>1096</v>
      </c>
      <c r="M3" s="20">
        <v>5401117446</v>
      </c>
      <c r="N3" s="20">
        <v>10</v>
      </c>
      <c r="O3" t="s">
        <v>2870</v>
      </c>
      <c r="P3" t="s">
        <v>2870</v>
      </c>
      <c r="Q3" t="s">
        <v>3104</v>
      </c>
      <c r="R3" t="s">
        <v>3098</v>
      </c>
      <c r="S3" s="7">
        <v>6300</v>
      </c>
      <c r="T3" s="7">
        <v>7100</v>
      </c>
      <c r="U3" s="7">
        <v>7100</v>
      </c>
      <c r="V3" s="7"/>
      <c r="W3" s="7"/>
      <c r="X3" s="7">
        <f t="shared" si="1"/>
        <v>0</v>
      </c>
      <c r="Y3" s="5">
        <f t="shared" si="2"/>
        <v>0</v>
      </c>
      <c r="Z3" s="6"/>
      <c r="AA3" s="29">
        <f>SUMPRODUCT((BIdetails!$J$5:$J$3000=M3)*(BIdetails!$K$5:$K$3000=N3)*(BIdetails!$M$5:$M$3000))</f>
        <v>0</v>
      </c>
      <c r="AB3" s="30">
        <f t="shared" si="3"/>
        <v>0</v>
      </c>
      <c r="AC3" s="27" t="s">
        <v>845</v>
      </c>
      <c r="AD3" s="27" t="s">
        <v>3100</v>
      </c>
      <c r="AE3" s="27"/>
      <c r="AF3" s="27"/>
    </row>
    <row r="4" spans="1:32" hidden="1" x14ac:dyDescent="0.25">
      <c r="A4" t="s">
        <v>3094</v>
      </c>
      <c r="B4" t="str">
        <f t="shared" si="0"/>
        <v>No Change</v>
      </c>
      <c r="C4" s="92" t="s">
        <v>1810</v>
      </c>
      <c r="D4" t="s">
        <v>3105</v>
      </c>
      <c r="E4">
        <v>68427709</v>
      </c>
      <c r="F4" s="96" t="s">
        <v>57</v>
      </c>
      <c r="G4" s="92" t="s">
        <v>58</v>
      </c>
      <c r="H4" s="92" t="s">
        <v>46</v>
      </c>
      <c r="I4" t="s">
        <v>3096</v>
      </c>
      <c r="J4" s="228" t="s">
        <v>3103</v>
      </c>
      <c r="K4" s="92">
        <v>118054</v>
      </c>
      <c r="L4" s="92" t="s">
        <v>1096</v>
      </c>
      <c r="M4" s="93">
        <v>5401064358</v>
      </c>
      <c r="N4" s="93">
        <v>10</v>
      </c>
      <c r="O4" s="92" t="s">
        <v>2870</v>
      </c>
      <c r="P4" s="92" t="s">
        <v>2870</v>
      </c>
      <c r="Q4" t="s">
        <v>3104</v>
      </c>
      <c r="R4" s="92" t="s">
        <v>3098</v>
      </c>
      <c r="S4" s="7">
        <v>900</v>
      </c>
      <c r="T4" s="7">
        <v>1800</v>
      </c>
      <c r="U4" s="7">
        <v>1800</v>
      </c>
      <c r="V4" s="7"/>
      <c r="W4" s="7"/>
      <c r="X4" s="7">
        <f t="shared" si="1"/>
        <v>0</v>
      </c>
      <c r="Y4" s="5">
        <f t="shared" si="2"/>
        <v>0</v>
      </c>
      <c r="Z4" s="6"/>
      <c r="AA4" s="29">
        <f>SUMPRODUCT((BIdetails!$J$5:$J$3000=M4)*(BIdetails!$K$5:$K$3000=N4)*(BIdetails!$M$5:$M$3000))</f>
        <v>0</v>
      </c>
      <c r="AB4" s="30">
        <f t="shared" si="3"/>
        <v>0</v>
      </c>
      <c r="AC4" s="27"/>
      <c r="AD4" s="27"/>
      <c r="AE4" s="27"/>
      <c r="AF4" s="27"/>
    </row>
    <row r="5" spans="1:32" hidden="1" x14ac:dyDescent="0.25">
      <c r="A5" t="s">
        <v>3106</v>
      </c>
      <c r="B5" t="str">
        <f t="shared" si="0"/>
        <v>Decommissioned</v>
      </c>
      <c r="C5" s="92" t="s">
        <v>2718</v>
      </c>
      <c r="D5" t="s">
        <v>3107</v>
      </c>
      <c r="E5">
        <v>68427709</v>
      </c>
      <c r="F5" s="96" t="s">
        <v>57</v>
      </c>
      <c r="G5" s="92" t="s">
        <v>58</v>
      </c>
      <c r="H5" s="92" t="s">
        <v>46</v>
      </c>
      <c r="I5" t="s">
        <v>3096</v>
      </c>
      <c r="J5" s="228" t="s">
        <v>3103</v>
      </c>
      <c r="K5" s="92">
        <v>118054</v>
      </c>
      <c r="L5" s="92" t="s">
        <v>1096</v>
      </c>
      <c r="M5" s="93"/>
      <c r="N5" s="93">
        <v>10</v>
      </c>
      <c r="O5" s="92" t="s">
        <v>2870</v>
      </c>
      <c r="P5" s="92" t="s">
        <v>2870</v>
      </c>
      <c r="Q5" t="s">
        <v>3104</v>
      </c>
      <c r="R5" s="92" t="s">
        <v>3098</v>
      </c>
      <c r="S5" s="7">
        <v>61500</v>
      </c>
      <c r="T5" s="7">
        <v>70000</v>
      </c>
      <c r="U5" s="7">
        <v>0</v>
      </c>
      <c r="V5" s="7"/>
      <c r="W5" s="7"/>
      <c r="X5" s="7">
        <f t="shared" si="1"/>
        <v>-70000</v>
      </c>
      <c r="Y5" s="5">
        <f t="shared" si="2"/>
        <v>-1</v>
      </c>
      <c r="Z5" s="6"/>
      <c r="AA5" s="29">
        <f>SUMPRODUCT((BIdetails!$J$5:$J$3000=M5)*(BIdetails!$K$5:$K$3000=N5)*(BIdetails!$M$5:$M$3000))</f>
        <v>0</v>
      </c>
      <c r="AB5" s="30" t="str">
        <f t="shared" si="3"/>
        <v/>
      </c>
      <c r="AC5" s="27" t="s">
        <v>3099</v>
      </c>
      <c r="AD5" s="27" t="s">
        <v>3108</v>
      </c>
      <c r="AE5" s="27" t="s">
        <v>3101</v>
      </c>
      <c r="AF5" s="27"/>
    </row>
    <row r="6" spans="1:32" hidden="1" x14ac:dyDescent="0.25">
      <c r="A6" t="s">
        <v>3094</v>
      </c>
      <c r="B6" t="str">
        <f t="shared" si="0"/>
        <v>No Change</v>
      </c>
      <c r="C6" s="92" t="s">
        <v>2626</v>
      </c>
      <c r="D6" t="s">
        <v>3109</v>
      </c>
      <c r="E6">
        <v>68427709</v>
      </c>
      <c r="F6" s="96" t="s">
        <v>57</v>
      </c>
      <c r="G6" s="92" t="s">
        <v>58</v>
      </c>
      <c r="H6" s="92" t="s">
        <v>46</v>
      </c>
      <c r="I6" t="s">
        <v>3096</v>
      </c>
      <c r="J6" s="228" t="s">
        <v>3103</v>
      </c>
      <c r="K6" s="92">
        <v>118054</v>
      </c>
      <c r="L6" s="92" t="s">
        <v>1096</v>
      </c>
      <c r="M6" s="93"/>
      <c r="N6" s="93"/>
      <c r="O6" s="92" t="s">
        <v>2870</v>
      </c>
      <c r="P6" s="92" t="s">
        <v>2870</v>
      </c>
      <c r="Q6" t="s">
        <v>3104</v>
      </c>
      <c r="R6" s="92" t="s">
        <v>3098</v>
      </c>
      <c r="S6" s="7">
        <v>5380</v>
      </c>
      <c r="T6" s="7">
        <v>6140</v>
      </c>
      <c r="U6" s="7">
        <v>6140</v>
      </c>
      <c r="V6" s="7"/>
      <c r="W6" s="7"/>
      <c r="X6" s="7">
        <f t="shared" si="1"/>
        <v>0</v>
      </c>
      <c r="Y6" s="5">
        <f t="shared" si="2"/>
        <v>0</v>
      </c>
      <c r="Z6" s="6"/>
      <c r="AA6" s="29">
        <f>SUMPRODUCT((BIdetails!$J$5:$J$3000=M6)*(BIdetails!$K$5:$K$3000=N6)*(BIdetails!$M$5:$M$3000))</f>
        <v>0</v>
      </c>
      <c r="AB6" s="30">
        <f t="shared" si="3"/>
        <v>0</v>
      </c>
      <c r="AC6" s="27" t="s">
        <v>3110</v>
      </c>
      <c r="AD6" s="27" t="s">
        <v>3108</v>
      </c>
      <c r="AE6" s="27" t="s">
        <v>3101</v>
      </c>
      <c r="AF6" s="27"/>
    </row>
    <row r="7" spans="1:32" ht="15.6" hidden="1" customHeight="1" x14ac:dyDescent="0.25">
      <c r="A7" t="s">
        <v>3094</v>
      </c>
      <c r="B7" t="str">
        <f t="shared" si="0"/>
        <v>No Change</v>
      </c>
      <c r="C7" s="92" t="s">
        <v>2627</v>
      </c>
      <c r="D7" t="s">
        <v>3111</v>
      </c>
      <c r="E7">
        <v>68427709</v>
      </c>
      <c r="F7" s="96" t="s">
        <v>57</v>
      </c>
      <c r="G7" s="92" t="s">
        <v>58</v>
      </c>
      <c r="H7" s="92" t="s">
        <v>46</v>
      </c>
      <c r="I7" t="s">
        <v>3096</v>
      </c>
      <c r="J7" s="228" t="s">
        <v>3103</v>
      </c>
      <c r="K7" s="92">
        <v>118054</v>
      </c>
      <c r="L7" s="92" t="s">
        <v>1096</v>
      </c>
      <c r="M7" s="93"/>
      <c r="N7" s="93"/>
      <c r="O7" s="92" t="s">
        <v>2870</v>
      </c>
      <c r="P7" s="92" t="s">
        <v>2870</v>
      </c>
      <c r="Q7" t="s">
        <v>3104</v>
      </c>
      <c r="R7" s="92" t="s">
        <v>3098</v>
      </c>
      <c r="S7" s="7">
        <v>12780</v>
      </c>
      <c r="T7" s="7">
        <v>13930</v>
      </c>
      <c r="U7" s="7">
        <v>13930</v>
      </c>
      <c r="V7" s="7"/>
      <c r="W7" s="7"/>
      <c r="X7" s="7">
        <f t="shared" si="1"/>
        <v>0</v>
      </c>
      <c r="Y7" s="5">
        <f t="shared" si="2"/>
        <v>0</v>
      </c>
      <c r="Z7" s="6"/>
      <c r="AA7" s="29">
        <f>SUMPRODUCT((BIdetails!$J$5:$J$3000=M7)*(BIdetails!$K$5:$K$3000=N7)*(BIdetails!$M$5:$M$3000))</f>
        <v>0</v>
      </c>
      <c r="AB7" s="30">
        <f t="shared" si="3"/>
        <v>0</v>
      </c>
      <c r="AC7" s="27"/>
      <c r="AD7" s="27"/>
      <c r="AE7" s="27"/>
      <c r="AF7" s="27"/>
    </row>
    <row r="8" spans="1:32" hidden="1" x14ac:dyDescent="0.25">
      <c r="A8" t="s">
        <v>3094</v>
      </c>
      <c r="B8" t="str">
        <f t="shared" si="0"/>
        <v>No Change</v>
      </c>
      <c r="C8" s="92" t="s">
        <v>2628</v>
      </c>
      <c r="D8" t="s">
        <v>3112</v>
      </c>
      <c r="E8">
        <v>68427709</v>
      </c>
      <c r="F8" s="96" t="s">
        <v>59</v>
      </c>
      <c r="G8" s="92" t="s">
        <v>60</v>
      </c>
      <c r="H8" s="92" t="s">
        <v>46</v>
      </c>
      <c r="J8" t="s">
        <v>3113</v>
      </c>
      <c r="K8" s="92">
        <v>118054</v>
      </c>
      <c r="L8" s="92" t="s">
        <v>1096</v>
      </c>
      <c r="M8" s="93">
        <v>5401080259</v>
      </c>
      <c r="N8" s="93">
        <v>10</v>
      </c>
      <c r="O8" s="92" t="s">
        <v>2870</v>
      </c>
      <c r="P8" s="22" t="s">
        <v>2870</v>
      </c>
      <c r="Q8" s="92" t="s">
        <v>3114</v>
      </c>
      <c r="R8" s="92" t="s">
        <v>3098</v>
      </c>
      <c r="S8" s="7">
        <v>27800</v>
      </c>
      <c r="T8" s="7">
        <v>30000</v>
      </c>
      <c r="U8" s="7">
        <v>30000</v>
      </c>
      <c r="V8" s="7"/>
      <c r="W8" s="7"/>
      <c r="X8" s="7">
        <f t="shared" si="1"/>
        <v>0</v>
      </c>
      <c r="Y8" s="5">
        <f t="shared" si="2"/>
        <v>0</v>
      </c>
      <c r="Z8" s="6"/>
      <c r="AA8" s="29">
        <f>SUMPRODUCT((BIdetails!$J$5:$J$3000=M8)*(BIdetails!$K$5:$K$3000=N8)*(BIdetails!$M$5:$M$3000))</f>
        <v>0</v>
      </c>
      <c r="AB8" s="30">
        <f t="shared" si="3"/>
        <v>0</v>
      </c>
      <c r="AC8" s="27" t="s">
        <v>3099</v>
      </c>
      <c r="AD8" s="27" t="s">
        <v>3108</v>
      </c>
      <c r="AE8" s="27"/>
      <c r="AF8" s="27"/>
    </row>
    <row r="9" spans="1:32" x14ac:dyDescent="0.25">
      <c r="A9" t="s">
        <v>3094</v>
      </c>
      <c r="B9" t="str">
        <f t="shared" si="0"/>
        <v>Decrease</v>
      </c>
      <c r="C9" t="s">
        <v>2651</v>
      </c>
      <c r="D9" t="s">
        <v>3115</v>
      </c>
      <c r="E9">
        <v>68427709</v>
      </c>
      <c r="F9" s="91" t="s">
        <v>40</v>
      </c>
      <c r="G9" t="s">
        <v>42</v>
      </c>
      <c r="H9" s="92" t="s">
        <v>42</v>
      </c>
      <c r="I9" t="s">
        <v>2445</v>
      </c>
      <c r="J9" t="s">
        <v>3116</v>
      </c>
      <c r="K9">
        <v>187516</v>
      </c>
      <c r="L9" s="92" t="s">
        <v>3117</v>
      </c>
      <c r="M9" s="93">
        <v>5400840950</v>
      </c>
      <c r="N9" s="93">
        <v>70</v>
      </c>
      <c r="O9" s="92" t="s">
        <v>2843</v>
      </c>
      <c r="P9" s="22" t="s">
        <v>2843</v>
      </c>
      <c r="Q9" t="s">
        <v>3114</v>
      </c>
      <c r="R9" t="s">
        <v>42</v>
      </c>
      <c r="S9" s="7">
        <v>229000</v>
      </c>
      <c r="T9" s="7">
        <v>479000</v>
      </c>
      <c r="U9" s="7">
        <f>479000-229000</f>
        <v>250000</v>
      </c>
      <c r="V9" s="7"/>
      <c r="W9" s="310">
        <f>U9*1.04</f>
        <v>260000</v>
      </c>
      <c r="X9" s="7">
        <f>W9-U9</f>
        <v>10000</v>
      </c>
      <c r="Y9" s="5">
        <f t="shared" si="2"/>
        <v>2.0876826722338204E-2</v>
      </c>
      <c r="Z9" s="221"/>
      <c r="AA9" s="29">
        <f>SUMPRODUCT((BIdetails!$J$5:$J$3000=M9)*(BIdetails!$K$5:$K$3000=N9)*(BIdetails!$M$5:$M$3000))</f>
        <v>0</v>
      </c>
      <c r="AB9" s="30">
        <f t="shared" si="3"/>
        <v>0</v>
      </c>
      <c r="AC9" s="27" t="s">
        <v>845</v>
      </c>
      <c r="AD9" s="27" t="s">
        <v>3100</v>
      </c>
      <c r="AE9" s="27" t="s">
        <v>3118</v>
      </c>
      <c r="AF9" s="27"/>
    </row>
    <row r="10" spans="1:32" hidden="1" x14ac:dyDescent="0.25">
      <c r="A10" t="s">
        <v>3094</v>
      </c>
      <c r="B10" t="str">
        <f t="shared" si="0"/>
        <v>Increase</v>
      </c>
      <c r="C10" t="s">
        <v>962</v>
      </c>
      <c r="D10" t="s">
        <v>3119</v>
      </c>
      <c r="E10">
        <v>68427709</v>
      </c>
      <c r="F10" s="91" t="s">
        <v>59</v>
      </c>
      <c r="G10" t="s">
        <v>60</v>
      </c>
      <c r="H10" t="s">
        <v>46</v>
      </c>
      <c r="J10" t="s">
        <v>2203</v>
      </c>
      <c r="K10">
        <v>136544</v>
      </c>
      <c r="L10" t="s">
        <v>203</v>
      </c>
      <c r="M10" s="20">
        <v>5400963575</v>
      </c>
      <c r="N10" s="20">
        <v>40</v>
      </c>
      <c r="O10" t="s">
        <v>2870</v>
      </c>
      <c r="P10" s="22" t="s">
        <v>423</v>
      </c>
      <c r="Q10" t="s">
        <v>3114</v>
      </c>
      <c r="R10" s="92" t="s">
        <v>3120</v>
      </c>
      <c r="S10" s="7">
        <v>143000</v>
      </c>
      <c r="T10" s="7">
        <v>235000</v>
      </c>
      <c r="U10" s="7">
        <v>290000</v>
      </c>
      <c r="V10" s="7"/>
      <c r="W10" s="7"/>
      <c r="X10" s="7">
        <f t="shared" si="1"/>
        <v>55000</v>
      </c>
      <c r="Y10" s="5">
        <f t="shared" si="2"/>
        <v>0.23404255319148937</v>
      </c>
      <c r="Z10" s="6"/>
      <c r="AA10" s="29">
        <f>SUMPRODUCT((BIdetails!$J$5:$J$3000=M10)*(BIdetails!$K$5:$K$3000=N10)*(BIdetails!$M$5:$M$3000))</f>
        <v>0</v>
      </c>
      <c r="AB10" s="30">
        <f t="shared" si="3"/>
        <v>0</v>
      </c>
      <c r="AC10" s="27"/>
      <c r="AD10" s="27"/>
      <c r="AE10" s="27"/>
      <c r="AF10" s="27"/>
    </row>
    <row r="11" spans="1:32" hidden="1" x14ac:dyDescent="0.25">
      <c r="A11" t="s">
        <v>3094</v>
      </c>
      <c r="B11" t="str">
        <f t="shared" si="0"/>
        <v>Increase</v>
      </c>
      <c r="C11" s="92" t="s">
        <v>1714</v>
      </c>
      <c r="D11" t="s">
        <v>3121</v>
      </c>
      <c r="E11">
        <v>68427709</v>
      </c>
      <c r="F11" s="91" t="s">
        <v>54</v>
      </c>
      <c r="G11" t="s">
        <v>55</v>
      </c>
      <c r="H11" s="92" t="s">
        <v>46</v>
      </c>
      <c r="J11" t="s">
        <v>2215</v>
      </c>
      <c r="K11" s="92">
        <v>115995</v>
      </c>
      <c r="L11" s="92" t="s">
        <v>3122</v>
      </c>
      <c r="M11" s="93">
        <v>5401060519</v>
      </c>
      <c r="N11" s="93">
        <v>10</v>
      </c>
      <c r="O11" s="92" t="s">
        <v>2870</v>
      </c>
      <c r="P11" s="22" t="s">
        <v>3123</v>
      </c>
      <c r="Q11" s="201" t="s">
        <v>3124</v>
      </c>
      <c r="R11" s="92" t="s">
        <v>3125</v>
      </c>
      <c r="S11" s="7">
        <v>155000</v>
      </c>
      <c r="T11" s="7">
        <v>160000</v>
      </c>
      <c r="U11" s="7">
        <v>172000</v>
      </c>
      <c r="V11" s="7"/>
      <c r="W11" s="7"/>
      <c r="X11" s="7">
        <f t="shared" si="1"/>
        <v>12000</v>
      </c>
      <c r="Y11" s="5">
        <f t="shared" si="2"/>
        <v>7.4999999999999997E-2</v>
      </c>
      <c r="Z11" s="6"/>
      <c r="AA11" s="29">
        <f>SUMPRODUCT((BIdetails!$J$5:$J$3000=M11)*(BIdetails!$K$5:$K$3000=N11)*(BIdetails!$M$5:$M$3000))</f>
        <v>0</v>
      </c>
      <c r="AB11" s="30">
        <f t="shared" si="3"/>
        <v>0</v>
      </c>
      <c r="AC11" s="27" t="s">
        <v>845</v>
      </c>
      <c r="AD11" s="27" t="s">
        <v>3100</v>
      </c>
      <c r="AE11" s="27" t="s">
        <v>3118</v>
      </c>
      <c r="AF11" s="27"/>
    </row>
    <row r="12" spans="1:32" hidden="1" x14ac:dyDescent="0.25">
      <c r="A12" t="s">
        <v>3094</v>
      </c>
      <c r="B12" t="str">
        <f t="shared" si="0"/>
        <v>Increase</v>
      </c>
      <c r="C12" s="92" t="s">
        <v>2466</v>
      </c>
      <c r="D12" t="s">
        <v>3126</v>
      </c>
      <c r="E12">
        <v>68427709</v>
      </c>
      <c r="F12" s="91" t="s">
        <v>54</v>
      </c>
      <c r="G12" t="s">
        <v>55</v>
      </c>
      <c r="H12" s="92" t="s">
        <v>46</v>
      </c>
      <c r="J12" t="s">
        <v>2215</v>
      </c>
      <c r="K12" s="92">
        <v>115995</v>
      </c>
      <c r="L12" s="22" t="s">
        <v>3122</v>
      </c>
      <c r="M12" s="291">
        <v>5401093290</v>
      </c>
      <c r="N12" s="20">
        <v>10</v>
      </c>
      <c r="O12" s="22" t="s">
        <v>2870</v>
      </c>
      <c r="P12" s="22" t="s">
        <v>3123</v>
      </c>
      <c r="Q12" s="201" t="s">
        <v>3124</v>
      </c>
      <c r="R12" s="92" t="s">
        <v>3125</v>
      </c>
      <c r="S12" s="7">
        <v>42000</v>
      </c>
      <c r="T12" s="7">
        <v>45000</v>
      </c>
      <c r="U12" s="7">
        <v>50000</v>
      </c>
      <c r="V12" s="7"/>
      <c r="W12" s="7"/>
      <c r="X12" s="7">
        <f t="shared" si="1"/>
        <v>5000</v>
      </c>
      <c r="Y12" s="5">
        <f t="shared" si="2"/>
        <v>0.1111111111111111</v>
      </c>
      <c r="Z12" s="117"/>
      <c r="AA12" s="29">
        <f>SUMPRODUCT((BIdetails!$J$5:$J$3000=M12)*(BIdetails!$K$5:$K$3000=N12)*(BIdetails!$M$5:$M$3000))</f>
        <v>0</v>
      </c>
      <c r="AB12" s="30">
        <f t="shared" si="3"/>
        <v>0</v>
      </c>
      <c r="AC12" s="27" t="s">
        <v>3099</v>
      </c>
      <c r="AD12" s="27" t="s">
        <v>3108</v>
      </c>
      <c r="AE12" s="27" t="s">
        <v>3101</v>
      </c>
      <c r="AF12" s="27"/>
    </row>
    <row r="13" spans="1:32" hidden="1" x14ac:dyDescent="0.25">
      <c r="A13" t="s">
        <v>3094</v>
      </c>
      <c r="B13" t="str">
        <f t="shared" si="0"/>
        <v>No Change</v>
      </c>
      <c r="C13" s="22" t="s">
        <v>3028</v>
      </c>
      <c r="D13" t="s">
        <v>3127</v>
      </c>
      <c r="E13">
        <v>68427709</v>
      </c>
      <c r="F13" s="97" t="s">
        <v>57</v>
      </c>
      <c r="G13" s="22" t="s">
        <v>58</v>
      </c>
      <c r="H13" s="22" t="s">
        <v>46</v>
      </c>
      <c r="I13" t="s">
        <v>3096</v>
      </c>
      <c r="J13" t="s">
        <v>3128</v>
      </c>
      <c r="K13" s="22">
        <v>117570</v>
      </c>
      <c r="L13" s="22" t="s">
        <v>633</v>
      </c>
      <c r="M13" s="24">
        <v>5401084786</v>
      </c>
      <c r="N13" s="24">
        <v>10</v>
      </c>
      <c r="O13" s="22" t="s">
        <v>2870</v>
      </c>
      <c r="P13" s="22" t="s">
        <v>2870</v>
      </c>
      <c r="Q13" s="22" t="s">
        <v>3104</v>
      </c>
      <c r="R13" s="92" t="s">
        <v>3098</v>
      </c>
      <c r="S13" s="7">
        <v>237000</v>
      </c>
      <c r="T13" s="7">
        <v>237000</v>
      </c>
      <c r="U13" s="7">
        <v>237000</v>
      </c>
      <c r="V13" s="7"/>
      <c r="W13" s="7"/>
      <c r="X13" s="7">
        <f t="shared" si="1"/>
        <v>0</v>
      </c>
      <c r="Y13" s="5">
        <f t="shared" si="2"/>
        <v>0</v>
      </c>
      <c r="Z13" s="6"/>
      <c r="AA13" s="29">
        <f>SUMPRODUCT((BIdetails!$J$5:$J$3000=M13)*(BIdetails!$K$5:$K$3000=N13)*(BIdetails!$M$5:$M$3000))</f>
        <v>0</v>
      </c>
      <c r="AB13" s="30">
        <f t="shared" si="3"/>
        <v>0</v>
      </c>
      <c r="AC13" s="27" t="s">
        <v>3099</v>
      </c>
      <c r="AD13" s="27" t="s">
        <v>3100</v>
      </c>
      <c r="AE13" s="27" t="s">
        <v>3101</v>
      </c>
      <c r="AF13" s="27"/>
    </row>
    <row r="14" spans="1:32" x14ac:dyDescent="0.25">
      <c r="A14" t="s">
        <v>3094</v>
      </c>
      <c r="B14" t="str">
        <f t="shared" si="0"/>
        <v>No Change</v>
      </c>
      <c r="C14" s="92" t="s">
        <v>3129</v>
      </c>
      <c r="E14">
        <v>68427709</v>
      </c>
      <c r="F14" s="91" t="s">
        <v>44</v>
      </c>
      <c r="G14" s="92" t="s">
        <v>75</v>
      </c>
      <c r="H14" s="92" t="s">
        <v>46</v>
      </c>
      <c r="I14" t="s">
        <v>3096</v>
      </c>
      <c r="J14" t="s">
        <v>3128</v>
      </c>
      <c r="K14">
        <v>187516</v>
      </c>
      <c r="L14" s="92" t="s">
        <v>3117</v>
      </c>
      <c r="M14" s="93">
        <v>5401088459</v>
      </c>
      <c r="N14" s="93">
        <v>170</v>
      </c>
      <c r="O14" t="s">
        <v>2843</v>
      </c>
      <c r="P14" s="92" t="s">
        <v>2843</v>
      </c>
      <c r="Q14" s="219" t="s">
        <v>3104</v>
      </c>
      <c r="R14" s="92" t="s">
        <v>42</v>
      </c>
      <c r="S14" s="7">
        <v>50000</v>
      </c>
      <c r="T14" s="7">
        <v>150000</v>
      </c>
      <c r="U14" s="7">
        <v>150000</v>
      </c>
      <c r="V14" s="7"/>
      <c r="W14" s="308">
        <v>150000</v>
      </c>
      <c r="X14" s="7">
        <f>W14-U14</f>
        <v>0</v>
      </c>
      <c r="Y14" s="5">
        <f t="shared" si="2"/>
        <v>0</v>
      </c>
      <c r="Z14" s="6"/>
      <c r="AA14" s="29">
        <f>SUMPRODUCT((BIdetails!$J$5:$J$3000=M14)*(BIdetails!$K$5:$K$3000=N14)*(BIdetails!$M$5:$M$3000))</f>
        <v>0</v>
      </c>
      <c r="AB14" s="30">
        <f t="shared" si="3"/>
        <v>0</v>
      </c>
      <c r="AC14" s="27"/>
      <c r="AD14" s="27"/>
      <c r="AE14" s="27"/>
      <c r="AF14" s="27"/>
    </row>
    <row r="15" spans="1:32" hidden="1" x14ac:dyDescent="0.25">
      <c r="A15" t="s">
        <v>3094</v>
      </c>
      <c r="B15" t="str">
        <f t="shared" si="0"/>
        <v>Decrease</v>
      </c>
      <c r="C15" t="s">
        <v>2696</v>
      </c>
      <c r="E15">
        <v>68427709</v>
      </c>
      <c r="F15" s="91" t="s">
        <v>44</v>
      </c>
      <c r="G15" s="92" t="s">
        <v>75</v>
      </c>
      <c r="H15" s="92" t="s">
        <v>46</v>
      </c>
      <c r="I15" t="s">
        <v>3096</v>
      </c>
      <c r="J15" s="22" t="s">
        <v>3128</v>
      </c>
      <c r="K15">
        <v>187516</v>
      </c>
      <c r="L15" s="92" t="s">
        <v>3117</v>
      </c>
      <c r="M15" s="203"/>
      <c r="O15" s="92" t="s">
        <v>2870</v>
      </c>
      <c r="P15" s="22" t="s">
        <v>3026</v>
      </c>
      <c r="Q15" s="92" t="s">
        <v>3104</v>
      </c>
      <c r="R15" t="s">
        <v>3098</v>
      </c>
      <c r="S15" s="7"/>
      <c r="T15" s="7">
        <v>250000</v>
      </c>
      <c r="U15" s="7">
        <v>150000</v>
      </c>
      <c r="V15" s="7"/>
      <c r="W15" s="7"/>
      <c r="X15" s="7">
        <f t="shared" si="1"/>
        <v>-100000</v>
      </c>
      <c r="Y15" s="5">
        <f t="shared" si="2"/>
        <v>-0.4</v>
      </c>
      <c r="Z15" s="117"/>
      <c r="AA15" s="29">
        <f>SUMPRODUCT((BIdetails!$J$5:$J$3000=M15)*(BIdetails!$K$5:$K$3000=N15)*(BIdetails!$M$5:$M$3000))</f>
        <v>0</v>
      </c>
      <c r="AB15" s="30">
        <f t="shared" si="3"/>
        <v>0</v>
      </c>
      <c r="AC15" s="27"/>
      <c r="AD15" s="27"/>
      <c r="AE15" s="27"/>
      <c r="AF15" s="27"/>
    </row>
    <row r="16" spans="1:32" hidden="1" x14ac:dyDescent="0.25">
      <c r="A16" t="s">
        <v>3094</v>
      </c>
      <c r="B16" t="str">
        <f t="shared" si="0"/>
        <v>No Change</v>
      </c>
      <c r="C16" t="s">
        <v>2052</v>
      </c>
      <c r="D16" t="s">
        <v>3130</v>
      </c>
      <c r="E16">
        <v>68427709</v>
      </c>
      <c r="F16" s="91" t="s">
        <v>59</v>
      </c>
      <c r="G16" t="s">
        <v>60</v>
      </c>
      <c r="H16" t="s">
        <v>46</v>
      </c>
      <c r="J16" t="s">
        <v>3131</v>
      </c>
      <c r="K16" s="22">
        <v>152539</v>
      </c>
      <c r="L16" s="22" t="s">
        <v>125</v>
      </c>
      <c r="M16" s="20">
        <v>5400945464</v>
      </c>
      <c r="N16" s="20">
        <v>40</v>
      </c>
      <c r="O16" t="s">
        <v>2410</v>
      </c>
      <c r="P16" s="22" t="s">
        <v>3132</v>
      </c>
      <c r="Q16" t="s">
        <v>3114</v>
      </c>
      <c r="R16" t="s">
        <v>3133</v>
      </c>
      <c r="S16" s="7">
        <v>200000</v>
      </c>
      <c r="T16" s="7">
        <v>200000</v>
      </c>
      <c r="U16" s="7">
        <v>200000</v>
      </c>
      <c r="V16" s="7"/>
      <c r="W16" s="7"/>
      <c r="X16" s="7">
        <f t="shared" si="1"/>
        <v>0</v>
      </c>
      <c r="Y16" s="5">
        <f t="shared" si="2"/>
        <v>0</v>
      </c>
      <c r="Z16" s="6"/>
      <c r="AA16" s="29">
        <f>SUMPRODUCT((BIdetails!$J$5:$J$3000=M16)*(BIdetails!$K$5:$K$3000=N16)*(BIdetails!$M$5:$M$3000))</f>
        <v>0</v>
      </c>
      <c r="AB16" s="30">
        <f t="shared" si="3"/>
        <v>0</v>
      </c>
      <c r="AC16" s="27"/>
      <c r="AD16" s="27"/>
      <c r="AE16" s="27"/>
      <c r="AF16" s="27"/>
    </row>
    <row r="17" spans="1:32" hidden="1" x14ac:dyDescent="0.25">
      <c r="A17" t="s">
        <v>3094</v>
      </c>
      <c r="B17" t="str">
        <f t="shared" si="0"/>
        <v>New</v>
      </c>
      <c r="C17" t="s">
        <v>2529</v>
      </c>
      <c r="D17" t="s">
        <v>3134</v>
      </c>
      <c r="E17">
        <v>68427709</v>
      </c>
      <c r="F17" s="91" t="s">
        <v>59</v>
      </c>
      <c r="G17" t="s">
        <v>60</v>
      </c>
      <c r="H17" t="s">
        <v>46</v>
      </c>
      <c r="J17" t="s">
        <v>3135</v>
      </c>
      <c r="K17" s="22">
        <v>193714</v>
      </c>
      <c r="L17" s="22" t="s">
        <v>231</v>
      </c>
      <c r="M17" s="20">
        <v>5401084017</v>
      </c>
      <c r="N17" s="20">
        <v>10</v>
      </c>
      <c r="O17" s="22" t="s">
        <v>2870</v>
      </c>
      <c r="P17" s="22" t="s">
        <v>2781</v>
      </c>
      <c r="Q17" t="s">
        <v>3114</v>
      </c>
      <c r="R17" t="s">
        <v>3136</v>
      </c>
      <c r="S17" s="7">
        <v>65000</v>
      </c>
      <c r="T17" s="7">
        <v>0</v>
      </c>
      <c r="U17" s="7">
        <v>65000</v>
      </c>
      <c r="V17" s="7"/>
      <c r="W17" s="7"/>
      <c r="X17" s="7">
        <f t="shared" si="1"/>
        <v>65000</v>
      </c>
      <c r="Y17" s="5">
        <f t="shared" si="2"/>
        <v>1</v>
      </c>
      <c r="Z17" s="6"/>
      <c r="AA17" s="29">
        <f>SUMPRODUCT((BIdetails!$J$5:$J$3000=M17)*(BIdetails!$K$5:$K$3000=N17)*(BIdetails!$M$5:$M$3000))</f>
        <v>0</v>
      </c>
      <c r="AB17" s="30">
        <f t="shared" si="3"/>
        <v>0</v>
      </c>
      <c r="AC17" s="27"/>
      <c r="AD17" s="27"/>
      <c r="AE17" s="27"/>
      <c r="AF17" s="27"/>
    </row>
    <row r="18" spans="1:32" hidden="1" x14ac:dyDescent="0.25">
      <c r="A18" t="s">
        <v>3094</v>
      </c>
      <c r="B18" t="str">
        <f t="shared" si="0"/>
        <v>Increase</v>
      </c>
      <c r="C18" t="s">
        <v>1423</v>
      </c>
      <c r="D18" t="s">
        <v>3137</v>
      </c>
      <c r="E18">
        <v>68427709</v>
      </c>
      <c r="F18" s="91" t="s">
        <v>59</v>
      </c>
      <c r="G18" t="s">
        <v>60</v>
      </c>
      <c r="H18" t="s">
        <v>46</v>
      </c>
      <c r="J18" t="s">
        <v>3138</v>
      </c>
      <c r="K18">
        <v>204773</v>
      </c>
      <c r="L18" t="s">
        <v>3139</v>
      </c>
      <c r="M18" s="20">
        <v>5401090208</v>
      </c>
      <c r="N18" s="20">
        <v>10</v>
      </c>
      <c r="O18" s="22" t="s">
        <v>2870</v>
      </c>
      <c r="P18" s="22" t="s">
        <v>1421</v>
      </c>
      <c r="Q18" s="201" t="s">
        <v>3140</v>
      </c>
      <c r="R18" t="s">
        <v>3141</v>
      </c>
      <c r="S18" s="7">
        <v>294000</v>
      </c>
      <c r="T18" s="7">
        <v>297000</v>
      </c>
      <c r="U18" s="7">
        <v>300000</v>
      </c>
      <c r="V18" s="7"/>
      <c r="W18" s="7"/>
      <c r="X18" s="7">
        <f t="shared" si="1"/>
        <v>3000</v>
      </c>
      <c r="Y18" s="5">
        <f t="shared" si="2"/>
        <v>1.0101010101010102E-2</v>
      </c>
      <c r="Z18" s="6"/>
      <c r="AA18" s="29">
        <f>SUMPRODUCT((BIdetails!$J$5:$J$3000=M18)*(BIdetails!$K$5:$K$3000=N18)*(BIdetails!$M$5:$M$3000))</f>
        <v>0</v>
      </c>
      <c r="AB18" s="30">
        <f t="shared" si="3"/>
        <v>0</v>
      </c>
      <c r="AC18" s="27"/>
      <c r="AD18" s="27"/>
      <c r="AE18" s="27"/>
      <c r="AF18" s="27"/>
    </row>
    <row r="19" spans="1:32" hidden="1" x14ac:dyDescent="0.25">
      <c r="A19" t="s">
        <v>3094</v>
      </c>
      <c r="B19" t="str">
        <f t="shared" si="0"/>
        <v>No Change</v>
      </c>
      <c r="C19" t="s">
        <v>3142</v>
      </c>
      <c r="D19" t="s">
        <v>3143</v>
      </c>
      <c r="E19">
        <v>68427709</v>
      </c>
      <c r="F19" s="91" t="s">
        <v>59</v>
      </c>
      <c r="G19" t="s">
        <v>60</v>
      </c>
      <c r="H19" t="s">
        <v>46</v>
      </c>
      <c r="I19" t="s">
        <v>3144</v>
      </c>
      <c r="J19" t="s">
        <v>3145</v>
      </c>
      <c r="K19">
        <v>187516</v>
      </c>
      <c r="L19" s="92" t="s">
        <v>3117</v>
      </c>
      <c r="O19" s="22" t="s">
        <v>2870</v>
      </c>
      <c r="P19" s="22" t="s">
        <v>2510</v>
      </c>
      <c r="Q19" t="s">
        <v>3114</v>
      </c>
      <c r="R19" t="s">
        <v>3098</v>
      </c>
      <c r="S19" s="7">
        <v>50000</v>
      </c>
      <c r="T19" s="7">
        <v>50000</v>
      </c>
      <c r="U19" s="7">
        <v>50000</v>
      </c>
      <c r="V19" s="7"/>
      <c r="W19" s="7"/>
      <c r="X19" s="7">
        <f t="shared" si="1"/>
        <v>0</v>
      </c>
      <c r="Y19" s="5">
        <f t="shared" si="2"/>
        <v>0</v>
      </c>
      <c r="Z19" s="6"/>
      <c r="AA19" s="29">
        <f>SUMPRODUCT((BIdetails!$J$5:$J$3000=M19)*(BIdetails!$K$5:$K$3000=N19)*(BIdetails!$M$5:$M$3000))</f>
        <v>0</v>
      </c>
      <c r="AB19" s="30">
        <f t="shared" si="3"/>
        <v>0</v>
      </c>
      <c r="AC19" s="27"/>
      <c r="AD19" s="27"/>
      <c r="AE19" s="27"/>
      <c r="AF19" s="27"/>
    </row>
    <row r="20" spans="1:32" hidden="1" x14ac:dyDescent="0.25">
      <c r="A20" t="s">
        <v>3094</v>
      </c>
      <c r="B20" t="str">
        <f t="shared" si="0"/>
        <v>Increase</v>
      </c>
      <c r="C20" s="22" t="s">
        <v>3146</v>
      </c>
      <c r="D20" t="s">
        <v>3147</v>
      </c>
      <c r="E20">
        <v>68427709</v>
      </c>
      <c r="F20" s="91" t="s">
        <v>59</v>
      </c>
      <c r="G20" t="s">
        <v>60</v>
      </c>
      <c r="H20" t="s">
        <v>46</v>
      </c>
      <c r="J20" t="s">
        <v>2288</v>
      </c>
      <c r="K20">
        <v>200133</v>
      </c>
      <c r="L20" s="22" t="s">
        <v>1488</v>
      </c>
      <c r="M20" s="204" t="s">
        <v>3148</v>
      </c>
      <c r="N20" s="20">
        <v>10</v>
      </c>
      <c r="O20" s="22" t="s">
        <v>2870</v>
      </c>
      <c r="P20" s="22" t="s">
        <v>3149</v>
      </c>
      <c r="Q20" t="s">
        <v>3150</v>
      </c>
      <c r="R20" t="s">
        <v>1046</v>
      </c>
      <c r="S20" s="7">
        <v>380000</v>
      </c>
      <c r="T20" s="7">
        <v>380000</v>
      </c>
      <c r="U20" s="7">
        <v>560000</v>
      </c>
      <c r="V20" s="7"/>
      <c r="W20" s="7"/>
      <c r="X20" s="7">
        <f t="shared" si="1"/>
        <v>180000</v>
      </c>
      <c r="Y20" s="5">
        <f t="shared" si="2"/>
        <v>0.47368421052631576</v>
      </c>
      <c r="Z20" s="117"/>
      <c r="AA20" s="29">
        <f>SUMPRODUCT((BIdetails!$J$5:$J$3000=M20)*(BIdetails!$K$5:$K$3000=N20)*(BIdetails!$M$5:$M$3000))</f>
        <v>0</v>
      </c>
      <c r="AB20" s="30">
        <f t="shared" si="3"/>
        <v>0</v>
      </c>
      <c r="AC20" s="27" t="s">
        <v>3099</v>
      </c>
      <c r="AD20" s="27" t="s">
        <v>3108</v>
      </c>
      <c r="AE20" s="27" t="s">
        <v>3101</v>
      </c>
      <c r="AF20" s="27"/>
    </row>
    <row r="21" spans="1:32" hidden="1" x14ac:dyDescent="0.25">
      <c r="A21" t="s">
        <v>3094</v>
      </c>
      <c r="B21" t="str">
        <f t="shared" si="0"/>
        <v>No Change</v>
      </c>
      <c r="C21" t="s">
        <v>1582</v>
      </c>
      <c r="D21" t="s">
        <v>3151</v>
      </c>
      <c r="E21">
        <v>68427709</v>
      </c>
      <c r="F21" s="91" t="s">
        <v>44</v>
      </c>
      <c r="G21" s="92" t="s">
        <v>75</v>
      </c>
      <c r="H21" s="92" t="s">
        <v>46</v>
      </c>
      <c r="I21" t="s">
        <v>3096</v>
      </c>
      <c r="J21" t="s">
        <v>3152</v>
      </c>
      <c r="K21">
        <v>187516</v>
      </c>
      <c r="L21" s="92" t="s">
        <v>3117</v>
      </c>
      <c r="M21" s="203"/>
      <c r="O21" s="22" t="s">
        <v>2870</v>
      </c>
      <c r="P21" s="22" t="s">
        <v>3026</v>
      </c>
      <c r="Q21" t="s">
        <v>3104</v>
      </c>
      <c r="R21" t="s">
        <v>3098</v>
      </c>
      <c r="S21" s="7">
        <v>50000</v>
      </c>
      <c r="T21" s="7">
        <v>50000</v>
      </c>
      <c r="U21" s="7">
        <v>50000</v>
      </c>
      <c r="V21" s="7"/>
      <c r="W21" s="7"/>
      <c r="X21" s="7">
        <f t="shared" si="1"/>
        <v>0</v>
      </c>
      <c r="Y21" s="5">
        <f t="shared" si="2"/>
        <v>0</v>
      </c>
      <c r="Z21" s="117"/>
      <c r="AA21" s="29">
        <f>SUMPRODUCT((BIdetails!$J$5:$J$3000=M21)*(BIdetails!$K$5:$K$3000=N21)*(BIdetails!$M$5:$M$3000))</f>
        <v>0</v>
      </c>
      <c r="AB21" s="30">
        <f t="shared" si="3"/>
        <v>0</v>
      </c>
      <c r="AC21" s="27" t="s">
        <v>845</v>
      </c>
      <c r="AD21" s="27" t="s">
        <v>3100</v>
      </c>
      <c r="AE21" s="27" t="s">
        <v>3118</v>
      </c>
      <c r="AF21" s="27"/>
    </row>
    <row r="22" spans="1:32" hidden="1" x14ac:dyDescent="0.25">
      <c r="A22" t="s">
        <v>3106</v>
      </c>
      <c r="B22" t="str">
        <f t="shared" si="0"/>
        <v>Decommissioned</v>
      </c>
      <c r="C22" s="92" t="s">
        <v>1682</v>
      </c>
      <c r="D22" t="s">
        <v>3151</v>
      </c>
      <c r="E22">
        <v>68427709</v>
      </c>
      <c r="F22" s="91" t="s">
        <v>44</v>
      </c>
      <c r="G22" s="92" t="s">
        <v>75</v>
      </c>
      <c r="H22" s="92" t="s">
        <v>46</v>
      </c>
      <c r="J22" t="s">
        <v>3153</v>
      </c>
      <c r="K22">
        <v>187516</v>
      </c>
      <c r="L22" s="92" t="s">
        <v>3117</v>
      </c>
      <c r="M22" s="25"/>
      <c r="N22" s="93"/>
      <c r="O22" s="92" t="s">
        <v>2870</v>
      </c>
      <c r="P22" s="92" t="s">
        <v>3026</v>
      </c>
      <c r="Q22" s="92" t="s">
        <v>3114</v>
      </c>
      <c r="R22" s="92" t="s">
        <v>3098</v>
      </c>
      <c r="S22" s="7">
        <v>230000</v>
      </c>
      <c r="T22" s="7">
        <v>180000</v>
      </c>
      <c r="U22" s="7">
        <v>0</v>
      </c>
      <c r="V22" s="7"/>
      <c r="W22" s="7"/>
      <c r="X22" s="7">
        <f t="shared" si="1"/>
        <v>-180000</v>
      </c>
      <c r="Y22" s="5">
        <f t="shared" si="2"/>
        <v>-1</v>
      </c>
      <c r="Z22" s="6" t="s">
        <v>3154</v>
      </c>
      <c r="AA22" s="29">
        <f>SUMPRODUCT((BIdetails!$J$5:$J$3000=M22)*(BIdetails!$K$5:$K$3000=N22)*(BIdetails!$M$5:$M$3000))</f>
        <v>0</v>
      </c>
      <c r="AB22" s="30" t="str">
        <f t="shared" si="3"/>
        <v/>
      </c>
      <c r="AC22" s="27" t="s">
        <v>845</v>
      </c>
      <c r="AD22" s="27" t="s">
        <v>3100</v>
      </c>
      <c r="AE22" s="27" t="s">
        <v>3118</v>
      </c>
      <c r="AF22" s="27"/>
    </row>
    <row r="23" spans="1:32" hidden="1" x14ac:dyDescent="0.25">
      <c r="A23" t="s">
        <v>3094</v>
      </c>
      <c r="B23" t="str">
        <f t="shared" si="0"/>
        <v>No Change</v>
      </c>
      <c r="C23" s="92" t="s">
        <v>1680</v>
      </c>
      <c r="D23" t="s">
        <v>3151</v>
      </c>
      <c r="E23">
        <v>68427709</v>
      </c>
      <c r="F23" s="91" t="s">
        <v>44</v>
      </c>
      <c r="G23" s="92" t="s">
        <v>75</v>
      </c>
      <c r="H23" s="92" t="s">
        <v>46</v>
      </c>
      <c r="I23" t="s">
        <v>3096</v>
      </c>
      <c r="J23" t="s">
        <v>3128</v>
      </c>
      <c r="K23">
        <v>187516</v>
      </c>
      <c r="L23" s="92" t="s">
        <v>3117</v>
      </c>
      <c r="M23" s="25">
        <v>5401088459</v>
      </c>
      <c r="N23" s="93">
        <v>50</v>
      </c>
      <c r="O23" s="92" t="s">
        <v>2870</v>
      </c>
      <c r="P23" s="92" t="s">
        <v>3026</v>
      </c>
      <c r="Q23" s="92" t="s">
        <v>3104</v>
      </c>
      <c r="R23" s="92" t="s">
        <v>3098</v>
      </c>
      <c r="S23" s="7">
        <v>650000</v>
      </c>
      <c r="T23" s="7">
        <v>650000</v>
      </c>
      <c r="U23" s="7">
        <v>650000</v>
      </c>
      <c r="V23" s="7"/>
      <c r="W23" s="7"/>
      <c r="X23" s="7">
        <f t="shared" si="1"/>
        <v>0</v>
      </c>
      <c r="Y23" s="5">
        <f t="shared" si="2"/>
        <v>0</v>
      </c>
      <c r="Z23" s="6"/>
      <c r="AA23" s="29">
        <f>SUMPRODUCT((BIdetails!$J$5:$J$3000=M23)*(BIdetails!$K$5:$K$3000=N23)*(BIdetails!$M$5:$M$3000))</f>
        <v>0</v>
      </c>
      <c r="AB23" s="30">
        <f t="shared" si="3"/>
        <v>0</v>
      </c>
      <c r="AC23" s="27" t="s">
        <v>845</v>
      </c>
      <c r="AD23" s="27" t="s">
        <v>3100</v>
      </c>
      <c r="AE23" s="27" t="s">
        <v>3118</v>
      </c>
      <c r="AF23" s="27"/>
    </row>
    <row r="24" spans="1:32" hidden="1" x14ac:dyDescent="0.25">
      <c r="A24" t="s">
        <v>3106</v>
      </c>
      <c r="B24" t="str">
        <f t="shared" si="0"/>
        <v>Decommissioned</v>
      </c>
      <c r="C24" t="s">
        <v>717</v>
      </c>
      <c r="D24" t="s">
        <v>3155</v>
      </c>
      <c r="E24">
        <v>68427709</v>
      </c>
      <c r="F24" s="91" t="s">
        <v>59</v>
      </c>
      <c r="G24" t="s">
        <v>60</v>
      </c>
      <c r="H24" t="s">
        <v>46</v>
      </c>
      <c r="I24" t="s">
        <v>3144</v>
      </c>
      <c r="J24" t="s">
        <v>3156</v>
      </c>
      <c r="K24" s="22">
        <v>198049</v>
      </c>
      <c r="L24" t="s">
        <v>3157</v>
      </c>
      <c r="M24" s="203"/>
      <c r="O24" s="22" t="s">
        <v>2870</v>
      </c>
      <c r="P24" s="22" t="s">
        <v>3158</v>
      </c>
      <c r="Q24" t="s">
        <v>3114</v>
      </c>
      <c r="R24" t="s">
        <v>3098</v>
      </c>
      <c r="S24" s="7">
        <v>120000</v>
      </c>
      <c r="T24" s="7">
        <v>30000</v>
      </c>
      <c r="U24" s="7">
        <v>0</v>
      </c>
      <c r="V24" s="7"/>
      <c r="W24" s="7"/>
      <c r="X24" s="7">
        <f t="shared" si="1"/>
        <v>-30000</v>
      </c>
      <c r="Y24" s="5">
        <f t="shared" si="2"/>
        <v>-1</v>
      </c>
      <c r="Z24" s="117"/>
      <c r="AA24" s="29">
        <f>SUMPRODUCT((BIdetails!$J$5:$J$3000=M24)*(BIdetails!$K$5:$K$3000=N24)*(BIdetails!$M$5:$M$3000))</f>
        <v>0</v>
      </c>
      <c r="AB24" s="30" t="str">
        <f t="shared" si="3"/>
        <v/>
      </c>
      <c r="AC24" s="27"/>
      <c r="AD24" s="27"/>
      <c r="AE24" s="27"/>
      <c r="AF24" s="27"/>
    </row>
    <row r="25" spans="1:32" hidden="1" x14ac:dyDescent="0.25">
      <c r="A25" t="s">
        <v>3106</v>
      </c>
      <c r="B25" t="str">
        <f t="shared" si="0"/>
        <v>Decommissioned</v>
      </c>
      <c r="C25" s="22" t="s">
        <v>1041</v>
      </c>
      <c r="D25" t="s">
        <v>3159</v>
      </c>
      <c r="E25">
        <v>68427709</v>
      </c>
      <c r="F25" s="91" t="s">
        <v>54</v>
      </c>
      <c r="G25" t="s">
        <v>55</v>
      </c>
      <c r="H25" s="92" t="s">
        <v>46</v>
      </c>
      <c r="I25" t="s">
        <v>3144</v>
      </c>
      <c r="J25" t="s">
        <v>3156</v>
      </c>
      <c r="K25" s="22">
        <v>199492</v>
      </c>
      <c r="L25" s="22" t="s">
        <v>3160</v>
      </c>
      <c r="M25"/>
      <c r="O25" s="22" t="s">
        <v>2870</v>
      </c>
      <c r="P25" s="22" t="s">
        <v>3161</v>
      </c>
      <c r="Q25" t="s">
        <v>3114</v>
      </c>
      <c r="R25" t="s">
        <v>3098</v>
      </c>
      <c r="S25" s="7">
        <v>87000</v>
      </c>
      <c r="T25" s="7">
        <v>87000</v>
      </c>
      <c r="U25" s="7">
        <v>0</v>
      </c>
      <c r="V25" s="7"/>
      <c r="W25" s="7"/>
      <c r="X25" s="7">
        <f t="shared" si="1"/>
        <v>-87000</v>
      </c>
      <c r="Y25" s="5">
        <f t="shared" si="2"/>
        <v>-1</v>
      </c>
      <c r="Z25" s="117"/>
      <c r="AA25" s="29">
        <f>SUMPRODUCT((BIdetails!$J$5:$J$3000=M25)*(BIdetails!$K$5:$K$3000=N25)*(BIdetails!$M$5:$M$3000))</f>
        <v>0</v>
      </c>
      <c r="AB25" s="30" t="str">
        <f t="shared" si="3"/>
        <v/>
      </c>
      <c r="AC25" s="27" t="s">
        <v>3099</v>
      </c>
      <c r="AD25" s="27" t="s">
        <v>3162</v>
      </c>
      <c r="AE25" s="27" t="s">
        <v>3163</v>
      </c>
      <c r="AF25" s="27"/>
    </row>
    <row r="26" spans="1:32" hidden="1" x14ac:dyDescent="0.25">
      <c r="A26" t="s">
        <v>3094</v>
      </c>
      <c r="B26" t="str">
        <f t="shared" si="0"/>
        <v>Increase</v>
      </c>
      <c r="C26" t="s">
        <v>2556</v>
      </c>
      <c r="D26" t="s">
        <v>3164</v>
      </c>
      <c r="E26">
        <v>68427709</v>
      </c>
      <c r="F26" s="91" t="s">
        <v>59</v>
      </c>
      <c r="G26" t="s">
        <v>60</v>
      </c>
      <c r="H26" t="s">
        <v>46</v>
      </c>
      <c r="J26" t="s">
        <v>3165</v>
      </c>
      <c r="K26" s="92">
        <v>209152</v>
      </c>
      <c r="L26" t="s">
        <v>3166</v>
      </c>
      <c r="M26" s="20">
        <v>5401075371</v>
      </c>
      <c r="N26" s="20">
        <v>10</v>
      </c>
      <c r="O26" t="s">
        <v>2870</v>
      </c>
      <c r="P26" s="22" t="s">
        <v>1479</v>
      </c>
      <c r="Q26" t="s">
        <v>3114</v>
      </c>
      <c r="R26" t="s">
        <v>3136</v>
      </c>
      <c r="S26" s="7">
        <v>150000</v>
      </c>
      <c r="T26" s="7">
        <v>157000</v>
      </c>
      <c r="U26" s="7">
        <v>164500</v>
      </c>
      <c r="V26" s="7"/>
      <c r="W26" s="7"/>
      <c r="X26" s="7">
        <f t="shared" si="1"/>
        <v>7500</v>
      </c>
      <c r="Y26" s="5">
        <f t="shared" si="2"/>
        <v>4.7770700636942678E-2</v>
      </c>
      <c r="Z26" s="6"/>
      <c r="AA26" s="29">
        <f>SUMPRODUCT((BIdetails!$J$5:$J$3000=M26)*(BIdetails!$K$5:$K$3000=N26)*(BIdetails!$M$5:$M$3000))</f>
        <v>0</v>
      </c>
      <c r="AB26" s="30">
        <f t="shared" si="3"/>
        <v>0</v>
      </c>
      <c r="AC26" s="27"/>
      <c r="AD26" s="27"/>
      <c r="AE26" s="27"/>
      <c r="AF26" s="27"/>
    </row>
    <row r="27" spans="1:32" hidden="1" x14ac:dyDescent="0.25">
      <c r="A27" t="s">
        <v>3094</v>
      </c>
      <c r="B27" t="str">
        <f t="shared" si="0"/>
        <v>No Change</v>
      </c>
      <c r="C27" t="s">
        <v>481</v>
      </c>
      <c r="D27" t="s">
        <v>3167</v>
      </c>
      <c r="E27">
        <v>68427709</v>
      </c>
      <c r="F27" s="91" t="s">
        <v>57</v>
      </c>
      <c r="G27" t="s">
        <v>58</v>
      </c>
      <c r="H27" t="s">
        <v>46</v>
      </c>
      <c r="J27" t="s">
        <v>3168</v>
      </c>
      <c r="K27">
        <v>117570</v>
      </c>
      <c r="L27" t="s">
        <v>633</v>
      </c>
      <c r="M27">
        <v>5400880684</v>
      </c>
      <c r="N27" s="204">
        <v>40</v>
      </c>
      <c r="O27" t="s">
        <v>2870</v>
      </c>
      <c r="P27" s="22" t="s">
        <v>3169</v>
      </c>
      <c r="Q27" t="s">
        <v>3170</v>
      </c>
      <c r="R27" t="s">
        <v>3171</v>
      </c>
      <c r="S27" s="7">
        <v>130000</v>
      </c>
      <c r="T27" s="7">
        <v>130000</v>
      </c>
      <c r="U27" s="7">
        <v>130000</v>
      </c>
      <c r="V27" s="7"/>
      <c r="W27" s="7"/>
      <c r="X27" s="7">
        <f t="shared" si="1"/>
        <v>0</v>
      </c>
      <c r="Y27" s="5">
        <f t="shared" si="2"/>
        <v>0</v>
      </c>
      <c r="Z27" s="6"/>
      <c r="AA27" s="29">
        <f>SUMPRODUCT((BIdetails!$J$5:$J$3000=M27)*(BIdetails!$K$5:$K$3000=N27)*(BIdetails!$M$5:$M$3000))</f>
        <v>0</v>
      </c>
      <c r="AB27" s="30">
        <f t="shared" si="3"/>
        <v>0</v>
      </c>
      <c r="AC27" s="27" t="s">
        <v>3172</v>
      </c>
      <c r="AD27" s="27" t="s">
        <v>3162</v>
      </c>
      <c r="AE27" s="27"/>
      <c r="AF27" s="27"/>
    </row>
    <row r="28" spans="1:32" hidden="1" x14ac:dyDescent="0.25">
      <c r="A28" t="s">
        <v>3094</v>
      </c>
      <c r="B28" t="str">
        <f t="shared" si="0"/>
        <v>No Change</v>
      </c>
      <c r="C28" s="22" t="s">
        <v>2613</v>
      </c>
      <c r="D28" t="s">
        <v>3173</v>
      </c>
      <c r="E28">
        <v>68427709</v>
      </c>
      <c r="F28" s="91" t="s">
        <v>54</v>
      </c>
      <c r="G28" t="s">
        <v>55</v>
      </c>
      <c r="H28" t="s">
        <v>46</v>
      </c>
      <c r="J28" t="s">
        <v>3174</v>
      </c>
      <c r="K28" s="92">
        <v>197254</v>
      </c>
      <c r="L28" s="92" t="s">
        <v>167</v>
      </c>
      <c r="M28" s="20">
        <v>5401084795</v>
      </c>
      <c r="N28" s="20">
        <v>10</v>
      </c>
      <c r="O28" s="92" t="s">
        <v>2870</v>
      </c>
      <c r="P28" s="22" t="s">
        <v>2500</v>
      </c>
      <c r="Q28" t="s">
        <v>3114</v>
      </c>
      <c r="R28" t="s">
        <v>3175</v>
      </c>
      <c r="S28" s="217"/>
      <c r="T28" s="7">
        <v>105000</v>
      </c>
      <c r="U28" s="7">
        <v>105000</v>
      </c>
      <c r="V28" s="7"/>
      <c r="W28" s="7"/>
      <c r="X28" s="7">
        <f t="shared" si="1"/>
        <v>0</v>
      </c>
      <c r="Y28" s="5">
        <f t="shared" si="2"/>
        <v>0</v>
      </c>
      <c r="Z28" s="117"/>
      <c r="AA28" s="29">
        <f>SUMPRODUCT((BIdetails!$J$5:$J$3000=M28)*(BIdetails!$K$5:$K$3000=N28)*(BIdetails!$M$5:$M$3000))</f>
        <v>0</v>
      </c>
      <c r="AB28" s="30">
        <f t="shared" si="3"/>
        <v>0</v>
      </c>
      <c r="AC28" s="27"/>
      <c r="AD28" s="27"/>
      <c r="AE28" s="27"/>
      <c r="AF28" s="27"/>
    </row>
    <row r="29" spans="1:32" hidden="1" x14ac:dyDescent="0.25">
      <c r="A29" t="s">
        <v>3094</v>
      </c>
      <c r="B29" t="str">
        <f t="shared" si="0"/>
        <v>No Change</v>
      </c>
      <c r="C29" s="22" t="s">
        <v>2615</v>
      </c>
      <c r="D29" t="s">
        <v>3173</v>
      </c>
      <c r="E29">
        <v>68427709</v>
      </c>
      <c r="F29" s="91" t="s">
        <v>54</v>
      </c>
      <c r="G29" t="s">
        <v>55</v>
      </c>
      <c r="H29" t="s">
        <v>46</v>
      </c>
      <c r="J29" t="s">
        <v>3174</v>
      </c>
      <c r="K29" s="92">
        <v>197254</v>
      </c>
      <c r="L29" s="92" t="s">
        <v>167</v>
      </c>
      <c r="M29" s="203">
        <v>5401084795</v>
      </c>
      <c r="N29" s="20">
        <v>10</v>
      </c>
      <c r="O29" s="92" t="s">
        <v>2870</v>
      </c>
      <c r="P29" s="22" t="s">
        <v>2500</v>
      </c>
      <c r="Q29" s="201" t="s">
        <v>3114</v>
      </c>
      <c r="R29" t="s">
        <v>517</v>
      </c>
      <c r="S29" s="217"/>
      <c r="T29" s="7">
        <v>105000</v>
      </c>
      <c r="U29" s="7">
        <v>105000</v>
      </c>
      <c r="V29" s="7"/>
      <c r="W29" s="7"/>
      <c r="X29" s="7">
        <f t="shared" si="1"/>
        <v>0</v>
      </c>
      <c r="Y29" s="5">
        <f t="shared" si="2"/>
        <v>0</v>
      </c>
      <c r="Z29" s="117"/>
      <c r="AA29" s="29">
        <f>SUMPRODUCT((BIdetails!$J$5:$J$3000=M29)*(BIdetails!$K$5:$K$3000=N29)*(BIdetails!$M$5:$M$3000))</f>
        <v>0</v>
      </c>
      <c r="AB29" s="30">
        <f t="shared" si="3"/>
        <v>0</v>
      </c>
      <c r="AC29" s="27"/>
      <c r="AD29" s="27"/>
      <c r="AE29" s="27"/>
      <c r="AF29" s="27"/>
    </row>
    <row r="30" spans="1:32" hidden="1" x14ac:dyDescent="0.25">
      <c r="A30" t="s">
        <v>3106</v>
      </c>
      <c r="B30" t="str">
        <f t="shared" si="0"/>
        <v>No Change</v>
      </c>
      <c r="C30" t="s">
        <v>2495</v>
      </c>
      <c r="D30" t="s">
        <v>3176</v>
      </c>
      <c r="E30">
        <v>68427709</v>
      </c>
      <c r="F30" s="91" t="s">
        <v>36</v>
      </c>
      <c r="G30" t="s">
        <v>37</v>
      </c>
      <c r="H30" t="s">
        <v>33</v>
      </c>
      <c r="I30" t="s">
        <v>3177</v>
      </c>
      <c r="J30" t="s">
        <v>3178</v>
      </c>
      <c r="K30">
        <v>120252</v>
      </c>
      <c r="L30" s="170" t="s">
        <v>3179</v>
      </c>
      <c r="O30" s="92" t="s">
        <v>2870</v>
      </c>
      <c r="P30" s="92" t="s">
        <v>2870</v>
      </c>
      <c r="Q30" t="s">
        <v>3114</v>
      </c>
      <c r="R30" t="s">
        <v>3098</v>
      </c>
      <c r="S30" s="7">
        <v>60000</v>
      </c>
      <c r="T30" s="7">
        <v>0</v>
      </c>
      <c r="U30" s="7">
        <v>0</v>
      </c>
      <c r="V30" s="7"/>
      <c r="W30" s="7"/>
      <c r="X30" s="7">
        <f t="shared" si="1"/>
        <v>0</v>
      </c>
      <c r="Y30" s="5">
        <f t="shared" si="2"/>
        <v>0</v>
      </c>
      <c r="Z30" s="6"/>
      <c r="AA30" s="29">
        <f>SUMPRODUCT((BIdetails!$J$5:$J$3000=M30)*(BIdetails!$K$5:$K$3000=N30)*(BIdetails!$M$5:$M$3000))</f>
        <v>0</v>
      </c>
      <c r="AB30" s="30" t="str">
        <f t="shared" si="3"/>
        <v/>
      </c>
      <c r="AC30" s="27" t="s">
        <v>845</v>
      </c>
      <c r="AD30" s="27" t="s">
        <v>3100</v>
      </c>
      <c r="AE30" s="27" t="s">
        <v>3118</v>
      </c>
      <c r="AF30" s="27"/>
    </row>
    <row r="31" spans="1:32" hidden="1" x14ac:dyDescent="0.25">
      <c r="A31" t="s">
        <v>3094</v>
      </c>
      <c r="B31" t="str">
        <f t="shared" si="0"/>
        <v>Decrease</v>
      </c>
      <c r="C31" s="92" t="s">
        <v>3180</v>
      </c>
      <c r="D31" t="s">
        <v>3176</v>
      </c>
      <c r="E31">
        <v>68427709</v>
      </c>
      <c r="F31" s="91" t="s">
        <v>31</v>
      </c>
      <c r="G31" t="s">
        <v>32</v>
      </c>
      <c r="H31" s="92" t="s">
        <v>33</v>
      </c>
      <c r="I31" t="s">
        <v>3096</v>
      </c>
      <c r="J31" t="s">
        <v>3152</v>
      </c>
      <c r="K31" s="92">
        <v>120252</v>
      </c>
      <c r="L31" s="92" t="s">
        <v>3179</v>
      </c>
      <c r="M31">
        <v>5401087887</v>
      </c>
      <c r="N31" s="93">
        <v>10</v>
      </c>
      <c r="O31" s="92" t="s">
        <v>2870</v>
      </c>
      <c r="P31" s="92" t="s">
        <v>2870</v>
      </c>
      <c r="Q31" s="92" t="s">
        <v>3104</v>
      </c>
      <c r="R31" s="92" t="s">
        <v>3098</v>
      </c>
      <c r="S31" s="7">
        <v>2100000</v>
      </c>
      <c r="T31" s="7">
        <v>2100000</v>
      </c>
      <c r="U31" s="7">
        <v>1900000</v>
      </c>
      <c r="V31" s="7"/>
      <c r="W31" s="7"/>
      <c r="X31" s="7">
        <f t="shared" si="1"/>
        <v>-200000</v>
      </c>
      <c r="Y31" s="5">
        <f t="shared" si="2"/>
        <v>-9.5238095238095233E-2</v>
      </c>
      <c r="Z31" s="6"/>
      <c r="AA31" s="29">
        <f>SUMPRODUCT((BIdetails!$J$5:$J$3000=M31)*(BIdetails!$K$5:$K$3000=N31)*(BIdetails!$M$5:$M$3000))</f>
        <v>0</v>
      </c>
      <c r="AB31" s="30">
        <f t="shared" si="3"/>
        <v>0</v>
      </c>
      <c r="AC31" s="27" t="s">
        <v>845</v>
      </c>
      <c r="AD31" s="27" t="s">
        <v>3100</v>
      </c>
      <c r="AE31" s="27" t="s">
        <v>3118</v>
      </c>
      <c r="AF31" s="27"/>
    </row>
    <row r="32" spans="1:32" hidden="1" x14ac:dyDescent="0.25">
      <c r="A32" t="s">
        <v>3094</v>
      </c>
      <c r="B32" t="str">
        <f t="shared" si="0"/>
        <v>Decrease</v>
      </c>
      <c r="C32" t="s">
        <v>2479</v>
      </c>
      <c r="D32" t="s">
        <v>3181</v>
      </c>
      <c r="E32">
        <v>68427709</v>
      </c>
      <c r="F32" s="91" t="s">
        <v>59</v>
      </c>
      <c r="G32" t="s">
        <v>60</v>
      </c>
      <c r="H32" t="s">
        <v>46</v>
      </c>
      <c r="J32" t="s">
        <v>3182</v>
      </c>
      <c r="K32">
        <v>3002176</v>
      </c>
      <c r="L32" t="s">
        <v>293</v>
      </c>
      <c r="M32" s="20">
        <v>5401096885</v>
      </c>
      <c r="N32" s="20">
        <v>10</v>
      </c>
      <c r="O32" t="s">
        <v>2870</v>
      </c>
      <c r="P32" s="22" t="s">
        <v>3183</v>
      </c>
      <c r="Q32" t="s">
        <v>3184</v>
      </c>
      <c r="R32" s="22" t="s">
        <v>3120</v>
      </c>
      <c r="S32" s="7">
        <v>177000</v>
      </c>
      <c r="T32" s="7">
        <v>199000</v>
      </c>
      <c r="U32" s="7">
        <v>167500</v>
      </c>
      <c r="V32" s="7"/>
      <c r="W32" s="7"/>
      <c r="X32" s="7">
        <f t="shared" si="1"/>
        <v>-31500</v>
      </c>
      <c r="Y32" s="5">
        <f t="shared" si="2"/>
        <v>-0.15829145728643215</v>
      </c>
      <c r="Z32" s="6"/>
      <c r="AA32" s="29">
        <f>SUMPRODUCT((BIdetails!$J$5:$J$3000=M32)*(BIdetails!$K$5:$K$3000=N32)*(BIdetails!$M$5:$M$3000))</f>
        <v>0</v>
      </c>
      <c r="AB32" s="30">
        <f t="shared" si="3"/>
        <v>0</v>
      </c>
      <c r="AC32" s="27"/>
      <c r="AD32" s="27"/>
      <c r="AE32" s="27"/>
      <c r="AF32" s="27"/>
    </row>
    <row r="33" spans="1:32" hidden="1" x14ac:dyDescent="0.25">
      <c r="A33" t="s">
        <v>3094</v>
      </c>
      <c r="B33" t="str">
        <f t="shared" si="0"/>
        <v>Decrease</v>
      </c>
      <c r="C33" s="22" t="s">
        <v>2682</v>
      </c>
      <c r="E33">
        <v>68427709</v>
      </c>
      <c r="F33" s="91" t="s">
        <v>14</v>
      </c>
      <c r="G33" t="s">
        <v>15</v>
      </c>
      <c r="H33" s="92" t="s">
        <v>16</v>
      </c>
      <c r="I33" t="s">
        <v>2445</v>
      </c>
      <c r="J33" t="s">
        <v>3116</v>
      </c>
      <c r="K33">
        <v>187516</v>
      </c>
      <c r="L33" s="92" t="s">
        <v>3117</v>
      </c>
      <c r="M33" s="203"/>
      <c r="O33" s="92" t="s">
        <v>2410</v>
      </c>
      <c r="P33" s="22" t="s">
        <v>2410</v>
      </c>
      <c r="Q33" t="s">
        <v>3114</v>
      </c>
      <c r="R33" t="s">
        <v>3133</v>
      </c>
      <c r="S33" s="7"/>
      <c r="T33" s="7">
        <v>64000</v>
      </c>
      <c r="U33" s="7">
        <v>60000</v>
      </c>
      <c r="V33" s="7"/>
      <c r="W33" s="7"/>
      <c r="X33" s="7">
        <f t="shared" si="1"/>
        <v>-4000</v>
      </c>
      <c r="Y33" s="5">
        <f t="shared" si="2"/>
        <v>-6.25E-2</v>
      </c>
      <c r="Z33" s="117"/>
      <c r="AA33" s="29">
        <f>SUMPRODUCT((BIdetails!$J$5:$J$3000=M33)*(BIdetails!$K$5:$K$3000=N33)*(BIdetails!$M$5:$M$3000))</f>
        <v>0</v>
      </c>
      <c r="AB33" s="30">
        <f t="shared" si="3"/>
        <v>0</v>
      </c>
      <c r="AC33" s="27"/>
      <c r="AD33" s="27"/>
      <c r="AE33" s="27"/>
      <c r="AF33" s="27"/>
    </row>
    <row r="34" spans="1:32" x14ac:dyDescent="0.25">
      <c r="A34" t="s">
        <v>3094</v>
      </c>
      <c r="B34" t="str">
        <f t="shared" si="0"/>
        <v>Increase</v>
      </c>
      <c r="C34" t="s">
        <v>2845</v>
      </c>
      <c r="D34" t="s">
        <v>3185</v>
      </c>
      <c r="E34">
        <v>68427709</v>
      </c>
      <c r="F34" s="91" t="s">
        <v>59</v>
      </c>
      <c r="G34" t="s">
        <v>60</v>
      </c>
      <c r="H34" t="s">
        <v>46</v>
      </c>
      <c r="I34" t="s">
        <v>3144</v>
      </c>
      <c r="J34" t="s">
        <v>3186</v>
      </c>
      <c r="K34">
        <v>192268</v>
      </c>
      <c r="L34" t="s">
        <v>3187</v>
      </c>
      <c r="M34" s="20">
        <v>5401047702</v>
      </c>
      <c r="N34" s="20">
        <v>10</v>
      </c>
      <c r="O34" t="s">
        <v>2843</v>
      </c>
      <c r="P34" s="22" t="s">
        <v>2843</v>
      </c>
      <c r="Q34" t="s">
        <v>3114</v>
      </c>
      <c r="R34" t="s">
        <v>42</v>
      </c>
      <c r="S34" s="7">
        <v>10700</v>
      </c>
      <c r="T34" s="7">
        <v>10700</v>
      </c>
      <c r="U34" s="7">
        <v>11000</v>
      </c>
      <c r="V34" s="7"/>
      <c r="W34" s="307">
        <v>15000</v>
      </c>
      <c r="X34" s="7">
        <f>W34-U34</f>
        <v>4000</v>
      </c>
      <c r="Y34" s="5">
        <f t="shared" ref="Y34:Y65" si="4">IF(B34="New",1,IFERROR(X34/T34,0))</f>
        <v>0.37383177570093457</v>
      </c>
      <c r="Z34" s="6"/>
      <c r="AA34" s="29">
        <f>SUMPRODUCT((BIdetails!$J$5:$J$3000=M34)*(BIdetails!$K$5:$K$3000=N34)*(BIdetails!$M$5:$M$3000))</f>
        <v>0</v>
      </c>
      <c r="AB34" s="30">
        <f t="shared" si="3"/>
        <v>0</v>
      </c>
      <c r="AC34" s="27" t="s">
        <v>3099</v>
      </c>
      <c r="AD34" s="27" t="s">
        <v>3108</v>
      </c>
      <c r="AE34" s="27"/>
      <c r="AF34" s="27"/>
    </row>
    <row r="35" spans="1:32" hidden="1" x14ac:dyDescent="0.25">
      <c r="A35" t="s">
        <v>3094</v>
      </c>
      <c r="B35" t="str">
        <f t="shared" si="0"/>
        <v>New</v>
      </c>
      <c r="C35" s="22" t="s">
        <v>2988</v>
      </c>
      <c r="D35" t="s">
        <v>3188</v>
      </c>
      <c r="E35">
        <v>68427709</v>
      </c>
      <c r="F35" s="91" t="s">
        <v>59</v>
      </c>
      <c r="G35" t="s">
        <v>60</v>
      </c>
      <c r="H35" t="s">
        <v>46</v>
      </c>
      <c r="I35" t="s">
        <v>2448</v>
      </c>
      <c r="J35" t="s">
        <v>3189</v>
      </c>
      <c r="K35">
        <v>212829</v>
      </c>
      <c r="L35" s="22" t="s">
        <v>3190</v>
      </c>
      <c r="M35" s="203"/>
      <c r="O35" s="92" t="s">
        <v>2410</v>
      </c>
      <c r="P35" s="22"/>
      <c r="Q35" t="s">
        <v>3124</v>
      </c>
      <c r="R35" t="s">
        <v>2903</v>
      </c>
      <c r="S35" s="7"/>
      <c r="T35" s="7"/>
      <c r="U35" s="7">
        <v>900</v>
      </c>
      <c r="V35" s="7"/>
      <c r="W35" s="7"/>
      <c r="X35" s="7">
        <f t="shared" si="1"/>
        <v>900</v>
      </c>
      <c r="Y35" s="5">
        <f t="shared" si="4"/>
        <v>1</v>
      </c>
      <c r="Z35" s="117"/>
      <c r="AA35" s="29">
        <f>SUMPRODUCT((BIdetails!$J$5:$J$3000=M35)*(BIdetails!$K$5:$K$3000=N35)*(BIdetails!$M$5:$M$3000))</f>
        <v>0</v>
      </c>
      <c r="AB35" s="30">
        <f t="shared" si="3"/>
        <v>0</v>
      </c>
      <c r="AC35" s="27"/>
      <c r="AD35" s="27"/>
      <c r="AE35" s="27"/>
      <c r="AF35" s="27"/>
    </row>
    <row r="36" spans="1:32" hidden="1" x14ac:dyDescent="0.25">
      <c r="A36" t="s">
        <v>3094</v>
      </c>
      <c r="B36" t="str">
        <f t="shared" si="0"/>
        <v>Decrease</v>
      </c>
      <c r="C36" s="22" t="s">
        <v>2894</v>
      </c>
      <c r="D36" t="s">
        <v>3191</v>
      </c>
      <c r="E36">
        <v>68427709</v>
      </c>
      <c r="F36" s="91" t="s">
        <v>54</v>
      </c>
      <c r="G36" t="s">
        <v>55</v>
      </c>
      <c r="H36" s="92" t="s">
        <v>46</v>
      </c>
      <c r="J36" s="22" t="s">
        <v>3192</v>
      </c>
      <c r="K36">
        <v>193317</v>
      </c>
      <c r="L36" s="22" t="s">
        <v>161</v>
      </c>
      <c r="M36" s="205">
        <v>5401091700</v>
      </c>
      <c r="N36" s="20">
        <v>10</v>
      </c>
      <c r="O36" s="92" t="s">
        <v>2870</v>
      </c>
      <c r="P36" s="22" t="s">
        <v>1819</v>
      </c>
      <c r="Q36" t="s">
        <v>3124</v>
      </c>
      <c r="R36" t="s">
        <v>3125</v>
      </c>
      <c r="S36" s="7"/>
      <c r="T36" s="7">
        <v>110000</v>
      </c>
      <c r="U36" s="7">
        <v>105000</v>
      </c>
      <c r="V36" s="7"/>
      <c r="W36" s="7"/>
      <c r="X36" s="7">
        <f t="shared" si="1"/>
        <v>-5000</v>
      </c>
      <c r="Y36" s="5">
        <f t="shared" si="4"/>
        <v>-4.5454545454545456E-2</v>
      </c>
      <c r="Z36" s="117"/>
      <c r="AA36" s="29">
        <f>SUMPRODUCT((BIdetails!$J$5:$J$3000=M36)*(BIdetails!$K$5:$K$3000=N36)*(BIdetails!$M$5:$M$3000))</f>
        <v>0</v>
      </c>
      <c r="AB36" s="30">
        <f t="shared" si="3"/>
        <v>0</v>
      </c>
      <c r="AC36" s="27"/>
      <c r="AD36" s="27"/>
      <c r="AE36" s="27"/>
      <c r="AF36" s="27"/>
    </row>
    <row r="37" spans="1:32" hidden="1" x14ac:dyDescent="0.25">
      <c r="A37" t="s">
        <v>3094</v>
      </c>
      <c r="B37" t="str">
        <f t="shared" si="0"/>
        <v>No Change</v>
      </c>
      <c r="C37" s="92" t="s">
        <v>3193</v>
      </c>
      <c r="D37" t="s">
        <v>3194</v>
      </c>
      <c r="E37">
        <v>68427709</v>
      </c>
      <c r="F37" s="91" t="s">
        <v>59</v>
      </c>
      <c r="G37" t="s">
        <v>60</v>
      </c>
      <c r="H37" s="92" t="s">
        <v>46</v>
      </c>
      <c r="J37" t="s">
        <v>3192</v>
      </c>
      <c r="K37">
        <v>193317</v>
      </c>
      <c r="L37" s="22" t="s">
        <v>161</v>
      </c>
      <c r="M37" s="205">
        <v>5401091687</v>
      </c>
      <c r="N37" s="20">
        <v>10</v>
      </c>
      <c r="O37" s="92" t="s">
        <v>2870</v>
      </c>
      <c r="P37" s="92" t="s">
        <v>3195</v>
      </c>
      <c r="Q37" t="s">
        <v>3124</v>
      </c>
      <c r="R37" t="s">
        <v>3125</v>
      </c>
      <c r="S37" s="7">
        <v>20000</v>
      </c>
      <c r="T37" s="7">
        <v>50000</v>
      </c>
      <c r="U37" s="7">
        <v>50000</v>
      </c>
      <c r="V37" s="7"/>
      <c r="W37" s="7"/>
      <c r="X37" s="7">
        <f t="shared" si="1"/>
        <v>0</v>
      </c>
      <c r="Y37" s="5">
        <f t="shared" si="4"/>
        <v>0</v>
      </c>
      <c r="Z37" s="6"/>
      <c r="AA37" s="29">
        <f>SUMPRODUCT((BIdetails!$J$5:$J$3000=M37)*(BIdetails!$K$5:$K$3000=N37)*(BIdetails!$M$5:$M$3000))</f>
        <v>0</v>
      </c>
      <c r="AB37" s="30">
        <f t="shared" si="3"/>
        <v>0</v>
      </c>
      <c r="AC37" s="27"/>
      <c r="AD37" s="27"/>
      <c r="AE37" s="27"/>
      <c r="AF37" s="27"/>
    </row>
    <row r="38" spans="1:32" hidden="1" x14ac:dyDescent="0.25">
      <c r="A38" t="s">
        <v>3094</v>
      </c>
      <c r="B38" t="str">
        <f t="shared" si="0"/>
        <v>Decrease</v>
      </c>
      <c r="C38" s="22" t="s">
        <v>3196</v>
      </c>
      <c r="D38" t="s">
        <v>3197</v>
      </c>
      <c r="E38">
        <v>68427709</v>
      </c>
      <c r="F38" s="91" t="s">
        <v>59</v>
      </c>
      <c r="G38" t="s">
        <v>60</v>
      </c>
      <c r="H38" s="92" t="s">
        <v>46</v>
      </c>
      <c r="J38" t="s">
        <v>3192</v>
      </c>
      <c r="K38">
        <v>193317</v>
      </c>
      <c r="L38" s="22" t="s">
        <v>161</v>
      </c>
      <c r="M38" s="203" t="s">
        <v>3198</v>
      </c>
      <c r="N38" s="20">
        <v>10</v>
      </c>
      <c r="O38" s="92" t="s">
        <v>2870</v>
      </c>
      <c r="P38" s="22" t="s">
        <v>1819</v>
      </c>
      <c r="Q38" t="s">
        <v>3124</v>
      </c>
      <c r="R38" t="s">
        <v>3125</v>
      </c>
      <c r="S38" s="7"/>
      <c r="T38" s="7">
        <v>162000</v>
      </c>
      <c r="U38" s="7">
        <v>128700</v>
      </c>
      <c r="V38" s="7"/>
      <c r="W38" s="7"/>
      <c r="X38" s="7">
        <f t="shared" si="1"/>
        <v>-33300</v>
      </c>
      <c r="Y38" s="5">
        <f t="shared" si="4"/>
        <v>-0.20555555555555555</v>
      </c>
      <c r="Z38" s="117"/>
      <c r="AA38" s="29">
        <f>SUMPRODUCT((BIdetails!$J$5:$J$3000=M38)*(BIdetails!$K$5:$K$3000=N38)*(BIdetails!$M$5:$M$3000))</f>
        <v>0</v>
      </c>
      <c r="AB38" s="30">
        <f t="shared" si="3"/>
        <v>0</v>
      </c>
      <c r="AC38" s="27"/>
      <c r="AD38" s="27"/>
      <c r="AE38" s="27"/>
      <c r="AF38" s="27"/>
    </row>
    <row r="39" spans="1:32" x14ac:dyDescent="0.25">
      <c r="A39" t="s">
        <v>3094</v>
      </c>
      <c r="B39" t="str">
        <f t="shared" si="0"/>
        <v>No Change</v>
      </c>
      <c r="C39" t="s">
        <v>6798</v>
      </c>
      <c r="E39">
        <v>68427709</v>
      </c>
      <c r="F39" s="91" t="s">
        <v>40</v>
      </c>
      <c r="G39" t="s">
        <v>42</v>
      </c>
      <c r="H39" t="s">
        <v>42</v>
      </c>
      <c r="I39" t="s">
        <v>2445</v>
      </c>
      <c r="J39" t="s">
        <v>3116</v>
      </c>
      <c r="K39" s="22"/>
      <c r="L39" s="22"/>
      <c r="M39" s="203"/>
      <c r="O39" t="s">
        <v>2843</v>
      </c>
      <c r="P39" t="s">
        <v>2843</v>
      </c>
      <c r="Q39" t="s">
        <v>3114</v>
      </c>
      <c r="R39" t="s">
        <v>42</v>
      </c>
      <c r="S39" s="7">
        <v>70000</v>
      </c>
      <c r="T39" s="7">
        <v>70000</v>
      </c>
      <c r="U39" s="7">
        <v>70000</v>
      </c>
      <c r="V39" s="7"/>
      <c r="W39" s="305">
        <v>150000</v>
      </c>
      <c r="X39" s="7">
        <f t="shared" ref="X39:X40" si="5">W39-U39</f>
        <v>80000</v>
      </c>
      <c r="Y39" s="5">
        <f t="shared" si="4"/>
        <v>1.1428571428571428</v>
      </c>
      <c r="Z39" s="6"/>
      <c r="AA39" s="29">
        <f>SUMPRODUCT((BIdetails!$J$5:$J$3000=M39)*(BIdetails!$K$5:$K$3000=N39)*(BIdetails!$M$5:$M$3000))</f>
        <v>0</v>
      </c>
      <c r="AB39" s="30">
        <f t="shared" si="3"/>
        <v>0</v>
      </c>
      <c r="AC39" s="27" t="s">
        <v>845</v>
      </c>
      <c r="AD39" s="27" t="s">
        <v>3100</v>
      </c>
      <c r="AE39" s="27" t="s">
        <v>3118</v>
      </c>
      <c r="AF39" s="27"/>
    </row>
    <row r="40" spans="1:32" x14ac:dyDescent="0.25">
      <c r="A40" t="s">
        <v>3094</v>
      </c>
      <c r="B40" t="str">
        <f t="shared" si="0"/>
        <v>No Change</v>
      </c>
      <c r="C40" t="s">
        <v>689</v>
      </c>
      <c r="D40" t="s">
        <v>3199</v>
      </c>
      <c r="E40">
        <v>68427709</v>
      </c>
      <c r="F40" s="91" t="s">
        <v>40</v>
      </c>
      <c r="G40" t="s">
        <v>42</v>
      </c>
      <c r="H40" t="s">
        <v>46</v>
      </c>
      <c r="I40" t="s">
        <v>2445</v>
      </c>
      <c r="J40" t="s">
        <v>3116</v>
      </c>
      <c r="K40" s="229">
        <v>195870</v>
      </c>
      <c r="L40" t="s">
        <v>131</v>
      </c>
      <c r="M40" s="229">
        <v>5401030717</v>
      </c>
      <c r="N40" s="20">
        <v>10</v>
      </c>
      <c r="O40" t="s">
        <v>2843</v>
      </c>
      <c r="P40" s="22" t="s">
        <v>2843</v>
      </c>
      <c r="Q40" t="s">
        <v>3114</v>
      </c>
      <c r="R40" t="s">
        <v>42</v>
      </c>
      <c r="S40" s="7">
        <v>80000</v>
      </c>
      <c r="T40" s="7">
        <v>80000</v>
      </c>
      <c r="U40" s="7">
        <v>80000</v>
      </c>
      <c r="V40" s="7"/>
      <c r="W40" s="7">
        <f>U40*1.04</f>
        <v>83200</v>
      </c>
      <c r="X40" s="7">
        <f t="shared" si="5"/>
        <v>3200</v>
      </c>
      <c r="Y40" s="5">
        <f t="shared" si="4"/>
        <v>0.04</v>
      </c>
      <c r="Z40" s="6"/>
      <c r="AA40" s="29">
        <f>SUMPRODUCT((BIdetails!$J$5:$J$3000=M40)*(BIdetails!$K$5:$K$3000=N40)*(BIdetails!$M$5:$M$3000))</f>
        <v>0</v>
      </c>
      <c r="AB40" s="30">
        <f t="shared" si="3"/>
        <v>0</v>
      </c>
      <c r="AC40" s="27" t="s">
        <v>845</v>
      </c>
      <c r="AD40" s="27" t="s">
        <v>3100</v>
      </c>
      <c r="AE40" s="27" t="s">
        <v>3118</v>
      </c>
      <c r="AF40" s="27"/>
    </row>
    <row r="41" spans="1:32" hidden="1" x14ac:dyDescent="0.25">
      <c r="A41" t="s">
        <v>3106</v>
      </c>
      <c r="B41" t="str">
        <f t="shared" si="0"/>
        <v>No Change</v>
      </c>
      <c r="C41" t="s">
        <v>3200</v>
      </c>
      <c r="D41" t="s">
        <v>3151</v>
      </c>
      <c r="E41">
        <v>68427709</v>
      </c>
      <c r="F41" s="91" t="s">
        <v>44</v>
      </c>
      <c r="G41" s="92" t="s">
        <v>75</v>
      </c>
      <c r="H41" s="92" t="s">
        <v>46</v>
      </c>
      <c r="J41" t="s">
        <v>3153</v>
      </c>
      <c r="K41">
        <v>187516</v>
      </c>
      <c r="L41" s="92" t="s">
        <v>3117</v>
      </c>
      <c r="O41" s="92" t="s">
        <v>2870</v>
      </c>
      <c r="P41" s="92" t="s">
        <v>2870</v>
      </c>
      <c r="Q41" s="92" t="s">
        <v>3114</v>
      </c>
      <c r="R41" s="92" t="s">
        <v>3098</v>
      </c>
      <c r="S41" s="7">
        <v>80000</v>
      </c>
      <c r="T41" s="7">
        <v>0</v>
      </c>
      <c r="U41" s="7">
        <v>0</v>
      </c>
      <c r="V41" s="7"/>
      <c r="W41" s="7"/>
      <c r="X41" s="7">
        <f t="shared" si="1"/>
        <v>0</v>
      </c>
      <c r="Y41" s="5">
        <f t="shared" si="4"/>
        <v>0</v>
      </c>
      <c r="Z41" s="6"/>
      <c r="AA41" s="29">
        <f>SUMPRODUCT((BIdetails!$J$5:$J$3000=M41)*(BIdetails!$K$5:$K$3000=N41)*(BIdetails!$M$5:$M$3000))</f>
        <v>0</v>
      </c>
      <c r="AB41" s="30" t="str">
        <f t="shared" si="3"/>
        <v/>
      </c>
      <c r="AC41" s="27" t="s">
        <v>3099</v>
      </c>
      <c r="AD41" s="27" t="s">
        <v>3100</v>
      </c>
      <c r="AE41" s="27" t="s">
        <v>3101</v>
      </c>
      <c r="AF41" s="27"/>
    </row>
    <row r="42" spans="1:32" hidden="1" x14ac:dyDescent="0.25">
      <c r="A42" t="s">
        <v>3094</v>
      </c>
      <c r="B42" t="str">
        <f t="shared" si="0"/>
        <v>No Change</v>
      </c>
      <c r="C42" s="22" t="s">
        <v>2680</v>
      </c>
      <c r="E42">
        <v>68427709</v>
      </c>
      <c r="F42" s="91" t="s">
        <v>36</v>
      </c>
      <c r="G42" t="s">
        <v>37</v>
      </c>
      <c r="H42" s="92" t="s">
        <v>33</v>
      </c>
      <c r="I42" t="s">
        <v>3177</v>
      </c>
      <c r="J42" t="s">
        <v>3178</v>
      </c>
      <c r="K42">
        <v>187516</v>
      </c>
      <c r="L42" s="92" t="s">
        <v>3117</v>
      </c>
      <c r="M42" s="203"/>
      <c r="O42" s="92" t="s">
        <v>2410</v>
      </c>
      <c r="P42" s="22" t="s">
        <v>2410</v>
      </c>
      <c r="Q42" t="s">
        <v>3114</v>
      </c>
      <c r="R42" t="s">
        <v>3133</v>
      </c>
      <c r="S42" s="7"/>
      <c r="T42" s="7">
        <v>125000</v>
      </c>
      <c r="U42" s="7">
        <v>125000</v>
      </c>
      <c r="V42" s="7"/>
      <c r="W42" s="7"/>
      <c r="X42" s="7">
        <f t="shared" si="1"/>
        <v>0</v>
      </c>
      <c r="Y42" s="5">
        <f t="shared" si="4"/>
        <v>0</v>
      </c>
      <c r="Z42" s="117"/>
      <c r="AA42" s="29">
        <f>SUMPRODUCT((BIdetails!$J$5:$J$3000=M42)*(BIdetails!$K$5:$K$3000=N42)*(BIdetails!$M$5:$M$3000))</f>
        <v>0</v>
      </c>
      <c r="AB42" s="30">
        <f t="shared" si="3"/>
        <v>0</v>
      </c>
      <c r="AC42" s="27"/>
      <c r="AD42" s="27"/>
      <c r="AE42" s="27"/>
      <c r="AF42" s="27"/>
    </row>
    <row r="43" spans="1:32" hidden="1" x14ac:dyDescent="0.25">
      <c r="A43" t="s">
        <v>3094</v>
      </c>
      <c r="B43" t="str">
        <f t="shared" si="0"/>
        <v>Decrease</v>
      </c>
      <c r="C43" s="92" t="s">
        <v>1067</v>
      </c>
      <c r="D43" t="s">
        <v>3151</v>
      </c>
      <c r="E43">
        <v>68427709</v>
      </c>
      <c r="F43" s="91" t="s">
        <v>44</v>
      </c>
      <c r="G43" s="92" t="s">
        <v>75</v>
      </c>
      <c r="H43" s="92" t="s">
        <v>46</v>
      </c>
      <c r="I43" t="s">
        <v>3096</v>
      </c>
      <c r="J43" t="s">
        <v>3128</v>
      </c>
      <c r="K43">
        <v>187516</v>
      </c>
      <c r="L43" s="92" t="s">
        <v>3117</v>
      </c>
      <c r="M43" s="25">
        <v>5401088459</v>
      </c>
      <c r="N43" s="93">
        <v>80</v>
      </c>
      <c r="O43" s="92" t="s">
        <v>2870</v>
      </c>
      <c r="P43" s="92" t="s">
        <v>3026</v>
      </c>
      <c r="Q43" s="92" t="s">
        <v>3104</v>
      </c>
      <c r="R43" s="92" t="s">
        <v>3098</v>
      </c>
      <c r="S43" s="7">
        <v>1361000</v>
      </c>
      <c r="T43" s="7">
        <v>1331000</v>
      </c>
      <c r="U43" s="7">
        <v>924000</v>
      </c>
      <c r="V43" s="7"/>
      <c r="W43" s="7"/>
      <c r="X43" s="7">
        <f t="shared" si="1"/>
        <v>-407000</v>
      </c>
      <c r="Y43" s="5">
        <f t="shared" si="4"/>
        <v>-0.30578512396694213</v>
      </c>
      <c r="Z43" s="6" t="s">
        <v>3201</v>
      </c>
      <c r="AA43" s="29">
        <f>SUMPRODUCT((BIdetails!$J$5:$J$3000=M43)*(BIdetails!$K$5:$K$3000=N43)*(BIdetails!$M$5:$M$3000))</f>
        <v>0</v>
      </c>
      <c r="AB43" s="30">
        <f t="shared" si="3"/>
        <v>0</v>
      </c>
      <c r="AC43" s="27" t="s">
        <v>845</v>
      </c>
      <c r="AD43" s="27" t="s">
        <v>3100</v>
      </c>
      <c r="AE43" s="27" t="s">
        <v>3118</v>
      </c>
      <c r="AF43" s="27"/>
    </row>
    <row r="44" spans="1:32" hidden="1" x14ac:dyDescent="0.25">
      <c r="A44" t="s">
        <v>3094</v>
      </c>
      <c r="B44" t="str">
        <f t="shared" si="0"/>
        <v>New</v>
      </c>
      <c r="C44" s="22" t="s">
        <v>2733</v>
      </c>
      <c r="D44" t="s">
        <v>3202</v>
      </c>
      <c r="E44">
        <v>68427709</v>
      </c>
      <c r="F44" s="91" t="s">
        <v>59</v>
      </c>
      <c r="G44" t="s">
        <v>60</v>
      </c>
      <c r="H44" t="s">
        <v>46</v>
      </c>
      <c r="J44" t="s">
        <v>3203</v>
      </c>
      <c r="K44">
        <v>166566</v>
      </c>
      <c r="L44" s="22" t="s">
        <v>3204</v>
      </c>
      <c r="M44" s="203">
        <v>5400958261</v>
      </c>
      <c r="N44" s="20">
        <v>10</v>
      </c>
      <c r="O44" s="92" t="s">
        <v>2870</v>
      </c>
      <c r="P44" s="22" t="s">
        <v>3205</v>
      </c>
      <c r="Q44" t="s">
        <v>3206</v>
      </c>
      <c r="R44" t="s">
        <v>3207</v>
      </c>
      <c r="S44" s="7"/>
      <c r="T44" s="7"/>
      <c r="U44" s="7">
        <v>110000</v>
      </c>
      <c r="V44" s="7"/>
      <c r="W44" s="7"/>
      <c r="X44" s="7">
        <f t="shared" si="1"/>
        <v>110000</v>
      </c>
      <c r="Y44" s="5">
        <f t="shared" si="4"/>
        <v>1</v>
      </c>
      <c r="Z44" s="117"/>
      <c r="AA44" s="29">
        <f>SUMPRODUCT((BIdetails!$J$5:$J$3000=M44)*(BIdetails!$K$5:$K$3000=N44)*(BIdetails!$M$5:$M$3000))</f>
        <v>0</v>
      </c>
      <c r="AB44" s="30">
        <f t="shared" si="3"/>
        <v>0</v>
      </c>
      <c r="AC44" s="27"/>
      <c r="AD44" s="27"/>
      <c r="AE44" s="27"/>
      <c r="AF44" s="27"/>
    </row>
    <row r="45" spans="1:32" x14ac:dyDescent="0.25">
      <c r="A45" t="s">
        <v>3094</v>
      </c>
      <c r="B45" t="str">
        <f t="shared" si="0"/>
        <v>Increase</v>
      </c>
      <c r="C45" t="s">
        <v>1177</v>
      </c>
      <c r="D45" t="s">
        <v>3208</v>
      </c>
      <c r="E45">
        <v>68427709</v>
      </c>
      <c r="F45" s="91" t="s">
        <v>40</v>
      </c>
      <c r="G45" t="s">
        <v>42</v>
      </c>
      <c r="H45" t="s">
        <v>42</v>
      </c>
      <c r="I45" t="s">
        <v>2445</v>
      </c>
      <c r="J45" t="s">
        <v>3116</v>
      </c>
      <c r="K45">
        <v>187516</v>
      </c>
      <c r="L45" s="92" t="s">
        <v>3117</v>
      </c>
      <c r="M45" s="20">
        <v>5401077908</v>
      </c>
      <c r="N45" s="20">
        <v>10</v>
      </c>
      <c r="O45" t="s">
        <v>2843</v>
      </c>
      <c r="P45" t="s">
        <v>2843</v>
      </c>
      <c r="Q45" t="s">
        <v>3114</v>
      </c>
      <c r="R45" t="s">
        <v>42</v>
      </c>
      <c r="S45" s="7">
        <v>30000</v>
      </c>
      <c r="T45" s="7">
        <v>30000</v>
      </c>
      <c r="U45" s="7">
        <v>31500</v>
      </c>
      <c r="V45" s="7"/>
      <c r="W45" s="7">
        <f>U45*1.04</f>
        <v>32760</v>
      </c>
      <c r="X45" s="7">
        <f t="shared" ref="X45" si="6">W45-U45</f>
        <v>1260</v>
      </c>
      <c r="Y45" s="5">
        <f t="shared" si="4"/>
        <v>4.2000000000000003E-2</v>
      </c>
      <c r="Z45" s="6"/>
      <c r="AA45" s="29">
        <f>SUMPRODUCT((BIdetails!$J$5:$J$3000=M45)*(BIdetails!$K$5:$K$3000=N45)*(BIdetails!$M$5:$M$3000))</f>
        <v>0</v>
      </c>
      <c r="AB45" s="30">
        <f t="shared" si="3"/>
        <v>0</v>
      </c>
      <c r="AC45" s="27" t="s">
        <v>845</v>
      </c>
      <c r="AD45" s="27" t="s">
        <v>3100</v>
      </c>
      <c r="AE45" s="27" t="s">
        <v>3118</v>
      </c>
      <c r="AF45" s="27"/>
    </row>
    <row r="46" spans="1:32" hidden="1" x14ac:dyDescent="0.25">
      <c r="A46" t="s">
        <v>3106</v>
      </c>
      <c r="B46" t="str">
        <f t="shared" si="0"/>
        <v>Decommissioned</v>
      </c>
      <c r="C46" s="22" t="s">
        <v>2110</v>
      </c>
      <c r="D46" t="s">
        <v>3209</v>
      </c>
      <c r="E46">
        <v>68427709</v>
      </c>
      <c r="F46" s="91" t="s">
        <v>59</v>
      </c>
      <c r="G46" t="s">
        <v>60</v>
      </c>
      <c r="H46" s="92" t="s">
        <v>46</v>
      </c>
      <c r="J46" t="s">
        <v>3210</v>
      </c>
      <c r="K46" s="22">
        <v>207943</v>
      </c>
      <c r="L46" s="22" t="s">
        <v>3211</v>
      </c>
      <c r="O46" s="22" t="s">
        <v>2870</v>
      </c>
      <c r="P46" s="22" t="s">
        <v>2500</v>
      </c>
      <c r="Q46" t="s">
        <v>3170</v>
      </c>
      <c r="R46" t="s">
        <v>517</v>
      </c>
      <c r="S46" s="7">
        <v>120000</v>
      </c>
      <c r="T46" s="7">
        <v>162000</v>
      </c>
      <c r="U46" s="7">
        <v>0</v>
      </c>
      <c r="V46" s="7"/>
      <c r="W46" s="7"/>
      <c r="X46" s="7">
        <f t="shared" si="1"/>
        <v>-162000</v>
      </c>
      <c r="Y46" s="5">
        <f t="shared" si="4"/>
        <v>-1</v>
      </c>
      <c r="Z46" s="117"/>
      <c r="AA46" s="29">
        <f>SUMPRODUCT((BIdetails!$J$5:$J$3000=M46)*(BIdetails!$K$5:$K$3000=N46)*(BIdetails!$M$5:$M$3000))</f>
        <v>0</v>
      </c>
      <c r="AB46" s="30" t="str">
        <f t="shared" si="3"/>
        <v/>
      </c>
      <c r="AC46" s="27"/>
      <c r="AD46" s="27"/>
      <c r="AE46" s="27"/>
      <c r="AF46" s="27"/>
    </row>
    <row r="47" spans="1:32" hidden="1" x14ac:dyDescent="0.25">
      <c r="A47" t="s">
        <v>3094</v>
      </c>
      <c r="B47" t="str">
        <f t="shared" si="0"/>
        <v>No Change</v>
      </c>
      <c r="C47" s="92" t="s">
        <v>3212</v>
      </c>
      <c r="D47" t="s">
        <v>3213</v>
      </c>
      <c r="E47">
        <v>68427709</v>
      </c>
      <c r="F47" s="91" t="s">
        <v>54</v>
      </c>
      <c r="G47" t="s">
        <v>55</v>
      </c>
      <c r="H47" s="92" t="s">
        <v>46</v>
      </c>
      <c r="I47" t="s">
        <v>3096</v>
      </c>
      <c r="J47" t="s">
        <v>3214</v>
      </c>
      <c r="K47" s="92">
        <v>167557</v>
      </c>
      <c r="L47" s="92" t="s">
        <v>1299</v>
      </c>
      <c r="M47" s="203">
        <v>5401076465</v>
      </c>
      <c r="N47" s="93">
        <v>10</v>
      </c>
      <c r="O47" s="92" t="s">
        <v>2870</v>
      </c>
      <c r="P47" s="92" t="s">
        <v>3149</v>
      </c>
      <c r="Q47" s="92" t="s">
        <v>3104</v>
      </c>
      <c r="R47" s="92" t="s">
        <v>1046</v>
      </c>
      <c r="S47" s="7">
        <v>70000</v>
      </c>
      <c r="T47" s="7">
        <v>70000</v>
      </c>
      <c r="U47" s="7">
        <v>70000</v>
      </c>
      <c r="V47" s="7"/>
      <c r="W47" s="7"/>
      <c r="X47" s="7">
        <f t="shared" si="1"/>
        <v>0</v>
      </c>
      <c r="Y47" s="5">
        <f t="shared" si="4"/>
        <v>0</v>
      </c>
      <c r="Z47" s="6"/>
      <c r="AA47" s="29">
        <f>SUMPRODUCT((BIdetails!$J$5:$J$3000=M47)*(BIdetails!$K$5:$K$3000=N47)*(BIdetails!$M$5:$M$3000))</f>
        <v>0</v>
      </c>
      <c r="AB47" s="30">
        <f t="shared" si="3"/>
        <v>0</v>
      </c>
      <c r="AC47" s="27" t="s">
        <v>3099</v>
      </c>
      <c r="AD47" s="27" t="s">
        <v>3100</v>
      </c>
      <c r="AE47" s="27" t="s">
        <v>3163</v>
      </c>
      <c r="AF47" s="27"/>
    </row>
    <row r="48" spans="1:32" hidden="1" x14ac:dyDescent="0.25">
      <c r="A48" t="s">
        <v>3094</v>
      </c>
      <c r="B48" t="str">
        <f t="shared" si="0"/>
        <v>No Change</v>
      </c>
      <c r="C48" t="s">
        <v>864</v>
      </c>
      <c r="D48" t="s">
        <v>3215</v>
      </c>
      <c r="E48">
        <v>68427709</v>
      </c>
      <c r="F48" s="91" t="s">
        <v>59</v>
      </c>
      <c r="G48" t="s">
        <v>60</v>
      </c>
      <c r="H48" t="s">
        <v>46</v>
      </c>
      <c r="I48" t="s">
        <v>3144</v>
      </c>
      <c r="J48" t="s">
        <v>3216</v>
      </c>
      <c r="K48">
        <v>198968</v>
      </c>
      <c r="L48" t="s">
        <v>3217</v>
      </c>
      <c r="M48" s="20">
        <v>5400941634</v>
      </c>
      <c r="N48" s="20">
        <v>10</v>
      </c>
      <c r="O48" s="22" t="s">
        <v>2870</v>
      </c>
      <c r="P48" s="22" t="s">
        <v>2510</v>
      </c>
      <c r="Q48" t="s">
        <v>3114</v>
      </c>
      <c r="R48" t="s">
        <v>3098</v>
      </c>
      <c r="S48" s="7">
        <v>4000</v>
      </c>
      <c r="T48" s="7">
        <v>9000</v>
      </c>
      <c r="U48" s="7">
        <v>9000</v>
      </c>
      <c r="V48" s="7"/>
      <c r="W48" s="7"/>
      <c r="X48" s="7">
        <f t="shared" si="1"/>
        <v>0</v>
      </c>
      <c r="Y48" s="5">
        <f t="shared" si="4"/>
        <v>0</v>
      </c>
      <c r="Z48" s="6"/>
      <c r="AA48" s="29">
        <f>SUMPRODUCT((BIdetails!$J$5:$J$3000=M48)*(BIdetails!$K$5:$K$3000=N48)*(BIdetails!$M$5:$M$3000))</f>
        <v>0</v>
      </c>
      <c r="AB48" s="30">
        <f t="shared" si="3"/>
        <v>0</v>
      </c>
      <c r="AC48" s="27" t="s">
        <v>3099</v>
      </c>
      <c r="AD48" s="27" t="s">
        <v>3108</v>
      </c>
      <c r="AE48" s="27" t="s">
        <v>3101</v>
      </c>
      <c r="AF48" s="27"/>
    </row>
    <row r="49" spans="1:32" hidden="1" x14ac:dyDescent="0.25">
      <c r="A49" t="s">
        <v>3094</v>
      </c>
      <c r="B49" t="str">
        <f t="shared" si="0"/>
        <v>Increase</v>
      </c>
      <c r="C49" s="22" t="s">
        <v>1925</v>
      </c>
      <c r="D49" t="s">
        <v>3218</v>
      </c>
      <c r="E49">
        <v>68427709</v>
      </c>
      <c r="F49" s="91" t="s">
        <v>59</v>
      </c>
      <c r="G49" t="s">
        <v>60</v>
      </c>
      <c r="H49" s="92" t="s">
        <v>46</v>
      </c>
      <c r="J49" t="s">
        <v>2225</v>
      </c>
      <c r="K49">
        <v>167422</v>
      </c>
      <c r="L49" t="s">
        <v>3219</v>
      </c>
      <c r="M49" s="20">
        <v>5401084015</v>
      </c>
      <c r="N49" s="20">
        <v>10</v>
      </c>
      <c r="O49" s="22" t="s">
        <v>2870</v>
      </c>
      <c r="P49" s="22" t="s">
        <v>3183</v>
      </c>
      <c r="Q49" t="s">
        <v>3170</v>
      </c>
      <c r="R49" t="s">
        <v>3120</v>
      </c>
      <c r="S49" s="7">
        <v>27000</v>
      </c>
      <c r="T49" s="7">
        <v>30000</v>
      </c>
      <c r="U49" s="7">
        <v>33000</v>
      </c>
      <c r="V49" s="7"/>
      <c r="W49" s="7"/>
      <c r="X49" s="7">
        <f t="shared" si="1"/>
        <v>3000</v>
      </c>
      <c r="Y49" s="5">
        <f t="shared" si="4"/>
        <v>0.1</v>
      </c>
      <c r="Z49" s="6"/>
      <c r="AA49" s="29">
        <f>SUMPRODUCT((BIdetails!$J$5:$J$3000=M49)*(BIdetails!$K$5:$K$3000=N49)*(BIdetails!$M$5:$M$3000))</f>
        <v>0</v>
      </c>
      <c r="AB49" s="30">
        <f t="shared" si="3"/>
        <v>0</v>
      </c>
      <c r="AC49" s="27"/>
      <c r="AD49" s="27"/>
      <c r="AE49" s="27"/>
      <c r="AF49" s="27"/>
    </row>
    <row r="50" spans="1:32" hidden="1" x14ac:dyDescent="0.25">
      <c r="A50" t="s">
        <v>3094</v>
      </c>
      <c r="B50" t="str">
        <f t="shared" si="0"/>
        <v>No Change</v>
      </c>
      <c r="C50" s="22" t="s">
        <v>3220</v>
      </c>
      <c r="D50" t="s">
        <v>3221</v>
      </c>
      <c r="E50">
        <v>68427709</v>
      </c>
      <c r="F50" s="91" t="s">
        <v>36</v>
      </c>
      <c r="G50" t="s">
        <v>37</v>
      </c>
      <c r="H50" s="92" t="s">
        <v>33</v>
      </c>
      <c r="I50" t="s">
        <v>3177</v>
      </c>
      <c r="J50" t="s">
        <v>3178</v>
      </c>
      <c r="K50">
        <v>187516</v>
      </c>
      <c r="L50" t="s">
        <v>119</v>
      </c>
      <c r="M50">
        <v>5401087657</v>
      </c>
      <c r="N50" s="20">
        <v>10</v>
      </c>
      <c r="O50" s="92" t="s">
        <v>2410</v>
      </c>
      <c r="P50" s="22" t="s">
        <v>2410</v>
      </c>
      <c r="Q50" t="s">
        <v>3114</v>
      </c>
      <c r="R50" t="s">
        <v>3133</v>
      </c>
      <c r="S50" s="7"/>
      <c r="T50" s="7">
        <v>125000</v>
      </c>
      <c r="U50" s="7">
        <v>125000</v>
      </c>
      <c r="V50" s="7"/>
      <c r="W50" s="7"/>
      <c r="X50" s="7">
        <f t="shared" si="1"/>
        <v>0</v>
      </c>
      <c r="Y50" s="5">
        <f t="shared" si="4"/>
        <v>0</v>
      </c>
      <c r="Z50" s="117"/>
      <c r="AA50" s="29">
        <f>SUMPRODUCT((BIdetails!$J$5:$J$3000=M50)*(BIdetails!$K$5:$K$3000=N50)*(BIdetails!$M$5:$M$3000))</f>
        <v>0</v>
      </c>
      <c r="AB50" s="30">
        <f t="shared" si="3"/>
        <v>0</v>
      </c>
      <c r="AC50" s="27"/>
      <c r="AD50" s="27"/>
      <c r="AE50" s="27"/>
      <c r="AF50" s="27"/>
    </row>
    <row r="51" spans="1:32" hidden="1" x14ac:dyDescent="0.25">
      <c r="A51" t="s">
        <v>3094</v>
      </c>
      <c r="B51" t="str">
        <f t="shared" si="0"/>
        <v>New</v>
      </c>
      <c r="C51" s="22" t="s">
        <v>2951</v>
      </c>
      <c r="E51">
        <v>68427709</v>
      </c>
      <c r="F51" s="283" t="s">
        <v>22</v>
      </c>
      <c r="G51" s="161" t="s">
        <v>100</v>
      </c>
      <c r="H51" s="161" t="s">
        <v>24</v>
      </c>
      <c r="I51" t="s">
        <v>2448</v>
      </c>
      <c r="J51" t="s">
        <v>3189</v>
      </c>
      <c r="K51" s="161">
        <v>196653</v>
      </c>
      <c r="L51" s="161" t="s">
        <v>102</v>
      </c>
      <c r="M51" s="203"/>
      <c r="O51" s="92" t="s">
        <v>2410</v>
      </c>
      <c r="P51" s="22"/>
      <c r="Q51" t="s">
        <v>3124</v>
      </c>
      <c r="R51" t="s">
        <v>2903</v>
      </c>
      <c r="S51" s="7"/>
      <c r="T51" s="7"/>
      <c r="U51" s="7">
        <v>7000</v>
      </c>
      <c r="V51" s="7"/>
      <c r="W51" s="7"/>
      <c r="X51" s="7">
        <f t="shared" si="1"/>
        <v>7000</v>
      </c>
      <c r="Y51" s="5">
        <f t="shared" si="4"/>
        <v>1</v>
      </c>
      <c r="Z51" s="117"/>
      <c r="AA51" s="29">
        <f>SUMPRODUCT((BIdetails!$J$5:$J$3000=M51)*(BIdetails!$K$5:$K$3000=N51)*(BIdetails!$M$5:$M$3000))</f>
        <v>0</v>
      </c>
      <c r="AB51" s="30">
        <f t="shared" si="3"/>
        <v>0</v>
      </c>
      <c r="AC51" s="27"/>
      <c r="AD51" s="27"/>
      <c r="AE51" s="27"/>
      <c r="AF51" s="27"/>
    </row>
    <row r="52" spans="1:32" hidden="1" x14ac:dyDescent="0.25">
      <c r="A52" t="s">
        <v>3094</v>
      </c>
      <c r="B52" t="str">
        <f t="shared" si="0"/>
        <v>New</v>
      </c>
      <c r="C52" s="22" t="s">
        <v>2952</v>
      </c>
      <c r="E52">
        <v>68427709</v>
      </c>
      <c r="F52" s="283" t="s">
        <v>22</v>
      </c>
      <c r="G52" s="161" t="s">
        <v>100</v>
      </c>
      <c r="H52" s="161" t="s">
        <v>24</v>
      </c>
      <c r="I52" t="s">
        <v>2448</v>
      </c>
      <c r="J52" t="s">
        <v>3189</v>
      </c>
      <c r="K52" s="161">
        <v>196653</v>
      </c>
      <c r="L52" s="161" t="s">
        <v>102</v>
      </c>
      <c r="M52" s="203"/>
      <c r="O52" s="92" t="s">
        <v>2410</v>
      </c>
      <c r="P52" s="22"/>
      <c r="Q52" t="s">
        <v>3124</v>
      </c>
      <c r="R52" t="s">
        <v>2903</v>
      </c>
      <c r="S52" s="7"/>
      <c r="T52" s="7"/>
      <c r="U52" s="7">
        <v>13000</v>
      </c>
      <c r="V52" s="7"/>
      <c r="W52" s="7"/>
      <c r="X52" s="7">
        <f t="shared" si="1"/>
        <v>13000</v>
      </c>
      <c r="Y52" s="5">
        <f t="shared" si="4"/>
        <v>1</v>
      </c>
      <c r="Z52" s="117"/>
      <c r="AA52" s="29">
        <f>SUMPRODUCT((BIdetails!$J$5:$J$3000=M52)*(BIdetails!$K$5:$K$3000=N52)*(BIdetails!$M$5:$M$3000))</f>
        <v>0</v>
      </c>
      <c r="AB52" s="30">
        <f t="shared" si="3"/>
        <v>0</v>
      </c>
      <c r="AC52" s="27"/>
      <c r="AD52" s="27"/>
      <c r="AE52" s="27"/>
      <c r="AF52" s="27"/>
    </row>
    <row r="53" spans="1:32" hidden="1" x14ac:dyDescent="0.25">
      <c r="A53" t="s">
        <v>3094</v>
      </c>
      <c r="B53" t="str">
        <f t="shared" si="0"/>
        <v>Decrease</v>
      </c>
      <c r="C53" t="s">
        <v>2446</v>
      </c>
      <c r="D53" t="s">
        <v>3151</v>
      </c>
      <c r="E53">
        <v>68427709</v>
      </c>
      <c r="F53" s="91" t="s">
        <v>22</v>
      </c>
      <c r="G53" t="s">
        <v>100</v>
      </c>
      <c r="H53" t="s">
        <v>24</v>
      </c>
      <c r="I53" t="s">
        <v>2448</v>
      </c>
      <c r="J53" t="s">
        <v>3189</v>
      </c>
      <c r="K53">
        <v>196653</v>
      </c>
      <c r="L53" s="92" t="s">
        <v>3117</v>
      </c>
      <c r="M53">
        <v>5401087908</v>
      </c>
      <c r="N53" s="20">
        <v>10</v>
      </c>
      <c r="O53" s="22" t="s">
        <v>2410</v>
      </c>
      <c r="P53" s="22" t="s">
        <v>2410</v>
      </c>
      <c r="Q53" s="201" t="s">
        <v>3124</v>
      </c>
      <c r="R53" t="s">
        <v>3133</v>
      </c>
      <c r="S53" s="7">
        <v>0</v>
      </c>
      <c r="T53" s="7">
        <v>347000</v>
      </c>
      <c r="U53" s="7">
        <v>340000</v>
      </c>
      <c r="V53" s="7"/>
      <c r="W53" s="7"/>
      <c r="X53" s="7">
        <f t="shared" si="1"/>
        <v>-7000</v>
      </c>
      <c r="Y53" s="5">
        <f t="shared" si="4"/>
        <v>-2.0172910662824207E-2</v>
      </c>
      <c r="Z53" s="117"/>
      <c r="AA53" s="29">
        <f>SUMPRODUCT((BIdetails!$J$5:$J$3000=M53)*(BIdetails!$K$5:$K$3000=N53)*(BIdetails!$M$5:$M$3000))</f>
        <v>0</v>
      </c>
      <c r="AB53" s="30">
        <f t="shared" si="3"/>
        <v>0</v>
      </c>
      <c r="AC53" s="27"/>
      <c r="AD53" s="27"/>
      <c r="AE53" s="27"/>
      <c r="AF53" s="27"/>
    </row>
    <row r="54" spans="1:32" hidden="1" x14ac:dyDescent="0.25">
      <c r="A54" t="s">
        <v>3094</v>
      </c>
      <c r="B54" t="str">
        <f t="shared" si="0"/>
        <v>No Change</v>
      </c>
      <c r="C54" t="s">
        <v>2089</v>
      </c>
      <c r="D54" t="s">
        <v>3222</v>
      </c>
      <c r="E54">
        <v>68427719</v>
      </c>
      <c r="F54" s="91" t="s">
        <v>54</v>
      </c>
      <c r="G54" t="s">
        <v>55</v>
      </c>
      <c r="H54" t="s">
        <v>46</v>
      </c>
      <c r="J54" t="s">
        <v>3223</v>
      </c>
      <c r="K54">
        <v>193275</v>
      </c>
      <c r="L54" t="s">
        <v>3224</v>
      </c>
      <c r="M54" s="20">
        <v>5400972346</v>
      </c>
      <c r="N54" s="20">
        <v>70</v>
      </c>
      <c r="O54" s="92" t="s">
        <v>2800</v>
      </c>
      <c r="P54" s="92" t="s">
        <v>2800</v>
      </c>
      <c r="Q54" t="s">
        <v>3225</v>
      </c>
      <c r="R54" s="92" t="s">
        <v>3207</v>
      </c>
      <c r="S54" s="7">
        <v>352000</v>
      </c>
      <c r="T54" s="7">
        <v>262000</v>
      </c>
      <c r="U54" s="7">
        <v>262000</v>
      </c>
      <c r="V54" s="7"/>
      <c r="W54" s="7"/>
      <c r="X54" s="7">
        <f t="shared" si="1"/>
        <v>0</v>
      </c>
      <c r="Y54" s="5">
        <f t="shared" si="4"/>
        <v>0</v>
      </c>
      <c r="Z54" s="6"/>
      <c r="AA54" s="29">
        <f>SUMPRODUCT((BIdetails!$J$5:$J$3000=M54)*(BIdetails!$K$5:$K$3000=N54)*(BIdetails!$M$5:$M$3000))</f>
        <v>0</v>
      </c>
      <c r="AB54" s="30">
        <f t="shared" si="3"/>
        <v>0</v>
      </c>
      <c r="AC54" s="27" t="s">
        <v>3099</v>
      </c>
      <c r="AD54" s="27" t="s">
        <v>3108</v>
      </c>
      <c r="AE54" s="27" t="s">
        <v>3101</v>
      </c>
      <c r="AF54" s="27"/>
    </row>
    <row r="55" spans="1:32" hidden="1" x14ac:dyDescent="0.25">
      <c r="A55" t="s">
        <v>3094</v>
      </c>
      <c r="B55" t="str">
        <f t="shared" si="0"/>
        <v>New</v>
      </c>
      <c r="C55" s="22" t="s">
        <v>2954</v>
      </c>
      <c r="D55" t="s">
        <v>3226</v>
      </c>
      <c r="E55">
        <v>68427709</v>
      </c>
      <c r="F55" s="283" t="s">
        <v>22</v>
      </c>
      <c r="G55" s="161" t="s">
        <v>100</v>
      </c>
      <c r="H55" s="161" t="s">
        <v>24</v>
      </c>
      <c r="I55" t="s">
        <v>2445</v>
      </c>
      <c r="J55" t="s">
        <v>3116</v>
      </c>
      <c r="K55">
        <v>196653</v>
      </c>
      <c r="L55" s="22" t="s">
        <v>102</v>
      </c>
      <c r="M55" s="20">
        <v>5401093316</v>
      </c>
      <c r="N55" s="20">
        <v>10</v>
      </c>
      <c r="O55" s="92" t="s">
        <v>2410</v>
      </c>
      <c r="P55" s="22"/>
      <c r="Q55" t="s">
        <v>3124</v>
      </c>
      <c r="R55" t="s">
        <v>2903</v>
      </c>
      <c r="S55" s="7"/>
      <c r="T55" s="7"/>
      <c r="U55" s="7">
        <v>36000</v>
      </c>
      <c r="V55" s="7"/>
      <c r="W55" s="7"/>
      <c r="X55" s="7">
        <f t="shared" si="1"/>
        <v>36000</v>
      </c>
      <c r="Y55" s="5">
        <f t="shared" si="4"/>
        <v>1</v>
      </c>
      <c r="Z55" s="117"/>
      <c r="AA55" s="29">
        <f>SUMPRODUCT((BIdetails!$J$5:$J$3000=M55)*(BIdetails!$K$5:$K$3000=N55)*(BIdetails!$M$5:$M$3000))</f>
        <v>0</v>
      </c>
      <c r="AB55" s="30">
        <f t="shared" si="3"/>
        <v>0</v>
      </c>
      <c r="AC55" s="27"/>
      <c r="AD55" s="27"/>
      <c r="AE55" s="27"/>
      <c r="AF55" s="27"/>
    </row>
    <row r="56" spans="1:32" hidden="1" x14ac:dyDescent="0.25">
      <c r="A56" t="s">
        <v>3094</v>
      </c>
      <c r="B56" t="str">
        <f t="shared" si="0"/>
        <v>No Change</v>
      </c>
      <c r="C56" t="s">
        <v>1477</v>
      </c>
      <c r="D56" t="s">
        <v>3227</v>
      </c>
      <c r="E56">
        <v>68427709</v>
      </c>
      <c r="F56" s="91" t="s">
        <v>59</v>
      </c>
      <c r="G56" t="s">
        <v>60</v>
      </c>
      <c r="H56" t="s">
        <v>46</v>
      </c>
      <c r="J56" t="s">
        <v>3228</v>
      </c>
      <c r="K56">
        <v>212585</v>
      </c>
      <c r="L56" s="92" t="s">
        <v>3229</v>
      </c>
      <c r="M56" s="23">
        <v>5401090202</v>
      </c>
      <c r="N56" s="20">
        <v>10</v>
      </c>
      <c r="O56" s="22" t="s">
        <v>2870</v>
      </c>
      <c r="P56" s="22" t="s">
        <v>1479</v>
      </c>
      <c r="Q56" t="s">
        <v>3170</v>
      </c>
      <c r="R56" t="s">
        <v>3230</v>
      </c>
      <c r="S56" s="7">
        <v>45000</v>
      </c>
      <c r="T56" s="7">
        <v>45000</v>
      </c>
      <c r="U56" s="7">
        <v>45000</v>
      </c>
      <c r="V56" s="7"/>
      <c r="W56" s="7"/>
      <c r="X56" s="7">
        <f t="shared" si="1"/>
        <v>0</v>
      </c>
      <c r="Y56" s="5">
        <f t="shared" si="4"/>
        <v>0</v>
      </c>
      <c r="Z56" s="6"/>
      <c r="AA56" s="29">
        <f>SUMPRODUCT((BIdetails!$J$5:$J$3000=M56)*(BIdetails!$K$5:$K$3000=N56)*(BIdetails!$M$5:$M$3000))</f>
        <v>0</v>
      </c>
      <c r="AB56" s="30">
        <f t="shared" si="3"/>
        <v>0</v>
      </c>
      <c r="AC56" s="27"/>
      <c r="AD56" s="27"/>
      <c r="AE56" s="27"/>
      <c r="AF56" s="27"/>
    </row>
    <row r="57" spans="1:32" hidden="1" x14ac:dyDescent="0.25">
      <c r="A57" t="s">
        <v>3106</v>
      </c>
      <c r="B57" t="str">
        <f t="shared" si="0"/>
        <v>Decommissioned</v>
      </c>
      <c r="C57" s="92" t="s">
        <v>2583</v>
      </c>
      <c r="D57" t="s">
        <v>3231</v>
      </c>
      <c r="E57">
        <v>68427709</v>
      </c>
      <c r="F57" s="91" t="s">
        <v>59</v>
      </c>
      <c r="G57" s="92" t="s">
        <v>60</v>
      </c>
      <c r="H57" s="92" t="s">
        <v>46</v>
      </c>
      <c r="J57" t="s">
        <v>3232</v>
      </c>
      <c r="K57" s="92">
        <v>181895</v>
      </c>
      <c r="L57" s="92" t="s">
        <v>3233</v>
      </c>
      <c r="M57" s="93"/>
      <c r="N57" s="93"/>
      <c r="O57" s="92" t="s">
        <v>2870</v>
      </c>
      <c r="P57" s="22" t="s">
        <v>423</v>
      </c>
      <c r="Q57" s="92" t="s">
        <v>3170</v>
      </c>
      <c r="R57" s="92" t="s">
        <v>3120</v>
      </c>
      <c r="S57" s="7">
        <v>360000</v>
      </c>
      <c r="T57" s="7">
        <v>432000</v>
      </c>
      <c r="U57" s="7">
        <v>0</v>
      </c>
      <c r="V57" s="7"/>
      <c r="W57" s="7"/>
      <c r="X57" s="7">
        <f t="shared" si="1"/>
        <v>-432000</v>
      </c>
      <c r="Y57" s="5">
        <f t="shared" si="4"/>
        <v>-1</v>
      </c>
      <c r="Z57" s="6" t="s">
        <v>3234</v>
      </c>
      <c r="AA57" s="29">
        <f>SUMPRODUCT((BIdetails!$J$5:$J$3000=M57)*(BIdetails!$K$5:$K$3000=N57)*(BIdetails!$M$5:$M$3000))</f>
        <v>0</v>
      </c>
      <c r="AB57" s="30" t="str">
        <f t="shared" si="3"/>
        <v/>
      </c>
      <c r="AC57" s="27" t="s">
        <v>3172</v>
      </c>
      <c r="AD57" s="27" t="s">
        <v>3108</v>
      </c>
      <c r="AE57" s="27" t="s">
        <v>3101</v>
      </c>
      <c r="AF57" s="27"/>
    </row>
    <row r="58" spans="1:32" hidden="1" x14ac:dyDescent="0.25">
      <c r="A58" t="s">
        <v>3106</v>
      </c>
      <c r="B58" t="str">
        <f t="shared" si="0"/>
        <v>Decommissioned</v>
      </c>
      <c r="C58" t="s">
        <v>2832</v>
      </c>
      <c r="D58" t="s">
        <v>3151</v>
      </c>
      <c r="E58">
        <v>68427709</v>
      </c>
      <c r="F58" s="91" t="s">
        <v>44</v>
      </c>
      <c r="G58" s="92" t="s">
        <v>75</v>
      </c>
      <c r="H58" s="92" t="s">
        <v>46</v>
      </c>
      <c r="J58" t="s">
        <v>3232</v>
      </c>
      <c r="K58">
        <v>187516</v>
      </c>
      <c r="L58" s="92" t="s">
        <v>3117</v>
      </c>
      <c r="O58" s="92" t="s">
        <v>2870</v>
      </c>
      <c r="P58" s="22" t="s">
        <v>423</v>
      </c>
      <c r="Q58" s="92" t="s">
        <v>3170</v>
      </c>
      <c r="R58" s="92" t="s">
        <v>3120</v>
      </c>
      <c r="S58" s="7">
        <v>8000</v>
      </c>
      <c r="T58" s="7">
        <v>8000</v>
      </c>
      <c r="U58" s="7">
        <v>0</v>
      </c>
      <c r="V58" s="7"/>
      <c r="W58" s="7"/>
      <c r="X58" s="7">
        <f t="shared" si="1"/>
        <v>-8000</v>
      </c>
      <c r="Y58" s="5">
        <f t="shared" si="4"/>
        <v>-1</v>
      </c>
      <c r="Z58" s="6"/>
      <c r="AA58" s="29">
        <f>SUMPRODUCT((BIdetails!$J$5:$J$3000=M58)*(BIdetails!$K$5:$K$3000=N58)*(BIdetails!$M$5:$M$3000))</f>
        <v>0</v>
      </c>
      <c r="AB58" s="30" t="str">
        <f t="shared" si="3"/>
        <v/>
      </c>
      <c r="AC58" s="27"/>
      <c r="AD58" s="27"/>
      <c r="AE58" s="27"/>
      <c r="AF58" s="27"/>
    </row>
    <row r="59" spans="1:32" hidden="1" x14ac:dyDescent="0.25">
      <c r="A59" t="s">
        <v>3094</v>
      </c>
      <c r="B59" t="str">
        <f t="shared" si="0"/>
        <v>New</v>
      </c>
      <c r="C59" s="22" t="s">
        <v>2760</v>
      </c>
      <c r="D59" t="s">
        <v>3235</v>
      </c>
      <c r="E59">
        <v>68427709</v>
      </c>
      <c r="F59" s="91" t="s">
        <v>59</v>
      </c>
      <c r="G59" t="s">
        <v>60</v>
      </c>
      <c r="H59" t="s">
        <v>46</v>
      </c>
      <c r="J59" t="s">
        <v>3236</v>
      </c>
      <c r="K59" s="92">
        <v>196055</v>
      </c>
      <c r="L59" s="22" t="s">
        <v>1459</v>
      </c>
      <c r="M59" s="203">
        <v>5401035617</v>
      </c>
      <c r="N59" s="20">
        <v>30</v>
      </c>
      <c r="O59" s="92" t="s">
        <v>2870</v>
      </c>
      <c r="P59" s="22" t="s">
        <v>2500</v>
      </c>
      <c r="Q59" s="201" t="s">
        <v>3184</v>
      </c>
      <c r="R59" s="201" t="s">
        <v>3175</v>
      </c>
      <c r="S59" s="7"/>
      <c r="T59" s="7"/>
      <c r="U59" s="7">
        <v>385000</v>
      </c>
      <c r="V59" s="7"/>
      <c r="W59" s="7"/>
      <c r="X59" s="7">
        <f t="shared" si="1"/>
        <v>385000</v>
      </c>
      <c r="Y59" s="5">
        <f t="shared" si="4"/>
        <v>1</v>
      </c>
      <c r="Z59" s="117"/>
      <c r="AA59" s="29">
        <f>SUMPRODUCT((BIdetails!$J$5:$J$3000=M59)*(BIdetails!$K$5:$K$3000=N59)*(BIdetails!$M$5:$M$3000))</f>
        <v>0</v>
      </c>
      <c r="AB59" s="30">
        <f t="shared" si="3"/>
        <v>0</v>
      </c>
      <c r="AC59" s="27"/>
      <c r="AD59" s="27"/>
      <c r="AE59" s="27"/>
      <c r="AF59" s="27"/>
    </row>
    <row r="60" spans="1:32" hidden="1" x14ac:dyDescent="0.25">
      <c r="A60" t="s">
        <v>3094</v>
      </c>
      <c r="B60" t="str">
        <f t="shared" si="0"/>
        <v>Increase</v>
      </c>
      <c r="C60" s="22" t="s">
        <v>2094</v>
      </c>
      <c r="D60" t="s">
        <v>3237</v>
      </c>
      <c r="E60">
        <v>68427719</v>
      </c>
      <c r="F60" s="91" t="s">
        <v>59</v>
      </c>
      <c r="G60" t="s">
        <v>60</v>
      </c>
      <c r="H60" s="92" t="s">
        <v>46</v>
      </c>
      <c r="J60" t="s">
        <v>3238</v>
      </c>
      <c r="K60" s="22">
        <v>192010</v>
      </c>
      <c r="L60" s="22" t="s">
        <v>2094</v>
      </c>
      <c r="M60" s="20">
        <v>5401106537</v>
      </c>
      <c r="N60" s="20">
        <v>10</v>
      </c>
      <c r="O60" s="92" t="s">
        <v>2800</v>
      </c>
      <c r="P60" s="92" t="s">
        <v>2800</v>
      </c>
      <c r="Q60" t="s">
        <v>3206</v>
      </c>
      <c r="R60" t="s">
        <v>3207</v>
      </c>
      <c r="S60" s="7">
        <v>105000</v>
      </c>
      <c r="T60" s="7">
        <v>60000</v>
      </c>
      <c r="U60" s="7">
        <v>120000</v>
      </c>
      <c r="V60" s="7"/>
      <c r="W60" s="7"/>
      <c r="X60" s="7">
        <f t="shared" si="1"/>
        <v>60000</v>
      </c>
      <c r="Y60" s="5">
        <f t="shared" si="4"/>
        <v>1</v>
      </c>
      <c r="Z60" s="117"/>
      <c r="AA60" s="29">
        <f>SUMPRODUCT((BIdetails!$J$5:$J$3000=M60)*(BIdetails!$K$5:$K$3000=N60)*(BIdetails!$M$5:$M$3000))</f>
        <v>0</v>
      </c>
      <c r="AB60" s="30">
        <f t="shared" si="3"/>
        <v>0</v>
      </c>
      <c r="AC60" s="27"/>
      <c r="AD60" s="27"/>
      <c r="AE60" s="27"/>
      <c r="AF60" s="27"/>
    </row>
    <row r="61" spans="1:32" hidden="1" x14ac:dyDescent="0.25">
      <c r="A61" t="s">
        <v>3094</v>
      </c>
      <c r="B61" t="str">
        <f t="shared" si="0"/>
        <v>Increase</v>
      </c>
      <c r="C61" s="92" t="s">
        <v>3239</v>
      </c>
      <c r="D61" t="s">
        <v>3240</v>
      </c>
      <c r="E61">
        <v>68427709</v>
      </c>
      <c r="F61" s="91" t="s">
        <v>59</v>
      </c>
      <c r="G61" s="92" t="s">
        <v>60</v>
      </c>
      <c r="H61" s="92" t="s">
        <v>46</v>
      </c>
      <c r="J61" t="s">
        <v>2207</v>
      </c>
      <c r="K61" s="92">
        <v>168291</v>
      </c>
      <c r="L61" s="92" t="s">
        <v>3241</v>
      </c>
      <c r="M61">
        <v>5400970737</v>
      </c>
      <c r="N61" s="93">
        <v>20</v>
      </c>
      <c r="O61" s="92" t="s">
        <v>2870</v>
      </c>
      <c r="P61" s="22" t="s">
        <v>1421</v>
      </c>
      <c r="Q61" s="92" t="s">
        <v>3114</v>
      </c>
      <c r="R61" s="92" t="s">
        <v>3141</v>
      </c>
      <c r="S61" s="7">
        <v>250000</v>
      </c>
      <c r="T61" s="7">
        <v>276000</v>
      </c>
      <c r="U61" s="7">
        <v>304000</v>
      </c>
      <c r="V61" s="7"/>
      <c r="W61" s="7"/>
      <c r="X61" s="7">
        <f t="shared" si="1"/>
        <v>28000</v>
      </c>
      <c r="Y61" s="5">
        <f t="shared" si="4"/>
        <v>0.10144927536231885</v>
      </c>
      <c r="Z61" s="6"/>
      <c r="AA61" s="29">
        <f>SUMPRODUCT((BIdetails!$J$5:$J$3000=M61)*(BIdetails!$K$5:$K$3000=N61)*(BIdetails!$M$5:$M$3000))</f>
        <v>0</v>
      </c>
      <c r="AB61" s="30">
        <f t="shared" si="3"/>
        <v>0</v>
      </c>
      <c r="AC61" s="27" t="s">
        <v>3099</v>
      </c>
      <c r="AD61" s="27" t="s">
        <v>3162</v>
      </c>
      <c r="AE61" s="27" t="s">
        <v>3163</v>
      </c>
      <c r="AF61" s="27"/>
    </row>
    <row r="62" spans="1:32" hidden="1" x14ac:dyDescent="0.25">
      <c r="A62" t="s">
        <v>3106</v>
      </c>
      <c r="B62" t="str">
        <f t="shared" si="0"/>
        <v>No Change</v>
      </c>
      <c r="C62" s="92" t="s">
        <v>1763</v>
      </c>
      <c r="D62" t="s">
        <v>3242</v>
      </c>
      <c r="E62">
        <v>68427709</v>
      </c>
      <c r="F62" s="91" t="s">
        <v>59</v>
      </c>
      <c r="G62" t="s">
        <v>60</v>
      </c>
      <c r="H62" s="92" t="s">
        <v>46</v>
      </c>
      <c r="J62" t="s">
        <v>3243</v>
      </c>
      <c r="K62" s="188">
        <v>205719</v>
      </c>
      <c r="L62" s="188" t="s">
        <v>1763</v>
      </c>
      <c r="O62" s="92" t="s">
        <v>2870</v>
      </c>
      <c r="P62" s="92" t="s">
        <v>3244</v>
      </c>
      <c r="Q62" t="s">
        <v>3114</v>
      </c>
      <c r="R62" s="92" t="s">
        <v>3136</v>
      </c>
      <c r="S62" s="7">
        <v>125000</v>
      </c>
      <c r="T62" s="7">
        <v>0</v>
      </c>
      <c r="U62" s="7">
        <v>0</v>
      </c>
      <c r="V62" s="7"/>
      <c r="W62" s="7"/>
      <c r="X62" s="7">
        <f t="shared" si="1"/>
        <v>0</v>
      </c>
      <c r="Y62" s="5">
        <f t="shared" si="4"/>
        <v>0</v>
      </c>
      <c r="Z62" s="6"/>
      <c r="AA62" s="29">
        <f>SUMPRODUCT((BIdetails!$J$5:$J$3000=M62)*(BIdetails!$K$5:$K$3000=N62)*(BIdetails!$M$5:$M$3000))</f>
        <v>0</v>
      </c>
      <c r="AB62" s="30" t="str">
        <f t="shared" si="3"/>
        <v/>
      </c>
      <c r="AC62" s="27"/>
      <c r="AD62" s="27"/>
      <c r="AE62" s="27"/>
      <c r="AF62" s="27"/>
    </row>
    <row r="63" spans="1:32" hidden="1" x14ac:dyDescent="0.25">
      <c r="A63" t="s">
        <v>3094</v>
      </c>
      <c r="B63" t="str">
        <f t="shared" si="0"/>
        <v>Increase</v>
      </c>
      <c r="C63" t="s">
        <v>3245</v>
      </c>
      <c r="D63" t="s">
        <v>3246</v>
      </c>
      <c r="E63">
        <v>68427719</v>
      </c>
      <c r="F63" s="91" t="s">
        <v>54</v>
      </c>
      <c r="G63" t="s">
        <v>55</v>
      </c>
      <c r="H63" t="s">
        <v>46</v>
      </c>
      <c r="J63" t="s">
        <v>3247</v>
      </c>
      <c r="K63">
        <v>188873</v>
      </c>
      <c r="L63" t="s">
        <v>3248</v>
      </c>
      <c r="M63">
        <v>5400962069</v>
      </c>
      <c r="N63" s="20">
        <v>30</v>
      </c>
      <c r="O63" s="92" t="s">
        <v>2800</v>
      </c>
      <c r="P63" s="92" t="s">
        <v>2800</v>
      </c>
      <c r="Q63" t="s">
        <v>3249</v>
      </c>
      <c r="R63" t="s">
        <v>3207</v>
      </c>
      <c r="S63" s="7">
        <v>1700000</v>
      </c>
      <c r="T63" s="7">
        <v>1291000</v>
      </c>
      <c r="U63" s="7">
        <v>1400000</v>
      </c>
      <c r="V63" s="7"/>
      <c r="W63" s="7"/>
      <c r="X63" s="7">
        <f t="shared" si="1"/>
        <v>109000</v>
      </c>
      <c r="Y63" s="5">
        <f t="shared" si="4"/>
        <v>8.4430673896204497E-2</v>
      </c>
      <c r="Z63" s="6"/>
      <c r="AA63" s="29">
        <f>SUMPRODUCT((BIdetails!$J$5:$J$3000=M63)*(BIdetails!$K$5:$K$3000=N63)*(BIdetails!$M$5:$M$3000))</f>
        <v>0</v>
      </c>
      <c r="AB63" s="30">
        <f t="shared" si="3"/>
        <v>0</v>
      </c>
      <c r="AC63" s="27"/>
      <c r="AD63" s="27"/>
      <c r="AE63" s="27"/>
      <c r="AF63" s="27"/>
    </row>
    <row r="64" spans="1:32" hidden="1" x14ac:dyDescent="0.25">
      <c r="A64" t="s">
        <v>3094</v>
      </c>
      <c r="B64" t="str">
        <f t="shared" si="0"/>
        <v>No Change</v>
      </c>
      <c r="C64" s="92" t="s">
        <v>3250</v>
      </c>
      <c r="D64" t="s">
        <v>3251</v>
      </c>
      <c r="E64">
        <v>68427719</v>
      </c>
      <c r="F64" s="91" t="s">
        <v>44</v>
      </c>
      <c r="G64" s="92" t="s">
        <v>75</v>
      </c>
      <c r="H64" s="92" t="s">
        <v>46</v>
      </c>
      <c r="I64" s="92"/>
      <c r="J64" s="92" t="s">
        <v>3252</v>
      </c>
      <c r="K64" s="92">
        <v>196055</v>
      </c>
      <c r="L64" s="92" t="s">
        <v>1459</v>
      </c>
      <c r="M64">
        <v>5401088244</v>
      </c>
      <c r="N64" s="20">
        <v>10</v>
      </c>
      <c r="O64" s="92" t="s">
        <v>2870</v>
      </c>
      <c r="P64" s="92" t="s">
        <v>2356</v>
      </c>
      <c r="Q64" s="92" t="s">
        <v>3114</v>
      </c>
      <c r="R64" t="s">
        <v>3207</v>
      </c>
      <c r="S64" s="7">
        <v>165000</v>
      </c>
      <c r="T64" s="7">
        <v>165000</v>
      </c>
      <c r="U64" s="7">
        <v>165000</v>
      </c>
      <c r="V64" s="7"/>
      <c r="W64" s="7"/>
      <c r="X64" s="7">
        <f t="shared" si="1"/>
        <v>0</v>
      </c>
      <c r="Y64" s="5">
        <f t="shared" si="4"/>
        <v>0</v>
      </c>
      <c r="Z64" s="6"/>
      <c r="AA64" s="29">
        <f>SUMPRODUCT((BIdetails!$J$5:$J$3000=M64)*(BIdetails!$K$5:$K$3000=N64)*(BIdetails!$M$5:$M$3000))</f>
        <v>0</v>
      </c>
      <c r="AB64" s="30">
        <f t="shared" si="3"/>
        <v>0</v>
      </c>
      <c r="AC64" s="27"/>
      <c r="AD64" s="27"/>
      <c r="AE64" s="27"/>
      <c r="AF64" s="27"/>
    </row>
    <row r="65" spans="1:32" hidden="1" x14ac:dyDescent="0.25">
      <c r="A65" t="s">
        <v>3094</v>
      </c>
      <c r="B65" t="str">
        <f t="shared" si="0"/>
        <v>No Change</v>
      </c>
      <c r="C65" t="s">
        <v>3054</v>
      </c>
      <c r="D65" t="s">
        <v>3253</v>
      </c>
      <c r="E65">
        <v>68427709</v>
      </c>
      <c r="F65" s="91" t="s">
        <v>59</v>
      </c>
      <c r="G65" t="s">
        <v>60</v>
      </c>
      <c r="H65" t="s">
        <v>46</v>
      </c>
      <c r="J65" t="s">
        <v>3254</v>
      </c>
      <c r="K65">
        <v>199582</v>
      </c>
      <c r="L65" s="22" t="s">
        <v>169</v>
      </c>
      <c r="M65" s="20">
        <v>5400937409</v>
      </c>
      <c r="N65" s="20">
        <v>30</v>
      </c>
      <c r="O65" t="s">
        <v>2870</v>
      </c>
      <c r="P65" s="22" t="s">
        <v>2870</v>
      </c>
      <c r="Q65" t="s">
        <v>3114</v>
      </c>
      <c r="R65" t="s">
        <v>3098</v>
      </c>
      <c r="S65" s="7">
        <v>66000</v>
      </c>
      <c r="T65" s="7">
        <v>66000</v>
      </c>
      <c r="U65" s="7">
        <v>66000</v>
      </c>
      <c r="V65" s="7"/>
      <c r="W65" s="7"/>
      <c r="X65" s="7">
        <f t="shared" si="1"/>
        <v>0</v>
      </c>
      <c r="Y65" s="5">
        <f t="shared" si="4"/>
        <v>0</v>
      </c>
      <c r="Z65" s="6"/>
      <c r="AA65" s="29">
        <f>SUMPRODUCT((BIdetails!$J$5:$J$3000=M65)*(BIdetails!$K$5:$K$3000=N65)*(BIdetails!$M$5:$M$3000))</f>
        <v>0</v>
      </c>
      <c r="AB65" s="30">
        <f t="shared" si="3"/>
        <v>0</v>
      </c>
      <c r="AC65" s="27"/>
      <c r="AD65" s="27"/>
      <c r="AE65" s="27"/>
      <c r="AF65" s="27"/>
    </row>
    <row r="66" spans="1:32" hidden="1" x14ac:dyDescent="0.25">
      <c r="A66" t="s">
        <v>3094</v>
      </c>
      <c r="B66" t="str">
        <f t="shared" ref="B66:B129" si="7">IF(T66=U66,"No Change",IF(AND(U66&lt;&gt;0,U66&lt;T66),"Decrease",IF(AND(U66&lt;&gt;0,T66=0),"New",IF(AND(T66&lt;&gt;0,U66=0),"Decommissioned","Increase"))))</f>
        <v>No Change</v>
      </c>
      <c r="C66" s="22" t="s">
        <v>1913</v>
      </c>
      <c r="D66" t="s">
        <v>3255</v>
      </c>
      <c r="E66">
        <v>68427709</v>
      </c>
      <c r="F66" s="91" t="s">
        <v>59</v>
      </c>
      <c r="G66" t="s">
        <v>60</v>
      </c>
      <c r="H66" s="92" t="s">
        <v>46</v>
      </c>
      <c r="J66" t="s">
        <v>1914</v>
      </c>
      <c r="K66">
        <v>208269</v>
      </c>
      <c r="L66" s="92" t="s">
        <v>3256</v>
      </c>
      <c r="M66" s="20">
        <v>5401105313</v>
      </c>
      <c r="N66" s="20">
        <v>10</v>
      </c>
      <c r="O66" s="22" t="s">
        <v>2870</v>
      </c>
      <c r="P66" s="22" t="s">
        <v>1479</v>
      </c>
      <c r="Q66" t="s">
        <v>3114</v>
      </c>
      <c r="R66" t="s">
        <v>3136</v>
      </c>
      <c r="S66" s="7">
        <v>12500</v>
      </c>
      <c r="T66" s="7">
        <v>12500</v>
      </c>
      <c r="U66" s="7">
        <v>12500</v>
      </c>
      <c r="V66" s="7"/>
      <c r="W66" s="7"/>
      <c r="X66" s="7">
        <f t="shared" ref="X66:X129" si="8">U66-T66</f>
        <v>0</v>
      </c>
      <c r="Y66" s="5">
        <f t="shared" ref="Y66:Y97" si="9">IF(B66="New",1,IFERROR(X66/T66,0))</f>
        <v>0</v>
      </c>
      <c r="Z66" s="117"/>
      <c r="AA66" s="29">
        <f>SUMPRODUCT((BIdetails!$J$5:$J$3000=M66)*(BIdetails!$K$5:$K$3000=N66)*(BIdetails!$M$5:$M$3000))</f>
        <v>0</v>
      </c>
      <c r="AB66" s="30">
        <f t="shared" ref="AB66:AB129" si="10">IF(U66=0,"",(AA66/U66))</f>
        <v>0</v>
      </c>
      <c r="AC66" s="27"/>
      <c r="AD66" s="27"/>
      <c r="AE66" s="27"/>
      <c r="AF66" s="27"/>
    </row>
    <row r="67" spans="1:32" hidden="1" x14ac:dyDescent="0.25">
      <c r="A67" t="s">
        <v>3106</v>
      </c>
      <c r="B67" t="str">
        <f t="shared" si="7"/>
        <v>Decommissioned</v>
      </c>
      <c r="C67" s="92" t="s">
        <v>1679</v>
      </c>
      <c r="D67" t="s">
        <v>3151</v>
      </c>
      <c r="E67">
        <v>68427709</v>
      </c>
      <c r="F67" s="91" t="s">
        <v>44</v>
      </c>
      <c r="G67" s="92" t="s">
        <v>75</v>
      </c>
      <c r="H67" s="92" t="s">
        <v>46</v>
      </c>
      <c r="J67" t="s">
        <v>3153</v>
      </c>
      <c r="K67">
        <v>187516</v>
      </c>
      <c r="L67" s="92" t="s">
        <v>3117</v>
      </c>
      <c r="M67" s="25"/>
      <c r="O67" s="92" t="s">
        <v>2870</v>
      </c>
      <c r="P67" s="92" t="s">
        <v>3026</v>
      </c>
      <c r="Q67" s="92" t="s">
        <v>3114</v>
      </c>
      <c r="R67" s="92" t="s">
        <v>3098</v>
      </c>
      <c r="S67" s="7">
        <v>45000</v>
      </c>
      <c r="T67" s="7">
        <v>45000</v>
      </c>
      <c r="U67" s="7">
        <v>0</v>
      </c>
      <c r="V67" s="7"/>
      <c r="W67" s="7"/>
      <c r="X67" s="7">
        <f t="shared" si="8"/>
        <v>-45000</v>
      </c>
      <c r="Y67" s="5">
        <f t="shared" si="9"/>
        <v>-1</v>
      </c>
      <c r="Z67" s="6" t="s">
        <v>3154</v>
      </c>
      <c r="AA67" s="29">
        <f>SUMPRODUCT((BIdetails!$J$5:$J$3000=M67)*(BIdetails!$K$5:$K$3000=N67)*(BIdetails!$M$5:$M$3000))</f>
        <v>0</v>
      </c>
      <c r="AB67" s="30" t="str">
        <f t="shared" si="10"/>
        <v/>
      </c>
      <c r="AC67" s="27" t="s">
        <v>845</v>
      </c>
      <c r="AD67" s="27" t="s">
        <v>3100</v>
      </c>
      <c r="AE67" s="27" t="s">
        <v>3118</v>
      </c>
      <c r="AF67" s="27"/>
    </row>
    <row r="68" spans="1:32" hidden="1" x14ac:dyDescent="0.25">
      <c r="A68" t="s">
        <v>3094</v>
      </c>
      <c r="B68" t="str">
        <f t="shared" si="7"/>
        <v>No Change</v>
      </c>
      <c r="C68" s="92" t="s">
        <v>2462</v>
      </c>
      <c r="D68" t="s">
        <v>3151</v>
      </c>
      <c r="E68">
        <v>68427709</v>
      </c>
      <c r="F68" s="91" t="s">
        <v>44</v>
      </c>
      <c r="G68" s="92" t="s">
        <v>75</v>
      </c>
      <c r="H68" s="92" t="s">
        <v>46</v>
      </c>
      <c r="I68" t="s">
        <v>3096</v>
      </c>
      <c r="J68" t="s">
        <v>3128</v>
      </c>
      <c r="K68">
        <v>187516</v>
      </c>
      <c r="L68" s="92" t="s">
        <v>3117</v>
      </c>
      <c r="M68" s="25">
        <v>5401088459</v>
      </c>
      <c r="N68" s="20">
        <v>40</v>
      </c>
      <c r="O68" s="92" t="s">
        <v>2870</v>
      </c>
      <c r="P68" s="92" t="s">
        <v>3026</v>
      </c>
      <c r="Q68" s="92" t="s">
        <v>3104</v>
      </c>
      <c r="R68" s="92" t="s">
        <v>3098</v>
      </c>
      <c r="S68" s="7">
        <v>120000</v>
      </c>
      <c r="T68" s="7">
        <v>120000</v>
      </c>
      <c r="U68" s="7">
        <v>120000</v>
      </c>
      <c r="V68" s="7"/>
      <c r="W68" s="7"/>
      <c r="X68" s="7">
        <f t="shared" si="8"/>
        <v>0</v>
      </c>
      <c r="Y68" s="5">
        <f t="shared" si="9"/>
        <v>0</v>
      </c>
      <c r="Z68" s="6"/>
      <c r="AA68" s="29">
        <f>SUMPRODUCT((BIdetails!$J$5:$J$3000=M68)*(BIdetails!$K$5:$K$3000=N68)*(BIdetails!$M$5:$M$3000))</f>
        <v>0</v>
      </c>
      <c r="AB68" s="30">
        <f t="shared" si="10"/>
        <v>0</v>
      </c>
      <c r="AC68" s="27" t="s">
        <v>845</v>
      </c>
      <c r="AD68" s="27" t="s">
        <v>3100</v>
      </c>
      <c r="AE68" s="27" t="s">
        <v>3118</v>
      </c>
      <c r="AF68" s="27"/>
    </row>
    <row r="69" spans="1:32" hidden="1" x14ac:dyDescent="0.25">
      <c r="A69" t="s">
        <v>3094</v>
      </c>
      <c r="B69" t="str">
        <f t="shared" si="7"/>
        <v>Increase</v>
      </c>
      <c r="C69" s="92" t="s">
        <v>3257</v>
      </c>
      <c r="D69" t="s">
        <v>3151</v>
      </c>
      <c r="E69">
        <v>68427709</v>
      </c>
      <c r="F69" s="91" t="s">
        <v>44</v>
      </c>
      <c r="G69" s="92" t="s">
        <v>75</v>
      </c>
      <c r="H69" s="92" t="s">
        <v>46</v>
      </c>
      <c r="I69" t="s">
        <v>3096</v>
      </c>
      <c r="J69" t="s">
        <v>3128</v>
      </c>
      <c r="K69">
        <v>187516</v>
      </c>
      <c r="L69" s="92" t="s">
        <v>3117</v>
      </c>
      <c r="M69" s="25">
        <v>5401088459</v>
      </c>
      <c r="N69" s="93">
        <v>30</v>
      </c>
      <c r="O69" s="92" t="s">
        <v>2870</v>
      </c>
      <c r="P69" s="92" t="s">
        <v>3026</v>
      </c>
      <c r="Q69" s="92" t="s">
        <v>3104</v>
      </c>
      <c r="R69" s="92" t="s">
        <v>3098</v>
      </c>
      <c r="S69" s="7">
        <v>675000</v>
      </c>
      <c r="T69" s="7">
        <v>675000</v>
      </c>
      <c r="U69" s="7">
        <v>736500</v>
      </c>
      <c r="V69" s="7"/>
      <c r="W69" s="7"/>
      <c r="X69" s="7">
        <f t="shared" si="8"/>
        <v>61500</v>
      </c>
      <c r="Y69" s="5">
        <f t="shared" si="9"/>
        <v>9.1111111111111115E-2</v>
      </c>
      <c r="Z69" s="6" t="s">
        <v>3258</v>
      </c>
      <c r="AA69" s="29">
        <f>SUMPRODUCT((BIdetails!$J$5:$J$3000=M69)*(BIdetails!$K$5:$K$3000=N69)*(BIdetails!$M$5:$M$3000))</f>
        <v>0</v>
      </c>
      <c r="AB69" s="30">
        <f t="shared" si="10"/>
        <v>0</v>
      </c>
      <c r="AC69" s="27" t="s">
        <v>845</v>
      </c>
      <c r="AD69" s="27" t="s">
        <v>3100</v>
      </c>
      <c r="AE69" s="27" t="s">
        <v>3118</v>
      </c>
      <c r="AF69" s="27"/>
    </row>
    <row r="70" spans="1:32" hidden="1" x14ac:dyDescent="0.25">
      <c r="A70" t="s">
        <v>3094</v>
      </c>
      <c r="B70" t="str">
        <f t="shared" si="7"/>
        <v>Decrease</v>
      </c>
      <c r="C70" s="92" t="s">
        <v>2764</v>
      </c>
      <c r="D70" t="s">
        <v>3151</v>
      </c>
      <c r="E70">
        <v>68427709</v>
      </c>
      <c r="F70" s="91" t="s">
        <v>44</v>
      </c>
      <c r="G70" s="92" t="s">
        <v>75</v>
      </c>
      <c r="H70" s="92" t="s">
        <v>46</v>
      </c>
      <c r="I70" t="s">
        <v>3096</v>
      </c>
      <c r="J70" t="s">
        <v>3128</v>
      </c>
      <c r="K70">
        <v>187516</v>
      </c>
      <c r="L70" s="92" t="s">
        <v>3117</v>
      </c>
      <c r="M70" s="25">
        <v>5401088459</v>
      </c>
      <c r="N70" s="93">
        <v>10</v>
      </c>
      <c r="O70" s="92" t="s">
        <v>2870</v>
      </c>
      <c r="P70" s="92" t="s">
        <v>3026</v>
      </c>
      <c r="Q70" s="92" t="s">
        <v>3104</v>
      </c>
      <c r="R70" s="92" t="s">
        <v>3098</v>
      </c>
      <c r="S70" s="7">
        <v>500000</v>
      </c>
      <c r="T70" s="7">
        <v>460000</v>
      </c>
      <c r="U70" s="7">
        <v>357000</v>
      </c>
      <c r="V70" s="7"/>
      <c r="W70" s="7"/>
      <c r="X70" s="7">
        <f t="shared" si="8"/>
        <v>-103000</v>
      </c>
      <c r="Y70" s="5">
        <f t="shared" si="9"/>
        <v>-0.22391304347826088</v>
      </c>
      <c r="Z70" s="6" t="s">
        <v>3259</v>
      </c>
      <c r="AA70" s="29">
        <f>SUMPRODUCT((BIdetails!$J$5:$J$3000=M70)*(BIdetails!$K$5:$K$3000=N70)*(BIdetails!$M$5:$M$3000))</f>
        <v>0</v>
      </c>
      <c r="AB70" s="30">
        <f t="shared" si="10"/>
        <v>0</v>
      </c>
      <c r="AC70" s="27" t="s">
        <v>845</v>
      </c>
      <c r="AD70" s="27" t="s">
        <v>3100</v>
      </c>
      <c r="AE70" s="27" t="s">
        <v>3118</v>
      </c>
      <c r="AF70" s="27"/>
    </row>
    <row r="71" spans="1:32" hidden="1" x14ac:dyDescent="0.25">
      <c r="A71" t="s">
        <v>3094</v>
      </c>
      <c r="B71" t="str">
        <f t="shared" si="7"/>
        <v>No Change</v>
      </c>
      <c r="C71" s="92" t="s">
        <v>3260</v>
      </c>
      <c r="D71" t="s">
        <v>3151</v>
      </c>
      <c r="E71">
        <v>68427709</v>
      </c>
      <c r="F71" s="91" t="s">
        <v>44</v>
      </c>
      <c r="G71" s="92" t="s">
        <v>75</v>
      </c>
      <c r="H71" s="92" t="s">
        <v>46</v>
      </c>
      <c r="I71" t="s">
        <v>3096</v>
      </c>
      <c r="J71" t="s">
        <v>3128</v>
      </c>
      <c r="K71">
        <v>187516</v>
      </c>
      <c r="L71" s="92" t="s">
        <v>3117</v>
      </c>
      <c r="M71" s="25">
        <v>5401088459</v>
      </c>
      <c r="N71" s="93">
        <v>20</v>
      </c>
      <c r="O71" s="92" t="s">
        <v>2870</v>
      </c>
      <c r="P71" s="92" t="s">
        <v>3026</v>
      </c>
      <c r="Q71" s="92" t="s">
        <v>3104</v>
      </c>
      <c r="R71" s="92" t="s">
        <v>3098</v>
      </c>
      <c r="S71" s="7">
        <v>65000</v>
      </c>
      <c r="T71" s="7">
        <v>65000</v>
      </c>
      <c r="U71" s="7">
        <v>65000</v>
      </c>
      <c r="V71" s="7"/>
      <c r="W71" s="7"/>
      <c r="X71" s="7">
        <f t="shared" si="8"/>
        <v>0</v>
      </c>
      <c r="Y71" s="5">
        <f t="shared" si="9"/>
        <v>0</v>
      </c>
      <c r="Z71" s="6"/>
      <c r="AA71" s="29">
        <f>SUMPRODUCT((BIdetails!$J$5:$J$3000=M71)*(BIdetails!$K$5:$K$3000=N71)*(BIdetails!$M$5:$M$3000))</f>
        <v>0</v>
      </c>
      <c r="AB71" s="30">
        <f t="shared" si="10"/>
        <v>0</v>
      </c>
      <c r="AC71" s="27"/>
      <c r="AD71" s="27"/>
      <c r="AE71" s="27"/>
      <c r="AF71" s="27"/>
    </row>
    <row r="72" spans="1:32" hidden="1" x14ac:dyDescent="0.25">
      <c r="A72" t="s">
        <v>3094</v>
      </c>
      <c r="B72" t="str">
        <f t="shared" si="7"/>
        <v>Decrease</v>
      </c>
      <c r="C72" s="92" t="s">
        <v>2767</v>
      </c>
      <c r="D72" t="s">
        <v>3151</v>
      </c>
      <c r="E72">
        <v>68427709</v>
      </c>
      <c r="F72" s="91" t="s">
        <v>44</v>
      </c>
      <c r="G72" s="92" t="s">
        <v>75</v>
      </c>
      <c r="H72" s="92" t="s">
        <v>46</v>
      </c>
      <c r="J72" t="s">
        <v>3153</v>
      </c>
      <c r="K72">
        <v>187516</v>
      </c>
      <c r="L72" s="92" t="s">
        <v>3117</v>
      </c>
      <c r="M72" s="25">
        <v>5401088459</v>
      </c>
      <c r="N72" s="93">
        <v>220</v>
      </c>
      <c r="O72" s="92" t="s">
        <v>2870</v>
      </c>
      <c r="P72" s="92" t="s">
        <v>3026</v>
      </c>
      <c r="Q72" s="92" t="s">
        <v>3114</v>
      </c>
      <c r="R72" s="92" t="s">
        <v>3098</v>
      </c>
      <c r="S72" s="7">
        <v>300000</v>
      </c>
      <c r="T72" s="7">
        <v>270000</v>
      </c>
      <c r="U72" s="7">
        <v>70000</v>
      </c>
      <c r="V72" s="7"/>
      <c r="W72" s="7"/>
      <c r="X72" s="7">
        <f t="shared" si="8"/>
        <v>-200000</v>
      </c>
      <c r="Y72" s="5">
        <f t="shared" si="9"/>
        <v>-0.7407407407407407</v>
      </c>
      <c r="Z72" s="6" t="s">
        <v>3261</v>
      </c>
      <c r="AA72" s="29">
        <f>SUMPRODUCT((BIdetails!$J$5:$J$3000=M72)*(BIdetails!$K$5:$K$3000=N72)*(BIdetails!$M$5:$M$3000))</f>
        <v>0</v>
      </c>
      <c r="AB72" s="30">
        <f t="shared" si="10"/>
        <v>0</v>
      </c>
      <c r="AC72" s="27" t="s">
        <v>845</v>
      </c>
      <c r="AD72" s="27" t="s">
        <v>3100</v>
      </c>
      <c r="AE72" s="27" t="s">
        <v>3118</v>
      </c>
      <c r="AF72" s="27"/>
    </row>
    <row r="73" spans="1:32" hidden="1" x14ac:dyDescent="0.25">
      <c r="A73" t="s">
        <v>3106</v>
      </c>
      <c r="B73" t="str">
        <f t="shared" si="7"/>
        <v>No Change</v>
      </c>
      <c r="C73" s="22" t="s">
        <v>3262</v>
      </c>
      <c r="D73" t="s">
        <v>3263</v>
      </c>
      <c r="E73">
        <v>68427709</v>
      </c>
      <c r="F73" s="91" t="s">
        <v>59</v>
      </c>
      <c r="G73" s="22" t="s">
        <v>60</v>
      </c>
      <c r="H73" s="22" t="s">
        <v>46</v>
      </c>
      <c r="J73" t="s">
        <v>3264</v>
      </c>
      <c r="K73" s="22">
        <v>193327</v>
      </c>
      <c r="L73" s="22" t="s">
        <v>3265</v>
      </c>
      <c r="M73" s="24"/>
      <c r="N73" s="24">
        <v>10</v>
      </c>
      <c r="O73" s="22" t="s">
        <v>2870</v>
      </c>
      <c r="P73" s="22" t="s">
        <v>2781</v>
      </c>
      <c r="Q73" s="22" t="s">
        <v>3114</v>
      </c>
      <c r="R73" s="22" t="s">
        <v>3136</v>
      </c>
      <c r="S73" s="7">
        <v>80000</v>
      </c>
      <c r="T73" s="7">
        <v>0</v>
      </c>
      <c r="U73" s="7">
        <v>0</v>
      </c>
      <c r="V73" s="7"/>
      <c r="W73" s="7"/>
      <c r="X73" s="7">
        <f t="shared" si="8"/>
        <v>0</v>
      </c>
      <c r="Y73" s="5">
        <f t="shared" si="9"/>
        <v>0</v>
      </c>
      <c r="Z73" s="6"/>
      <c r="AA73" s="29">
        <f>SUMPRODUCT((BIdetails!$J$5:$J$3000=M73)*(BIdetails!$K$5:$K$3000=N73)*(BIdetails!$M$5:$M$3000))</f>
        <v>0</v>
      </c>
      <c r="AB73" s="30" t="str">
        <f t="shared" si="10"/>
        <v/>
      </c>
      <c r="AC73" s="27" t="s">
        <v>3099</v>
      </c>
      <c r="AD73" s="27" t="s">
        <v>3100</v>
      </c>
      <c r="AE73" s="27" t="s">
        <v>3101</v>
      </c>
      <c r="AF73" s="27"/>
    </row>
    <row r="74" spans="1:32" hidden="1" x14ac:dyDescent="0.25">
      <c r="A74" t="s">
        <v>3106</v>
      </c>
      <c r="B74" t="str">
        <f t="shared" si="7"/>
        <v>No Change</v>
      </c>
      <c r="C74" s="22" t="s">
        <v>3266</v>
      </c>
      <c r="D74" t="s">
        <v>3267</v>
      </c>
      <c r="E74">
        <v>68427709</v>
      </c>
      <c r="F74" s="91" t="s">
        <v>59</v>
      </c>
      <c r="G74" t="s">
        <v>60</v>
      </c>
      <c r="H74" t="s">
        <v>46</v>
      </c>
      <c r="I74" s="23"/>
      <c r="J74" t="s">
        <v>3268</v>
      </c>
      <c r="K74">
        <v>198518</v>
      </c>
      <c r="L74" s="97" t="s">
        <v>3269</v>
      </c>
      <c r="O74" s="22" t="s">
        <v>2870</v>
      </c>
      <c r="P74" s="22" t="s">
        <v>2781</v>
      </c>
      <c r="Q74" t="s">
        <v>3114</v>
      </c>
      <c r="R74" t="s">
        <v>3136</v>
      </c>
      <c r="S74" s="7">
        <v>142000</v>
      </c>
      <c r="T74" s="7">
        <v>0</v>
      </c>
      <c r="U74" s="7">
        <v>0</v>
      </c>
      <c r="V74" s="7"/>
      <c r="W74" s="7"/>
      <c r="X74" s="7">
        <f t="shared" si="8"/>
        <v>0</v>
      </c>
      <c r="Y74" s="5">
        <f t="shared" si="9"/>
        <v>0</v>
      </c>
      <c r="Z74" s="6"/>
      <c r="AA74" s="29">
        <f>SUMPRODUCT((BIdetails!$J$5:$J$3000=M74)*(BIdetails!$K$5:$K$3000=N74)*(BIdetails!$M$5:$M$3000))</f>
        <v>0</v>
      </c>
      <c r="AB74" s="30" t="str">
        <f t="shared" si="10"/>
        <v/>
      </c>
      <c r="AC74" s="27"/>
      <c r="AD74" s="27"/>
      <c r="AE74" s="27"/>
      <c r="AF74" s="27"/>
    </row>
    <row r="75" spans="1:32" ht="15" hidden="1" customHeight="1" x14ac:dyDescent="0.25">
      <c r="A75" t="s">
        <v>3094</v>
      </c>
      <c r="B75" t="str">
        <f t="shared" si="7"/>
        <v>Increase</v>
      </c>
      <c r="C75" t="s">
        <v>2067</v>
      </c>
      <c r="D75" t="s">
        <v>3270</v>
      </c>
      <c r="E75">
        <v>68427709</v>
      </c>
      <c r="F75" s="91" t="s">
        <v>22</v>
      </c>
      <c r="G75" t="s">
        <v>23</v>
      </c>
      <c r="H75" t="s">
        <v>24</v>
      </c>
      <c r="I75" t="s">
        <v>2445</v>
      </c>
      <c r="J75" t="s">
        <v>3116</v>
      </c>
      <c r="K75">
        <v>210591</v>
      </c>
      <c r="L75" t="s">
        <v>110</v>
      </c>
      <c r="M75" s="20">
        <v>5401063675</v>
      </c>
      <c r="N75" s="20">
        <v>10</v>
      </c>
      <c r="O75" s="22" t="s">
        <v>2410</v>
      </c>
      <c r="P75" s="22" t="s">
        <v>2410</v>
      </c>
      <c r="Q75" t="s">
        <v>3114</v>
      </c>
      <c r="R75" t="s">
        <v>3133</v>
      </c>
      <c r="S75" s="7">
        <v>35000</v>
      </c>
      <c r="T75" s="7">
        <v>35000</v>
      </c>
      <c r="U75" s="7">
        <v>40000</v>
      </c>
      <c r="V75" s="7"/>
      <c r="W75" s="7"/>
      <c r="X75" s="7">
        <f t="shared" si="8"/>
        <v>5000</v>
      </c>
      <c r="Y75" s="5">
        <f t="shared" si="9"/>
        <v>0.14285714285714285</v>
      </c>
      <c r="Z75" s="117"/>
      <c r="AA75" s="29">
        <f>SUMPRODUCT((BIdetails!$J$5:$J$3000=M75)*(BIdetails!$K$5:$K$3000=N75)*(BIdetails!$M$5:$M$3000))</f>
        <v>0</v>
      </c>
      <c r="AB75" s="30">
        <f t="shared" si="10"/>
        <v>0</v>
      </c>
      <c r="AC75" s="27" t="s">
        <v>845</v>
      </c>
      <c r="AD75" s="27" t="s">
        <v>3100</v>
      </c>
      <c r="AE75" s="27" t="s">
        <v>3118</v>
      </c>
      <c r="AF75" s="27"/>
    </row>
    <row r="76" spans="1:32" hidden="1" x14ac:dyDescent="0.25">
      <c r="A76" t="s">
        <v>3106</v>
      </c>
      <c r="B76" t="str">
        <f t="shared" si="7"/>
        <v>Decommissioned</v>
      </c>
      <c r="C76" t="s">
        <v>2377</v>
      </c>
      <c r="D76" t="s">
        <v>3271</v>
      </c>
      <c r="E76">
        <v>68427709</v>
      </c>
      <c r="F76" s="91" t="s">
        <v>59</v>
      </c>
      <c r="G76" t="s">
        <v>60</v>
      </c>
      <c r="H76" t="s">
        <v>46</v>
      </c>
      <c r="J76" t="s">
        <v>3272</v>
      </c>
      <c r="K76">
        <v>188862</v>
      </c>
      <c r="L76" t="s">
        <v>3273</v>
      </c>
      <c r="N76" s="20">
        <v>10</v>
      </c>
      <c r="O76" t="s">
        <v>2870</v>
      </c>
      <c r="P76" s="22" t="s">
        <v>2500</v>
      </c>
      <c r="Q76" t="s">
        <v>3114</v>
      </c>
      <c r="R76" s="22" t="s">
        <v>3175</v>
      </c>
      <c r="S76" s="7">
        <v>298000</v>
      </c>
      <c r="T76" s="7">
        <v>307000</v>
      </c>
      <c r="U76" s="7">
        <v>0</v>
      </c>
      <c r="V76" s="7"/>
      <c r="W76" s="7"/>
      <c r="X76" s="7">
        <f t="shared" si="8"/>
        <v>-307000</v>
      </c>
      <c r="Y76" s="5">
        <f t="shared" si="9"/>
        <v>-1</v>
      </c>
      <c r="Z76" s="6"/>
      <c r="AA76" s="29">
        <f>SUMPRODUCT((BIdetails!$J$5:$J$3000=M76)*(BIdetails!$K$5:$K$3000=N76)*(BIdetails!$M$5:$M$3000))</f>
        <v>0</v>
      </c>
      <c r="AB76" s="30" t="str">
        <f t="shared" si="10"/>
        <v/>
      </c>
      <c r="AC76" s="27"/>
      <c r="AD76" s="27"/>
      <c r="AE76" s="27"/>
      <c r="AF76" s="27"/>
    </row>
    <row r="77" spans="1:32" x14ac:dyDescent="0.25">
      <c r="A77" t="s">
        <v>3094</v>
      </c>
      <c r="B77" t="str">
        <f t="shared" si="7"/>
        <v>New</v>
      </c>
      <c r="C77" s="22" t="s">
        <v>3004</v>
      </c>
      <c r="D77" t="s">
        <v>3274</v>
      </c>
      <c r="E77">
        <v>68427709</v>
      </c>
      <c r="F77" s="91" t="s">
        <v>40</v>
      </c>
      <c r="G77" t="s">
        <v>42</v>
      </c>
      <c r="H77" t="s">
        <v>42</v>
      </c>
      <c r="J77" t="s">
        <v>3275</v>
      </c>
      <c r="K77">
        <v>166304</v>
      </c>
      <c r="L77" s="22" t="s">
        <v>97</v>
      </c>
      <c r="M77" s="203"/>
      <c r="O77" s="92" t="s">
        <v>2843</v>
      </c>
      <c r="P77" s="22" t="s">
        <v>2843</v>
      </c>
      <c r="Q77" t="s">
        <v>3114</v>
      </c>
      <c r="R77" t="s">
        <v>42</v>
      </c>
      <c r="S77" s="7"/>
      <c r="T77" s="7"/>
      <c r="U77" s="7">
        <v>100000</v>
      </c>
      <c r="V77" s="7"/>
      <c r="W77" s="7">
        <f>U77*1.04</f>
        <v>104000</v>
      </c>
      <c r="X77" s="7">
        <f>W77-U77</f>
        <v>4000</v>
      </c>
      <c r="Y77" s="5">
        <f t="shared" si="9"/>
        <v>1</v>
      </c>
      <c r="Z77" s="117"/>
      <c r="AA77" s="29">
        <f>SUMPRODUCT((BIdetails!$J$5:$J$3000=M77)*(BIdetails!$K$5:$K$3000=N77)*(BIdetails!$M$5:$M$3000))</f>
        <v>0</v>
      </c>
      <c r="AB77" s="30">
        <f t="shared" si="10"/>
        <v>0</v>
      </c>
      <c r="AC77" s="27"/>
      <c r="AD77" s="27"/>
      <c r="AE77" s="27"/>
      <c r="AF77" s="27"/>
    </row>
    <row r="78" spans="1:32" hidden="1" x14ac:dyDescent="0.25">
      <c r="A78" t="s">
        <v>3094</v>
      </c>
      <c r="B78" t="str">
        <f t="shared" si="7"/>
        <v>No Change</v>
      </c>
      <c r="C78" t="s">
        <v>3276</v>
      </c>
      <c r="D78" t="s">
        <v>3277</v>
      </c>
      <c r="E78">
        <v>68427719</v>
      </c>
      <c r="F78" s="96" t="s">
        <v>54</v>
      </c>
      <c r="G78" s="92" t="s">
        <v>55</v>
      </c>
      <c r="H78" s="92" t="s">
        <v>46</v>
      </c>
      <c r="J78" t="s">
        <v>3278</v>
      </c>
      <c r="K78">
        <v>3001946</v>
      </c>
      <c r="L78" t="s">
        <v>3279</v>
      </c>
      <c r="M78" s="93">
        <v>5401023573</v>
      </c>
      <c r="N78" s="93">
        <v>10</v>
      </c>
      <c r="O78" s="92" t="s">
        <v>3149</v>
      </c>
      <c r="P78" s="92" t="s">
        <v>2356</v>
      </c>
      <c r="Q78" s="92" t="s">
        <v>3206</v>
      </c>
      <c r="R78" s="92" t="s">
        <v>3207</v>
      </c>
      <c r="S78" s="7">
        <v>215000</v>
      </c>
      <c r="T78" s="7">
        <v>215000</v>
      </c>
      <c r="U78" s="7">
        <v>215000</v>
      </c>
      <c r="V78" s="7"/>
      <c r="W78" s="7"/>
      <c r="X78" s="7">
        <f t="shared" si="8"/>
        <v>0</v>
      </c>
      <c r="Y78" s="5">
        <f t="shared" si="9"/>
        <v>0</v>
      </c>
      <c r="Z78" s="6"/>
      <c r="AA78" s="29">
        <f>SUMPRODUCT((BIdetails!$J$5:$J$3000=M78)*(BIdetails!$K$5:$K$3000=N78)*(BIdetails!$M$5:$M$3000))</f>
        <v>0</v>
      </c>
      <c r="AB78" s="30">
        <f t="shared" si="10"/>
        <v>0</v>
      </c>
      <c r="AC78" s="27" t="s">
        <v>3099</v>
      </c>
      <c r="AD78" s="27" t="s">
        <v>3108</v>
      </c>
      <c r="AE78" s="27" t="s">
        <v>3101</v>
      </c>
      <c r="AF78" s="27"/>
    </row>
    <row r="79" spans="1:32" hidden="1" x14ac:dyDescent="0.25">
      <c r="A79" t="s">
        <v>3094</v>
      </c>
      <c r="B79" t="str">
        <f t="shared" si="7"/>
        <v>Increase</v>
      </c>
      <c r="C79" t="s">
        <v>3280</v>
      </c>
      <c r="D79" t="s">
        <v>3277</v>
      </c>
      <c r="E79">
        <v>68427709</v>
      </c>
      <c r="F79" s="96" t="s">
        <v>54</v>
      </c>
      <c r="G79" s="92" t="s">
        <v>55</v>
      </c>
      <c r="H79" s="92" t="s">
        <v>46</v>
      </c>
      <c r="I79" t="s">
        <v>3096</v>
      </c>
      <c r="J79" s="23" t="s">
        <v>3128</v>
      </c>
      <c r="K79">
        <v>3001946</v>
      </c>
      <c r="L79" t="s">
        <v>3279</v>
      </c>
      <c r="M79" s="276">
        <v>5401088267</v>
      </c>
      <c r="N79" s="20">
        <v>10</v>
      </c>
      <c r="O79" s="92" t="s">
        <v>2870</v>
      </c>
      <c r="P79" s="92" t="s">
        <v>3149</v>
      </c>
      <c r="Q79" s="22" t="s">
        <v>3104</v>
      </c>
      <c r="R79" s="92" t="s">
        <v>1046</v>
      </c>
      <c r="S79" s="7">
        <v>1716000</v>
      </c>
      <c r="T79" s="7">
        <v>1716000</v>
      </c>
      <c r="U79" s="7">
        <f>1716000+81000</f>
        <v>1797000</v>
      </c>
      <c r="V79" s="7"/>
      <c r="W79" s="7"/>
      <c r="X79" s="7">
        <f t="shared" si="8"/>
        <v>81000</v>
      </c>
      <c r="Y79" s="5">
        <f t="shared" si="9"/>
        <v>4.72027972027972E-2</v>
      </c>
      <c r="Z79" s="6"/>
      <c r="AA79" s="29">
        <f>SUMPRODUCT((BIdetails!$J$5:$J$3000=M79)*(BIdetails!$K$5:$K$3000=N79)*(BIdetails!$M$5:$M$3000))</f>
        <v>0</v>
      </c>
      <c r="AB79" s="30">
        <f t="shared" si="10"/>
        <v>0</v>
      </c>
      <c r="AC79" s="27" t="s">
        <v>3099</v>
      </c>
      <c r="AD79" s="27" t="s">
        <v>3100</v>
      </c>
      <c r="AE79" s="27" t="s">
        <v>3101</v>
      </c>
      <c r="AF79" s="27"/>
    </row>
    <row r="80" spans="1:32" hidden="1" x14ac:dyDescent="0.25">
      <c r="A80" t="s">
        <v>3094</v>
      </c>
      <c r="B80" t="str">
        <f t="shared" si="7"/>
        <v>Increase</v>
      </c>
      <c r="C80" t="s">
        <v>1197</v>
      </c>
      <c r="D80" t="s">
        <v>3281</v>
      </c>
      <c r="E80">
        <v>68427709</v>
      </c>
      <c r="F80" s="91" t="s">
        <v>59</v>
      </c>
      <c r="G80" t="s">
        <v>60</v>
      </c>
      <c r="H80" t="s">
        <v>46</v>
      </c>
      <c r="J80" t="s">
        <v>3282</v>
      </c>
      <c r="K80" s="22">
        <v>209478</v>
      </c>
      <c r="L80" s="22" t="s">
        <v>3283</v>
      </c>
      <c r="M80" s="20">
        <v>5400912153</v>
      </c>
      <c r="N80" s="20">
        <v>60</v>
      </c>
      <c r="O80" t="s">
        <v>2870</v>
      </c>
      <c r="P80" s="22" t="s">
        <v>1984</v>
      </c>
      <c r="Q80" s="92" t="s">
        <v>3104</v>
      </c>
      <c r="R80" t="s">
        <v>3284</v>
      </c>
      <c r="S80" s="7">
        <v>157000</v>
      </c>
      <c r="T80" s="7">
        <v>157000</v>
      </c>
      <c r="U80" s="7">
        <v>187000</v>
      </c>
      <c r="V80" s="7"/>
      <c r="W80" s="7"/>
      <c r="X80" s="7">
        <f t="shared" si="8"/>
        <v>30000</v>
      </c>
      <c r="Y80" s="5">
        <f t="shared" si="9"/>
        <v>0.19108280254777071</v>
      </c>
      <c r="Z80" s="6"/>
      <c r="AA80" s="29">
        <f>SUMPRODUCT((BIdetails!$J$5:$J$3000=M80)*(BIdetails!$K$5:$K$3000=N80)*(BIdetails!$M$5:$M$3000))</f>
        <v>0</v>
      </c>
      <c r="AB80" s="30">
        <f t="shared" si="10"/>
        <v>0</v>
      </c>
      <c r="AC80" s="27"/>
      <c r="AD80" s="27"/>
      <c r="AE80" s="27"/>
      <c r="AF80" s="27"/>
    </row>
    <row r="81" spans="1:32" hidden="1" x14ac:dyDescent="0.25">
      <c r="A81" t="s">
        <v>3094</v>
      </c>
      <c r="B81" t="str">
        <f t="shared" si="7"/>
        <v>No Change</v>
      </c>
      <c r="C81" s="92" t="s">
        <v>1923</v>
      </c>
      <c r="D81" t="s">
        <v>3151</v>
      </c>
      <c r="E81">
        <v>68427709</v>
      </c>
      <c r="F81" s="91" t="s">
        <v>44</v>
      </c>
      <c r="G81" s="92" t="s">
        <v>75</v>
      </c>
      <c r="H81" s="92" t="s">
        <v>46</v>
      </c>
      <c r="J81" t="s">
        <v>3153</v>
      </c>
      <c r="K81">
        <v>187516</v>
      </c>
      <c r="L81" s="92" t="s">
        <v>3117</v>
      </c>
      <c r="M81" s="25">
        <v>5401088459</v>
      </c>
      <c r="N81" s="20">
        <v>210</v>
      </c>
      <c r="O81" s="92" t="s">
        <v>2870</v>
      </c>
      <c r="P81" s="92" t="s">
        <v>2500</v>
      </c>
      <c r="Q81" t="s">
        <v>3114</v>
      </c>
      <c r="R81" s="92" t="s">
        <v>3175</v>
      </c>
      <c r="S81" s="7">
        <v>260000</v>
      </c>
      <c r="T81" s="7">
        <v>300000</v>
      </c>
      <c r="U81" s="7">
        <v>300000</v>
      </c>
      <c r="V81" s="7"/>
      <c r="W81" s="7"/>
      <c r="X81" s="7">
        <f t="shared" si="8"/>
        <v>0</v>
      </c>
      <c r="Y81" s="5">
        <f t="shared" si="9"/>
        <v>0</v>
      </c>
      <c r="Z81" s="6"/>
      <c r="AA81" s="29">
        <f>SUMPRODUCT((BIdetails!$J$5:$J$3000=M81)*(BIdetails!$K$5:$K$3000=N81)*(BIdetails!$M$5:$M$3000))</f>
        <v>0</v>
      </c>
      <c r="AB81" s="30">
        <f t="shared" si="10"/>
        <v>0</v>
      </c>
      <c r="AC81" s="27" t="s">
        <v>845</v>
      </c>
      <c r="AD81" s="27" t="s">
        <v>3100</v>
      </c>
      <c r="AE81" s="27" t="s">
        <v>3163</v>
      </c>
      <c r="AF81" s="27"/>
    </row>
    <row r="82" spans="1:32" hidden="1" x14ac:dyDescent="0.25">
      <c r="A82" t="s">
        <v>3094</v>
      </c>
      <c r="B82" t="str">
        <f t="shared" si="7"/>
        <v>No Change</v>
      </c>
      <c r="C82" s="92" t="s">
        <v>2830</v>
      </c>
      <c r="D82" t="s">
        <v>3151</v>
      </c>
      <c r="E82">
        <v>68427709</v>
      </c>
      <c r="F82" s="91" t="s">
        <v>44</v>
      </c>
      <c r="G82" s="92" t="s">
        <v>75</v>
      </c>
      <c r="H82" s="92" t="s">
        <v>46</v>
      </c>
      <c r="J82" t="s">
        <v>3285</v>
      </c>
      <c r="K82">
        <v>187516</v>
      </c>
      <c r="L82" s="92" t="s">
        <v>3117</v>
      </c>
      <c r="M82" s="25">
        <v>5401088459</v>
      </c>
      <c r="N82" s="93" t="s">
        <v>3286</v>
      </c>
      <c r="O82" s="92" t="s">
        <v>2870</v>
      </c>
      <c r="P82" s="92" t="s">
        <v>2500</v>
      </c>
      <c r="Q82" t="s">
        <v>3114</v>
      </c>
      <c r="R82" s="92" t="s">
        <v>3175</v>
      </c>
      <c r="S82" s="7">
        <v>136000</v>
      </c>
      <c r="T82" s="7">
        <v>136000</v>
      </c>
      <c r="U82" s="7">
        <v>136000</v>
      </c>
      <c r="V82" s="7"/>
      <c r="W82" s="7"/>
      <c r="X82" s="7">
        <f t="shared" si="8"/>
        <v>0</v>
      </c>
      <c r="Y82" s="5">
        <f t="shared" si="9"/>
        <v>0</v>
      </c>
      <c r="Z82" s="6"/>
      <c r="AA82" s="29">
        <f>SUMPRODUCT((BIdetails!$J$5:$J$3000=M82)*(BIdetails!$K$5:$K$3000=N82)*(BIdetails!$M$5:$M$3000))</f>
        <v>0</v>
      </c>
      <c r="AB82" s="30">
        <f t="shared" si="10"/>
        <v>0</v>
      </c>
      <c r="AC82" s="27"/>
      <c r="AD82" s="27"/>
      <c r="AE82" s="27"/>
      <c r="AF82" s="27"/>
    </row>
    <row r="83" spans="1:32" hidden="1" x14ac:dyDescent="0.25">
      <c r="A83" t="s">
        <v>3094</v>
      </c>
      <c r="B83" t="str">
        <f t="shared" si="7"/>
        <v>Increase</v>
      </c>
      <c r="C83" s="92" t="s">
        <v>1816</v>
      </c>
      <c r="D83" t="s">
        <v>3287</v>
      </c>
      <c r="E83">
        <v>68427709</v>
      </c>
      <c r="F83" s="91" t="s">
        <v>59</v>
      </c>
      <c r="G83" t="s">
        <v>60</v>
      </c>
      <c r="H83" s="92" t="s">
        <v>46</v>
      </c>
      <c r="J83" t="s">
        <v>3288</v>
      </c>
      <c r="K83">
        <v>210633</v>
      </c>
      <c r="L83" s="92" t="s">
        <v>3289</v>
      </c>
      <c r="M83">
        <v>5400949579</v>
      </c>
      <c r="N83" s="20">
        <v>30</v>
      </c>
      <c r="O83" s="92" t="s">
        <v>2870</v>
      </c>
      <c r="P83" s="92" t="s">
        <v>3195</v>
      </c>
      <c r="Q83" t="s">
        <v>3124</v>
      </c>
      <c r="R83" t="s">
        <v>3125</v>
      </c>
      <c r="S83" s="7">
        <v>360000</v>
      </c>
      <c r="T83" s="7">
        <v>482000</v>
      </c>
      <c r="U83" s="7">
        <v>552000</v>
      </c>
      <c r="V83" s="7"/>
      <c r="W83" s="7"/>
      <c r="X83" s="7">
        <f t="shared" si="8"/>
        <v>70000</v>
      </c>
      <c r="Y83" s="5">
        <f t="shared" si="9"/>
        <v>0.14522821576763487</v>
      </c>
      <c r="Z83" s="6"/>
      <c r="AA83" s="29">
        <f>SUMPRODUCT((BIdetails!$J$5:$J$3000=M83)*(BIdetails!$K$5:$K$3000=N83)*(BIdetails!$M$5:$M$3000))</f>
        <v>0</v>
      </c>
      <c r="AB83" s="30">
        <f t="shared" si="10"/>
        <v>0</v>
      </c>
      <c r="AC83" s="27" t="s">
        <v>3099</v>
      </c>
      <c r="AD83" s="27" t="s">
        <v>3290</v>
      </c>
      <c r="AE83" s="27"/>
      <c r="AF83" s="27"/>
    </row>
    <row r="84" spans="1:32" hidden="1" x14ac:dyDescent="0.25">
      <c r="A84" t="s">
        <v>3094</v>
      </c>
      <c r="B84" t="str">
        <f t="shared" si="7"/>
        <v>Increase</v>
      </c>
      <c r="C84" s="22" t="s">
        <v>2463</v>
      </c>
      <c r="D84" t="s">
        <v>3287</v>
      </c>
      <c r="E84">
        <v>68427709</v>
      </c>
      <c r="F84" s="91" t="s">
        <v>59</v>
      </c>
      <c r="G84" t="s">
        <v>60</v>
      </c>
      <c r="H84" t="s">
        <v>46</v>
      </c>
      <c r="J84" t="s">
        <v>3291</v>
      </c>
      <c r="K84">
        <v>210633</v>
      </c>
      <c r="L84" s="92" t="s">
        <v>3292</v>
      </c>
      <c r="M84">
        <v>5401000410</v>
      </c>
      <c r="N84" s="20">
        <v>80</v>
      </c>
      <c r="O84" s="22" t="s">
        <v>2870</v>
      </c>
      <c r="P84" s="22" t="s">
        <v>3195</v>
      </c>
      <c r="Q84" s="201" t="s">
        <v>3124</v>
      </c>
      <c r="R84" t="s">
        <v>3125</v>
      </c>
      <c r="S84" s="7">
        <v>24000</v>
      </c>
      <c r="T84" s="7">
        <v>26000</v>
      </c>
      <c r="U84" s="7">
        <v>30000</v>
      </c>
      <c r="V84" s="7"/>
      <c r="W84" s="7"/>
      <c r="X84" s="7">
        <f t="shared" si="8"/>
        <v>4000</v>
      </c>
      <c r="Y84" s="5">
        <f t="shared" si="9"/>
        <v>0.15384615384615385</v>
      </c>
      <c r="Z84" s="117"/>
      <c r="AA84" s="29">
        <f>SUMPRODUCT((BIdetails!$J$5:$J$3000=M84)*(BIdetails!$K$5:$K$3000=N84)*(BIdetails!$M$5:$M$3000))</f>
        <v>0</v>
      </c>
      <c r="AB84" s="30">
        <f t="shared" si="10"/>
        <v>0</v>
      </c>
      <c r="AC84" s="27"/>
      <c r="AD84" s="27"/>
      <c r="AE84" s="27"/>
      <c r="AF84" s="27"/>
    </row>
    <row r="85" spans="1:32" hidden="1" x14ac:dyDescent="0.25">
      <c r="A85" t="s">
        <v>3094</v>
      </c>
      <c r="B85" t="str">
        <f t="shared" si="7"/>
        <v>No Change</v>
      </c>
      <c r="C85" s="22" t="s">
        <v>1152</v>
      </c>
      <c r="D85" t="s">
        <v>3293</v>
      </c>
      <c r="E85">
        <v>68427709</v>
      </c>
      <c r="F85" s="91" t="s">
        <v>59</v>
      </c>
      <c r="G85" t="s">
        <v>60</v>
      </c>
      <c r="H85" t="s">
        <v>46</v>
      </c>
      <c r="J85" t="s">
        <v>3294</v>
      </c>
      <c r="K85" s="145">
        <v>212793</v>
      </c>
      <c r="L85" s="22" t="s">
        <v>277</v>
      </c>
      <c r="M85" s="203">
        <v>5401084226</v>
      </c>
      <c r="N85" s="20">
        <v>30</v>
      </c>
      <c r="O85" s="22" t="s">
        <v>2870</v>
      </c>
      <c r="P85" s="22" t="s">
        <v>2994</v>
      </c>
      <c r="Q85" t="s">
        <v>3114</v>
      </c>
      <c r="R85" t="s">
        <v>3098</v>
      </c>
      <c r="S85" s="7">
        <v>27000</v>
      </c>
      <c r="T85" s="7">
        <v>27000</v>
      </c>
      <c r="U85" s="7">
        <v>27000</v>
      </c>
      <c r="V85" s="7"/>
      <c r="W85" s="7"/>
      <c r="X85" s="7">
        <f t="shared" si="8"/>
        <v>0</v>
      </c>
      <c r="Y85" s="5">
        <f t="shared" si="9"/>
        <v>0</v>
      </c>
      <c r="Z85" s="6"/>
      <c r="AA85" s="29">
        <f>SUMPRODUCT((BIdetails!$J$5:$J$3000=M85)*(BIdetails!$K$5:$K$3000=N85)*(BIdetails!$M$5:$M$3000))</f>
        <v>0</v>
      </c>
      <c r="AB85" s="30">
        <f t="shared" si="10"/>
        <v>0</v>
      </c>
      <c r="AC85" s="27"/>
      <c r="AD85" s="27"/>
      <c r="AE85" s="27"/>
      <c r="AF85" s="27"/>
    </row>
    <row r="86" spans="1:32" x14ac:dyDescent="0.25">
      <c r="A86" t="s">
        <v>3094</v>
      </c>
      <c r="B86" t="str">
        <f t="shared" si="7"/>
        <v>No Change</v>
      </c>
      <c r="C86" s="22" t="s">
        <v>2653</v>
      </c>
      <c r="D86" t="s">
        <v>3295</v>
      </c>
      <c r="E86">
        <v>68427709</v>
      </c>
      <c r="F86" s="91" t="s">
        <v>40</v>
      </c>
      <c r="G86" t="s">
        <v>42</v>
      </c>
      <c r="H86" t="s">
        <v>42</v>
      </c>
      <c r="I86" t="s">
        <v>2445</v>
      </c>
      <c r="J86" t="s">
        <v>3116</v>
      </c>
      <c r="K86">
        <v>187516</v>
      </c>
      <c r="L86" s="92" t="s">
        <v>3117</v>
      </c>
      <c r="M86" s="20">
        <v>5400912390</v>
      </c>
      <c r="N86" s="20">
        <v>10</v>
      </c>
      <c r="O86" t="s">
        <v>2843</v>
      </c>
      <c r="P86" s="92" t="s">
        <v>2843</v>
      </c>
      <c r="Q86" t="s">
        <v>3114</v>
      </c>
      <c r="R86" s="92" t="s">
        <v>42</v>
      </c>
      <c r="S86" s="7">
        <v>141000</v>
      </c>
      <c r="T86" s="7">
        <v>141000</v>
      </c>
      <c r="U86" s="7">
        <v>141000</v>
      </c>
      <c r="V86" s="7"/>
      <c r="W86" s="7">
        <f>U86*1.04</f>
        <v>146640</v>
      </c>
      <c r="X86" s="7">
        <f>W86-U86</f>
        <v>5640</v>
      </c>
      <c r="Y86" s="5">
        <f t="shared" si="9"/>
        <v>0.04</v>
      </c>
      <c r="Z86" s="221"/>
      <c r="AA86" s="29">
        <f>SUMPRODUCT((BIdetails!$J$5:$J$3000=M86)*(BIdetails!$K$5:$K$3000=N86)*(BIdetails!$M$5:$M$3000))</f>
        <v>0</v>
      </c>
      <c r="AB86" s="30">
        <f t="shared" si="10"/>
        <v>0</v>
      </c>
      <c r="AC86" s="27"/>
      <c r="AD86" s="27"/>
      <c r="AE86" s="27"/>
      <c r="AF86" s="27"/>
    </row>
    <row r="87" spans="1:32" hidden="1" x14ac:dyDescent="0.25">
      <c r="A87" t="s">
        <v>3106</v>
      </c>
      <c r="B87" t="str">
        <f t="shared" si="7"/>
        <v>No Change</v>
      </c>
      <c r="C87" s="22" t="s">
        <v>2606</v>
      </c>
      <c r="E87">
        <v>68427709</v>
      </c>
      <c r="F87" s="91" t="s">
        <v>44</v>
      </c>
      <c r="G87" s="92" t="s">
        <v>75</v>
      </c>
      <c r="H87" s="92" t="s">
        <v>46</v>
      </c>
      <c r="J87" t="s">
        <v>3296</v>
      </c>
      <c r="K87" s="22"/>
      <c r="L87" s="22"/>
      <c r="M87" s="203"/>
      <c r="O87" s="22" t="s">
        <v>2870</v>
      </c>
      <c r="P87" s="22" t="s">
        <v>2500</v>
      </c>
      <c r="Q87" t="s">
        <v>3170</v>
      </c>
      <c r="R87" t="s">
        <v>517</v>
      </c>
      <c r="S87" s="7">
        <v>323000</v>
      </c>
      <c r="T87" s="7">
        <v>0</v>
      </c>
      <c r="U87" s="7">
        <v>0</v>
      </c>
      <c r="V87" s="7"/>
      <c r="W87" s="7"/>
      <c r="X87" s="7">
        <f t="shared" si="8"/>
        <v>0</v>
      </c>
      <c r="Y87" s="5">
        <f t="shared" si="9"/>
        <v>0</v>
      </c>
      <c r="Z87" s="117"/>
      <c r="AA87" s="29">
        <f>SUMPRODUCT((BIdetails!$J$5:$J$3000=M87)*(BIdetails!$K$5:$K$3000=N87)*(BIdetails!$M$5:$M$3000))</f>
        <v>0</v>
      </c>
      <c r="AB87" s="30" t="str">
        <f t="shared" si="10"/>
        <v/>
      </c>
      <c r="AC87" s="27"/>
      <c r="AD87" s="27"/>
      <c r="AE87" s="27"/>
      <c r="AF87" s="27"/>
    </row>
    <row r="88" spans="1:32" hidden="1" x14ac:dyDescent="0.25">
      <c r="A88" t="s">
        <v>3094</v>
      </c>
      <c r="B88" t="str">
        <f t="shared" si="7"/>
        <v>No Change</v>
      </c>
      <c r="C88" t="s">
        <v>3297</v>
      </c>
      <c r="D88" t="s">
        <v>3298</v>
      </c>
      <c r="E88">
        <v>68427709</v>
      </c>
      <c r="F88" s="91" t="s">
        <v>54</v>
      </c>
      <c r="G88" t="s">
        <v>55</v>
      </c>
      <c r="H88" t="s">
        <v>46</v>
      </c>
      <c r="J88" t="s">
        <v>3299</v>
      </c>
      <c r="K88">
        <v>169060</v>
      </c>
      <c r="L88" t="s">
        <v>3300</v>
      </c>
      <c r="M88" s="20">
        <v>5401102205</v>
      </c>
      <c r="N88" s="20">
        <v>10</v>
      </c>
      <c r="O88" t="s">
        <v>2870</v>
      </c>
      <c r="P88" t="s">
        <v>1984</v>
      </c>
      <c r="Q88" t="s">
        <v>3114</v>
      </c>
      <c r="R88" t="s">
        <v>3284</v>
      </c>
      <c r="S88" s="7">
        <v>2000</v>
      </c>
      <c r="T88" s="7">
        <v>2000</v>
      </c>
      <c r="U88" s="7">
        <v>2000</v>
      </c>
      <c r="V88" s="7"/>
      <c r="W88" s="7"/>
      <c r="X88" s="7">
        <f t="shared" si="8"/>
        <v>0</v>
      </c>
      <c r="Y88" s="5">
        <f t="shared" si="9"/>
        <v>0</v>
      </c>
      <c r="Z88" s="6"/>
      <c r="AA88" s="29">
        <f>SUMPRODUCT((BIdetails!$J$5:$J$3000=M88)*(BIdetails!$K$5:$K$3000=N88)*(BIdetails!$M$5:$M$3000))</f>
        <v>0</v>
      </c>
      <c r="AB88" s="30">
        <f t="shared" si="10"/>
        <v>0</v>
      </c>
      <c r="AC88" s="27"/>
      <c r="AD88" s="27"/>
      <c r="AE88" s="27"/>
      <c r="AF88" s="27"/>
    </row>
    <row r="89" spans="1:32" hidden="1" x14ac:dyDescent="0.25">
      <c r="A89" t="s">
        <v>3094</v>
      </c>
      <c r="B89" t="str">
        <f t="shared" si="7"/>
        <v>Increase</v>
      </c>
      <c r="C89" t="s">
        <v>3301</v>
      </c>
      <c r="D89" t="s">
        <v>3302</v>
      </c>
      <c r="E89">
        <v>68427709</v>
      </c>
      <c r="F89" s="91" t="s">
        <v>54</v>
      </c>
      <c r="G89" t="s">
        <v>55</v>
      </c>
      <c r="H89" t="s">
        <v>46</v>
      </c>
      <c r="J89" t="s">
        <v>3303</v>
      </c>
      <c r="K89">
        <v>121566</v>
      </c>
      <c r="L89" t="s">
        <v>3304</v>
      </c>
      <c r="M89" s="20">
        <v>5401061098</v>
      </c>
      <c r="N89" s="20">
        <v>10</v>
      </c>
      <c r="O89" t="s">
        <v>2870</v>
      </c>
      <c r="P89" t="s">
        <v>1479</v>
      </c>
      <c r="Q89" t="s">
        <v>3114</v>
      </c>
      <c r="R89" s="92" t="s">
        <v>3136</v>
      </c>
      <c r="S89" s="7">
        <v>33000</v>
      </c>
      <c r="T89" s="7">
        <v>33000</v>
      </c>
      <c r="U89" s="7">
        <v>46000</v>
      </c>
      <c r="V89" s="7"/>
      <c r="W89" s="7"/>
      <c r="X89" s="7">
        <f t="shared" si="8"/>
        <v>13000</v>
      </c>
      <c r="Y89" s="5">
        <f t="shared" si="9"/>
        <v>0.39393939393939392</v>
      </c>
      <c r="Z89" s="6"/>
      <c r="AA89" s="29">
        <f>SUMPRODUCT((BIdetails!$J$5:$J$3000=M89)*(BIdetails!$K$5:$K$3000=N89)*(BIdetails!$M$5:$M$3000))</f>
        <v>0</v>
      </c>
      <c r="AB89" s="30">
        <f t="shared" si="10"/>
        <v>0</v>
      </c>
      <c r="AC89" s="27" t="s">
        <v>3099</v>
      </c>
      <c r="AD89" s="27" t="s">
        <v>3100</v>
      </c>
      <c r="AE89" s="27" t="s">
        <v>3163</v>
      </c>
      <c r="AF89" s="27"/>
    </row>
    <row r="90" spans="1:32" x14ac:dyDescent="0.25">
      <c r="A90" t="s">
        <v>3094</v>
      </c>
      <c r="B90" t="str">
        <f t="shared" si="7"/>
        <v>No Change</v>
      </c>
      <c r="C90" s="22" t="s">
        <v>3305</v>
      </c>
      <c r="D90" t="s">
        <v>3306</v>
      </c>
      <c r="E90">
        <v>68427709</v>
      </c>
      <c r="F90" s="91" t="s">
        <v>40</v>
      </c>
      <c r="G90" t="s">
        <v>42</v>
      </c>
      <c r="H90" t="s">
        <v>42</v>
      </c>
      <c r="I90" t="s">
        <v>2445</v>
      </c>
      <c r="J90" t="s">
        <v>3116</v>
      </c>
      <c r="K90" s="22">
        <v>209509</v>
      </c>
      <c r="L90" t="s">
        <v>135</v>
      </c>
      <c r="M90" s="20">
        <v>5401087958</v>
      </c>
      <c r="N90" s="20">
        <v>10</v>
      </c>
      <c r="O90" t="s">
        <v>2843</v>
      </c>
      <c r="P90" s="92" t="s">
        <v>2843</v>
      </c>
      <c r="Q90" t="s">
        <v>3114</v>
      </c>
      <c r="R90" s="92" t="s">
        <v>42</v>
      </c>
      <c r="S90" s="7">
        <v>250000</v>
      </c>
      <c r="T90" s="7">
        <v>250000</v>
      </c>
      <c r="U90" s="7">
        <v>250000</v>
      </c>
      <c r="V90" s="7"/>
      <c r="W90" s="305">
        <v>300000</v>
      </c>
      <c r="X90" s="7">
        <f>W90-U90</f>
        <v>50000</v>
      </c>
      <c r="Y90" s="5">
        <f t="shared" si="9"/>
        <v>0.2</v>
      </c>
      <c r="Z90" s="117" t="s">
        <v>6799</v>
      </c>
      <c r="AA90" s="29">
        <f>SUMPRODUCT((BIdetails!$J$5:$J$3000=M90)*(BIdetails!$K$5:$K$3000=N90)*(BIdetails!$M$5:$M$3000))</f>
        <v>0</v>
      </c>
      <c r="AB90" s="30">
        <f t="shared" si="10"/>
        <v>0</v>
      </c>
      <c r="AC90" s="27"/>
      <c r="AD90" s="27"/>
      <c r="AE90" s="27"/>
      <c r="AF90" s="27"/>
    </row>
    <row r="91" spans="1:32" hidden="1" x14ac:dyDescent="0.25">
      <c r="A91" t="s">
        <v>3094</v>
      </c>
      <c r="B91" t="str">
        <f t="shared" si="7"/>
        <v>Decrease</v>
      </c>
      <c r="C91" t="s">
        <v>2649</v>
      </c>
      <c r="D91" t="s">
        <v>3307</v>
      </c>
      <c r="E91">
        <v>68427709</v>
      </c>
      <c r="F91" s="91" t="s">
        <v>14</v>
      </c>
      <c r="G91" t="s">
        <v>15</v>
      </c>
      <c r="H91" t="s">
        <v>16</v>
      </c>
      <c r="I91" t="s">
        <v>2445</v>
      </c>
      <c r="J91" t="s">
        <v>3116</v>
      </c>
      <c r="K91">
        <v>187516</v>
      </c>
      <c r="L91" s="92" t="s">
        <v>3117</v>
      </c>
      <c r="M91" s="20">
        <v>5401087933</v>
      </c>
      <c r="N91" s="20">
        <v>10</v>
      </c>
      <c r="O91" t="s">
        <v>2410</v>
      </c>
      <c r="P91" t="s">
        <v>3132</v>
      </c>
      <c r="Q91" t="s">
        <v>3114</v>
      </c>
      <c r="R91" t="s">
        <v>3133</v>
      </c>
      <c r="S91" s="7">
        <v>67000</v>
      </c>
      <c r="T91" s="7">
        <v>40000</v>
      </c>
      <c r="U91" s="7">
        <v>21000</v>
      </c>
      <c r="V91" s="7"/>
      <c r="W91" s="7"/>
      <c r="X91" s="7">
        <f t="shared" si="8"/>
        <v>-19000</v>
      </c>
      <c r="Y91" s="5">
        <f t="shared" si="9"/>
        <v>-0.47499999999999998</v>
      </c>
      <c r="Z91" s="6"/>
      <c r="AA91" s="29">
        <f>SUMPRODUCT((BIdetails!$J$5:$J$3000=M91)*(BIdetails!$K$5:$K$3000=N91)*(BIdetails!$M$5:$M$3000))</f>
        <v>0</v>
      </c>
      <c r="AB91" s="30">
        <f t="shared" si="10"/>
        <v>0</v>
      </c>
      <c r="AC91" s="27" t="s">
        <v>845</v>
      </c>
      <c r="AD91" s="27" t="s">
        <v>3100</v>
      </c>
      <c r="AE91" s="27" t="s">
        <v>3118</v>
      </c>
      <c r="AF91" s="27"/>
    </row>
    <row r="92" spans="1:32" hidden="1" x14ac:dyDescent="0.25">
      <c r="A92" t="s">
        <v>3094</v>
      </c>
      <c r="B92" t="str">
        <f t="shared" si="7"/>
        <v>No Change</v>
      </c>
      <c r="C92" s="22" t="s">
        <v>2059</v>
      </c>
      <c r="D92" t="s">
        <v>3307</v>
      </c>
      <c r="E92">
        <v>68427709</v>
      </c>
      <c r="F92" s="91" t="s">
        <v>28</v>
      </c>
      <c r="G92" t="s">
        <v>29</v>
      </c>
      <c r="H92" s="22" t="s">
        <v>46</v>
      </c>
      <c r="I92" t="s">
        <v>3308</v>
      </c>
      <c r="J92" t="s">
        <v>3309</v>
      </c>
      <c r="K92">
        <v>187516</v>
      </c>
      <c r="L92" s="92" t="s">
        <v>3117</v>
      </c>
      <c r="M92" s="203">
        <v>5400853131</v>
      </c>
      <c r="N92" s="20">
        <v>20</v>
      </c>
      <c r="O92" s="22" t="s">
        <v>2410</v>
      </c>
      <c r="P92" s="22" t="s">
        <v>2410</v>
      </c>
      <c r="Q92" t="s">
        <v>3114</v>
      </c>
      <c r="R92" t="s">
        <v>3133</v>
      </c>
      <c r="S92" s="7">
        <v>80000</v>
      </c>
      <c r="T92" s="7">
        <v>80000</v>
      </c>
      <c r="U92" s="7">
        <v>80000</v>
      </c>
      <c r="V92" s="7"/>
      <c r="W92" s="7"/>
      <c r="X92" s="7">
        <f t="shared" si="8"/>
        <v>0</v>
      </c>
      <c r="Y92" s="5">
        <f t="shared" si="9"/>
        <v>0</v>
      </c>
      <c r="Z92" s="117"/>
      <c r="AA92" s="29">
        <f>SUMPRODUCT((BIdetails!$J$5:$J$3000=M92)*(BIdetails!$K$5:$K$3000=N92)*(BIdetails!$M$5:$M$3000))</f>
        <v>0</v>
      </c>
      <c r="AB92" s="30">
        <f t="shared" si="10"/>
        <v>0</v>
      </c>
      <c r="AC92" s="27" t="s">
        <v>845</v>
      </c>
      <c r="AD92" s="27" t="s">
        <v>3100</v>
      </c>
      <c r="AE92" s="27" t="s">
        <v>3118</v>
      </c>
      <c r="AF92" s="27"/>
    </row>
    <row r="93" spans="1:32" hidden="1" x14ac:dyDescent="0.25">
      <c r="A93" t="s">
        <v>3094</v>
      </c>
      <c r="B93" t="str">
        <f t="shared" si="7"/>
        <v>No Change</v>
      </c>
      <c r="C93" s="22" t="s">
        <v>2055</v>
      </c>
      <c r="E93">
        <v>68427709</v>
      </c>
      <c r="F93" s="91" t="s">
        <v>28</v>
      </c>
      <c r="G93" t="s">
        <v>29</v>
      </c>
      <c r="H93" s="22" t="s">
        <v>46</v>
      </c>
      <c r="I93" t="s">
        <v>3308</v>
      </c>
      <c r="J93" t="s">
        <v>3309</v>
      </c>
      <c r="K93">
        <v>187516</v>
      </c>
      <c r="L93" s="92" t="s">
        <v>3117</v>
      </c>
      <c r="M93" s="203"/>
      <c r="O93" s="22" t="s">
        <v>2410</v>
      </c>
      <c r="P93" s="22" t="s">
        <v>2410</v>
      </c>
      <c r="Q93" t="s">
        <v>3114</v>
      </c>
      <c r="R93" t="s">
        <v>3133</v>
      </c>
      <c r="S93" s="7">
        <v>50000</v>
      </c>
      <c r="T93" s="7">
        <v>50000</v>
      </c>
      <c r="U93" s="7">
        <v>50000</v>
      </c>
      <c r="V93" s="7"/>
      <c r="W93" s="7"/>
      <c r="X93" s="7">
        <f t="shared" si="8"/>
        <v>0</v>
      </c>
      <c r="Y93" s="5">
        <f t="shared" si="9"/>
        <v>0</v>
      </c>
      <c r="Z93" s="117"/>
      <c r="AA93" s="29">
        <f>SUMPRODUCT((BIdetails!$J$5:$J$3000=M93)*(BIdetails!$K$5:$K$3000=N93)*(BIdetails!$M$5:$M$3000))</f>
        <v>0</v>
      </c>
      <c r="AB93" s="30">
        <f t="shared" si="10"/>
        <v>0</v>
      </c>
      <c r="AC93" s="27"/>
      <c r="AD93" s="27"/>
      <c r="AE93" s="27"/>
      <c r="AF93" s="27"/>
    </row>
    <row r="94" spans="1:32" hidden="1" x14ac:dyDescent="0.25">
      <c r="A94" t="s">
        <v>3106</v>
      </c>
      <c r="B94" t="str">
        <f t="shared" si="7"/>
        <v>Decommissioned</v>
      </c>
      <c r="C94" s="22" t="s">
        <v>2745</v>
      </c>
      <c r="D94" t="s">
        <v>3310</v>
      </c>
      <c r="E94">
        <v>68427709</v>
      </c>
      <c r="F94" s="91" t="s">
        <v>59</v>
      </c>
      <c r="G94" s="22" t="s">
        <v>60</v>
      </c>
      <c r="H94" s="22" t="s">
        <v>46</v>
      </c>
      <c r="J94" t="s">
        <v>3153</v>
      </c>
      <c r="K94" s="22">
        <v>166095</v>
      </c>
      <c r="L94" s="22" t="s">
        <v>3311</v>
      </c>
      <c r="M94" s="24"/>
      <c r="N94" s="24"/>
      <c r="O94" s="22" t="s">
        <v>2870</v>
      </c>
      <c r="P94" s="22" t="s">
        <v>2500</v>
      </c>
      <c r="Q94" s="22" t="s">
        <v>3114</v>
      </c>
      <c r="R94" s="22" t="s">
        <v>3175</v>
      </c>
      <c r="S94" s="7">
        <v>79000</v>
      </c>
      <c r="T94" s="7">
        <v>79000</v>
      </c>
      <c r="U94" s="7">
        <v>0</v>
      </c>
      <c r="V94" s="7"/>
      <c r="W94" s="7"/>
      <c r="X94" s="7">
        <f t="shared" si="8"/>
        <v>-79000</v>
      </c>
      <c r="Y94" s="5">
        <f t="shared" si="9"/>
        <v>-1</v>
      </c>
      <c r="Z94" s="6"/>
      <c r="AA94" s="29">
        <f>SUMPRODUCT((BIdetails!$J$5:$J$3000=M94)*(BIdetails!$K$5:$K$3000=N94)*(BIdetails!$M$5:$M$3000))</f>
        <v>0</v>
      </c>
      <c r="AB94" s="30" t="str">
        <f t="shared" si="10"/>
        <v/>
      </c>
      <c r="AC94" s="27" t="s">
        <v>3099</v>
      </c>
      <c r="AD94" s="27" t="s">
        <v>3108</v>
      </c>
      <c r="AE94" s="27" t="s">
        <v>3101</v>
      </c>
      <c r="AF94" s="27"/>
    </row>
    <row r="95" spans="1:32" hidden="1" x14ac:dyDescent="0.25">
      <c r="A95" t="s">
        <v>3106</v>
      </c>
      <c r="B95" t="str">
        <f t="shared" si="7"/>
        <v>Decommissioned</v>
      </c>
      <c r="C95" s="22" t="s">
        <v>2365</v>
      </c>
      <c r="D95" t="s">
        <v>3312</v>
      </c>
      <c r="E95">
        <v>68427709</v>
      </c>
      <c r="F95" s="91" t="s">
        <v>59</v>
      </c>
      <c r="G95" s="22" t="s">
        <v>60</v>
      </c>
      <c r="H95" s="22" t="s">
        <v>46</v>
      </c>
      <c r="J95" t="s">
        <v>3313</v>
      </c>
      <c r="K95" s="22">
        <v>166095</v>
      </c>
      <c r="L95" s="22" t="s">
        <v>3311</v>
      </c>
      <c r="M95" s="24">
        <v>5401084016</v>
      </c>
      <c r="N95" s="24">
        <v>10</v>
      </c>
      <c r="O95" s="22" t="s">
        <v>2870</v>
      </c>
      <c r="P95" s="22" t="s">
        <v>2356</v>
      </c>
      <c r="Q95" s="22" t="s">
        <v>3114</v>
      </c>
      <c r="R95" s="22" t="s">
        <v>3207</v>
      </c>
      <c r="S95" s="7">
        <v>113000</v>
      </c>
      <c r="T95" s="7">
        <v>113000</v>
      </c>
      <c r="U95" s="7">
        <v>0</v>
      </c>
      <c r="V95" s="7"/>
      <c r="W95" s="7"/>
      <c r="X95" s="7">
        <f t="shared" si="8"/>
        <v>-113000</v>
      </c>
      <c r="Y95" s="5">
        <f t="shared" si="9"/>
        <v>-1</v>
      </c>
      <c r="Z95" s="6"/>
      <c r="AA95" s="29">
        <f>SUMPRODUCT((BIdetails!$J$5:$J$3000=M95)*(BIdetails!$K$5:$K$3000=N95)*(BIdetails!$M$5:$M$3000))</f>
        <v>0</v>
      </c>
      <c r="AB95" s="30" t="str">
        <f t="shared" si="10"/>
        <v/>
      </c>
      <c r="AC95" s="27" t="s">
        <v>3099</v>
      </c>
      <c r="AD95" s="27" t="s">
        <v>3108</v>
      </c>
      <c r="AE95" s="27" t="s">
        <v>3101</v>
      </c>
      <c r="AF95" s="27"/>
    </row>
    <row r="96" spans="1:32" hidden="1" x14ac:dyDescent="0.25">
      <c r="A96" t="s">
        <v>3094</v>
      </c>
      <c r="B96" t="str">
        <f t="shared" si="7"/>
        <v>No Change</v>
      </c>
      <c r="C96" t="s">
        <v>3314</v>
      </c>
      <c r="D96" t="s">
        <v>3315</v>
      </c>
      <c r="E96">
        <v>68427709</v>
      </c>
      <c r="F96" s="96" t="s">
        <v>57</v>
      </c>
      <c r="G96" t="s">
        <v>58</v>
      </c>
      <c r="H96" t="s">
        <v>46</v>
      </c>
      <c r="I96" t="s">
        <v>3096</v>
      </c>
      <c r="J96" t="s">
        <v>3316</v>
      </c>
      <c r="K96">
        <v>205005</v>
      </c>
      <c r="L96" t="s">
        <v>196</v>
      </c>
      <c r="M96">
        <v>5401094871</v>
      </c>
      <c r="N96" s="20">
        <v>10</v>
      </c>
      <c r="O96" t="s">
        <v>2870</v>
      </c>
      <c r="P96" s="92" t="s">
        <v>3015</v>
      </c>
      <c r="Q96" t="s">
        <v>3104</v>
      </c>
      <c r="R96" s="92" t="s">
        <v>3098</v>
      </c>
      <c r="S96" s="7">
        <v>20500</v>
      </c>
      <c r="T96" s="7">
        <v>24000</v>
      </c>
      <c r="U96" s="7">
        <v>24000</v>
      </c>
      <c r="V96" s="7"/>
      <c r="W96" s="7"/>
      <c r="X96" s="7">
        <f t="shared" si="8"/>
        <v>0</v>
      </c>
      <c r="Y96" s="5">
        <f t="shared" si="9"/>
        <v>0</v>
      </c>
      <c r="Z96" s="6"/>
      <c r="AA96" s="29">
        <f>SUMPRODUCT((BIdetails!$J$5:$J$3000=M96)*(BIdetails!$K$5:$K$3000=N96)*(BIdetails!$M$5:$M$3000))</f>
        <v>0</v>
      </c>
      <c r="AB96" s="30">
        <f t="shared" si="10"/>
        <v>0</v>
      </c>
      <c r="AC96" s="27" t="s">
        <v>3317</v>
      </c>
      <c r="AD96" s="27" t="s">
        <v>3162</v>
      </c>
      <c r="AE96" s="27" t="s">
        <v>3163</v>
      </c>
      <c r="AF96" s="27"/>
    </row>
    <row r="97" spans="1:32" hidden="1" x14ac:dyDescent="0.25">
      <c r="A97" t="s">
        <v>3094</v>
      </c>
      <c r="B97" t="str">
        <f t="shared" si="7"/>
        <v>No Change</v>
      </c>
      <c r="C97" t="s">
        <v>1573</v>
      </c>
      <c r="D97" t="s">
        <v>3318</v>
      </c>
      <c r="E97">
        <v>68427709</v>
      </c>
      <c r="F97" s="91" t="s">
        <v>22</v>
      </c>
      <c r="G97" t="s">
        <v>100</v>
      </c>
      <c r="H97" t="s">
        <v>24</v>
      </c>
      <c r="I97" t="s">
        <v>2445</v>
      </c>
      <c r="J97" t="s">
        <v>3116</v>
      </c>
      <c r="K97">
        <v>196653</v>
      </c>
      <c r="L97" t="s">
        <v>102</v>
      </c>
      <c r="M97" s="20">
        <v>5401087928</v>
      </c>
      <c r="N97" s="20">
        <v>10</v>
      </c>
      <c r="O97" s="22" t="s">
        <v>2410</v>
      </c>
      <c r="P97" s="22" t="s">
        <v>2410</v>
      </c>
      <c r="Q97" t="s">
        <v>3114</v>
      </c>
      <c r="R97" t="s">
        <v>3133</v>
      </c>
      <c r="S97" s="7">
        <v>150000</v>
      </c>
      <c r="T97" s="7">
        <v>150000</v>
      </c>
      <c r="U97" s="7">
        <v>150000</v>
      </c>
      <c r="V97" s="7"/>
      <c r="W97" s="7"/>
      <c r="X97" s="7">
        <f t="shared" si="8"/>
        <v>0</v>
      </c>
      <c r="Y97" s="5">
        <f t="shared" si="9"/>
        <v>0</v>
      </c>
      <c r="Z97" s="6"/>
      <c r="AA97" s="29">
        <f>SUMPRODUCT((BIdetails!$J$5:$J$3000=M97)*(BIdetails!$K$5:$K$3000=N97)*(BIdetails!$M$5:$M$3000))</f>
        <v>0</v>
      </c>
      <c r="AB97" s="30">
        <f t="shared" si="10"/>
        <v>0</v>
      </c>
      <c r="AC97" s="27" t="s">
        <v>845</v>
      </c>
      <c r="AD97" s="27" t="s">
        <v>3100</v>
      </c>
      <c r="AE97" s="27" t="s">
        <v>3118</v>
      </c>
      <c r="AF97" s="27"/>
    </row>
    <row r="98" spans="1:32" hidden="1" x14ac:dyDescent="0.25">
      <c r="A98" t="s">
        <v>3094</v>
      </c>
      <c r="B98" t="str">
        <f t="shared" si="7"/>
        <v>No Change</v>
      </c>
      <c r="C98" s="92" t="s">
        <v>3319</v>
      </c>
      <c r="D98" t="s">
        <v>3320</v>
      </c>
      <c r="E98">
        <v>68427709</v>
      </c>
      <c r="F98" s="91" t="s">
        <v>59</v>
      </c>
      <c r="G98" t="s">
        <v>60</v>
      </c>
      <c r="H98" s="92" t="s">
        <v>46</v>
      </c>
      <c r="J98" t="s">
        <v>3321</v>
      </c>
      <c r="K98">
        <v>193317</v>
      </c>
      <c r="L98" s="92" t="s">
        <v>3322</v>
      </c>
      <c r="M98" s="20">
        <v>5401084796</v>
      </c>
      <c r="N98" s="20">
        <v>10</v>
      </c>
      <c r="O98" s="92" t="s">
        <v>2870</v>
      </c>
      <c r="P98" s="92" t="s">
        <v>3195</v>
      </c>
      <c r="Q98" s="201" t="s">
        <v>3124</v>
      </c>
      <c r="R98" t="s">
        <v>3125</v>
      </c>
      <c r="S98" s="7">
        <v>40000</v>
      </c>
      <c r="T98" s="7">
        <v>40000</v>
      </c>
      <c r="U98" s="7">
        <v>40000</v>
      </c>
      <c r="V98" s="7"/>
      <c r="W98" s="7"/>
      <c r="X98" s="7">
        <f t="shared" si="8"/>
        <v>0</v>
      </c>
      <c r="Y98" s="5">
        <f t="shared" ref="Y98:Y129" si="11">IF(B98="New",1,IFERROR(X98/T98,0))</f>
        <v>0</v>
      </c>
      <c r="Z98" s="6"/>
      <c r="AA98" s="29">
        <f>SUMPRODUCT((BIdetails!$J$5:$J$3000=M98)*(BIdetails!$K$5:$K$3000=N98)*(BIdetails!$M$5:$M$3000))</f>
        <v>0</v>
      </c>
      <c r="AB98" s="30">
        <f t="shared" si="10"/>
        <v>0</v>
      </c>
      <c r="AC98" s="27"/>
      <c r="AD98" s="27"/>
      <c r="AE98" s="27"/>
      <c r="AF98" s="27"/>
    </row>
    <row r="99" spans="1:32" hidden="1" x14ac:dyDescent="0.25">
      <c r="A99" t="s">
        <v>3094</v>
      </c>
      <c r="B99" t="str">
        <f t="shared" si="7"/>
        <v>No Change</v>
      </c>
      <c r="C99" s="22" t="s">
        <v>2474</v>
      </c>
      <c r="D99" t="s">
        <v>3323</v>
      </c>
      <c r="E99">
        <v>68427709</v>
      </c>
      <c r="F99" s="91" t="s">
        <v>59</v>
      </c>
      <c r="G99" s="22" t="s">
        <v>60</v>
      </c>
      <c r="H99" s="22" t="s">
        <v>46</v>
      </c>
      <c r="J99" t="s">
        <v>3324</v>
      </c>
      <c r="K99" s="22">
        <v>156247</v>
      </c>
      <c r="L99" s="22" t="s">
        <v>3325</v>
      </c>
      <c r="M99" s="24">
        <v>5401067554</v>
      </c>
      <c r="N99" s="24">
        <v>10</v>
      </c>
      <c r="O99" s="22" t="s">
        <v>2870</v>
      </c>
      <c r="P99" s="22" t="s">
        <v>423</v>
      </c>
      <c r="Q99" s="218" t="s">
        <v>3170</v>
      </c>
      <c r="R99" s="22" t="s">
        <v>3120</v>
      </c>
      <c r="S99" s="7">
        <v>30000</v>
      </c>
      <c r="T99" s="7">
        <v>33000</v>
      </c>
      <c r="U99" s="7">
        <v>33000</v>
      </c>
      <c r="V99" s="7"/>
      <c r="W99" s="7"/>
      <c r="X99" s="7">
        <f t="shared" si="8"/>
        <v>0</v>
      </c>
      <c r="Y99" s="5">
        <f t="shared" si="11"/>
        <v>0</v>
      </c>
      <c r="Z99" s="6"/>
      <c r="AA99" s="29">
        <f>SUMPRODUCT((BIdetails!$J$5:$J$3000=M99)*(BIdetails!$K$5:$K$3000=N99)*(BIdetails!$M$5:$M$3000))</f>
        <v>0</v>
      </c>
      <c r="AB99" s="30">
        <f t="shared" si="10"/>
        <v>0</v>
      </c>
      <c r="AC99" s="27"/>
      <c r="AD99" s="27"/>
      <c r="AE99" s="27"/>
      <c r="AF99" s="27"/>
    </row>
    <row r="100" spans="1:32" hidden="1" x14ac:dyDescent="0.25">
      <c r="A100" t="s">
        <v>3094</v>
      </c>
      <c r="B100" t="str">
        <f t="shared" si="7"/>
        <v>New</v>
      </c>
      <c r="C100" s="22" t="s">
        <v>2901</v>
      </c>
      <c r="E100">
        <v>68427709</v>
      </c>
      <c r="F100" s="91" t="s">
        <v>59</v>
      </c>
      <c r="G100" t="s">
        <v>60</v>
      </c>
      <c r="H100" t="s">
        <v>46</v>
      </c>
      <c r="I100" t="s">
        <v>2448</v>
      </c>
      <c r="J100" t="s">
        <v>3326</v>
      </c>
      <c r="K100">
        <v>212820</v>
      </c>
      <c r="L100" s="22" t="s">
        <v>3327</v>
      </c>
      <c r="M100" s="203"/>
      <c r="O100" s="92" t="s">
        <v>2410</v>
      </c>
      <c r="P100" s="22"/>
      <c r="Q100" t="s">
        <v>3124</v>
      </c>
      <c r="R100" t="s">
        <v>3125</v>
      </c>
      <c r="S100" s="7"/>
      <c r="T100" s="7"/>
      <c r="U100" s="7">
        <v>30000</v>
      </c>
      <c r="V100" s="7"/>
      <c r="W100" s="7"/>
      <c r="X100" s="7">
        <f t="shared" si="8"/>
        <v>30000</v>
      </c>
      <c r="Y100" s="5">
        <f t="shared" si="11"/>
        <v>1</v>
      </c>
      <c r="Z100" s="117"/>
      <c r="AA100" s="29">
        <f>SUMPRODUCT((BIdetails!$J$5:$J$3000=M100)*(BIdetails!$K$5:$K$3000=N100)*(BIdetails!$M$5:$M$3000))</f>
        <v>0</v>
      </c>
      <c r="AB100" s="30">
        <f t="shared" si="10"/>
        <v>0</v>
      </c>
      <c r="AC100" s="27"/>
      <c r="AD100" s="27"/>
      <c r="AE100" s="27"/>
      <c r="AF100" s="27"/>
    </row>
    <row r="101" spans="1:32" hidden="1" x14ac:dyDescent="0.25">
      <c r="A101" t="s">
        <v>3094</v>
      </c>
      <c r="B101" t="str">
        <f t="shared" si="7"/>
        <v>Decrease</v>
      </c>
      <c r="C101" t="s">
        <v>2430</v>
      </c>
      <c r="D101" t="s">
        <v>3318</v>
      </c>
      <c r="E101">
        <v>68427709</v>
      </c>
      <c r="F101" s="91" t="s">
        <v>22</v>
      </c>
      <c r="G101" t="s">
        <v>100</v>
      </c>
      <c r="H101" t="s">
        <v>24</v>
      </c>
      <c r="I101" t="s">
        <v>2445</v>
      </c>
      <c r="J101" t="s">
        <v>3116</v>
      </c>
      <c r="K101">
        <v>196653</v>
      </c>
      <c r="L101" t="s">
        <v>102</v>
      </c>
      <c r="M101">
        <v>5401087925</v>
      </c>
      <c r="N101" s="20">
        <v>10</v>
      </c>
      <c r="O101" s="22" t="s">
        <v>2410</v>
      </c>
      <c r="P101" s="22" t="s">
        <v>2410</v>
      </c>
      <c r="Q101" t="s">
        <v>3114</v>
      </c>
      <c r="R101" t="s">
        <v>3133</v>
      </c>
      <c r="S101" s="7">
        <v>50000</v>
      </c>
      <c r="T101" s="7">
        <v>51000</v>
      </c>
      <c r="U101" s="7">
        <v>30000</v>
      </c>
      <c r="V101" s="7"/>
      <c r="W101" s="7"/>
      <c r="X101" s="7">
        <f t="shared" si="8"/>
        <v>-21000</v>
      </c>
      <c r="Y101" s="5">
        <f t="shared" si="11"/>
        <v>-0.41176470588235292</v>
      </c>
      <c r="Z101" s="6"/>
      <c r="AA101" s="29">
        <f>SUMPRODUCT((BIdetails!$J$5:$J$3000=M101)*(BIdetails!$K$5:$K$3000=N101)*(BIdetails!$M$5:$M$3000))</f>
        <v>0</v>
      </c>
      <c r="AB101" s="30">
        <f t="shared" si="10"/>
        <v>0</v>
      </c>
      <c r="AC101" s="27"/>
      <c r="AD101" s="27"/>
      <c r="AE101" s="27"/>
      <c r="AF101" s="27"/>
    </row>
    <row r="102" spans="1:32" hidden="1" x14ac:dyDescent="0.25">
      <c r="A102" t="s">
        <v>3094</v>
      </c>
      <c r="B102" t="str">
        <f t="shared" si="7"/>
        <v>No Change</v>
      </c>
      <c r="C102" t="s">
        <v>2439</v>
      </c>
      <c r="D102" t="s">
        <v>3328</v>
      </c>
      <c r="E102">
        <v>68427709</v>
      </c>
      <c r="F102" s="91" t="s">
        <v>59</v>
      </c>
      <c r="G102" t="s">
        <v>60</v>
      </c>
      <c r="H102" t="s">
        <v>46</v>
      </c>
      <c r="I102" t="s">
        <v>3144</v>
      </c>
      <c r="J102" t="s">
        <v>3329</v>
      </c>
      <c r="K102">
        <v>187516</v>
      </c>
      <c r="L102" s="92" t="s">
        <v>3117</v>
      </c>
      <c r="M102" s="20">
        <v>5401116344</v>
      </c>
      <c r="N102" s="20">
        <v>10</v>
      </c>
      <c r="O102" t="s">
        <v>2410</v>
      </c>
      <c r="P102" s="22" t="s">
        <v>3132</v>
      </c>
      <c r="Q102" t="s">
        <v>3114</v>
      </c>
      <c r="R102" t="s">
        <v>3133</v>
      </c>
      <c r="S102" s="7">
        <v>6000</v>
      </c>
      <c r="T102" s="7">
        <v>7000</v>
      </c>
      <c r="U102" s="7">
        <v>7000</v>
      </c>
      <c r="V102" s="7"/>
      <c r="W102" s="7"/>
      <c r="X102" s="7">
        <f t="shared" si="8"/>
        <v>0</v>
      </c>
      <c r="Y102" s="5">
        <f t="shared" si="11"/>
        <v>0</v>
      </c>
      <c r="Z102" s="6"/>
      <c r="AA102" s="29">
        <f>SUMPRODUCT((BIdetails!$J$5:$J$3000=M102)*(BIdetails!$K$5:$K$3000=N102)*(BIdetails!$M$5:$M$3000))</f>
        <v>0</v>
      </c>
      <c r="AB102" s="30">
        <f t="shared" si="10"/>
        <v>0</v>
      </c>
      <c r="AC102" s="27"/>
      <c r="AD102" s="27"/>
      <c r="AE102" s="27"/>
      <c r="AF102" s="27"/>
    </row>
    <row r="103" spans="1:32" hidden="1" x14ac:dyDescent="0.25">
      <c r="A103" t="s">
        <v>3094</v>
      </c>
      <c r="B103" t="str">
        <f t="shared" si="7"/>
        <v>No Change</v>
      </c>
      <c r="C103" s="22" t="s">
        <v>2353</v>
      </c>
      <c r="D103" t="s">
        <v>3330</v>
      </c>
      <c r="E103">
        <v>68427709</v>
      </c>
      <c r="F103" s="91" t="s">
        <v>59</v>
      </c>
      <c r="G103" t="s">
        <v>60</v>
      </c>
      <c r="H103" t="s">
        <v>46</v>
      </c>
      <c r="J103" t="s">
        <v>3331</v>
      </c>
      <c r="K103" s="22">
        <v>207958</v>
      </c>
      <c r="L103" s="22" t="s">
        <v>3332</v>
      </c>
      <c r="O103" s="22" t="s">
        <v>2870</v>
      </c>
      <c r="P103" s="22" t="s">
        <v>2731</v>
      </c>
      <c r="Q103" s="22" t="s">
        <v>3104</v>
      </c>
      <c r="R103" t="s">
        <v>3333</v>
      </c>
      <c r="S103" s="7">
        <v>63000</v>
      </c>
      <c r="T103" s="7">
        <v>81000</v>
      </c>
      <c r="U103" s="7">
        <v>81000</v>
      </c>
      <c r="V103" s="7"/>
      <c r="W103" s="7"/>
      <c r="X103" s="7">
        <f t="shared" si="8"/>
        <v>0</v>
      </c>
      <c r="Y103" s="5">
        <f t="shared" si="11"/>
        <v>0</v>
      </c>
      <c r="Z103" s="117"/>
      <c r="AA103" s="29">
        <f>SUMPRODUCT((BIdetails!$J$5:$J$3000=M103)*(BIdetails!$K$5:$K$3000=N103)*(BIdetails!$M$5:$M$3000))</f>
        <v>0</v>
      </c>
      <c r="AB103" s="30">
        <f t="shared" si="10"/>
        <v>0</v>
      </c>
      <c r="AC103" s="27"/>
      <c r="AD103" s="27"/>
      <c r="AE103" s="27"/>
      <c r="AF103" s="27"/>
    </row>
    <row r="104" spans="1:32" hidden="1" x14ac:dyDescent="0.25">
      <c r="A104" t="s">
        <v>3094</v>
      </c>
      <c r="B104" t="str">
        <f t="shared" si="7"/>
        <v>Decrease</v>
      </c>
      <c r="C104" t="s">
        <v>3334</v>
      </c>
      <c r="E104">
        <v>68427709</v>
      </c>
      <c r="F104" s="91" t="s">
        <v>59</v>
      </c>
      <c r="G104" t="s">
        <v>60</v>
      </c>
      <c r="H104" t="s">
        <v>46</v>
      </c>
      <c r="J104" t="s">
        <v>3335</v>
      </c>
      <c r="K104">
        <v>212820</v>
      </c>
      <c r="L104" s="22" t="s">
        <v>3327</v>
      </c>
      <c r="M104" s="203"/>
      <c r="O104" s="92" t="s">
        <v>2870</v>
      </c>
      <c r="P104" s="22" t="s">
        <v>3195</v>
      </c>
      <c r="Q104" t="s">
        <v>3124</v>
      </c>
      <c r="R104" t="s">
        <v>3125</v>
      </c>
      <c r="S104" s="7"/>
      <c r="T104" s="7">
        <v>23000</v>
      </c>
      <c r="U104" s="7">
        <v>15000</v>
      </c>
      <c r="V104" s="7"/>
      <c r="W104" s="7"/>
      <c r="X104" s="7">
        <f t="shared" si="8"/>
        <v>-8000</v>
      </c>
      <c r="Y104" s="5">
        <f t="shared" si="11"/>
        <v>-0.34782608695652173</v>
      </c>
      <c r="Z104" s="117"/>
      <c r="AA104" s="29">
        <f>SUMPRODUCT((BIdetails!$J$5:$J$3000=M104)*(BIdetails!$K$5:$K$3000=N104)*(BIdetails!$M$5:$M$3000))</f>
        <v>0</v>
      </c>
      <c r="AB104" s="30">
        <f t="shared" si="10"/>
        <v>0</v>
      </c>
      <c r="AC104" s="27"/>
      <c r="AD104" s="27"/>
      <c r="AE104" s="27"/>
      <c r="AF104" s="27"/>
    </row>
    <row r="105" spans="1:32" hidden="1" x14ac:dyDescent="0.25">
      <c r="A105" t="s">
        <v>3094</v>
      </c>
      <c r="B105" t="str">
        <f t="shared" si="7"/>
        <v>No Change</v>
      </c>
      <c r="C105" s="25" t="s">
        <v>3336</v>
      </c>
      <c r="D105" t="s">
        <v>3337</v>
      </c>
      <c r="E105" s="201">
        <v>68427709</v>
      </c>
      <c r="F105" s="91" t="s">
        <v>59</v>
      </c>
      <c r="G105" t="s">
        <v>60</v>
      </c>
      <c r="H105" t="s">
        <v>46</v>
      </c>
      <c r="J105" t="s">
        <v>3338</v>
      </c>
      <c r="K105">
        <v>208651</v>
      </c>
      <c r="L105" t="s">
        <v>3339</v>
      </c>
      <c r="M105">
        <v>5401068336</v>
      </c>
      <c r="N105" s="20">
        <v>10</v>
      </c>
      <c r="O105" s="22" t="s">
        <v>2870</v>
      </c>
      <c r="P105" s="22" t="s">
        <v>2344</v>
      </c>
      <c r="Q105" t="s">
        <v>3206</v>
      </c>
      <c r="R105" s="92" t="s">
        <v>3207</v>
      </c>
      <c r="S105" s="7">
        <v>23000</v>
      </c>
      <c r="T105" s="7">
        <v>23000</v>
      </c>
      <c r="U105" s="7">
        <v>23000</v>
      </c>
      <c r="V105" s="7"/>
      <c r="W105" s="7"/>
      <c r="X105" s="7">
        <f t="shared" si="8"/>
        <v>0</v>
      </c>
      <c r="Y105" s="5">
        <f t="shared" si="11"/>
        <v>0</v>
      </c>
      <c r="Z105" s="117"/>
      <c r="AA105" s="29">
        <f>SUMPRODUCT((BIdetails!$J$5:$J$3000=M105)*(BIdetails!$K$5:$K$3000=N105)*(BIdetails!$M$5:$M$3000))</f>
        <v>0</v>
      </c>
      <c r="AB105" s="30">
        <f t="shared" si="10"/>
        <v>0</v>
      </c>
      <c r="AC105" s="27"/>
      <c r="AD105" s="27"/>
      <c r="AE105" s="27"/>
      <c r="AF105" s="27"/>
    </row>
    <row r="106" spans="1:32" hidden="1" x14ac:dyDescent="0.25">
      <c r="A106" t="s">
        <v>3106</v>
      </c>
      <c r="B106" t="str">
        <f t="shared" si="7"/>
        <v>Decommissioned</v>
      </c>
      <c r="C106" t="s">
        <v>2929</v>
      </c>
      <c r="D106" t="s">
        <v>3340</v>
      </c>
      <c r="E106">
        <v>68427709</v>
      </c>
      <c r="F106" s="91" t="s">
        <v>28</v>
      </c>
      <c r="G106" t="s">
        <v>29</v>
      </c>
      <c r="H106" t="s">
        <v>30</v>
      </c>
      <c r="I106" t="s">
        <v>3308</v>
      </c>
      <c r="J106" t="s">
        <v>2272</v>
      </c>
      <c r="K106">
        <v>192033</v>
      </c>
      <c r="L106" t="s">
        <v>3341</v>
      </c>
      <c r="O106" s="22" t="s">
        <v>2410</v>
      </c>
      <c r="P106" s="22" t="s">
        <v>2410</v>
      </c>
      <c r="Q106" t="s">
        <v>3114</v>
      </c>
      <c r="R106" t="s">
        <v>3133</v>
      </c>
      <c r="S106" s="7">
        <v>30000</v>
      </c>
      <c r="T106" s="7">
        <v>30000</v>
      </c>
      <c r="U106" s="7">
        <v>0</v>
      </c>
      <c r="V106" s="7"/>
      <c r="W106" s="7"/>
      <c r="X106" s="7">
        <f t="shared" si="8"/>
        <v>-30000</v>
      </c>
      <c r="Y106" s="5">
        <f t="shared" si="11"/>
        <v>-1</v>
      </c>
      <c r="Z106" s="6"/>
      <c r="AA106" s="29">
        <f>SUMPRODUCT((BIdetails!$J$5:$J$3000=M106)*(BIdetails!$K$5:$K$3000=N106)*(BIdetails!$M$5:$M$3000))</f>
        <v>0</v>
      </c>
      <c r="AB106" s="30" t="str">
        <f t="shared" si="10"/>
        <v/>
      </c>
      <c r="AC106" s="27" t="s">
        <v>845</v>
      </c>
      <c r="AD106" s="27" t="s">
        <v>3100</v>
      </c>
      <c r="AE106" s="27" t="s">
        <v>3118</v>
      </c>
      <c r="AF106" s="27"/>
    </row>
    <row r="107" spans="1:32" hidden="1" x14ac:dyDescent="0.25">
      <c r="A107" t="s">
        <v>3106</v>
      </c>
      <c r="B107" t="str">
        <f t="shared" si="7"/>
        <v>Decommissioned</v>
      </c>
      <c r="C107" t="s">
        <v>2931</v>
      </c>
      <c r="D107" t="s">
        <v>3340</v>
      </c>
      <c r="E107">
        <v>68427709</v>
      </c>
      <c r="F107" s="91" t="s">
        <v>28</v>
      </c>
      <c r="G107" t="s">
        <v>29</v>
      </c>
      <c r="H107" t="s">
        <v>30</v>
      </c>
      <c r="I107" t="s">
        <v>3308</v>
      </c>
      <c r="J107" t="s">
        <v>2272</v>
      </c>
      <c r="K107">
        <v>192033</v>
      </c>
      <c r="L107" t="s">
        <v>3341</v>
      </c>
      <c r="O107" s="22" t="s">
        <v>2410</v>
      </c>
      <c r="P107" s="22" t="s">
        <v>2410</v>
      </c>
      <c r="Q107" t="s">
        <v>3114</v>
      </c>
      <c r="R107" t="s">
        <v>3133</v>
      </c>
      <c r="S107" s="7">
        <v>180000</v>
      </c>
      <c r="T107" s="7">
        <v>180000</v>
      </c>
      <c r="U107" s="7">
        <v>0</v>
      </c>
      <c r="V107" s="7"/>
      <c r="W107" s="7"/>
      <c r="X107" s="7">
        <f t="shared" si="8"/>
        <v>-180000</v>
      </c>
      <c r="Y107" s="5">
        <f t="shared" si="11"/>
        <v>-1</v>
      </c>
      <c r="Z107" s="6"/>
      <c r="AA107" s="29">
        <f>SUMPRODUCT((BIdetails!$J$5:$J$3000=M107)*(BIdetails!$K$5:$K$3000=N107)*(BIdetails!$M$5:$M$3000))</f>
        <v>0</v>
      </c>
      <c r="AB107" s="30" t="str">
        <f t="shared" si="10"/>
        <v/>
      </c>
      <c r="AC107" s="27" t="s">
        <v>845</v>
      </c>
      <c r="AD107" s="27" t="s">
        <v>3100</v>
      </c>
      <c r="AE107" s="27" t="s">
        <v>3118</v>
      </c>
      <c r="AF107" s="27"/>
    </row>
    <row r="108" spans="1:32" hidden="1" x14ac:dyDescent="0.25">
      <c r="A108" t="s">
        <v>3106</v>
      </c>
      <c r="B108" t="str">
        <f t="shared" si="7"/>
        <v>Decommissioned</v>
      </c>
      <c r="C108" t="s">
        <v>2784</v>
      </c>
      <c r="D108" t="s">
        <v>3342</v>
      </c>
      <c r="E108">
        <v>68427709</v>
      </c>
      <c r="F108" s="91" t="s">
        <v>54</v>
      </c>
      <c r="G108" t="s">
        <v>55</v>
      </c>
      <c r="H108" t="s">
        <v>46</v>
      </c>
      <c r="J108" t="s">
        <v>3343</v>
      </c>
      <c r="K108">
        <v>3000002</v>
      </c>
      <c r="L108" t="s">
        <v>3344</v>
      </c>
      <c r="M108"/>
      <c r="O108" t="s">
        <v>2870</v>
      </c>
      <c r="P108" t="s">
        <v>3244</v>
      </c>
      <c r="Q108" t="s">
        <v>3114</v>
      </c>
      <c r="R108" s="92" t="s">
        <v>3136</v>
      </c>
      <c r="S108" s="7">
        <v>10000</v>
      </c>
      <c r="T108" s="7">
        <v>10000</v>
      </c>
      <c r="U108" s="7">
        <v>0</v>
      </c>
      <c r="V108" s="7"/>
      <c r="W108" s="7"/>
      <c r="X108" s="7">
        <f t="shared" si="8"/>
        <v>-10000</v>
      </c>
      <c r="Y108" s="5">
        <f t="shared" si="11"/>
        <v>-1</v>
      </c>
      <c r="Z108" s="6"/>
      <c r="AA108" s="29">
        <f>SUMPRODUCT((BIdetails!$J$5:$J$3000=M108)*(BIdetails!$K$5:$K$3000=N108)*(BIdetails!$M$5:$M$3000))</f>
        <v>0</v>
      </c>
      <c r="AB108" s="30" t="str">
        <f t="shared" si="10"/>
        <v/>
      </c>
      <c r="AC108" s="27"/>
      <c r="AD108" s="27"/>
      <c r="AE108" s="27"/>
      <c r="AF108" s="27"/>
    </row>
    <row r="109" spans="1:32" hidden="1" x14ac:dyDescent="0.25">
      <c r="A109" t="s">
        <v>3106</v>
      </c>
      <c r="B109" t="str">
        <f t="shared" si="7"/>
        <v>Decommissioned</v>
      </c>
      <c r="C109" s="22" t="s">
        <v>2543</v>
      </c>
      <c r="D109" t="s">
        <v>3345</v>
      </c>
      <c r="E109">
        <v>68427719</v>
      </c>
      <c r="F109" s="91" t="s">
        <v>59</v>
      </c>
      <c r="G109" t="s">
        <v>60</v>
      </c>
      <c r="H109" t="s">
        <v>46</v>
      </c>
      <c r="J109" t="s">
        <v>3346</v>
      </c>
      <c r="K109" s="22">
        <v>204549</v>
      </c>
      <c r="L109" s="22" t="s">
        <v>3347</v>
      </c>
      <c r="M109" s="203"/>
      <c r="O109" s="92" t="s">
        <v>2800</v>
      </c>
      <c r="P109" s="92" t="s">
        <v>2800</v>
      </c>
      <c r="Q109" t="s">
        <v>3206</v>
      </c>
      <c r="R109" t="s">
        <v>3207</v>
      </c>
      <c r="S109" s="7"/>
      <c r="T109" s="7">
        <v>16000</v>
      </c>
      <c r="U109" s="7">
        <v>0</v>
      </c>
      <c r="V109" s="7"/>
      <c r="W109" s="7"/>
      <c r="X109" s="7">
        <f t="shared" si="8"/>
        <v>-16000</v>
      </c>
      <c r="Y109" s="5">
        <f t="shared" si="11"/>
        <v>-1</v>
      </c>
      <c r="Z109" s="288"/>
      <c r="AA109" s="29">
        <f>SUMPRODUCT((BIdetails!$J$5:$J$3000=M109)*(BIdetails!$K$5:$K$3000=N109)*(BIdetails!$M$5:$M$3000))</f>
        <v>0</v>
      </c>
      <c r="AB109" s="30" t="str">
        <f t="shared" si="10"/>
        <v/>
      </c>
      <c r="AC109" s="27"/>
      <c r="AD109" s="27"/>
      <c r="AE109" s="27"/>
      <c r="AF109" s="27"/>
    </row>
    <row r="110" spans="1:32" hidden="1" x14ac:dyDescent="0.25">
      <c r="A110" t="s">
        <v>3106</v>
      </c>
      <c r="B110" t="str">
        <f t="shared" si="7"/>
        <v>Decommissioned</v>
      </c>
      <c r="C110" s="22" t="s">
        <v>3348</v>
      </c>
      <c r="D110" t="s">
        <v>3345</v>
      </c>
      <c r="E110">
        <v>68427709</v>
      </c>
      <c r="F110" s="91" t="s">
        <v>59</v>
      </c>
      <c r="G110" t="s">
        <v>60</v>
      </c>
      <c r="H110" s="92" t="s">
        <v>46</v>
      </c>
      <c r="J110" t="s">
        <v>3349</v>
      </c>
      <c r="K110">
        <v>204549</v>
      </c>
      <c r="L110" s="22" t="s">
        <v>3347</v>
      </c>
      <c r="M110" s="203"/>
      <c r="O110" s="92" t="s">
        <v>2870</v>
      </c>
      <c r="P110" s="22" t="s">
        <v>2500</v>
      </c>
      <c r="Q110" t="s">
        <v>3170</v>
      </c>
      <c r="R110" t="s">
        <v>517</v>
      </c>
      <c r="S110" s="7"/>
      <c r="T110" s="7">
        <v>11250</v>
      </c>
      <c r="U110" s="7">
        <v>0</v>
      </c>
      <c r="V110" s="7"/>
      <c r="W110" s="7"/>
      <c r="X110" s="7">
        <f t="shared" si="8"/>
        <v>-11250</v>
      </c>
      <c r="Y110" s="5">
        <f t="shared" si="11"/>
        <v>-1</v>
      </c>
      <c r="Z110" s="117"/>
      <c r="AA110" s="29">
        <f>SUMPRODUCT((BIdetails!$J$5:$J$3000=M110)*(BIdetails!$K$5:$K$3000=N110)*(BIdetails!$M$5:$M$3000))</f>
        <v>0</v>
      </c>
      <c r="AB110" s="30" t="str">
        <f t="shared" si="10"/>
        <v/>
      </c>
      <c r="AC110" s="27"/>
      <c r="AD110" s="27"/>
      <c r="AE110" s="27"/>
      <c r="AF110" s="27"/>
    </row>
    <row r="111" spans="1:32" hidden="1" x14ac:dyDescent="0.25">
      <c r="A111" t="s">
        <v>3094</v>
      </c>
      <c r="B111" t="str">
        <f t="shared" si="7"/>
        <v>No Change</v>
      </c>
      <c r="C111" t="s">
        <v>3350</v>
      </c>
      <c r="D111" t="s">
        <v>3351</v>
      </c>
      <c r="E111">
        <v>68427709</v>
      </c>
      <c r="F111" s="91" t="s">
        <v>54</v>
      </c>
      <c r="G111" t="s">
        <v>55</v>
      </c>
      <c r="H111" t="s">
        <v>46</v>
      </c>
      <c r="I111" t="s">
        <v>3144</v>
      </c>
      <c r="J111" t="s">
        <v>3352</v>
      </c>
      <c r="K111">
        <v>166304</v>
      </c>
      <c r="L111" t="s">
        <v>97</v>
      </c>
      <c r="M111" s="20">
        <v>5401060702</v>
      </c>
      <c r="N111" s="20">
        <v>10</v>
      </c>
      <c r="O111" t="s">
        <v>2870</v>
      </c>
      <c r="P111" s="22" t="s">
        <v>2870</v>
      </c>
      <c r="Q111" t="s">
        <v>3114</v>
      </c>
      <c r="R111" t="s">
        <v>3098</v>
      </c>
      <c r="S111" s="7">
        <v>20000</v>
      </c>
      <c r="T111" s="7">
        <v>30000</v>
      </c>
      <c r="U111" s="7">
        <v>30000</v>
      </c>
      <c r="V111" s="7"/>
      <c r="W111" s="7"/>
      <c r="X111" s="7">
        <f t="shared" si="8"/>
        <v>0</v>
      </c>
      <c r="Y111" s="5">
        <f t="shared" si="11"/>
        <v>0</v>
      </c>
      <c r="Z111" s="6"/>
      <c r="AA111" s="29">
        <f>SUMPRODUCT((BIdetails!$J$5:$J$3000=M111)*(BIdetails!$K$5:$K$3000=N111)*(BIdetails!$M$5:$M$3000))</f>
        <v>0</v>
      </c>
      <c r="AB111" s="30">
        <f t="shared" si="10"/>
        <v>0</v>
      </c>
      <c r="AC111" s="27" t="s">
        <v>845</v>
      </c>
      <c r="AD111" s="27" t="s">
        <v>3100</v>
      </c>
      <c r="AE111" s="27" t="s">
        <v>3118</v>
      </c>
      <c r="AF111" s="27"/>
    </row>
    <row r="112" spans="1:32" hidden="1" x14ac:dyDescent="0.25">
      <c r="A112" t="s">
        <v>3094</v>
      </c>
      <c r="B112" t="str">
        <f t="shared" si="7"/>
        <v>No Change</v>
      </c>
      <c r="C112" s="22" t="s">
        <v>3353</v>
      </c>
      <c r="D112" t="s">
        <v>3354</v>
      </c>
      <c r="E112">
        <v>68427709</v>
      </c>
      <c r="F112" s="91" t="s">
        <v>54</v>
      </c>
      <c r="G112" s="22" t="s">
        <v>60</v>
      </c>
      <c r="H112" s="22" t="s">
        <v>46</v>
      </c>
      <c r="J112" t="s">
        <v>3355</v>
      </c>
      <c r="K112" s="22">
        <v>210231</v>
      </c>
      <c r="L112" s="22" t="s">
        <v>3356</v>
      </c>
      <c r="M112" s="20">
        <v>5401069879</v>
      </c>
      <c r="N112" s="24">
        <v>10</v>
      </c>
      <c r="O112" s="22" t="s">
        <v>2870</v>
      </c>
      <c r="P112" s="22" t="s">
        <v>341</v>
      </c>
      <c r="Q112" s="22" t="s">
        <v>3114</v>
      </c>
      <c r="R112" s="22" t="s">
        <v>3098</v>
      </c>
      <c r="S112" s="7">
        <v>6000</v>
      </c>
      <c r="T112" s="7">
        <v>6000</v>
      </c>
      <c r="U112" s="7">
        <v>6000</v>
      </c>
      <c r="V112" s="7"/>
      <c r="W112" s="7"/>
      <c r="X112" s="7">
        <f t="shared" si="8"/>
        <v>0</v>
      </c>
      <c r="Y112" s="5">
        <f t="shared" si="11"/>
        <v>0</v>
      </c>
      <c r="Z112" s="6"/>
      <c r="AA112" s="29">
        <f>SUMPRODUCT((BIdetails!$J$5:$J$3000=M112)*(BIdetails!$K$5:$K$3000=N112)*(BIdetails!$M$5:$M$3000))</f>
        <v>0</v>
      </c>
      <c r="AB112" s="30">
        <f t="shared" si="10"/>
        <v>0</v>
      </c>
      <c r="AC112" s="27" t="s">
        <v>3099</v>
      </c>
      <c r="AD112" s="27" t="s">
        <v>3108</v>
      </c>
      <c r="AE112" s="27" t="s">
        <v>3101</v>
      </c>
      <c r="AF112" s="27"/>
    </row>
    <row r="113" spans="1:32" hidden="1" x14ac:dyDescent="0.25">
      <c r="A113" t="s">
        <v>3106</v>
      </c>
      <c r="B113" t="str">
        <f t="shared" si="7"/>
        <v>Decommissioned</v>
      </c>
      <c r="C113" s="92" t="s">
        <v>2105</v>
      </c>
      <c r="D113" t="s">
        <v>3357</v>
      </c>
      <c r="E113">
        <v>68427709</v>
      </c>
      <c r="F113" s="91" t="s">
        <v>54</v>
      </c>
      <c r="G113" t="s">
        <v>55</v>
      </c>
      <c r="H113" s="92" t="s">
        <v>46</v>
      </c>
      <c r="J113" t="s">
        <v>3358</v>
      </c>
      <c r="K113" s="92">
        <v>178449</v>
      </c>
      <c r="L113" s="92" t="s">
        <v>3359</v>
      </c>
      <c r="M113"/>
      <c r="N113" s="93"/>
      <c r="O113" s="92" t="s">
        <v>2870</v>
      </c>
      <c r="P113" s="92" t="s">
        <v>423</v>
      </c>
      <c r="Q113" s="92" t="s">
        <v>3114</v>
      </c>
      <c r="R113" s="92" t="s">
        <v>3125</v>
      </c>
      <c r="S113" s="7">
        <v>52000</v>
      </c>
      <c r="T113" s="7">
        <v>40000</v>
      </c>
      <c r="U113" s="7">
        <v>0</v>
      </c>
      <c r="V113" s="7"/>
      <c r="W113" s="7"/>
      <c r="X113" s="7">
        <f t="shared" si="8"/>
        <v>-40000</v>
      </c>
      <c r="Y113" s="5">
        <f t="shared" si="11"/>
        <v>-1</v>
      </c>
      <c r="Z113" s="6"/>
      <c r="AA113" s="29">
        <f>SUMPRODUCT((BIdetails!$J$5:$J$3000=M113)*(BIdetails!$K$5:$K$3000=N113)*(BIdetails!$M$5:$M$3000))</f>
        <v>0</v>
      </c>
      <c r="AB113" s="30" t="str">
        <f t="shared" si="10"/>
        <v/>
      </c>
      <c r="AC113" s="27"/>
      <c r="AD113" s="27"/>
      <c r="AE113" s="27"/>
      <c r="AF113" s="27"/>
    </row>
    <row r="114" spans="1:32" hidden="1" x14ac:dyDescent="0.25">
      <c r="A114" t="s">
        <v>3094</v>
      </c>
      <c r="B114" t="str">
        <f t="shared" si="7"/>
        <v>Increase</v>
      </c>
      <c r="C114" s="22" t="s">
        <v>2885</v>
      </c>
      <c r="D114" t="s">
        <v>3360</v>
      </c>
      <c r="E114">
        <v>68427709</v>
      </c>
      <c r="F114" s="91" t="s">
        <v>59</v>
      </c>
      <c r="G114" s="22" t="s">
        <v>60</v>
      </c>
      <c r="H114" s="22" t="s">
        <v>46</v>
      </c>
      <c r="J114" t="s">
        <v>2211</v>
      </c>
      <c r="K114" s="22">
        <v>212341</v>
      </c>
      <c r="L114" s="22" t="s">
        <v>3361</v>
      </c>
      <c r="M114" s="24">
        <v>5401116345</v>
      </c>
      <c r="N114" s="24">
        <v>10</v>
      </c>
      <c r="O114" s="22" t="s">
        <v>2870</v>
      </c>
      <c r="P114" s="22" t="s">
        <v>423</v>
      </c>
      <c r="Q114" s="218" t="s">
        <v>3170</v>
      </c>
      <c r="R114" s="22" t="s">
        <v>3362</v>
      </c>
      <c r="S114" s="7">
        <v>16000</v>
      </c>
      <c r="T114" s="7">
        <v>16000</v>
      </c>
      <c r="U114" s="7">
        <v>18000</v>
      </c>
      <c r="V114" s="7"/>
      <c r="W114" s="7"/>
      <c r="X114" s="7">
        <f t="shared" si="8"/>
        <v>2000</v>
      </c>
      <c r="Y114" s="5">
        <f t="shared" si="11"/>
        <v>0.125</v>
      </c>
      <c r="Z114" s="6"/>
      <c r="AA114" s="29">
        <f>SUMPRODUCT((BIdetails!$J$5:$J$3000=M114)*(BIdetails!$K$5:$K$3000=N114)*(BIdetails!$M$5:$M$3000))</f>
        <v>0</v>
      </c>
      <c r="AB114" s="30">
        <f t="shared" si="10"/>
        <v>0</v>
      </c>
      <c r="AC114" s="27"/>
      <c r="AD114" s="27"/>
      <c r="AE114" s="27"/>
      <c r="AF114" s="27"/>
    </row>
    <row r="115" spans="1:32" hidden="1" x14ac:dyDescent="0.25">
      <c r="A115" t="s">
        <v>3094</v>
      </c>
      <c r="B115" t="str">
        <f t="shared" si="7"/>
        <v>No Change</v>
      </c>
      <c r="C115" s="22" t="s">
        <v>3363</v>
      </c>
      <c r="D115" t="s">
        <v>3364</v>
      </c>
      <c r="E115">
        <v>68427709</v>
      </c>
      <c r="F115" s="91" t="s">
        <v>59</v>
      </c>
      <c r="G115" t="s">
        <v>60</v>
      </c>
      <c r="H115" s="92" t="s">
        <v>46</v>
      </c>
      <c r="J115" t="s">
        <v>3174</v>
      </c>
      <c r="K115" s="170">
        <v>197254</v>
      </c>
      <c r="L115" s="170" t="s">
        <v>167</v>
      </c>
      <c r="M115" s="20">
        <v>5401044163</v>
      </c>
      <c r="N115" s="20">
        <v>10</v>
      </c>
      <c r="O115" s="92" t="s">
        <v>2870</v>
      </c>
      <c r="P115" s="22" t="s">
        <v>2500</v>
      </c>
      <c r="Q115" t="s">
        <v>3114</v>
      </c>
      <c r="R115" t="s">
        <v>3175</v>
      </c>
      <c r="S115" s="217"/>
      <c r="T115" s="7">
        <v>56200</v>
      </c>
      <c r="U115" s="7">
        <v>56200</v>
      </c>
      <c r="V115" s="7"/>
      <c r="W115" s="7"/>
      <c r="X115" s="7">
        <f t="shared" si="8"/>
        <v>0</v>
      </c>
      <c r="Y115" s="5">
        <f t="shared" si="11"/>
        <v>0</v>
      </c>
      <c r="Z115" s="117"/>
      <c r="AA115" s="29">
        <f>SUMPRODUCT((BIdetails!$J$5:$J$3000=M115)*(BIdetails!$K$5:$K$3000=N115)*(BIdetails!$M$5:$M$3000))</f>
        <v>0</v>
      </c>
      <c r="AB115" s="30">
        <f t="shared" si="10"/>
        <v>0</v>
      </c>
      <c r="AC115" s="27"/>
      <c r="AD115" s="27"/>
      <c r="AE115" s="27"/>
      <c r="AF115" s="27"/>
    </row>
    <row r="116" spans="1:32" hidden="1" x14ac:dyDescent="0.25">
      <c r="A116" t="s">
        <v>3094</v>
      </c>
      <c r="B116" t="str">
        <f t="shared" si="7"/>
        <v>No Change</v>
      </c>
      <c r="C116" t="s">
        <v>3365</v>
      </c>
      <c r="D116" t="s">
        <v>3176</v>
      </c>
      <c r="E116">
        <v>68427709</v>
      </c>
      <c r="F116" s="91" t="s">
        <v>54</v>
      </c>
      <c r="G116" t="s">
        <v>55</v>
      </c>
      <c r="H116" t="s">
        <v>46</v>
      </c>
      <c r="J116" t="s">
        <v>3366</v>
      </c>
      <c r="K116" s="92">
        <v>120252</v>
      </c>
      <c r="L116" s="170" t="s">
        <v>3179</v>
      </c>
      <c r="M116" s="20">
        <v>5401087893</v>
      </c>
      <c r="N116" s="20">
        <v>10</v>
      </c>
      <c r="O116" t="s">
        <v>2870</v>
      </c>
      <c r="P116" s="92" t="s">
        <v>423</v>
      </c>
      <c r="Q116" s="201" t="s">
        <v>3170</v>
      </c>
      <c r="R116" t="s">
        <v>3120</v>
      </c>
      <c r="S116" s="7">
        <v>5300</v>
      </c>
      <c r="T116" s="7">
        <v>5300</v>
      </c>
      <c r="U116" s="7">
        <v>5300</v>
      </c>
      <c r="V116" s="7"/>
      <c r="W116" s="7"/>
      <c r="X116" s="7">
        <f t="shared" si="8"/>
        <v>0</v>
      </c>
      <c r="Y116" s="5">
        <f t="shared" si="11"/>
        <v>0</v>
      </c>
      <c r="Z116" s="35"/>
      <c r="AA116" s="29">
        <f>SUMPRODUCT((BIdetails!$J$5:$J$3000=M116)*(BIdetails!$K$5:$K$3000=N116)*(BIdetails!$M$5:$M$3000))</f>
        <v>0</v>
      </c>
      <c r="AB116" s="30">
        <f t="shared" si="10"/>
        <v>0</v>
      </c>
      <c r="AC116" s="27" t="s">
        <v>845</v>
      </c>
      <c r="AD116" s="27" t="s">
        <v>3100</v>
      </c>
      <c r="AE116" s="27" t="s">
        <v>3118</v>
      </c>
      <c r="AF116" s="27"/>
    </row>
    <row r="117" spans="1:32" x14ac:dyDescent="0.25">
      <c r="A117" t="s">
        <v>3094</v>
      </c>
      <c r="B117" t="str">
        <f t="shared" si="7"/>
        <v>No Change</v>
      </c>
      <c r="C117" t="s">
        <v>3367</v>
      </c>
      <c r="D117" t="s">
        <v>3368</v>
      </c>
      <c r="E117">
        <v>68427709</v>
      </c>
      <c r="F117" s="91" t="s">
        <v>54</v>
      </c>
      <c r="G117" t="s">
        <v>55</v>
      </c>
      <c r="H117" t="s">
        <v>46</v>
      </c>
      <c r="I117" t="s">
        <v>3096</v>
      </c>
      <c r="J117" t="s">
        <v>3369</v>
      </c>
      <c r="K117">
        <v>121208</v>
      </c>
      <c r="L117" t="s">
        <v>693</v>
      </c>
      <c r="M117" s="204">
        <v>5401081739</v>
      </c>
      <c r="N117" s="204">
        <v>10</v>
      </c>
      <c r="O117" t="s">
        <v>2843</v>
      </c>
      <c r="P117" s="22" t="s">
        <v>2843</v>
      </c>
      <c r="Q117" t="s">
        <v>3104</v>
      </c>
      <c r="R117" t="s">
        <v>42</v>
      </c>
      <c r="S117" s="7">
        <v>35000</v>
      </c>
      <c r="T117" s="7">
        <v>35000</v>
      </c>
      <c r="U117" s="7">
        <v>35000</v>
      </c>
      <c r="V117" s="7"/>
      <c r="W117" s="7">
        <f>U117*1.04</f>
        <v>36400</v>
      </c>
      <c r="X117" s="7">
        <f t="shared" ref="X117:X118" si="12">W117-U117</f>
        <v>1400</v>
      </c>
      <c r="Y117" s="5">
        <f t="shared" si="11"/>
        <v>0.04</v>
      </c>
      <c r="Z117" s="6"/>
      <c r="AA117" s="29">
        <f>SUMPRODUCT((BIdetails!$J$5:$J$3000=M117)*(BIdetails!$K$5:$K$3000=N117)*(BIdetails!$M$5:$M$3000))</f>
        <v>0</v>
      </c>
      <c r="AB117" s="30">
        <f t="shared" si="10"/>
        <v>0</v>
      </c>
      <c r="AC117" s="27" t="s">
        <v>3099</v>
      </c>
      <c r="AD117" s="27" t="s">
        <v>3108</v>
      </c>
      <c r="AE117" s="27" t="s">
        <v>3101</v>
      </c>
      <c r="AF117" s="27"/>
    </row>
    <row r="118" spans="1:32" x14ac:dyDescent="0.25">
      <c r="A118" t="s">
        <v>3094</v>
      </c>
      <c r="B118" t="str">
        <f t="shared" si="7"/>
        <v>No Change</v>
      </c>
      <c r="C118" t="s">
        <v>3370</v>
      </c>
      <c r="D118" t="s">
        <v>3368</v>
      </c>
      <c r="E118">
        <v>68427709</v>
      </c>
      <c r="F118" s="91" t="s">
        <v>54</v>
      </c>
      <c r="G118" t="s">
        <v>55</v>
      </c>
      <c r="H118" t="s">
        <v>46</v>
      </c>
      <c r="I118" t="s">
        <v>3096</v>
      </c>
      <c r="J118" t="s">
        <v>3369</v>
      </c>
      <c r="K118">
        <v>121208</v>
      </c>
      <c r="L118" t="s">
        <v>693</v>
      </c>
      <c r="M118" s="204">
        <v>5401081739</v>
      </c>
      <c r="N118" s="204">
        <v>10</v>
      </c>
      <c r="O118" t="s">
        <v>2843</v>
      </c>
      <c r="P118" s="22" t="s">
        <v>2843</v>
      </c>
      <c r="Q118" t="s">
        <v>3104</v>
      </c>
      <c r="R118" t="s">
        <v>42</v>
      </c>
      <c r="S118" s="7">
        <v>60000</v>
      </c>
      <c r="T118" s="7">
        <v>60000</v>
      </c>
      <c r="U118" s="7">
        <v>60000</v>
      </c>
      <c r="V118" s="7"/>
      <c r="W118" s="7">
        <f>U118*1.04</f>
        <v>62400</v>
      </c>
      <c r="X118" s="7">
        <f t="shared" si="12"/>
        <v>2400</v>
      </c>
      <c r="Y118" s="5">
        <f t="shared" si="11"/>
        <v>0.04</v>
      </c>
      <c r="Z118" s="6"/>
      <c r="AA118" s="29">
        <f>SUMPRODUCT((BIdetails!$J$5:$J$3000=M118)*(BIdetails!$K$5:$K$3000=N118)*(BIdetails!$M$5:$M$3000))</f>
        <v>0</v>
      </c>
      <c r="AB118" s="30">
        <f t="shared" si="10"/>
        <v>0</v>
      </c>
      <c r="AC118" s="27" t="s">
        <v>3099</v>
      </c>
      <c r="AD118" s="27" t="s">
        <v>3100</v>
      </c>
      <c r="AE118" s="27" t="s">
        <v>3163</v>
      </c>
      <c r="AF118" s="27"/>
    </row>
    <row r="119" spans="1:32" hidden="1" x14ac:dyDescent="0.25">
      <c r="A119" t="s">
        <v>3094</v>
      </c>
      <c r="B119" t="str">
        <f t="shared" si="7"/>
        <v>No Change</v>
      </c>
      <c r="C119" s="22" t="s">
        <v>453</v>
      </c>
      <c r="D119" t="s">
        <v>3371</v>
      </c>
      <c r="E119">
        <v>68427709</v>
      </c>
      <c r="F119" s="91" t="s">
        <v>59</v>
      </c>
      <c r="G119" s="22" t="s">
        <v>60</v>
      </c>
      <c r="H119" s="22" t="s">
        <v>46</v>
      </c>
      <c r="I119" t="s">
        <v>3096</v>
      </c>
      <c r="J119" t="s">
        <v>3372</v>
      </c>
      <c r="K119" s="22">
        <v>117570</v>
      </c>
      <c r="L119" s="22" t="s">
        <v>633</v>
      </c>
      <c r="M119" s="25">
        <v>5401082136</v>
      </c>
      <c r="N119" s="24">
        <v>240</v>
      </c>
      <c r="O119" s="22" t="s">
        <v>2870</v>
      </c>
      <c r="P119" s="22" t="s">
        <v>3149</v>
      </c>
      <c r="Q119" s="22" t="s">
        <v>3104</v>
      </c>
      <c r="R119" s="22" t="s">
        <v>1046</v>
      </c>
      <c r="S119" s="7">
        <v>11000</v>
      </c>
      <c r="T119" s="7">
        <v>11000</v>
      </c>
      <c r="U119" s="7">
        <v>11000</v>
      </c>
      <c r="V119" s="7"/>
      <c r="W119" s="7"/>
      <c r="X119" s="7">
        <f t="shared" si="8"/>
        <v>0</v>
      </c>
      <c r="Y119" s="5">
        <f t="shared" si="11"/>
        <v>0</v>
      </c>
      <c r="Z119" s="6"/>
      <c r="AA119" s="29">
        <f>SUMPRODUCT((BIdetails!$J$5:$J$3000=M119)*(BIdetails!$K$5:$K$3000=N119)*(BIdetails!$M$5:$M$3000))</f>
        <v>0</v>
      </c>
      <c r="AB119" s="30">
        <f t="shared" si="10"/>
        <v>0</v>
      </c>
      <c r="AC119" s="27" t="s">
        <v>3099</v>
      </c>
      <c r="AD119" s="27" t="s">
        <v>3100</v>
      </c>
      <c r="AE119" s="27"/>
      <c r="AF119" s="27"/>
    </row>
    <row r="120" spans="1:32" hidden="1" x14ac:dyDescent="0.25">
      <c r="A120" t="s">
        <v>3094</v>
      </c>
      <c r="B120" t="str">
        <f t="shared" si="7"/>
        <v>No Change</v>
      </c>
      <c r="C120" t="s">
        <v>667</v>
      </c>
      <c r="D120" t="s">
        <v>3143</v>
      </c>
      <c r="E120">
        <v>68427709</v>
      </c>
      <c r="F120" s="91" t="s">
        <v>59</v>
      </c>
      <c r="G120" t="s">
        <v>60</v>
      </c>
      <c r="H120" t="s">
        <v>46</v>
      </c>
      <c r="I120" t="s">
        <v>3144</v>
      </c>
      <c r="J120" t="s">
        <v>3373</v>
      </c>
      <c r="K120">
        <v>187516</v>
      </c>
      <c r="L120" s="92" t="s">
        <v>3117</v>
      </c>
      <c r="O120" t="s">
        <v>2870</v>
      </c>
      <c r="P120" s="22" t="s">
        <v>2510</v>
      </c>
      <c r="Q120" t="s">
        <v>3114</v>
      </c>
      <c r="R120" t="s">
        <v>3098</v>
      </c>
      <c r="S120" s="7">
        <v>80000</v>
      </c>
      <c r="T120" s="7">
        <v>80000</v>
      </c>
      <c r="U120" s="7">
        <v>80000</v>
      </c>
      <c r="V120" s="7"/>
      <c r="W120" s="7"/>
      <c r="X120" s="7">
        <f t="shared" si="8"/>
        <v>0</v>
      </c>
      <c r="Y120" s="5">
        <f t="shared" si="11"/>
        <v>0</v>
      </c>
      <c r="Z120" s="6"/>
      <c r="AA120" s="29">
        <f>SUMPRODUCT((BIdetails!$J$5:$J$3000=M120)*(BIdetails!$K$5:$K$3000=N120)*(BIdetails!$M$5:$M$3000))</f>
        <v>0</v>
      </c>
      <c r="AB120" s="30">
        <f t="shared" si="10"/>
        <v>0</v>
      </c>
      <c r="AC120" s="27"/>
      <c r="AD120" s="27"/>
      <c r="AE120" s="27"/>
      <c r="AF120" s="27"/>
    </row>
    <row r="121" spans="1:32" hidden="1" x14ac:dyDescent="0.25">
      <c r="A121" t="s">
        <v>3094</v>
      </c>
      <c r="B121" t="str">
        <f t="shared" si="7"/>
        <v>New</v>
      </c>
      <c r="C121" s="22" t="s">
        <v>3374</v>
      </c>
      <c r="D121" t="s">
        <v>3375</v>
      </c>
      <c r="E121">
        <v>68427709</v>
      </c>
      <c r="F121" s="91" t="s">
        <v>59</v>
      </c>
      <c r="G121" t="s">
        <v>60</v>
      </c>
      <c r="H121" t="s">
        <v>46</v>
      </c>
      <c r="J121" t="s">
        <v>3376</v>
      </c>
      <c r="K121">
        <v>3000627</v>
      </c>
      <c r="L121" s="22" t="s">
        <v>287</v>
      </c>
      <c r="M121" s="203">
        <v>5401046457</v>
      </c>
      <c r="N121" s="20">
        <v>10</v>
      </c>
      <c r="O121" s="92" t="s">
        <v>2870</v>
      </c>
      <c r="P121" s="22" t="s">
        <v>2781</v>
      </c>
      <c r="Q121" s="240" t="s">
        <v>3114</v>
      </c>
      <c r="R121" t="s">
        <v>3136</v>
      </c>
      <c r="S121" s="7"/>
      <c r="T121" s="7"/>
      <c r="U121" s="7">
        <v>35000</v>
      </c>
      <c r="V121" s="7"/>
      <c r="W121" s="7"/>
      <c r="X121" s="7">
        <f t="shared" si="8"/>
        <v>35000</v>
      </c>
      <c r="Y121" s="5">
        <f t="shared" si="11"/>
        <v>1</v>
      </c>
      <c r="Z121" s="117"/>
      <c r="AA121" s="29">
        <f>SUMPRODUCT((BIdetails!$J$5:$J$3000=M121)*(BIdetails!$K$5:$K$3000=N121)*(BIdetails!$M$5:$M$3000))</f>
        <v>0</v>
      </c>
      <c r="AB121" s="30">
        <f t="shared" si="10"/>
        <v>0</v>
      </c>
      <c r="AC121" s="27"/>
      <c r="AD121" s="27"/>
      <c r="AE121" s="27"/>
      <c r="AF121" s="27"/>
    </row>
    <row r="122" spans="1:32" hidden="1" x14ac:dyDescent="0.25">
      <c r="A122" t="s">
        <v>3094</v>
      </c>
      <c r="B122" t="str">
        <f t="shared" si="7"/>
        <v>New</v>
      </c>
      <c r="C122" s="22" t="s">
        <v>3377</v>
      </c>
      <c r="D122" t="s">
        <v>3378</v>
      </c>
      <c r="E122">
        <v>68427709</v>
      </c>
      <c r="F122" s="91" t="s">
        <v>59</v>
      </c>
      <c r="G122" t="s">
        <v>60</v>
      </c>
      <c r="H122" t="s">
        <v>46</v>
      </c>
      <c r="J122" t="s">
        <v>3379</v>
      </c>
      <c r="K122">
        <v>212141</v>
      </c>
      <c r="L122" s="22" t="s">
        <v>269</v>
      </c>
      <c r="M122" s="20">
        <v>5401097354</v>
      </c>
      <c r="N122" s="20">
        <v>10</v>
      </c>
      <c r="O122" s="92" t="s">
        <v>2870</v>
      </c>
      <c r="P122" s="22" t="s">
        <v>2500</v>
      </c>
      <c r="Q122" t="s">
        <v>3170</v>
      </c>
      <c r="R122" t="s">
        <v>517</v>
      </c>
      <c r="S122" s="7"/>
      <c r="T122" s="7"/>
      <c r="U122" s="7">
        <v>40000</v>
      </c>
      <c r="V122" s="7"/>
      <c r="W122" s="7"/>
      <c r="X122" s="7">
        <f t="shared" si="8"/>
        <v>40000</v>
      </c>
      <c r="Y122" s="5">
        <f t="shared" si="11"/>
        <v>1</v>
      </c>
      <c r="Z122" s="117"/>
      <c r="AA122" s="29">
        <f>SUMPRODUCT((BIdetails!$J$5:$J$3000=M122)*(BIdetails!$K$5:$K$3000=N122)*(BIdetails!$M$5:$M$3000))</f>
        <v>0</v>
      </c>
      <c r="AB122" s="30">
        <f t="shared" si="10"/>
        <v>0</v>
      </c>
      <c r="AC122" s="27"/>
      <c r="AD122" s="27"/>
      <c r="AE122" s="27"/>
      <c r="AF122" s="27"/>
    </row>
    <row r="123" spans="1:32" hidden="1" x14ac:dyDescent="0.25">
      <c r="A123" t="s">
        <v>3094</v>
      </c>
      <c r="B123" t="str">
        <f t="shared" si="7"/>
        <v>No Change</v>
      </c>
      <c r="C123" s="22" t="s">
        <v>3380</v>
      </c>
      <c r="D123" t="s">
        <v>3381</v>
      </c>
      <c r="E123">
        <v>68427709</v>
      </c>
      <c r="F123" s="91" t="s">
        <v>54</v>
      </c>
      <c r="G123" t="s">
        <v>55</v>
      </c>
      <c r="H123" s="22" t="s">
        <v>46</v>
      </c>
      <c r="J123" t="s">
        <v>2264</v>
      </c>
      <c r="K123" s="22">
        <v>188831</v>
      </c>
      <c r="L123" s="22" t="s">
        <v>407</v>
      </c>
      <c r="M123">
        <v>5401087948</v>
      </c>
      <c r="N123" s="24">
        <v>10</v>
      </c>
      <c r="O123" s="22" t="s">
        <v>2870</v>
      </c>
      <c r="P123" s="22" t="s">
        <v>1479</v>
      </c>
      <c r="Q123" s="22" t="s">
        <v>3170</v>
      </c>
      <c r="R123" s="22" t="s">
        <v>3230</v>
      </c>
      <c r="S123" s="7">
        <v>200000</v>
      </c>
      <c r="T123" s="7">
        <v>200000</v>
      </c>
      <c r="U123" s="7">
        <v>200000</v>
      </c>
      <c r="V123" s="7"/>
      <c r="W123" s="7"/>
      <c r="X123" s="7">
        <f t="shared" si="8"/>
        <v>0</v>
      </c>
      <c r="Y123" s="5">
        <f t="shared" si="11"/>
        <v>0</v>
      </c>
      <c r="Z123" s="6"/>
      <c r="AA123" s="29">
        <f>SUMPRODUCT((BIdetails!$J$5:$J$3000=M123)*(BIdetails!$K$5:$K$3000=N123)*(BIdetails!$M$5:$M$3000))</f>
        <v>0</v>
      </c>
      <c r="AB123" s="30">
        <f t="shared" si="10"/>
        <v>0</v>
      </c>
      <c r="AC123" s="27" t="s">
        <v>3099</v>
      </c>
      <c r="AD123" s="27" t="s">
        <v>3100</v>
      </c>
      <c r="AE123" s="27" t="s">
        <v>3118</v>
      </c>
      <c r="AF123" s="27"/>
    </row>
    <row r="124" spans="1:32" hidden="1" x14ac:dyDescent="0.25">
      <c r="A124" t="s">
        <v>3094</v>
      </c>
      <c r="B124" t="str">
        <f t="shared" si="7"/>
        <v>No Change</v>
      </c>
      <c r="C124" t="s">
        <v>3382</v>
      </c>
      <c r="D124" t="s">
        <v>3383</v>
      </c>
      <c r="E124">
        <v>68427709</v>
      </c>
      <c r="F124" s="91" t="s">
        <v>59</v>
      </c>
      <c r="G124" t="s">
        <v>60</v>
      </c>
      <c r="H124" t="s">
        <v>46</v>
      </c>
      <c r="J124" t="s">
        <v>3384</v>
      </c>
      <c r="K124">
        <v>211753</v>
      </c>
      <c r="L124" t="s">
        <v>267</v>
      </c>
      <c r="M124">
        <v>5400976828</v>
      </c>
      <c r="N124" s="20">
        <v>20</v>
      </c>
      <c r="O124" s="22" t="s">
        <v>2870</v>
      </c>
      <c r="P124" s="22" t="s">
        <v>1984</v>
      </c>
      <c r="Q124" t="s">
        <v>3114</v>
      </c>
      <c r="R124" t="s">
        <v>3284</v>
      </c>
      <c r="S124" s="7">
        <v>60000</v>
      </c>
      <c r="T124" s="7">
        <v>70000</v>
      </c>
      <c r="U124" s="7">
        <v>70000</v>
      </c>
      <c r="V124" s="7"/>
      <c r="W124" s="7"/>
      <c r="X124" s="7">
        <f t="shared" si="8"/>
        <v>0</v>
      </c>
      <c r="Y124" s="5">
        <f t="shared" si="11"/>
        <v>0</v>
      </c>
      <c r="Z124" s="117"/>
      <c r="AA124" s="29">
        <f>SUMPRODUCT((BIdetails!$J$5:$J$3000=M124)*(BIdetails!$K$5:$K$3000=N124)*(BIdetails!$M$5:$M$3000))</f>
        <v>0</v>
      </c>
      <c r="AB124" s="30">
        <f t="shared" si="10"/>
        <v>0</v>
      </c>
      <c r="AC124" s="27"/>
      <c r="AD124" s="27"/>
      <c r="AE124" s="27"/>
      <c r="AF124" s="27"/>
    </row>
    <row r="125" spans="1:32" x14ac:dyDescent="0.25">
      <c r="A125" t="s">
        <v>3094</v>
      </c>
      <c r="B125" t="str">
        <f t="shared" si="7"/>
        <v>New</v>
      </c>
      <c r="C125" s="306" t="s">
        <v>2962</v>
      </c>
      <c r="E125">
        <v>68427709</v>
      </c>
      <c r="F125" s="91" t="s">
        <v>40</v>
      </c>
      <c r="G125" t="s">
        <v>42</v>
      </c>
      <c r="H125" t="s">
        <v>42</v>
      </c>
      <c r="I125" t="s">
        <v>2448</v>
      </c>
      <c r="J125" t="s">
        <v>3189</v>
      </c>
      <c r="L125" s="22"/>
      <c r="M125" s="203"/>
      <c r="O125" s="92" t="s">
        <v>2843</v>
      </c>
      <c r="P125" s="22"/>
      <c r="Q125" t="s">
        <v>3124</v>
      </c>
      <c r="R125" t="s">
        <v>2903</v>
      </c>
      <c r="S125" s="7"/>
      <c r="T125" s="7"/>
      <c r="U125" s="7">
        <v>25000</v>
      </c>
      <c r="V125" s="7"/>
      <c r="W125" s="304">
        <v>25000</v>
      </c>
      <c r="X125" s="7">
        <f t="shared" ref="X125" si="13">W125-U125</f>
        <v>0</v>
      </c>
      <c r="Y125" s="5">
        <f t="shared" si="11"/>
        <v>1</v>
      </c>
      <c r="Z125" s="117"/>
      <c r="AA125" s="29">
        <f>SUMPRODUCT((BIdetails!$J$5:$J$3000=M125)*(BIdetails!$K$5:$K$3000=N125)*(BIdetails!$M$5:$M$3000))</f>
        <v>0</v>
      </c>
      <c r="AB125" s="30">
        <f t="shared" si="10"/>
        <v>0</v>
      </c>
      <c r="AC125" s="27"/>
      <c r="AD125" s="27"/>
      <c r="AE125" s="27"/>
      <c r="AF125" s="27"/>
    </row>
    <row r="126" spans="1:32" hidden="1" x14ac:dyDescent="0.25">
      <c r="A126" t="s">
        <v>3094</v>
      </c>
      <c r="B126" t="str">
        <f t="shared" si="7"/>
        <v>No Change</v>
      </c>
      <c r="C126" t="s">
        <v>2157</v>
      </c>
      <c r="D126" t="s">
        <v>3385</v>
      </c>
      <c r="E126">
        <v>68427709</v>
      </c>
      <c r="F126" s="91" t="s">
        <v>59</v>
      </c>
      <c r="G126" t="s">
        <v>60</v>
      </c>
      <c r="H126" t="s">
        <v>46</v>
      </c>
      <c r="J126" t="s">
        <v>3386</v>
      </c>
      <c r="K126">
        <v>209378</v>
      </c>
      <c r="L126" s="92" t="s">
        <v>257</v>
      </c>
      <c r="M126" s="20">
        <v>5400909342</v>
      </c>
      <c r="N126" s="20">
        <v>50</v>
      </c>
      <c r="O126" t="s">
        <v>2870</v>
      </c>
      <c r="P126" s="92" t="s">
        <v>423</v>
      </c>
      <c r="Q126" t="s">
        <v>3170</v>
      </c>
      <c r="R126" t="s">
        <v>3230</v>
      </c>
      <c r="S126" s="7">
        <v>329000</v>
      </c>
      <c r="T126" s="7">
        <v>329000</v>
      </c>
      <c r="U126" s="7">
        <v>329000</v>
      </c>
      <c r="V126" s="7"/>
      <c r="W126" s="7"/>
      <c r="X126" s="7">
        <f t="shared" si="8"/>
        <v>0</v>
      </c>
      <c r="Y126" s="5">
        <f t="shared" si="11"/>
        <v>0</v>
      </c>
      <c r="Z126" s="6"/>
      <c r="AA126" s="29">
        <f>SUMPRODUCT((BIdetails!$J$5:$J$3000=M126)*(BIdetails!$K$5:$K$3000=N126)*(BIdetails!$M$5:$M$3000))</f>
        <v>0</v>
      </c>
      <c r="AB126" s="30">
        <f t="shared" si="10"/>
        <v>0</v>
      </c>
      <c r="AC126" s="27"/>
      <c r="AD126" s="27"/>
      <c r="AE126" s="27"/>
      <c r="AF126" s="27"/>
    </row>
    <row r="127" spans="1:32" x14ac:dyDescent="0.25">
      <c r="A127" t="s">
        <v>3094</v>
      </c>
      <c r="B127" t="str">
        <f t="shared" si="7"/>
        <v>New</v>
      </c>
      <c r="C127" t="s">
        <v>2850</v>
      </c>
      <c r="E127">
        <v>68427709</v>
      </c>
      <c r="F127" s="91" t="s">
        <v>44</v>
      </c>
      <c r="G127" s="92" t="s">
        <v>75</v>
      </c>
      <c r="H127" s="92" t="s">
        <v>46</v>
      </c>
      <c r="I127" t="s">
        <v>3096</v>
      </c>
      <c r="J127" t="s">
        <v>3128</v>
      </c>
      <c r="K127">
        <v>187516</v>
      </c>
      <c r="L127" s="92" t="s">
        <v>3117</v>
      </c>
      <c r="M127" s="203"/>
      <c r="O127" s="22" t="s">
        <v>2843</v>
      </c>
      <c r="P127" s="22" t="s">
        <v>2843</v>
      </c>
      <c r="Q127" s="22" t="s">
        <v>3104</v>
      </c>
      <c r="R127" t="s">
        <v>42</v>
      </c>
      <c r="S127" s="7"/>
      <c r="T127" s="7"/>
      <c r="U127" s="7">
        <v>120000</v>
      </c>
      <c r="V127" s="7"/>
      <c r="W127" s="305">
        <v>170000</v>
      </c>
      <c r="X127" s="7">
        <f t="shared" ref="X127:X128" si="14">W127-U127</f>
        <v>50000</v>
      </c>
      <c r="Y127" s="5">
        <f t="shared" si="11"/>
        <v>1</v>
      </c>
      <c r="Z127" s="117"/>
      <c r="AA127" s="29">
        <f>SUMPRODUCT((BIdetails!$J$5:$J$3000=M127)*(BIdetails!$K$5:$K$3000=N127)*(BIdetails!$M$5:$M$3000))</f>
        <v>0</v>
      </c>
      <c r="AB127" s="30">
        <f t="shared" si="10"/>
        <v>0</v>
      </c>
      <c r="AC127" s="27"/>
      <c r="AD127" s="27"/>
      <c r="AE127" s="27"/>
      <c r="AF127" s="27"/>
    </row>
    <row r="128" spans="1:32" x14ac:dyDescent="0.25">
      <c r="A128" t="s">
        <v>3094</v>
      </c>
      <c r="B128" t="str">
        <f t="shared" si="7"/>
        <v>No Change</v>
      </c>
      <c r="C128" t="s">
        <v>833</v>
      </c>
      <c r="D128" t="s">
        <v>3387</v>
      </c>
      <c r="E128">
        <v>68427709</v>
      </c>
      <c r="F128" s="91" t="s">
        <v>54</v>
      </c>
      <c r="G128" t="s">
        <v>55</v>
      </c>
      <c r="H128" s="92" t="s">
        <v>46</v>
      </c>
      <c r="J128" s="92" t="s">
        <v>3388</v>
      </c>
      <c r="K128">
        <v>198668</v>
      </c>
      <c r="L128" t="s">
        <v>3389</v>
      </c>
      <c r="M128">
        <v>5400958294</v>
      </c>
      <c r="N128" s="20">
        <v>30</v>
      </c>
      <c r="O128" s="22" t="s">
        <v>2843</v>
      </c>
      <c r="P128" s="22" t="s">
        <v>2843</v>
      </c>
      <c r="Q128" t="s">
        <v>3114</v>
      </c>
      <c r="R128" t="s">
        <v>42</v>
      </c>
      <c r="S128" s="7">
        <v>330000</v>
      </c>
      <c r="T128" s="7">
        <v>362000</v>
      </c>
      <c r="U128" s="7">
        <v>362000</v>
      </c>
      <c r="V128" s="7"/>
      <c r="W128" s="7">
        <f>U128*1.04</f>
        <v>376480</v>
      </c>
      <c r="X128" s="7">
        <f t="shared" si="14"/>
        <v>14480</v>
      </c>
      <c r="Y128" s="5">
        <f t="shared" si="11"/>
        <v>0.04</v>
      </c>
      <c r="Z128" s="6"/>
      <c r="AA128" s="29">
        <f>SUMPRODUCT((BIdetails!$J$5:$J$3000=M128)*(BIdetails!$K$5:$K$3000=N128)*(BIdetails!$M$5:$M$3000))</f>
        <v>0</v>
      </c>
      <c r="AB128" s="30">
        <f t="shared" si="10"/>
        <v>0</v>
      </c>
      <c r="AC128" s="27" t="s">
        <v>3099</v>
      </c>
      <c r="AD128" s="27" t="s">
        <v>3108</v>
      </c>
      <c r="AE128" s="27" t="s">
        <v>3101</v>
      </c>
      <c r="AF128" s="27"/>
    </row>
    <row r="129" spans="1:32" hidden="1" x14ac:dyDescent="0.25">
      <c r="A129" t="s">
        <v>3094</v>
      </c>
      <c r="B129" t="str">
        <f t="shared" si="7"/>
        <v>No Change</v>
      </c>
      <c r="C129" t="s">
        <v>3390</v>
      </c>
      <c r="D129" t="s">
        <v>3391</v>
      </c>
      <c r="E129">
        <v>68427709</v>
      </c>
      <c r="F129" s="91" t="s">
        <v>57</v>
      </c>
      <c r="G129" t="s">
        <v>58</v>
      </c>
      <c r="H129" t="s">
        <v>46</v>
      </c>
      <c r="J129" t="s">
        <v>3392</v>
      </c>
      <c r="K129">
        <v>167392</v>
      </c>
      <c r="L129" t="s">
        <v>3393</v>
      </c>
      <c r="M129" s="20">
        <v>5401069722</v>
      </c>
      <c r="N129" s="20">
        <v>10</v>
      </c>
      <c r="O129" t="s">
        <v>2870</v>
      </c>
      <c r="P129" s="92" t="s">
        <v>2731</v>
      </c>
      <c r="Q129" t="s">
        <v>3104</v>
      </c>
      <c r="R129" s="92" t="s">
        <v>3333</v>
      </c>
      <c r="S129" s="7">
        <v>82000</v>
      </c>
      <c r="T129" s="7">
        <v>82000</v>
      </c>
      <c r="U129" s="7">
        <v>82000</v>
      </c>
      <c r="V129" s="7"/>
      <c r="W129" s="7"/>
      <c r="X129" s="7">
        <f t="shared" si="8"/>
        <v>0</v>
      </c>
      <c r="Y129" s="5">
        <f t="shared" si="11"/>
        <v>0</v>
      </c>
      <c r="Z129" s="6"/>
      <c r="AA129" s="29">
        <f>SUMPRODUCT((BIdetails!$J$5:$J$3000=M129)*(BIdetails!$K$5:$K$3000=N129)*(BIdetails!$M$5:$M$3000))</f>
        <v>0</v>
      </c>
      <c r="AB129" s="30">
        <f t="shared" si="10"/>
        <v>0</v>
      </c>
      <c r="AC129" s="27" t="s">
        <v>3099</v>
      </c>
      <c r="AD129" s="27" t="s">
        <v>3108</v>
      </c>
      <c r="AE129" s="27" t="s">
        <v>3101</v>
      </c>
      <c r="AF129" s="27"/>
    </row>
    <row r="130" spans="1:32" hidden="1" x14ac:dyDescent="0.25">
      <c r="A130" t="s">
        <v>3094</v>
      </c>
      <c r="B130" t="str">
        <f t="shared" ref="B130:B193" si="15">IF(T130=U130,"No Change",IF(AND(U130&lt;&gt;0,U130&lt;T130),"Decrease",IF(AND(U130&lt;&gt;0,T130=0),"New",IF(AND(T130&lt;&gt;0,U130=0),"Decommissioned","Increase"))))</f>
        <v>No Change</v>
      </c>
      <c r="C130" t="s">
        <v>2234</v>
      </c>
      <c r="D130" t="s">
        <v>3176</v>
      </c>
      <c r="E130">
        <v>68427709</v>
      </c>
      <c r="F130" s="91" t="s">
        <v>36</v>
      </c>
      <c r="G130" t="s">
        <v>37</v>
      </c>
      <c r="H130" t="s">
        <v>33</v>
      </c>
      <c r="J130" t="s">
        <v>2233</v>
      </c>
      <c r="K130">
        <v>120252</v>
      </c>
      <c r="L130" s="170" t="s">
        <v>3179</v>
      </c>
      <c r="M130" s="20">
        <v>5401087886</v>
      </c>
      <c r="N130" s="20">
        <v>10</v>
      </c>
      <c r="O130" s="22" t="s">
        <v>2870</v>
      </c>
      <c r="P130" s="22" t="s">
        <v>2870</v>
      </c>
      <c r="Q130" t="s">
        <v>3114</v>
      </c>
      <c r="R130" t="s">
        <v>3133</v>
      </c>
      <c r="S130" s="7">
        <v>21600</v>
      </c>
      <c r="T130" s="7">
        <v>20700</v>
      </c>
      <c r="U130" s="7">
        <v>20700</v>
      </c>
      <c r="V130" s="7"/>
      <c r="W130" s="7"/>
      <c r="X130" s="7">
        <f t="shared" ref="X130:X193" si="16">U130-T130</f>
        <v>0</v>
      </c>
      <c r="Y130" s="5">
        <f t="shared" ref="Y130:Y135" si="17">IF(B130="New",1,IFERROR(X130/T130,0))</f>
        <v>0</v>
      </c>
      <c r="Z130" s="117"/>
      <c r="AA130" s="29">
        <f>SUMPRODUCT((BIdetails!$J$5:$J$3000=M130)*(BIdetails!$K$5:$K$3000=N130)*(BIdetails!$M$5:$M$3000))</f>
        <v>0</v>
      </c>
      <c r="AB130" s="30">
        <f t="shared" ref="AB130:AB193" si="18">IF(U130=0,"",(AA130/U130))</f>
        <v>0</v>
      </c>
      <c r="AC130" s="27"/>
      <c r="AD130" s="27"/>
      <c r="AE130" s="27"/>
      <c r="AF130" s="27"/>
    </row>
    <row r="131" spans="1:32" hidden="1" x14ac:dyDescent="0.25">
      <c r="A131" t="s">
        <v>3094</v>
      </c>
      <c r="B131" t="str">
        <f t="shared" si="15"/>
        <v>No Change</v>
      </c>
      <c r="C131" t="s">
        <v>2204</v>
      </c>
      <c r="D131" t="s">
        <v>3176</v>
      </c>
      <c r="E131">
        <v>68427709</v>
      </c>
      <c r="F131" s="91" t="s">
        <v>36</v>
      </c>
      <c r="G131" t="s">
        <v>37</v>
      </c>
      <c r="H131" t="s">
        <v>33</v>
      </c>
      <c r="J131" t="s">
        <v>2203</v>
      </c>
      <c r="K131">
        <v>120252</v>
      </c>
      <c r="L131" s="170" t="s">
        <v>3179</v>
      </c>
      <c r="M131" s="20">
        <v>5401087886</v>
      </c>
      <c r="N131" s="20">
        <v>10</v>
      </c>
      <c r="O131" s="22" t="s">
        <v>2870</v>
      </c>
      <c r="P131" s="22" t="s">
        <v>2870</v>
      </c>
      <c r="Q131" t="s">
        <v>3114</v>
      </c>
      <c r="R131" t="s">
        <v>3133</v>
      </c>
      <c r="S131" s="7">
        <v>43200</v>
      </c>
      <c r="T131" s="7">
        <v>41400</v>
      </c>
      <c r="U131" s="7">
        <v>41400</v>
      </c>
      <c r="V131" s="7"/>
      <c r="W131" s="7"/>
      <c r="X131" s="7">
        <f t="shared" si="16"/>
        <v>0</v>
      </c>
      <c r="Y131" s="5">
        <f t="shared" si="17"/>
        <v>0</v>
      </c>
      <c r="Z131" s="117"/>
      <c r="AA131" s="29">
        <f>SUMPRODUCT((BIdetails!$J$5:$J$3000=M131)*(BIdetails!$K$5:$K$3000=N131)*(BIdetails!$M$5:$M$3000))</f>
        <v>0</v>
      </c>
      <c r="AB131" s="30">
        <f t="shared" si="18"/>
        <v>0</v>
      </c>
      <c r="AC131" s="27"/>
      <c r="AD131" s="27"/>
      <c r="AE131" s="27"/>
      <c r="AF131" s="27"/>
    </row>
    <row r="132" spans="1:32" hidden="1" x14ac:dyDescent="0.25">
      <c r="A132" t="s">
        <v>3094</v>
      </c>
      <c r="B132" t="str">
        <f t="shared" si="15"/>
        <v>No Change</v>
      </c>
      <c r="C132" t="s">
        <v>2283</v>
      </c>
      <c r="D132" t="s">
        <v>3176</v>
      </c>
      <c r="E132">
        <v>68427709</v>
      </c>
      <c r="F132" s="91" t="s">
        <v>36</v>
      </c>
      <c r="G132" t="s">
        <v>37</v>
      </c>
      <c r="H132" t="s">
        <v>33</v>
      </c>
      <c r="J132" t="s">
        <v>2282</v>
      </c>
      <c r="K132">
        <v>120252</v>
      </c>
      <c r="L132" s="170" t="s">
        <v>3179</v>
      </c>
      <c r="M132" s="20">
        <v>5401087886</v>
      </c>
      <c r="N132" s="20">
        <v>10</v>
      </c>
      <c r="O132" s="22" t="s">
        <v>2870</v>
      </c>
      <c r="P132" s="22" t="s">
        <v>2870</v>
      </c>
      <c r="Q132" t="s">
        <v>3114</v>
      </c>
      <c r="R132" t="s">
        <v>3133</v>
      </c>
      <c r="S132" s="7">
        <v>32400</v>
      </c>
      <c r="T132" s="7">
        <v>31000</v>
      </c>
      <c r="U132" s="7">
        <v>31000</v>
      </c>
      <c r="V132" s="7"/>
      <c r="W132" s="7"/>
      <c r="X132" s="7">
        <f t="shared" si="16"/>
        <v>0</v>
      </c>
      <c r="Y132" s="5">
        <f t="shared" si="17"/>
        <v>0</v>
      </c>
      <c r="Z132" s="117"/>
      <c r="AA132" s="29">
        <f>SUMPRODUCT((BIdetails!$J$5:$J$3000=M132)*(BIdetails!$K$5:$K$3000=N132)*(BIdetails!$M$5:$M$3000))</f>
        <v>0</v>
      </c>
      <c r="AB132" s="30">
        <f t="shared" si="18"/>
        <v>0</v>
      </c>
      <c r="AC132" s="27"/>
      <c r="AD132" s="27"/>
      <c r="AE132" s="27"/>
      <c r="AF132" s="27"/>
    </row>
    <row r="133" spans="1:32" hidden="1" x14ac:dyDescent="0.25">
      <c r="A133" t="s">
        <v>3094</v>
      </c>
      <c r="B133" t="str">
        <f t="shared" si="15"/>
        <v>No Change</v>
      </c>
      <c r="C133" t="s">
        <v>2240</v>
      </c>
      <c r="D133" t="s">
        <v>3176</v>
      </c>
      <c r="E133">
        <v>68427709</v>
      </c>
      <c r="F133" s="91" t="s">
        <v>36</v>
      </c>
      <c r="G133" t="s">
        <v>37</v>
      </c>
      <c r="H133" t="s">
        <v>33</v>
      </c>
      <c r="J133" t="s">
        <v>2239</v>
      </c>
      <c r="K133">
        <v>120252</v>
      </c>
      <c r="L133" s="170" t="s">
        <v>3179</v>
      </c>
      <c r="M133" s="20">
        <v>5401087886</v>
      </c>
      <c r="N133" s="20">
        <v>10</v>
      </c>
      <c r="O133" s="22" t="s">
        <v>2870</v>
      </c>
      <c r="P133" s="22" t="s">
        <v>2870</v>
      </c>
      <c r="Q133" t="s">
        <v>3114</v>
      </c>
      <c r="R133" t="s">
        <v>3133</v>
      </c>
      <c r="S133" s="7">
        <v>10800</v>
      </c>
      <c r="T133" s="7">
        <v>10400</v>
      </c>
      <c r="U133" s="7">
        <v>10400</v>
      </c>
      <c r="V133" s="7"/>
      <c r="W133" s="7"/>
      <c r="X133" s="7">
        <f t="shared" si="16"/>
        <v>0</v>
      </c>
      <c r="Y133" s="5">
        <f t="shared" si="17"/>
        <v>0</v>
      </c>
      <c r="Z133" s="117"/>
      <c r="AA133" s="29">
        <f>SUMPRODUCT((BIdetails!$J$5:$J$3000=M133)*(BIdetails!$K$5:$K$3000=N133)*(BIdetails!$M$5:$M$3000))</f>
        <v>0</v>
      </c>
      <c r="AB133" s="30">
        <f t="shared" si="18"/>
        <v>0</v>
      </c>
      <c r="AC133" s="27"/>
      <c r="AD133" s="27"/>
      <c r="AE133" s="27"/>
      <c r="AF133" s="27"/>
    </row>
    <row r="134" spans="1:32" hidden="1" x14ac:dyDescent="0.25">
      <c r="A134" t="s">
        <v>3094</v>
      </c>
      <c r="B134" t="str">
        <f t="shared" si="15"/>
        <v>No Change</v>
      </c>
      <c r="C134" t="s">
        <v>2289</v>
      </c>
      <c r="D134" t="s">
        <v>3176</v>
      </c>
      <c r="E134">
        <v>68427709</v>
      </c>
      <c r="F134" s="91" t="s">
        <v>36</v>
      </c>
      <c r="G134" t="s">
        <v>37</v>
      </c>
      <c r="H134" t="s">
        <v>33</v>
      </c>
      <c r="J134" t="s">
        <v>2288</v>
      </c>
      <c r="K134">
        <v>120252</v>
      </c>
      <c r="L134" s="170" t="s">
        <v>3179</v>
      </c>
      <c r="M134" s="20">
        <v>5401087886</v>
      </c>
      <c r="N134" s="20">
        <v>10</v>
      </c>
      <c r="O134" s="22" t="s">
        <v>2870</v>
      </c>
      <c r="P134" s="22" t="s">
        <v>2870</v>
      </c>
      <c r="Q134" s="201" t="s">
        <v>3150</v>
      </c>
      <c r="R134" t="s">
        <v>3133</v>
      </c>
      <c r="S134" s="7">
        <v>21600</v>
      </c>
      <c r="T134" s="7">
        <v>20700</v>
      </c>
      <c r="U134" s="7">
        <v>20700</v>
      </c>
      <c r="V134" s="7"/>
      <c r="W134" s="7"/>
      <c r="X134" s="7">
        <f t="shared" si="16"/>
        <v>0</v>
      </c>
      <c r="Y134" s="5">
        <f t="shared" si="17"/>
        <v>0</v>
      </c>
      <c r="Z134" s="117"/>
      <c r="AA134" s="29">
        <f>SUMPRODUCT((BIdetails!$J$5:$J$3000=M134)*(BIdetails!$K$5:$K$3000=N134)*(BIdetails!$M$5:$M$3000))</f>
        <v>0</v>
      </c>
      <c r="AB134" s="30">
        <f t="shared" si="18"/>
        <v>0</v>
      </c>
      <c r="AC134" s="27"/>
      <c r="AD134" s="27"/>
      <c r="AE134" s="27"/>
      <c r="AF134" s="27"/>
    </row>
    <row r="135" spans="1:32" hidden="1" x14ac:dyDescent="0.25">
      <c r="A135" t="s">
        <v>3094</v>
      </c>
      <c r="B135" t="str">
        <f t="shared" si="15"/>
        <v>No Change</v>
      </c>
      <c r="C135" t="s">
        <v>2277</v>
      </c>
      <c r="D135" t="s">
        <v>3176</v>
      </c>
      <c r="E135">
        <v>68427709</v>
      </c>
      <c r="F135" s="91" t="s">
        <v>36</v>
      </c>
      <c r="G135" t="s">
        <v>37</v>
      </c>
      <c r="H135" t="s">
        <v>33</v>
      </c>
      <c r="J135" t="s">
        <v>2276</v>
      </c>
      <c r="K135">
        <v>120252</v>
      </c>
      <c r="L135" s="170" t="s">
        <v>3179</v>
      </c>
      <c r="M135" s="20">
        <v>5401087886</v>
      </c>
      <c r="N135" s="20">
        <v>10</v>
      </c>
      <c r="O135" s="22" t="s">
        <v>2870</v>
      </c>
      <c r="P135" s="22" t="s">
        <v>2870</v>
      </c>
      <c r="Q135" t="s">
        <v>3114</v>
      </c>
      <c r="R135" t="s">
        <v>3133</v>
      </c>
      <c r="S135" s="7">
        <v>10800</v>
      </c>
      <c r="T135" s="7">
        <v>10400</v>
      </c>
      <c r="U135" s="7">
        <v>10400</v>
      </c>
      <c r="V135" s="7"/>
      <c r="W135" s="7"/>
      <c r="X135" s="7">
        <f t="shared" si="16"/>
        <v>0</v>
      </c>
      <c r="Y135" s="5">
        <f t="shared" si="17"/>
        <v>0</v>
      </c>
      <c r="Z135" s="117"/>
      <c r="AA135" s="29">
        <f>SUMPRODUCT((BIdetails!$J$5:$J$3000=M135)*(BIdetails!$K$5:$K$3000=N135)*(BIdetails!$M$5:$M$3000))</f>
        <v>0</v>
      </c>
      <c r="AB135" s="30">
        <f t="shared" si="18"/>
        <v>0</v>
      </c>
      <c r="AC135" s="27"/>
      <c r="AD135" s="27"/>
      <c r="AE135" s="27"/>
      <c r="AF135" s="27"/>
    </row>
    <row r="136" spans="1:32" hidden="1" x14ac:dyDescent="0.25">
      <c r="A136" t="s">
        <v>3094</v>
      </c>
      <c r="B136" t="str">
        <f t="shared" si="15"/>
        <v>No Change</v>
      </c>
      <c r="C136" t="s">
        <v>2202</v>
      </c>
      <c r="D136" t="s">
        <v>3176</v>
      </c>
      <c r="E136">
        <v>68427709</v>
      </c>
      <c r="F136" s="91" t="s">
        <v>36</v>
      </c>
      <c r="G136" t="s">
        <v>37</v>
      </c>
      <c r="H136" t="s">
        <v>33</v>
      </c>
      <c r="J136" t="s">
        <v>2201</v>
      </c>
      <c r="K136">
        <v>120252</v>
      </c>
      <c r="L136" s="170" t="s">
        <v>3179</v>
      </c>
      <c r="M136" s="20">
        <v>5401087886</v>
      </c>
      <c r="N136" s="20">
        <v>10</v>
      </c>
      <c r="O136" s="22" t="s">
        <v>2870</v>
      </c>
      <c r="P136" s="22" t="s">
        <v>2870</v>
      </c>
      <c r="Q136" t="s">
        <v>3114</v>
      </c>
      <c r="R136" t="s">
        <v>3133</v>
      </c>
      <c r="S136" s="7">
        <v>43200</v>
      </c>
      <c r="T136" s="7">
        <v>41400</v>
      </c>
      <c r="U136" s="7">
        <v>41400</v>
      </c>
      <c r="V136" s="7"/>
      <c r="W136" s="7"/>
      <c r="X136" s="7">
        <f t="shared" si="16"/>
        <v>0</v>
      </c>
      <c r="Y136" s="5">
        <f>IF(B137="New",1,IFERROR(X136/T136,0))</f>
        <v>0</v>
      </c>
      <c r="Z136" s="117"/>
      <c r="AA136" s="29">
        <f>SUMPRODUCT((BIdetails!$J$5:$J$3000=M136)*(BIdetails!$K$5:$K$3000=N136)*(BIdetails!$M$5:$M$3000))</f>
        <v>0</v>
      </c>
      <c r="AB136" s="30">
        <f t="shared" si="18"/>
        <v>0</v>
      </c>
      <c r="AC136" s="27"/>
      <c r="AD136" s="27"/>
      <c r="AE136" s="27"/>
      <c r="AF136" s="27"/>
    </row>
    <row r="137" spans="1:32" hidden="1" x14ac:dyDescent="0.25">
      <c r="A137" t="s">
        <v>3094</v>
      </c>
      <c r="B137" t="str">
        <f t="shared" si="15"/>
        <v>No Change</v>
      </c>
      <c r="C137" t="s">
        <v>2255</v>
      </c>
      <c r="D137" t="s">
        <v>3176</v>
      </c>
      <c r="E137">
        <v>68427709</v>
      </c>
      <c r="F137" s="91" t="s">
        <v>36</v>
      </c>
      <c r="G137" t="s">
        <v>37</v>
      </c>
      <c r="H137" t="s">
        <v>33</v>
      </c>
      <c r="J137" t="s">
        <v>2254</v>
      </c>
      <c r="K137">
        <v>120252</v>
      </c>
      <c r="L137" s="170" t="s">
        <v>3179</v>
      </c>
      <c r="M137" s="20">
        <v>5401087886</v>
      </c>
      <c r="N137" s="20">
        <v>10</v>
      </c>
      <c r="O137" s="22" t="s">
        <v>2870</v>
      </c>
      <c r="P137" s="22" t="s">
        <v>2870</v>
      </c>
      <c r="Q137" t="s">
        <v>3114</v>
      </c>
      <c r="R137" t="s">
        <v>3133</v>
      </c>
      <c r="S137" s="7">
        <v>21600</v>
      </c>
      <c r="T137" s="7">
        <v>20700</v>
      </c>
      <c r="U137" s="7">
        <v>20700</v>
      </c>
      <c r="V137" s="7"/>
      <c r="W137" s="7"/>
      <c r="X137" s="7">
        <f t="shared" si="16"/>
        <v>0</v>
      </c>
      <c r="Y137" s="5">
        <f t="shared" ref="Y137:Y200" si="19">IF(B137="New",1,IFERROR(X137/T137,0))</f>
        <v>0</v>
      </c>
      <c r="Z137" s="117"/>
      <c r="AA137" s="29">
        <f>SUMPRODUCT((BIdetails!$J$5:$J$3000=M137)*(BIdetails!$K$5:$K$3000=N137)*(BIdetails!$M$5:$M$3000))</f>
        <v>0</v>
      </c>
      <c r="AB137" s="30">
        <f t="shared" si="18"/>
        <v>0</v>
      </c>
      <c r="AC137" s="27"/>
      <c r="AD137" s="27"/>
      <c r="AE137" s="27"/>
      <c r="AF137" s="27"/>
    </row>
    <row r="138" spans="1:32" hidden="1" x14ac:dyDescent="0.25">
      <c r="A138" t="s">
        <v>3094</v>
      </c>
      <c r="B138" t="str">
        <f t="shared" si="15"/>
        <v>No Change</v>
      </c>
      <c r="C138" t="s">
        <v>2242</v>
      </c>
      <c r="D138" t="s">
        <v>3176</v>
      </c>
      <c r="E138">
        <v>68427709</v>
      </c>
      <c r="F138" s="91" t="s">
        <v>36</v>
      </c>
      <c r="G138" t="s">
        <v>37</v>
      </c>
      <c r="H138" t="s">
        <v>33</v>
      </c>
      <c r="J138" t="s">
        <v>2241</v>
      </c>
      <c r="K138">
        <v>120252</v>
      </c>
      <c r="L138" s="170" t="s">
        <v>3179</v>
      </c>
      <c r="M138" s="20">
        <v>5401087886</v>
      </c>
      <c r="N138" s="20">
        <v>10</v>
      </c>
      <c r="O138" s="22" t="s">
        <v>2870</v>
      </c>
      <c r="P138" s="22" t="s">
        <v>2870</v>
      </c>
      <c r="Q138" t="s">
        <v>3114</v>
      </c>
      <c r="R138" t="s">
        <v>3133</v>
      </c>
      <c r="S138" s="7">
        <v>10800</v>
      </c>
      <c r="T138" s="7">
        <v>10400</v>
      </c>
      <c r="U138" s="7">
        <v>10400</v>
      </c>
      <c r="V138" s="7"/>
      <c r="W138" s="7"/>
      <c r="X138" s="7">
        <f t="shared" si="16"/>
        <v>0</v>
      </c>
      <c r="Y138" s="5">
        <f t="shared" si="19"/>
        <v>0</v>
      </c>
      <c r="Z138" s="117"/>
      <c r="AA138" s="29">
        <f>SUMPRODUCT((BIdetails!$J$5:$J$3000=M138)*(BIdetails!$K$5:$K$3000=N138)*(BIdetails!$M$5:$M$3000))</f>
        <v>0</v>
      </c>
      <c r="AB138" s="30">
        <f t="shared" si="18"/>
        <v>0</v>
      </c>
      <c r="AC138" s="27"/>
      <c r="AD138" s="27"/>
      <c r="AE138" s="27"/>
      <c r="AF138" s="27"/>
    </row>
    <row r="139" spans="1:32" hidden="1" x14ac:dyDescent="0.25">
      <c r="A139" t="s">
        <v>3094</v>
      </c>
      <c r="B139" t="str">
        <f t="shared" si="15"/>
        <v>No Change</v>
      </c>
      <c r="C139" t="s">
        <v>2226</v>
      </c>
      <c r="D139" t="s">
        <v>3176</v>
      </c>
      <c r="E139">
        <v>68427709</v>
      </c>
      <c r="F139" s="91" t="s">
        <v>36</v>
      </c>
      <c r="G139" t="s">
        <v>37</v>
      </c>
      <c r="H139" t="s">
        <v>33</v>
      </c>
      <c r="J139" t="s">
        <v>2225</v>
      </c>
      <c r="K139">
        <v>120252</v>
      </c>
      <c r="L139" s="170" t="s">
        <v>3179</v>
      </c>
      <c r="M139" s="20">
        <v>5401087886</v>
      </c>
      <c r="N139" s="20">
        <v>10</v>
      </c>
      <c r="O139" s="22" t="s">
        <v>2870</v>
      </c>
      <c r="P139" s="22" t="s">
        <v>2870</v>
      </c>
      <c r="Q139" s="201" t="s">
        <v>3170</v>
      </c>
      <c r="R139" t="s">
        <v>3133</v>
      </c>
      <c r="S139" s="7">
        <v>10800</v>
      </c>
      <c r="T139" s="7">
        <v>10400</v>
      </c>
      <c r="U139" s="7">
        <v>10400</v>
      </c>
      <c r="V139" s="7"/>
      <c r="W139" s="7"/>
      <c r="X139" s="7">
        <f t="shared" si="16"/>
        <v>0</v>
      </c>
      <c r="Y139" s="5">
        <f t="shared" si="19"/>
        <v>0</v>
      </c>
      <c r="Z139" s="117"/>
      <c r="AA139" s="29">
        <f>SUMPRODUCT((BIdetails!$J$5:$J$3000=M139)*(BIdetails!$K$5:$K$3000=N139)*(BIdetails!$M$5:$M$3000))</f>
        <v>0</v>
      </c>
      <c r="AB139" s="30">
        <f t="shared" si="18"/>
        <v>0</v>
      </c>
      <c r="AC139" s="27"/>
      <c r="AD139" s="27"/>
      <c r="AE139" s="27"/>
      <c r="AF139" s="27"/>
    </row>
    <row r="140" spans="1:32" hidden="1" x14ac:dyDescent="0.25">
      <c r="A140" t="s">
        <v>3094</v>
      </c>
      <c r="B140" t="str">
        <f t="shared" si="15"/>
        <v>No Change</v>
      </c>
      <c r="C140" t="s">
        <v>2287</v>
      </c>
      <c r="D140" t="s">
        <v>3176</v>
      </c>
      <c r="E140">
        <v>68427709</v>
      </c>
      <c r="F140" s="91" t="s">
        <v>36</v>
      </c>
      <c r="G140" t="s">
        <v>37</v>
      </c>
      <c r="H140" t="s">
        <v>33</v>
      </c>
      <c r="J140" t="s">
        <v>2286</v>
      </c>
      <c r="K140">
        <v>120252</v>
      </c>
      <c r="L140" s="170" t="s">
        <v>3179</v>
      </c>
      <c r="M140" s="20">
        <v>5401087886</v>
      </c>
      <c r="N140" s="20">
        <v>10</v>
      </c>
      <c r="O140" s="22" t="s">
        <v>2870</v>
      </c>
      <c r="P140" s="22" t="s">
        <v>2870</v>
      </c>
      <c r="Q140" t="s">
        <v>3114</v>
      </c>
      <c r="R140" t="s">
        <v>3133</v>
      </c>
      <c r="S140" s="7">
        <v>10800</v>
      </c>
      <c r="T140" s="7">
        <v>10400</v>
      </c>
      <c r="U140" s="7">
        <v>10400</v>
      </c>
      <c r="V140" s="7"/>
      <c r="W140" s="7"/>
      <c r="X140" s="7">
        <f t="shared" si="16"/>
        <v>0</v>
      </c>
      <c r="Y140" s="5">
        <f t="shared" si="19"/>
        <v>0</v>
      </c>
      <c r="Z140" s="117"/>
      <c r="AA140" s="29">
        <f>SUMPRODUCT((BIdetails!$J$5:$J$3000=M140)*(BIdetails!$K$5:$K$3000=N140)*(BIdetails!$M$5:$M$3000))</f>
        <v>0</v>
      </c>
      <c r="AB140" s="30">
        <f t="shared" si="18"/>
        <v>0</v>
      </c>
      <c r="AC140" s="27"/>
      <c r="AD140" s="27"/>
      <c r="AE140" s="27"/>
      <c r="AF140" s="27"/>
    </row>
    <row r="141" spans="1:32" hidden="1" x14ac:dyDescent="0.25">
      <c r="A141" t="s">
        <v>3106</v>
      </c>
      <c r="B141" t="str">
        <f t="shared" si="15"/>
        <v>No Change</v>
      </c>
      <c r="C141" t="s">
        <v>2208</v>
      </c>
      <c r="D141" t="s">
        <v>3176</v>
      </c>
      <c r="E141">
        <v>68427709</v>
      </c>
      <c r="F141" s="91" t="s">
        <v>36</v>
      </c>
      <c r="G141" t="s">
        <v>37</v>
      </c>
      <c r="H141" t="s">
        <v>33</v>
      </c>
      <c r="J141" t="s">
        <v>2207</v>
      </c>
      <c r="K141">
        <v>120252</v>
      </c>
      <c r="L141" s="170" t="s">
        <v>3179</v>
      </c>
      <c r="O141" s="22" t="s">
        <v>2870</v>
      </c>
      <c r="P141" s="22" t="s">
        <v>2870</v>
      </c>
      <c r="Q141" t="s">
        <v>3114</v>
      </c>
      <c r="R141" t="s">
        <v>3133</v>
      </c>
      <c r="S141" s="7">
        <v>21600</v>
      </c>
      <c r="T141" s="7">
        <v>0</v>
      </c>
      <c r="U141" s="7">
        <v>0</v>
      </c>
      <c r="V141" s="7"/>
      <c r="W141" s="7"/>
      <c r="X141" s="7">
        <f t="shared" si="16"/>
        <v>0</v>
      </c>
      <c r="Y141" s="5">
        <f t="shared" si="19"/>
        <v>0</v>
      </c>
      <c r="Z141" s="117"/>
      <c r="AA141" s="29">
        <f>SUMPRODUCT((BIdetails!$J$5:$J$3000=M141)*(BIdetails!$K$5:$K$3000=N141)*(BIdetails!$M$5:$M$3000))</f>
        <v>0</v>
      </c>
      <c r="AB141" s="30" t="str">
        <f t="shared" si="18"/>
        <v/>
      </c>
      <c r="AC141" s="27"/>
      <c r="AD141" s="27"/>
      <c r="AE141" s="27"/>
      <c r="AF141" s="27"/>
    </row>
    <row r="142" spans="1:32" hidden="1" x14ac:dyDescent="0.25">
      <c r="A142" t="s">
        <v>3094</v>
      </c>
      <c r="B142" t="str">
        <f t="shared" si="15"/>
        <v>No Change</v>
      </c>
      <c r="C142" t="s">
        <v>2253</v>
      </c>
      <c r="D142" t="s">
        <v>3176</v>
      </c>
      <c r="E142">
        <v>68427709</v>
      </c>
      <c r="F142" s="91" t="s">
        <v>36</v>
      </c>
      <c r="G142" t="s">
        <v>37</v>
      </c>
      <c r="H142" t="s">
        <v>33</v>
      </c>
      <c r="J142" t="s">
        <v>2252</v>
      </c>
      <c r="K142">
        <v>120252</v>
      </c>
      <c r="L142" s="170" t="s">
        <v>3179</v>
      </c>
      <c r="M142" s="20">
        <v>5401087886</v>
      </c>
      <c r="N142" s="20">
        <v>10</v>
      </c>
      <c r="O142" s="22" t="s">
        <v>2870</v>
      </c>
      <c r="P142" s="22" t="s">
        <v>2870</v>
      </c>
      <c r="Q142" t="s">
        <v>3114</v>
      </c>
      <c r="R142" t="s">
        <v>3133</v>
      </c>
      <c r="S142" s="7">
        <v>10800</v>
      </c>
      <c r="T142" s="7">
        <v>10400</v>
      </c>
      <c r="U142" s="7">
        <v>10400</v>
      </c>
      <c r="V142" s="7"/>
      <c r="W142" s="7"/>
      <c r="X142" s="7">
        <f t="shared" si="16"/>
        <v>0</v>
      </c>
      <c r="Y142" s="5">
        <f t="shared" si="19"/>
        <v>0</v>
      </c>
      <c r="Z142" s="117"/>
      <c r="AA142" s="29">
        <f>SUMPRODUCT((BIdetails!$J$5:$J$3000=M142)*(BIdetails!$K$5:$K$3000=N142)*(BIdetails!$M$5:$M$3000))</f>
        <v>0</v>
      </c>
      <c r="AB142" s="30">
        <f t="shared" si="18"/>
        <v>0</v>
      </c>
      <c r="AC142" s="27"/>
      <c r="AD142" s="27"/>
      <c r="AE142" s="27"/>
      <c r="AF142" s="27"/>
    </row>
    <row r="143" spans="1:32" hidden="1" x14ac:dyDescent="0.25">
      <c r="A143" t="s">
        <v>3094</v>
      </c>
      <c r="B143" t="str">
        <f t="shared" si="15"/>
        <v>No Change</v>
      </c>
      <c r="C143" t="s">
        <v>2273</v>
      </c>
      <c r="D143" t="s">
        <v>3176</v>
      </c>
      <c r="E143">
        <v>68427709</v>
      </c>
      <c r="F143" s="91" t="s">
        <v>36</v>
      </c>
      <c r="G143" t="s">
        <v>37</v>
      </c>
      <c r="H143" t="s">
        <v>33</v>
      </c>
      <c r="J143" t="s">
        <v>2272</v>
      </c>
      <c r="K143">
        <v>120252</v>
      </c>
      <c r="L143" s="170" t="s">
        <v>3179</v>
      </c>
      <c r="M143" s="20">
        <v>5401087886</v>
      </c>
      <c r="N143" s="20">
        <v>10</v>
      </c>
      <c r="O143" s="22" t="s">
        <v>2870</v>
      </c>
      <c r="P143" s="22" t="s">
        <v>2870</v>
      </c>
      <c r="Q143" t="s">
        <v>3114</v>
      </c>
      <c r="R143" t="s">
        <v>3133</v>
      </c>
      <c r="S143" s="7">
        <v>108000</v>
      </c>
      <c r="T143" s="7">
        <v>103300</v>
      </c>
      <c r="U143" s="7">
        <v>103300</v>
      </c>
      <c r="V143" s="7"/>
      <c r="W143" s="7"/>
      <c r="X143" s="7">
        <f t="shared" si="16"/>
        <v>0</v>
      </c>
      <c r="Y143" s="5">
        <f t="shared" si="19"/>
        <v>0</v>
      </c>
      <c r="Z143" s="117"/>
      <c r="AA143" s="29">
        <f>SUMPRODUCT((BIdetails!$J$5:$J$3000=M143)*(BIdetails!$K$5:$K$3000=N143)*(BIdetails!$M$5:$M$3000))</f>
        <v>0</v>
      </c>
      <c r="AB143" s="30">
        <f t="shared" si="18"/>
        <v>0</v>
      </c>
      <c r="AC143" s="27"/>
      <c r="AD143" s="27"/>
      <c r="AE143" s="27"/>
      <c r="AF143" s="27"/>
    </row>
    <row r="144" spans="1:32" hidden="1" x14ac:dyDescent="0.25">
      <c r="A144" t="s">
        <v>3094</v>
      </c>
      <c r="B144" t="str">
        <f t="shared" si="15"/>
        <v>No Change</v>
      </c>
      <c r="C144" t="s">
        <v>2212</v>
      </c>
      <c r="D144" t="s">
        <v>3176</v>
      </c>
      <c r="E144">
        <v>68427709</v>
      </c>
      <c r="F144" s="91" t="s">
        <v>36</v>
      </c>
      <c r="G144" t="s">
        <v>37</v>
      </c>
      <c r="H144" t="s">
        <v>33</v>
      </c>
      <c r="J144" t="s">
        <v>2211</v>
      </c>
      <c r="K144">
        <v>120252</v>
      </c>
      <c r="L144" s="170" t="s">
        <v>3179</v>
      </c>
      <c r="M144" s="20">
        <v>5401087886</v>
      </c>
      <c r="N144" s="20">
        <v>10</v>
      </c>
      <c r="O144" s="22" t="s">
        <v>2870</v>
      </c>
      <c r="P144" s="22" t="s">
        <v>2870</v>
      </c>
      <c r="Q144" s="201" t="s">
        <v>3170</v>
      </c>
      <c r="R144" t="s">
        <v>3133</v>
      </c>
      <c r="S144" s="7">
        <v>21600</v>
      </c>
      <c r="T144" s="7">
        <v>20700</v>
      </c>
      <c r="U144" s="7">
        <v>20700</v>
      </c>
      <c r="V144" s="7"/>
      <c r="W144" s="7"/>
      <c r="X144" s="7">
        <f t="shared" si="16"/>
        <v>0</v>
      </c>
      <c r="Y144" s="5">
        <f t="shared" si="19"/>
        <v>0</v>
      </c>
      <c r="Z144" s="117"/>
      <c r="AA144" s="29">
        <f>SUMPRODUCT((BIdetails!$J$5:$J$3000=M144)*(BIdetails!$K$5:$K$3000=N144)*(BIdetails!$M$5:$M$3000))</f>
        <v>0</v>
      </c>
      <c r="AB144" s="30">
        <f t="shared" si="18"/>
        <v>0</v>
      </c>
      <c r="AC144" s="27"/>
      <c r="AD144" s="27"/>
      <c r="AE144" s="27"/>
      <c r="AF144" s="27"/>
    </row>
    <row r="145" spans="1:32" hidden="1" x14ac:dyDescent="0.25">
      <c r="A145" t="s">
        <v>3094</v>
      </c>
      <c r="B145" t="str">
        <f t="shared" si="15"/>
        <v>No Change</v>
      </c>
      <c r="C145" t="s">
        <v>2291</v>
      </c>
      <c r="D145" t="s">
        <v>3176</v>
      </c>
      <c r="E145">
        <v>68427709</v>
      </c>
      <c r="F145" s="91" t="s">
        <v>36</v>
      </c>
      <c r="G145" t="s">
        <v>37</v>
      </c>
      <c r="H145" t="s">
        <v>33</v>
      </c>
      <c r="J145" t="s">
        <v>2290</v>
      </c>
      <c r="K145">
        <v>120252</v>
      </c>
      <c r="L145" s="170" t="s">
        <v>3179</v>
      </c>
      <c r="M145" s="20">
        <v>5401087886</v>
      </c>
      <c r="N145" s="20">
        <v>10</v>
      </c>
      <c r="O145" s="22" t="s">
        <v>2870</v>
      </c>
      <c r="P145" s="22" t="s">
        <v>2870</v>
      </c>
      <c r="Q145" t="s">
        <v>3114</v>
      </c>
      <c r="R145" t="s">
        <v>3133</v>
      </c>
      <c r="S145" s="7">
        <v>10800</v>
      </c>
      <c r="T145" s="7">
        <v>10400</v>
      </c>
      <c r="U145" s="7">
        <v>10400</v>
      </c>
      <c r="V145" s="7"/>
      <c r="W145" s="7"/>
      <c r="X145" s="7">
        <f t="shared" si="16"/>
        <v>0</v>
      </c>
      <c r="Y145" s="5">
        <f t="shared" si="19"/>
        <v>0</v>
      </c>
      <c r="Z145" s="117"/>
      <c r="AA145" s="29">
        <f>SUMPRODUCT((BIdetails!$J$5:$J$3000=M145)*(BIdetails!$K$5:$K$3000=N145)*(BIdetails!$M$5:$M$3000))</f>
        <v>0</v>
      </c>
      <c r="AB145" s="30">
        <f t="shared" si="18"/>
        <v>0</v>
      </c>
      <c r="AC145" s="27"/>
      <c r="AD145" s="27"/>
      <c r="AE145" s="27"/>
      <c r="AF145" s="27"/>
    </row>
    <row r="146" spans="1:32" hidden="1" x14ac:dyDescent="0.25">
      <c r="A146" t="s">
        <v>3094</v>
      </c>
      <c r="B146" t="str">
        <f t="shared" si="15"/>
        <v>No Change</v>
      </c>
      <c r="C146" t="s">
        <v>2257</v>
      </c>
      <c r="D146" t="s">
        <v>3176</v>
      </c>
      <c r="E146">
        <v>68427709</v>
      </c>
      <c r="F146" s="91" t="s">
        <v>36</v>
      </c>
      <c r="G146" t="s">
        <v>37</v>
      </c>
      <c r="H146" t="s">
        <v>33</v>
      </c>
      <c r="J146" t="s">
        <v>2256</v>
      </c>
      <c r="K146">
        <v>120252</v>
      </c>
      <c r="L146" s="170" t="s">
        <v>3179</v>
      </c>
      <c r="M146" s="20">
        <v>5401087886</v>
      </c>
      <c r="N146" s="20">
        <v>10</v>
      </c>
      <c r="O146" s="22" t="s">
        <v>2870</v>
      </c>
      <c r="P146" s="22" t="s">
        <v>2870</v>
      </c>
      <c r="Q146" t="s">
        <v>3114</v>
      </c>
      <c r="R146" t="s">
        <v>3133</v>
      </c>
      <c r="S146" s="7">
        <v>21600</v>
      </c>
      <c r="T146" s="7">
        <v>20700</v>
      </c>
      <c r="U146" s="7">
        <v>20700</v>
      </c>
      <c r="V146" s="7"/>
      <c r="W146" s="7"/>
      <c r="X146" s="7">
        <f t="shared" si="16"/>
        <v>0</v>
      </c>
      <c r="Y146" s="5">
        <f t="shared" si="19"/>
        <v>0</v>
      </c>
      <c r="Z146" s="117"/>
      <c r="AA146" s="29">
        <f>SUMPRODUCT((BIdetails!$J$5:$J$3000=M146)*(BIdetails!$K$5:$K$3000=N146)*(BIdetails!$M$5:$M$3000))</f>
        <v>0</v>
      </c>
      <c r="AB146" s="30">
        <f t="shared" si="18"/>
        <v>0</v>
      </c>
      <c r="AC146" s="27"/>
      <c r="AD146" s="27"/>
      <c r="AE146" s="27"/>
      <c r="AF146" s="27"/>
    </row>
    <row r="147" spans="1:32" hidden="1" x14ac:dyDescent="0.25">
      <c r="A147" t="s">
        <v>3094</v>
      </c>
      <c r="B147" t="str">
        <f t="shared" si="15"/>
        <v>No Change</v>
      </c>
      <c r="C147" t="s">
        <v>2244</v>
      </c>
      <c r="D147" t="s">
        <v>3176</v>
      </c>
      <c r="E147">
        <v>68427709</v>
      </c>
      <c r="F147" s="91" t="s">
        <v>36</v>
      </c>
      <c r="G147" t="s">
        <v>37</v>
      </c>
      <c r="H147" t="s">
        <v>33</v>
      </c>
      <c r="J147" t="s">
        <v>2243</v>
      </c>
      <c r="K147">
        <v>120252</v>
      </c>
      <c r="L147" s="170" t="s">
        <v>3179</v>
      </c>
      <c r="M147" s="20">
        <v>5401087886</v>
      </c>
      <c r="N147" s="20">
        <v>10</v>
      </c>
      <c r="O147" s="22" t="s">
        <v>2870</v>
      </c>
      <c r="P147" s="22" t="s">
        <v>2870</v>
      </c>
      <c r="Q147" t="s">
        <v>3114</v>
      </c>
      <c r="R147" t="s">
        <v>3133</v>
      </c>
      <c r="S147" s="7">
        <v>10800</v>
      </c>
      <c r="T147" s="7">
        <v>10400</v>
      </c>
      <c r="U147" s="7">
        <v>10400</v>
      </c>
      <c r="V147" s="7"/>
      <c r="W147" s="7"/>
      <c r="X147" s="7">
        <f t="shared" si="16"/>
        <v>0</v>
      </c>
      <c r="Y147" s="5">
        <f t="shared" si="19"/>
        <v>0</v>
      </c>
      <c r="Z147" s="117"/>
      <c r="AA147" s="29">
        <f>SUMPRODUCT((BIdetails!$J$5:$J$3000=M147)*(BIdetails!$K$5:$K$3000=N147)*(BIdetails!$M$5:$M$3000))</f>
        <v>0</v>
      </c>
      <c r="AB147" s="30">
        <f t="shared" si="18"/>
        <v>0</v>
      </c>
      <c r="AC147" s="27"/>
      <c r="AD147" s="27"/>
      <c r="AE147" s="27"/>
      <c r="AF147" s="27"/>
    </row>
    <row r="148" spans="1:32" hidden="1" x14ac:dyDescent="0.25">
      <c r="A148" t="s">
        <v>3094</v>
      </c>
      <c r="B148" t="str">
        <f t="shared" si="15"/>
        <v>No Change</v>
      </c>
      <c r="C148" t="s">
        <v>2265</v>
      </c>
      <c r="D148" t="s">
        <v>3176</v>
      </c>
      <c r="E148">
        <v>68427709</v>
      </c>
      <c r="F148" s="91" t="s">
        <v>36</v>
      </c>
      <c r="G148" t="s">
        <v>37</v>
      </c>
      <c r="H148" t="s">
        <v>33</v>
      </c>
      <c r="J148" t="s">
        <v>2264</v>
      </c>
      <c r="K148">
        <v>120252</v>
      </c>
      <c r="L148" s="170" t="s">
        <v>3179</v>
      </c>
      <c r="M148" s="20">
        <v>5401087886</v>
      </c>
      <c r="N148" s="20">
        <v>10</v>
      </c>
      <c r="O148" s="22" t="s">
        <v>2870</v>
      </c>
      <c r="P148" s="22" t="s">
        <v>2870</v>
      </c>
      <c r="Q148" s="218" t="s">
        <v>3170</v>
      </c>
      <c r="R148" t="s">
        <v>3133</v>
      </c>
      <c r="S148" s="7">
        <v>43200</v>
      </c>
      <c r="T148" s="7">
        <v>41400</v>
      </c>
      <c r="U148" s="7">
        <v>41400</v>
      </c>
      <c r="V148" s="7"/>
      <c r="W148" s="7"/>
      <c r="X148" s="7">
        <f t="shared" si="16"/>
        <v>0</v>
      </c>
      <c r="Y148" s="5">
        <f t="shared" si="19"/>
        <v>0</v>
      </c>
      <c r="Z148" s="117"/>
      <c r="AA148" s="29">
        <f>SUMPRODUCT((BIdetails!$J$5:$J$3000=M148)*(BIdetails!$K$5:$K$3000=N148)*(BIdetails!$M$5:$M$3000))</f>
        <v>0</v>
      </c>
      <c r="AB148" s="30">
        <f t="shared" si="18"/>
        <v>0</v>
      </c>
      <c r="AC148" s="27"/>
      <c r="AD148" s="27"/>
      <c r="AE148" s="27"/>
      <c r="AF148" s="27"/>
    </row>
    <row r="149" spans="1:32" hidden="1" x14ac:dyDescent="0.25">
      <c r="A149" t="s">
        <v>3094</v>
      </c>
      <c r="B149" t="str">
        <f t="shared" si="15"/>
        <v>No Change</v>
      </c>
      <c r="C149" t="s">
        <v>2238</v>
      </c>
      <c r="D149" t="s">
        <v>3176</v>
      </c>
      <c r="E149">
        <v>68427709</v>
      </c>
      <c r="F149" s="91" t="s">
        <v>36</v>
      </c>
      <c r="G149" t="s">
        <v>37</v>
      </c>
      <c r="H149" t="s">
        <v>33</v>
      </c>
      <c r="J149" t="s">
        <v>2237</v>
      </c>
      <c r="K149">
        <v>120252</v>
      </c>
      <c r="L149" s="170" t="s">
        <v>3179</v>
      </c>
      <c r="M149" s="20">
        <v>5401087886</v>
      </c>
      <c r="N149" s="20">
        <v>10</v>
      </c>
      <c r="O149" s="22" t="s">
        <v>2870</v>
      </c>
      <c r="P149" s="22" t="s">
        <v>2870</v>
      </c>
      <c r="Q149" t="s">
        <v>3114</v>
      </c>
      <c r="R149" t="s">
        <v>3133</v>
      </c>
      <c r="S149" s="7">
        <v>21600</v>
      </c>
      <c r="T149" s="7">
        <v>20700</v>
      </c>
      <c r="U149" s="7">
        <v>20700</v>
      </c>
      <c r="V149" s="7"/>
      <c r="W149" s="7"/>
      <c r="X149" s="7">
        <f t="shared" si="16"/>
        <v>0</v>
      </c>
      <c r="Y149" s="5">
        <f t="shared" si="19"/>
        <v>0</v>
      </c>
      <c r="Z149" s="117"/>
      <c r="AA149" s="29">
        <f>SUMPRODUCT((BIdetails!$J$5:$J$3000=M149)*(BIdetails!$K$5:$K$3000=N149)*(BIdetails!$M$5:$M$3000))</f>
        <v>0</v>
      </c>
      <c r="AB149" s="30">
        <f t="shared" si="18"/>
        <v>0</v>
      </c>
      <c r="AC149" s="27"/>
      <c r="AD149" s="27"/>
      <c r="AE149" s="27"/>
      <c r="AF149" s="27"/>
    </row>
    <row r="150" spans="1:32" hidden="1" x14ac:dyDescent="0.25">
      <c r="A150" t="s">
        <v>3094</v>
      </c>
      <c r="B150" t="str">
        <f t="shared" si="15"/>
        <v>No Change</v>
      </c>
      <c r="C150" t="s">
        <v>2263</v>
      </c>
      <c r="D150" t="s">
        <v>3176</v>
      </c>
      <c r="E150">
        <v>68427709</v>
      </c>
      <c r="F150" s="91" t="s">
        <v>36</v>
      </c>
      <c r="G150" t="s">
        <v>37</v>
      </c>
      <c r="H150" t="s">
        <v>33</v>
      </c>
      <c r="J150" t="s">
        <v>2262</v>
      </c>
      <c r="K150">
        <v>120252</v>
      </c>
      <c r="L150" s="170" t="s">
        <v>3179</v>
      </c>
      <c r="M150" s="20">
        <v>5401087886</v>
      </c>
      <c r="N150" s="20">
        <v>10</v>
      </c>
      <c r="O150" s="22" t="s">
        <v>2870</v>
      </c>
      <c r="P150" s="22" t="s">
        <v>2870</v>
      </c>
      <c r="Q150" s="201" t="s">
        <v>3104</v>
      </c>
      <c r="R150" t="s">
        <v>3133</v>
      </c>
      <c r="S150" s="7">
        <v>21600</v>
      </c>
      <c r="T150" s="7">
        <v>20700</v>
      </c>
      <c r="U150" s="7">
        <v>20700</v>
      </c>
      <c r="V150" s="7"/>
      <c r="W150" s="7"/>
      <c r="X150" s="7">
        <f t="shared" si="16"/>
        <v>0</v>
      </c>
      <c r="Y150" s="5">
        <f t="shared" si="19"/>
        <v>0</v>
      </c>
      <c r="Z150" s="117"/>
      <c r="AA150" s="29">
        <f>SUMPRODUCT((BIdetails!$J$5:$J$3000=M150)*(BIdetails!$K$5:$K$3000=N150)*(BIdetails!$M$5:$M$3000))</f>
        <v>0</v>
      </c>
      <c r="AB150" s="30">
        <f t="shared" si="18"/>
        <v>0</v>
      </c>
      <c r="AC150" s="27"/>
      <c r="AD150" s="27"/>
      <c r="AE150" s="27"/>
      <c r="AF150" s="27"/>
    </row>
    <row r="151" spans="1:32" hidden="1" x14ac:dyDescent="0.25">
      <c r="A151" t="s">
        <v>3094</v>
      </c>
      <c r="B151" t="str">
        <f t="shared" si="15"/>
        <v>No Change</v>
      </c>
      <c r="C151" t="s">
        <v>2236</v>
      </c>
      <c r="D151" t="s">
        <v>3176</v>
      </c>
      <c r="E151">
        <v>68427709</v>
      </c>
      <c r="F151" s="91" t="s">
        <v>36</v>
      </c>
      <c r="G151" t="s">
        <v>37</v>
      </c>
      <c r="H151" t="s">
        <v>33</v>
      </c>
      <c r="J151" t="s">
        <v>2235</v>
      </c>
      <c r="K151">
        <v>120252</v>
      </c>
      <c r="L151" s="170" t="s">
        <v>3179</v>
      </c>
      <c r="M151" s="20">
        <v>5401087886</v>
      </c>
      <c r="N151" s="20">
        <v>10</v>
      </c>
      <c r="O151" s="22" t="s">
        <v>2870</v>
      </c>
      <c r="P151" s="22" t="s">
        <v>2870</v>
      </c>
      <c r="Q151" t="s">
        <v>3114</v>
      </c>
      <c r="R151" t="s">
        <v>3133</v>
      </c>
      <c r="S151" s="7">
        <v>21600</v>
      </c>
      <c r="T151" s="7">
        <v>20700</v>
      </c>
      <c r="U151" s="7">
        <v>20700</v>
      </c>
      <c r="V151" s="7"/>
      <c r="W151" s="7"/>
      <c r="X151" s="7">
        <f t="shared" si="16"/>
        <v>0</v>
      </c>
      <c r="Y151" s="5">
        <f t="shared" si="19"/>
        <v>0</v>
      </c>
      <c r="Z151" s="117"/>
      <c r="AA151" s="29">
        <f>SUMPRODUCT((BIdetails!$J$5:$J$3000=M151)*(BIdetails!$K$5:$K$3000=N151)*(BIdetails!$M$5:$M$3000))</f>
        <v>0</v>
      </c>
      <c r="AB151" s="30">
        <f t="shared" si="18"/>
        <v>0</v>
      </c>
      <c r="AC151" s="27"/>
      <c r="AD151" s="27"/>
      <c r="AE151" s="27"/>
      <c r="AF151" s="27"/>
    </row>
    <row r="152" spans="1:32" hidden="1" x14ac:dyDescent="0.25">
      <c r="A152" t="s">
        <v>3106</v>
      </c>
      <c r="B152" t="str">
        <f t="shared" si="15"/>
        <v>Decommissioned</v>
      </c>
      <c r="C152" t="s">
        <v>2293</v>
      </c>
      <c r="D152" t="s">
        <v>3176</v>
      </c>
      <c r="E152">
        <v>68427709</v>
      </c>
      <c r="F152" s="91" t="s">
        <v>36</v>
      </c>
      <c r="G152" t="s">
        <v>37</v>
      </c>
      <c r="H152" t="s">
        <v>33</v>
      </c>
      <c r="J152" t="s">
        <v>2292</v>
      </c>
      <c r="K152">
        <v>120252</v>
      </c>
      <c r="L152" s="170" t="s">
        <v>3179</v>
      </c>
      <c r="O152" t="s">
        <v>2870</v>
      </c>
      <c r="P152" s="92" t="s">
        <v>2870</v>
      </c>
      <c r="Q152" t="s">
        <v>3114</v>
      </c>
      <c r="R152" t="s">
        <v>3133</v>
      </c>
      <c r="S152" s="7">
        <v>10800</v>
      </c>
      <c r="T152" s="7">
        <v>10400</v>
      </c>
      <c r="U152" s="7">
        <v>0</v>
      </c>
      <c r="V152" s="7"/>
      <c r="W152" s="7"/>
      <c r="X152" s="7">
        <f t="shared" si="16"/>
        <v>-10400</v>
      </c>
      <c r="Y152" s="5">
        <f t="shared" si="19"/>
        <v>-1</v>
      </c>
      <c r="Z152" s="117"/>
      <c r="AA152" s="29">
        <f>SUMPRODUCT((BIdetails!$J$5:$J$3000=M152)*(BIdetails!$K$5:$K$3000=N152)*(BIdetails!$M$5:$M$3000))</f>
        <v>0</v>
      </c>
      <c r="AB152" s="30" t="str">
        <f t="shared" si="18"/>
        <v/>
      </c>
      <c r="AC152" s="27"/>
      <c r="AD152" s="27"/>
      <c r="AE152" s="27"/>
      <c r="AF152" s="27"/>
    </row>
    <row r="153" spans="1:32" hidden="1" x14ac:dyDescent="0.25">
      <c r="A153" t="s">
        <v>3106</v>
      </c>
      <c r="B153" t="str">
        <f t="shared" si="15"/>
        <v>Decommissioned</v>
      </c>
      <c r="C153" t="s">
        <v>2246</v>
      </c>
      <c r="D153" t="s">
        <v>3176</v>
      </c>
      <c r="E153">
        <v>68427709</v>
      </c>
      <c r="F153" s="91" t="s">
        <v>36</v>
      </c>
      <c r="G153" t="s">
        <v>37</v>
      </c>
      <c r="H153" t="s">
        <v>33</v>
      </c>
      <c r="J153" t="s">
        <v>2245</v>
      </c>
      <c r="K153">
        <v>120252</v>
      </c>
      <c r="L153" s="170" t="s">
        <v>3179</v>
      </c>
      <c r="O153" s="22" t="s">
        <v>2870</v>
      </c>
      <c r="P153" s="22" t="s">
        <v>2870</v>
      </c>
      <c r="Q153" t="s">
        <v>3114</v>
      </c>
      <c r="R153" t="s">
        <v>3133</v>
      </c>
      <c r="S153" s="7">
        <v>10800</v>
      </c>
      <c r="T153" s="7">
        <v>10400</v>
      </c>
      <c r="U153" s="7">
        <v>0</v>
      </c>
      <c r="V153" s="7"/>
      <c r="W153" s="7"/>
      <c r="X153" s="7">
        <f t="shared" si="16"/>
        <v>-10400</v>
      </c>
      <c r="Y153" s="5">
        <f t="shared" si="19"/>
        <v>-1</v>
      </c>
      <c r="Z153" s="117"/>
      <c r="AA153" s="29">
        <f>SUMPRODUCT((BIdetails!$J$5:$J$3000=M153)*(BIdetails!$K$5:$K$3000=N153)*(BIdetails!$M$5:$M$3000))</f>
        <v>0</v>
      </c>
      <c r="AB153" s="30" t="str">
        <f t="shared" si="18"/>
        <v/>
      </c>
      <c r="AC153" s="27"/>
      <c r="AD153" s="27"/>
      <c r="AE153" s="27"/>
      <c r="AF153" s="27"/>
    </row>
    <row r="154" spans="1:32" hidden="1" x14ac:dyDescent="0.25">
      <c r="A154" t="s">
        <v>3106</v>
      </c>
      <c r="B154" t="str">
        <f t="shared" si="15"/>
        <v>No Change</v>
      </c>
      <c r="C154" t="s">
        <v>2206</v>
      </c>
      <c r="D154" t="s">
        <v>3176</v>
      </c>
      <c r="E154">
        <v>68427709</v>
      </c>
      <c r="F154" s="91" t="s">
        <v>36</v>
      </c>
      <c r="G154" t="s">
        <v>37</v>
      </c>
      <c r="H154" t="s">
        <v>33</v>
      </c>
      <c r="J154" t="s">
        <v>2205</v>
      </c>
      <c r="K154">
        <v>120252</v>
      </c>
      <c r="L154" s="170" t="s">
        <v>3179</v>
      </c>
      <c r="O154" s="22" t="s">
        <v>2870</v>
      </c>
      <c r="P154" s="22" t="s">
        <v>2870</v>
      </c>
      <c r="Q154" t="s">
        <v>3114</v>
      </c>
      <c r="R154" t="s">
        <v>3133</v>
      </c>
      <c r="S154" s="7">
        <v>64800</v>
      </c>
      <c r="T154" s="7">
        <v>0</v>
      </c>
      <c r="U154" s="7">
        <v>0</v>
      </c>
      <c r="V154" s="7"/>
      <c r="W154" s="7"/>
      <c r="X154" s="7">
        <f t="shared" si="16"/>
        <v>0</v>
      </c>
      <c r="Y154" s="5">
        <f t="shared" si="19"/>
        <v>0</v>
      </c>
      <c r="Z154" s="117"/>
      <c r="AA154" s="29">
        <f>SUMPRODUCT((BIdetails!$J$5:$J$3000=M154)*(BIdetails!$K$5:$K$3000=N154)*(BIdetails!$M$5:$M$3000))</f>
        <v>0</v>
      </c>
      <c r="AB154" s="30" t="str">
        <f t="shared" si="18"/>
        <v/>
      </c>
      <c r="AC154" s="27"/>
      <c r="AD154" s="27"/>
      <c r="AE154" s="27"/>
      <c r="AF154" s="27"/>
    </row>
    <row r="155" spans="1:32" hidden="1" x14ac:dyDescent="0.25">
      <c r="A155" t="s">
        <v>3094</v>
      </c>
      <c r="B155" t="str">
        <f t="shared" si="15"/>
        <v>No Change</v>
      </c>
      <c r="C155" t="s">
        <v>2281</v>
      </c>
      <c r="D155" t="s">
        <v>3176</v>
      </c>
      <c r="E155">
        <v>68427709</v>
      </c>
      <c r="F155" s="91" t="s">
        <v>36</v>
      </c>
      <c r="G155" t="s">
        <v>37</v>
      </c>
      <c r="H155" t="s">
        <v>33</v>
      </c>
      <c r="J155" t="s">
        <v>2280</v>
      </c>
      <c r="K155">
        <v>120252</v>
      </c>
      <c r="L155" s="170" t="s">
        <v>3179</v>
      </c>
      <c r="M155" s="20">
        <v>5401087886</v>
      </c>
      <c r="N155" s="20">
        <v>10</v>
      </c>
      <c r="O155" s="22" t="s">
        <v>2870</v>
      </c>
      <c r="P155" s="22" t="s">
        <v>2870</v>
      </c>
      <c r="Q155" s="201" t="s">
        <v>3124</v>
      </c>
      <c r="R155" t="s">
        <v>3133</v>
      </c>
      <c r="S155" s="7">
        <v>32400</v>
      </c>
      <c r="T155" s="7">
        <v>31000</v>
      </c>
      <c r="U155" s="7">
        <v>31000</v>
      </c>
      <c r="V155" s="7"/>
      <c r="W155" s="7"/>
      <c r="X155" s="7">
        <f t="shared" si="16"/>
        <v>0</v>
      </c>
      <c r="Y155" s="5">
        <f t="shared" si="19"/>
        <v>0</v>
      </c>
      <c r="Z155" s="117"/>
      <c r="AA155" s="29">
        <f>SUMPRODUCT((BIdetails!$J$5:$J$3000=M155)*(BIdetails!$K$5:$K$3000=N155)*(BIdetails!$M$5:$M$3000))</f>
        <v>0</v>
      </c>
      <c r="AB155" s="30">
        <f t="shared" si="18"/>
        <v>0</v>
      </c>
      <c r="AC155" s="27"/>
      <c r="AD155" s="27"/>
      <c r="AE155" s="27"/>
      <c r="AF155" s="27"/>
    </row>
    <row r="156" spans="1:32" hidden="1" x14ac:dyDescent="0.25">
      <c r="A156" t="s">
        <v>3094</v>
      </c>
      <c r="B156" t="str">
        <f t="shared" si="15"/>
        <v>No Change</v>
      </c>
      <c r="C156" t="s">
        <v>2251</v>
      </c>
      <c r="D156" t="s">
        <v>3176</v>
      </c>
      <c r="E156">
        <v>68427709</v>
      </c>
      <c r="F156" s="91" t="s">
        <v>36</v>
      </c>
      <c r="G156" t="s">
        <v>37</v>
      </c>
      <c r="H156" t="s">
        <v>33</v>
      </c>
      <c r="J156" t="s">
        <v>2250</v>
      </c>
      <c r="K156">
        <v>120252</v>
      </c>
      <c r="L156" s="170" t="s">
        <v>3179</v>
      </c>
      <c r="M156" s="20">
        <v>5401087886</v>
      </c>
      <c r="N156" s="20">
        <v>10</v>
      </c>
      <c r="O156" s="22" t="s">
        <v>2870</v>
      </c>
      <c r="P156" s="22" t="s">
        <v>2870</v>
      </c>
      <c r="Q156" t="s">
        <v>3114</v>
      </c>
      <c r="R156" t="s">
        <v>3133</v>
      </c>
      <c r="S156" s="7">
        <v>10800</v>
      </c>
      <c r="T156" s="7">
        <v>10400</v>
      </c>
      <c r="U156" s="7">
        <v>10400</v>
      </c>
      <c r="V156" s="7"/>
      <c r="W156" s="7"/>
      <c r="X156" s="7">
        <f t="shared" si="16"/>
        <v>0</v>
      </c>
      <c r="Y156" s="5">
        <f t="shared" si="19"/>
        <v>0</v>
      </c>
      <c r="Z156" s="117"/>
      <c r="AA156" s="29">
        <f>SUMPRODUCT((BIdetails!$J$5:$J$3000=M156)*(BIdetails!$K$5:$K$3000=N156)*(BIdetails!$M$5:$M$3000))</f>
        <v>0</v>
      </c>
      <c r="AB156" s="30">
        <f t="shared" si="18"/>
        <v>0</v>
      </c>
      <c r="AC156" s="27"/>
      <c r="AD156" s="27"/>
      <c r="AE156" s="27"/>
      <c r="AF156" s="27"/>
    </row>
    <row r="157" spans="1:32" hidden="1" x14ac:dyDescent="0.25">
      <c r="A157" t="s">
        <v>3094</v>
      </c>
      <c r="B157" t="str">
        <f t="shared" si="15"/>
        <v>No Change</v>
      </c>
      <c r="C157" t="s">
        <v>3057</v>
      </c>
      <c r="D157" t="s">
        <v>3176</v>
      </c>
      <c r="E157">
        <v>68427709</v>
      </c>
      <c r="F157" s="91" t="s">
        <v>36</v>
      </c>
      <c r="G157" t="s">
        <v>37</v>
      </c>
      <c r="H157" t="s">
        <v>33</v>
      </c>
      <c r="J157" t="s">
        <v>2223</v>
      </c>
      <c r="K157">
        <v>120252</v>
      </c>
      <c r="L157" s="170" t="s">
        <v>3179</v>
      </c>
      <c r="M157" s="20">
        <v>5401087886</v>
      </c>
      <c r="N157" s="20">
        <v>10</v>
      </c>
      <c r="O157" s="22" t="s">
        <v>2870</v>
      </c>
      <c r="P157" s="22" t="s">
        <v>2870</v>
      </c>
      <c r="Q157" t="s">
        <v>3114</v>
      </c>
      <c r="R157" t="s">
        <v>3133</v>
      </c>
      <c r="S157" s="7">
        <v>10800</v>
      </c>
      <c r="T157" s="7">
        <v>10400</v>
      </c>
      <c r="U157" s="7">
        <v>10400</v>
      </c>
      <c r="V157" s="7"/>
      <c r="W157" s="7"/>
      <c r="X157" s="7">
        <f t="shared" si="16"/>
        <v>0</v>
      </c>
      <c r="Y157" s="5">
        <f t="shared" si="19"/>
        <v>0</v>
      </c>
      <c r="Z157" s="117"/>
      <c r="AA157" s="29">
        <f>SUMPRODUCT((BIdetails!$J$5:$J$3000=M157)*(BIdetails!$K$5:$K$3000=N157)*(BIdetails!$M$5:$M$3000))</f>
        <v>0</v>
      </c>
      <c r="AB157" s="30">
        <f t="shared" si="18"/>
        <v>0</v>
      </c>
      <c r="AC157" s="27"/>
      <c r="AD157" s="27"/>
      <c r="AE157" s="27"/>
      <c r="AF157" s="27"/>
    </row>
    <row r="158" spans="1:32" hidden="1" x14ac:dyDescent="0.25">
      <c r="A158" t="s">
        <v>3094</v>
      </c>
      <c r="B158" t="str">
        <f t="shared" si="15"/>
        <v>No Change</v>
      </c>
      <c r="C158" t="s">
        <v>2285</v>
      </c>
      <c r="D158" t="s">
        <v>3176</v>
      </c>
      <c r="E158">
        <v>68427709</v>
      </c>
      <c r="F158" s="91" t="s">
        <v>36</v>
      </c>
      <c r="G158" t="s">
        <v>37</v>
      </c>
      <c r="H158" t="s">
        <v>33</v>
      </c>
      <c r="J158" t="s">
        <v>2284</v>
      </c>
      <c r="K158">
        <v>120252</v>
      </c>
      <c r="L158" s="170" t="s">
        <v>3179</v>
      </c>
      <c r="M158" s="20">
        <v>5401087886</v>
      </c>
      <c r="N158" s="20">
        <v>10</v>
      </c>
      <c r="O158" s="22" t="s">
        <v>2870</v>
      </c>
      <c r="P158" s="22" t="s">
        <v>2870</v>
      </c>
      <c r="Q158" t="s">
        <v>3114</v>
      </c>
      <c r="R158" t="s">
        <v>3133</v>
      </c>
      <c r="S158" s="7">
        <v>10800</v>
      </c>
      <c r="T158" s="7">
        <v>10400</v>
      </c>
      <c r="U158" s="7">
        <v>10400</v>
      </c>
      <c r="V158" s="7"/>
      <c r="W158" s="7"/>
      <c r="X158" s="7">
        <f t="shared" si="16"/>
        <v>0</v>
      </c>
      <c r="Y158" s="5">
        <f t="shared" si="19"/>
        <v>0</v>
      </c>
      <c r="Z158" s="117"/>
      <c r="AA158" s="29">
        <f>SUMPRODUCT((BIdetails!$J$5:$J$3000=M158)*(BIdetails!$K$5:$K$3000=N158)*(BIdetails!$M$5:$M$3000))</f>
        <v>0</v>
      </c>
      <c r="AB158" s="30">
        <f t="shared" si="18"/>
        <v>0</v>
      </c>
      <c r="AC158" s="27"/>
      <c r="AD158" s="27"/>
      <c r="AE158" s="27"/>
      <c r="AF158" s="27"/>
    </row>
    <row r="159" spans="1:32" hidden="1" x14ac:dyDescent="0.25">
      <c r="A159" t="s">
        <v>3094</v>
      </c>
      <c r="B159" t="str">
        <f t="shared" si="15"/>
        <v>No Change</v>
      </c>
      <c r="C159" t="s">
        <v>2218</v>
      </c>
      <c r="D159" t="s">
        <v>3176</v>
      </c>
      <c r="E159">
        <v>68427709</v>
      </c>
      <c r="F159" s="91" t="s">
        <v>36</v>
      </c>
      <c r="G159" t="s">
        <v>37</v>
      </c>
      <c r="H159" t="s">
        <v>33</v>
      </c>
      <c r="J159" t="s">
        <v>2217</v>
      </c>
      <c r="K159">
        <v>120252</v>
      </c>
      <c r="L159" s="170" t="s">
        <v>3179</v>
      </c>
      <c r="M159" s="20">
        <v>5401087886</v>
      </c>
      <c r="N159" s="20">
        <v>10</v>
      </c>
      <c r="O159" s="22" t="s">
        <v>2870</v>
      </c>
      <c r="P159" s="22" t="s">
        <v>2870</v>
      </c>
      <c r="Q159" t="s">
        <v>3114</v>
      </c>
      <c r="R159" t="s">
        <v>3133</v>
      </c>
      <c r="S159" s="7">
        <v>10800</v>
      </c>
      <c r="T159" s="7">
        <v>10400</v>
      </c>
      <c r="U159" s="7">
        <v>10400</v>
      </c>
      <c r="V159" s="7"/>
      <c r="W159" s="7"/>
      <c r="X159" s="7">
        <f t="shared" si="16"/>
        <v>0</v>
      </c>
      <c r="Y159" s="5">
        <f t="shared" si="19"/>
        <v>0</v>
      </c>
      <c r="Z159" s="117"/>
      <c r="AA159" s="29">
        <f>SUMPRODUCT((BIdetails!$J$5:$J$3000=M159)*(BIdetails!$K$5:$K$3000=N159)*(BIdetails!$M$5:$M$3000))</f>
        <v>0</v>
      </c>
      <c r="AB159" s="30">
        <f t="shared" si="18"/>
        <v>0</v>
      </c>
      <c r="AC159" s="27"/>
      <c r="AD159" s="27"/>
      <c r="AE159" s="27"/>
      <c r="AF159" s="27"/>
    </row>
    <row r="160" spans="1:32" hidden="1" x14ac:dyDescent="0.25">
      <c r="A160" t="s">
        <v>3106</v>
      </c>
      <c r="B160" t="str">
        <f t="shared" si="15"/>
        <v>Decommissioned</v>
      </c>
      <c r="C160" t="s">
        <v>2222</v>
      </c>
      <c r="D160" t="s">
        <v>3176</v>
      </c>
      <c r="E160">
        <v>68427709</v>
      </c>
      <c r="F160" s="91" t="s">
        <v>36</v>
      </c>
      <c r="G160" t="s">
        <v>37</v>
      </c>
      <c r="H160" t="s">
        <v>33</v>
      </c>
      <c r="J160" t="s">
        <v>2221</v>
      </c>
      <c r="K160">
        <v>120252</v>
      </c>
      <c r="L160" s="170" t="s">
        <v>3179</v>
      </c>
      <c r="O160" s="22" t="s">
        <v>2870</v>
      </c>
      <c r="P160" s="22" t="s">
        <v>2870</v>
      </c>
      <c r="Q160" t="s">
        <v>3114</v>
      </c>
      <c r="R160" t="s">
        <v>3133</v>
      </c>
      <c r="S160" s="7">
        <v>32400</v>
      </c>
      <c r="T160" s="7">
        <v>31000</v>
      </c>
      <c r="U160" s="7">
        <v>0</v>
      </c>
      <c r="V160" s="7"/>
      <c r="W160" s="7"/>
      <c r="X160" s="7">
        <f t="shared" si="16"/>
        <v>-31000</v>
      </c>
      <c r="Y160" s="5">
        <f t="shared" si="19"/>
        <v>-1</v>
      </c>
      <c r="Z160" s="117"/>
      <c r="AA160" s="29">
        <f>SUMPRODUCT((BIdetails!$J$5:$J$3000=M160)*(BIdetails!$K$5:$K$3000=N160)*(BIdetails!$M$5:$M$3000))</f>
        <v>0</v>
      </c>
      <c r="AB160" s="30" t="str">
        <f t="shared" si="18"/>
        <v/>
      </c>
      <c r="AC160" s="27"/>
      <c r="AD160" s="27"/>
      <c r="AE160" s="27"/>
      <c r="AF160" s="27"/>
    </row>
    <row r="161" spans="1:32" hidden="1" x14ac:dyDescent="0.25">
      <c r="A161" t="s">
        <v>3094</v>
      </c>
      <c r="B161" t="str">
        <f t="shared" si="15"/>
        <v>No Change</v>
      </c>
      <c r="C161" t="s">
        <v>2220</v>
      </c>
      <c r="D161" t="s">
        <v>3176</v>
      </c>
      <c r="E161">
        <v>68427709</v>
      </c>
      <c r="F161" s="91" t="s">
        <v>36</v>
      </c>
      <c r="G161" t="s">
        <v>37</v>
      </c>
      <c r="H161" t="s">
        <v>33</v>
      </c>
      <c r="J161" t="s">
        <v>2219</v>
      </c>
      <c r="K161">
        <v>120252</v>
      </c>
      <c r="L161" s="170" t="s">
        <v>3179</v>
      </c>
      <c r="M161" s="20">
        <v>5401087886</v>
      </c>
      <c r="N161" s="20">
        <v>10</v>
      </c>
      <c r="O161" s="22" t="s">
        <v>2870</v>
      </c>
      <c r="P161" s="22" t="s">
        <v>2870</v>
      </c>
      <c r="Q161" t="s">
        <v>3114</v>
      </c>
      <c r="R161" t="s">
        <v>3133</v>
      </c>
      <c r="S161" s="7">
        <v>21600</v>
      </c>
      <c r="T161" s="7">
        <v>20700</v>
      </c>
      <c r="U161" s="7">
        <v>20700</v>
      </c>
      <c r="V161" s="7"/>
      <c r="W161" s="7"/>
      <c r="X161" s="7">
        <f t="shared" si="16"/>
        <v>0</v>
      </c>
      <c r="Y161" s="5">
        <f t="shared" si="19"/>
        <v>0</v>
      </c>
      <c r="Z161" s="117"/>
      <c r="AA161" s="29">
        <f>SUMPRODUCT((BIdetails!$J$5:$J$3000=M161)*(BIdetails!$K$5:$K$3000=N161)*(BIdetails!$M$5:$M$3000))</f>
        <v>0</v>
      </c>
      <c r="AB161" s="30">
        <f t="shared" si="18"/>
        <v>0</v>
      </c>
      <c r="AC161" s="27"/>
      <c r="AD161" s="27"/>
      <c r="AE161" s="27"/>
      <c r="AF161" s="27"/>
    </row>
    <row r="162" spans="1:32" hidden="1" x14ac:dyDescent="0.25">
      <c r="A162" t="s">
        <v>3094</v>
      </c>
      <c r="B162" t="str">
        <f t="shared" si="15"/>
        <v>No Change</v>
      </c>
      <c r="C162" t="s">
        <v>2216</v>
      </c>
      <c r="D162" t="s">
        <v>3176</v>
      </c>
      <c r="E162">
        <v>68427709</v>
      </c>
      <c r="F162" s="91" t="s">
        <v>36</v>
      </c>
      <c r="G162" t="s">
        <v>37</v>
      </c>
      <c r="H162" t="s">
        <v>33</v>
      </c>
      <c r="J162" t="s">
        <v>2215</v>
      </c>
      <c r="K162">
        <v>120252</v>
      </c>
      <c r="L162" s="170" t="s">
        <v>3179</v>
      </c>
      <c r="M162" s="20">
        <v>5401087886</v>
      </c>
      <c r="N162" s="20">
        <v>10</v>
      </c>
      <c r="O162" s="22" t="s">
        <v>2870</v>
      </c>
      <c r="P162" s="22" t="s">
        <v>2870</v>
      </c>
      <c r="Q162" s="201" t="s">
        <v>3124</v>
      </c>
      <c r="R162" t="s">
        <v>3133</v>
      </c>
      <c r="S162" s="7">
        <v>64800</v>
      </c>
      <c r="T162" s="7">
        <v>62000</v>
      </c>
      <c r="U162" s="7">
        <v>62000</v>
      </c>
      <c r="V162" s="7"/>
      <c r="W162" s="7"/>
      <c r="X162" s="7">
        <f t="shared" si="16"/>
        <v>0</v>
      </c>
      <c r="Y162" s="5">
        <f t="shared" si="19"/>
        <v>0</v>
      </c>
      <c r="Z162" s="117"/>
      <c r="AA162" s="29">
        <f>SUMPRODUCT((BIdetails!$J$5:$J$3000=M162)*(BIdetails!$K$5:$K$3000=N162)*(BIdetails!$M$5:$M$3000))</f>
        <v>0</v>
      </c>
      <c r="AB162" s="30">
        <f t="shared" si="18"/>
        <v>0</v>
      </c>
      <c r="AC162" s="27"/>
      <c r="AD162" s="27"/>
      <c r="AE162" s="27"/>
      <c r="AF162" s="27"/>
    </row>
    <row r="163" spans="1:32" hidden="1" x14ac:dyDescent="0.25">
      <c r="A163" t="s">
        <v>3094</v>
      </c>
      <c r="B163" t="str">
        <f t="shared" si="15"/>
        <v>No Change</v>
      </c>
      <c r="C163" t="s">
        <v>2279</v>
      </c>
      <c r="D163" t="s">
        <v>3176</v>
      </c>
      <c r="E163">
        <v>68427709</v>
      </c>
      <c r="F163" s="91" t="s">
        <v>36</v>
      </c>
      <c r="G163" t="s">
        <v>37</v>
      </c>
      <c r="H163" t="s">
        <v>33</v>
      </c>
      <c r="J163" t="s">
        <v>2278</v>
      </c>
      <c r="K163">
        <v>120252</v>
      </c>
      <c r="L163" s="170" t="s">
        <v>3179</v>
      </c>
      <c r="M163" s="20">
        <v>5401087886</v>
      </c>
      <c r="N163" s="20">
        <v>10</v>
      </c>
      <c r="O163" s="22" t="s">
        <v>2870</v>
      </c>
      <c r="P163" s="22" t="s">
        <v>2870</v>
      </c>
      <c r="Q163" t="s">
        <v>3114</v>
      </c>
      <c r="R163" t="s">
        <v>3133</v>
      </c>
      <c r="S163" s="7">
        <v>10800</v>
      </c>
      <c r="T163" s="7">
        <v>10400</v>
      </c>
      <c r="U163" s="7">
        <v>10400</v>
      </c>
      <c r="V163" s="7"/>
      <c r="W163" s="7"/>
      <c r="X163" s="7">
        <f t="shared" si="16"/>
        <v>0</v>
      </c>
      <c r="Y163" s="5">
        <f t="shared" si="19"/>
        <v>0</v>
      </c>
      <c r="Z163" s="117"/>
      <c r="AA163" s="29">
        <f>SUMPRODUCT((BIdetails!$J$5:$J$3000=M163)*(BIdetails!$K$5:$K$3000=N163)*(BIdetails!$M$5:$M$3000))</f>
        <v>0</v>
      </c>
      <c r="AB163" s="30">
        <f t="shared" si="18"/>
        <v>0</v>
      </c>
      <c r="AC163" s="27"/>
      <c r="AD163" s="27"/>
      <c r="AE163" s="27"/>
      <c r="AF163" s="27"/>
    </row>
    <row r="164" spans="1:32" hidden="1" x14ac:dyDescent="0.25">
      <c r="A164" t="s">
        <v>3094</v>
      </c>
      <c r="B164" t="str">
        <f t="shared" si="15"/>
        <v>No Change</v>
      </c>
      <c r="C164" t="s">
        <v>2261</v>
      </c>
      <c r="D164" t="s">
        <v>3176</v>
      </c>
      <c r="E164">
        <v>68427709</v>
      </c>
      <c r="F164" s="91" t="s">
        <v>36</v>
      </c>
      <c r="G164" t="s">
        <v>37</v>
      </c>
      <c r="H164" t="s">
        <v>33</v>
      </c>
      <c r="J164" t="s">
        <v>2260</v>
      </c>
      <c r="K164">
        <v>120252</v>
      </c>
      <c r="L164" s="170" t="s">
        <v>3179</v>
      </c>
      <c r="M164" s="20">
        <v>5401087886</v>
      </c>
      <c r="N164" s="20">
        <v>10</v>
      </c>
      <c r="O164" s="22" t="s">
        <v>2870</v>
      </c>
      <c r="P164" s="22" t="s">
        <v>2870</v>
      </c>
      <c r="Q164" t="s">
        <v>3114</v>
      </c>
      <c r="R164" t="s">
        <v>3133</v>
      </c>
      <c r="S164" s="7">
        <v>32400</v>
      </c>
      <c r="T164" s="7">
        <v>31000</v>
      </c>
      <c r="U164" s="7">
        <v>31000</v>
      </c>
      <c r="V164" s="7"/>
      <c r="W164" s="7"/>
      <c r="X164" s="7">
        <f t="shared" si="16"/>
        <v>0</v>
      </c>
      <c r="Y164" s="5">
        <f t="shared" si="19"/>
        <v>0</v>
      </c>
      <c r="Z164" s="117"/>
      <c r="AA164" s="29">
        <f>SUMPRODUCT((BIdetails!$J$5:$J$3000=M164)*(BIdetails!$K$5:$K$3000=N164)*(BIdetails!$M$5:$M$3000))</f>
        <v>0</v>
      </c>
      <c r="AB164" s="30">
        <f t="shared" si="18"/>
        <v>0</v>
      </c>
      <c r="AC164" s="27"/>
      <c r="AD164" s="27"/>
      <c r="AE164" s="27"/>
      <c r="AF164" s="27"/>
    </row>
    <row r="165" spans="1:32" hidden="1" x14ac:dyDescent="0.25">
      <c r="A165" t="s">
        <v>3094</v>
      </c>
      <c r="B165" t="str">
        <f t="shared" si="15"/>
        <v>No Change</v>
      </c>
      <c r="C165" t="s">
        <v>2228</v>
      </c>
      <c r="D165" t="s">
        <v>3176</v>
      </c>
      <c r="E165">
        <v>68427709</v>
      </c>
      <c r="F165" s="91" t="s">
        <v>36</v>
      </c>
      <c r="G165" t="s">
        <v>37</v>
      </c>
      <c r="H165" t="s">
        <v>33</v>
      </c>
      <c r="J165" t="s">
        <v>2227</v>
      </c>
      <c r="K165">
        <v>120252</v>
      </c>
      <c r="L165" s="170" t="s">
        <v>3179</v>
      </c>
      <c r="M165" s="20">
        <v>5401087886</v>
      </c>
      <c r="N165" s="20">
        <v>10</v>
      </c>
      <c r="O165" s="22" t="s">
        <v>2870</v>
      </c>
      <c r="P165" s="22" t="s">
        <v>2870</v>
      </c>
      <c r="Q165" t="s">
        <v>3114</v>
      </c>
      <c r="R165" t="s">
        <v>3133</v>
      </c>
      <c r="S165" s="7">
        <v>21600</v>
      </c>
      <c r="T165" s="7">
        <v>20700</v>
      </c>
      <c r="U165" s="7">
        <v>20700</v>
      </c>
      <c r="V165" s="7"/>
      <c r="W165" s="7"/>
      <c r="X165" s="7">
        <f t="shared" si="16"/>
        <v>0</v>
      </c>
      <c r="Y165" s="5">
        <f t="shared" si="19"/>
        <v>0</v>
      </c>
      <c r="Z165" s="117"/>
      <c r="AA165" s="29">
        <f>SUMPRODUCT((BIdetails!$J$5:$J$3000=M165)*(BIdetails!$K$5:$K$3000=N165)*(BIdetails!$M$5:$M$3000))</f>
        <v>0</v>
      </c>
      <c r="AB165" s="30">
        <f t="shared" si="18"/>
        <v>0</v>
      </c>
      <c r="AC165" s="27"/>
      <c r="AD165" s="27"/>
      <c r="AE165" s="27"/>
      <c r="AF165" s="27"/>
    </row>
    <row r="166" spans="1:32" hidden="1" x14ac:dyDescent="0.25">
      <c r="A166" t="s">
        <v>3094</v>
      </c>
      <c r="B166" t="str">
        <f t="shared" si="15"/>
        <v>No Change</v>
      </c>
      <c r="C166" t="s">
        <v>2269</v>
      </c>
      <c r="D166" t="s">
        <v>3176</v>
      </c>
      <c r="E166">
        <v>68427709</v>
      </c>
      <c r="F166" s="91" t="s">
        <v>36</v>
      </c>
      <c r="G166" t="s">
        <v>37</v>
      </c>
      <c r="H166" t="s">
        <v>33</v>
      </c>
      <c r="J166" t="s">
        <v>2268</v>
      </c>
      <c r="K166">
        <v>120252</v>
      </c>
      <c r="L166" s="170" t="s">
        <v>3179</v>
      </c>
      <c r="M166" s="20">
        <v>5401087886</v>
      </c>
      <c r="N166" s="20">
        <v>10</v>
      </c>
      <c r="O166" s="22" t="s">
        <v>2870</v>
      </c>
      <c r="P166" s="22" t="s">
        <v>2870</v>
      </c>
      <c r="Q166" t="s">
        <v>3114</v>
      </c>
      <c r="R166" t="s">
        <v>3133</v>
      </c>
      <c r="S166" s="7">
        <v>10800</v>
      </c>
      <c r="T166" s="7">
        <v>10400</v>
      </c>
      <c r="U166" s="7">
        <v>10400</v>
      </c>
      <c r="V166" s="7"/>
      <c r="W166" s="7"/>
      <c r="X166" s="7">
        <f t="shared" si="16"/>
        <v>0</v>
      </c>
      <c r="Y166" s="5">
        <f t="shared" si="19"/>
        <v>0</v>
      </c>
      <c r="Z166" s="75"/>
      <c r="AA166" s="29">
        <f>SUMPRODUCT((BIdetails!$J$5:$J$3000=M166)*(BIdetails!$K$5:$K$3000=N166)*(BIdetails!$M$5:$M$3000))</f>
        <v>0</v>
      </c>
      <c r="AB166" s="30">
        <f t="shared" si="18"/>
        <v>0</v>
      </c>
      <c r="AC166" s="27"/>
      <c r="AD166" s="27"/>
      <c r="AE166" s="27"/>
      <c r="AF166" s="27"/>
    </row>
    <row r="167" spans="1:32" hidden="1" x14ac:dyDescent="0.25">
      <c r="A167" t="s">
        <v>3094</v>
      </c>
      <c r="B167" t="str">
        <f t="shared" si="15"/>
        <v>No Change</v>
      </c>
      <c r="C167" t="s">
        <v>2271</v>
      </c>
      <c r="D167" t="s">
        <v>3176</v>
      </c>
      <c r="E167">
        <v>68427709</v>
      </c>
      <c r="F167" s="91" t="s">
        <v>36</v>
      </c>
      <c r="G167" t="s">
        <v>37</v>
      </c>
      <c r="H167" t="s">
        <v>33</v>
      </c>
      <c r="J167" t="s">
        <v>2270</v>
      </c>
      <c r="K167">
        <v>120252</v>
      </c>
      <c r="L167" s="170" t="s">
        <v>3179</v>
      </c>
      <c r="M167" s="20">
        <v>5401087886</v>
      </c>
      <c r="N167" s="20">
        <v>10</v>
      </c>
      <c r="O167" s="22" t="s">
        <v>2870</v>
      </c>
      <c r="P167" s="22" t="s">
        <v>2870</v>
      </c>
      <c r="Q167" t="s">
        <v>3114</v>
      </c>
      <c r="R167" t="s">
        <v>3133</v>
      </c>
      <c r="S167" s="7">
        <v>43200</v>
      </c>
      <c r="T167" s="7">
        <v>41400</v>
      </c>
      <c r="U167" s="7">
        <v>41400</v>
      </c>
      <c r="V167" s="7"/>
      <c r="W167" s="7"/>
      <c r="X167" s="7">
        <f t="shared" si="16"/>
        <v>0</v>
      </c>
      <c r="Y167" s="5">
        <f t="shared" si="19"/>
        <v>0</v>
      </c>
      <c r="Z167" s="117"/>
      <c r="AA167" s="29">
        <f>SUMPRODUCT((BIdetails!$J$5:$J$3000=M167)*(BIdetails!$K$5:$K$3000=N167)*(BIdetails!$M$5:$M$3000))</f>
        <v>0</v>
      </c>
      <c r="AB167" s="30">
        <f t="shared" si="18"/>
        <v>0</v>
      </c>
      <c r="AC167" s="27"/>
      <c r="AD167" s="27"/>
      <c r="AE167" s="27"/>
      <c r="AF167" s="27"/>
    </row>
    <row r="168" spans="1:32" hidden="1" x14ac:dyDescent="0.25">
      <c r="A168" t="s">
        <v>3094</v>
      </c>
      <c r="B168" t="str">
        <f t="shared" si="15"/>
        <v>No Change</v>
      </c>
      <c r="C168" t="s">
        <v>2230</v>
      </c>
      <c r="D168" t="s">
        <v>3176</v>
      </c>
      <c r="E168">
        <v>68427709</v>
      </c>
      <c r="F168" s="91" t="s">
        <v>36</v>
      </c>
      <c r="G168" t="s">
        <v>37</v>
      </c>
      <c r="H168" t="s">
        <v>33</v>
      </c>
      <c r="J168" t="s">
        <v>2229</v>
      </c>
      <c r="K168">
        <v>120252</v>
      </c>
      <c r="L168" s="170" t="s">
        <v>3179</v>
      </c>
      <c r="M168" s="20">
        <v>5401087886</v>
      </c>
      <c r="N168" s="20">
        <v>10</v>
      </c>
      <c r="O168" s="22" t="s">
        <v>2870</v>
      </c>
      <c r="P168" s="22" t="s">
        <v>2870</v>
      </c>
      <c r="Q168" t="s">
        <v>3114</v>
      </c>
      <c r="R168" t="s">
        <v>3133</v>
      </c>
      <c r="S168" s="7">
        <v>21600</v>
      </c>
      <c r="T168" s="7">
        <v>20700</v>
      </c>
      <c r="U168" s="7">
        <v>20700</v>
      </c>
      <c r="V168" s="7"/>
      <c r="W168" s="7"/>
      <c r="X168" s="7">
        <f t="shared" si="16"/>
        <v>0</v>
      </c>
      <c r="Y168" s="5">
        <f t="shared" si="19"/>
        <v>0</v>
      </c>
      <c r="Z168" s="117"/>
      <c r="AA168" s="29">
        <f>SUMPRODUCT((BIdetails!$J$5:$J$3000=M168)*(BIdetails!$K$5:$K$3000=N168)*(BIdetails!$M$5:$M$3000))</f>
        <v>0</v>
      </c>
      <c r="AB168" s="30">
        <f t="shared" si="18"/>
        <v>0</v>
      </c>
      <c r="AC168" s="27"/>
      <c r="AD168" s="27"/>
      <c r="AE168" s="27"/>
      <c r="AF168" s="27"/>
    </row>
    <row r="169" spans="1:32" hidden="1" x14ac:dyDescent="0.25">
      <c r="A169" t="s">
        <v>3106</v>
      </c>
      <c r="B169" t="str">
        <f t="shared" si="15"/>
        <v>No Change</v>
      </c>
      <c r="C169" t="s">
        <v>2214</v>
      </c>
      <c r="D169" t="s">
        <v>3176</v>
      </c>
      <c r="E169">
        <v>68427709</v>
      </c>
      <c r="F169" s="91" t="s">
        <v>36</v>
      </c>
      <c r="G169" t="s">
        <v>37</v>
      </c>
      <c r="H169" t="s">
        <v>33</v>
      </c>
      <c r="J169" t="s">
        <v>2213</v>
      </c>
      <c r="K169">
        <v>120252</v>
      </c>
      <c r="L169" s="170" t="s">
        <v>3179</v>
      </c>
      <c r="O169" s="22" t="s">
        <v>2870</v>
      </c>
      <c r="P169" s="22" t="s">
        <v>2870</v>
      </c>
      <c r="Q169" t="s">
        <v>3114</v>
      </c>
      <c r="R169" t="s">
        <v>3133</v>
      </c>
      <c r="S169" s="7">
        <v>75600</v>
      </c>
      <c r="T169" s="7">
        <v>0</v>
      </c>
      <c r="U169" s="7">
        <v>0</v>
      </c>
      <c r="V169" s="7"/>
      <c r="W169" s="7"/>
      <c r="X169" s="7">
        <f t="shared" si="16"/>
        <v>0</v>
      </c>
      <c r="Y169" s="5">
        <f t="shared" si="19"/>
        <v>0</v>
      </c>
      <c r="Z169" s="117"/>
      <c r="AA169" s="29">
        <f>SUMPRODUCT((BIdetails!$J$5:$J$3000=M169)*(BIdetails!$K$5:$K$3000=N169)*(BIdetails!$M$5:$M$3000))</f>
        <v>0</v>
      </c>
      <c r="AB169" s="30" t="str">
        <f t="shared" si="18"/>
        <v/>
      </c>
      <c r="AC169" s="27"/>
      <c r="AD169" s="27"/>
      <c r="AE169" s="27"/>
      <c r="AF169" s="27"/>
    </row>
    <row r="170" spans="1:32" hidden="1" x14ac:dyDescent="0.25">
      <c r="A170" t="s">
        <v>3094</v>
      </c>
      <c r="B170" t="str">
        <f t="shared" si="15"/>
        <v>No Change</v>
      </c>
      <c r="C170" t="s">
        <v>2259</v>
      </c>
      <c r="D170" t="s">
        <v>3176</v>
      </c>
      <c r="E170">
        <v>68427709</v>
      </c>
      <c r="F170" s="91" t="s">
        <v>36</v>
      </c>
      <c r="G170" t="s">
        <v>37</v>
      </c>
      <c r="H170" t="s">
        <v>33</v>
      </c>
      <c r="J170" t="s">
        <v>2258</v>
      </c>
      <c r="K170">
        <v>120252</v>
      </c>
      <c r="L170" s="170" t="s">
        <v>3179</v>
      </c>
      <c r="M170" s="20">
        <v>5401087886</v>
      </c>
      <c r="N170" s="20">
        <v>10</v>
      </c>
      <c r="O170" s="22" t="s">
        <v>2870</v>
      </c>
      <c r="P170" s="22" t="s">
        <v>2870</v>
      </c>
      <c r="Q170" t="s">
        <v>3114</v>
      </c>
      <c r="R170" t="s">
        <v>3133</v>
      </c>
      <c r="S170" s="7">
        <v>10800</v>
      </c>
      <c r="T170" s="7">
        <v>10400</v>
      </c>
      <c r="U170" s="7">
        <v>10400</v>
      </c>
      <c r="V170" s="7"/>
      <c r="W170" s="7"/>
      <c r="X170" s="7">
        <f t="shared" si="16"/>
        <v>0</v>
      </c>
      <c r="Y170" s="5">
        <f t="shared" si="19"/>
        <v>0</v>
      </c>
      <c r="Z170" s="117"/>
      <c r="AA170" s="29">
        <f>SUMPRODUCT((BIdetails!$J$5:$J$3000=M170)*(BIdetails!$K$5:$K$3000=N170)*(BIdetails!$M$5:$M$3000))</f>
        <v>0</v>
      </c>
      <c r="AB170" s="30">
        <f t="shared" si="18"/>
        <v>0</v>
      </c>
      <c r="AC170" s="27"/>
      <c r="AD170" s="27"/>
      <c r="AE170" s="27"/>
      <c r="AF170" s="27"/>
    </row>
    <row r="171" spans="1:32" hidden="1" x14ac:dyDescent="0.25">
      <c r="A171" t="s">
        <v>3094</v>
      </c>
      <c r="B171" t="str">
        <f t="shared" si="15"/>
        <v>No Change</v>
      </c>
      <c r="C171" t="s">
        <v>2267</v>
      </c>
      <c r="D171" t="s">
        <v>3176</v>
      </c>
      <c r="E171">
        <v>68427709</v>
      </c>
      <c r="F171" s="91" t="s">
        <v>36</v>
      </c>
      <c r="G171" t="s">
        <v>37</v>
      </c>
      <c r="H171" t="s">
        <v>33</v>
      </c>
      <c r="J171" t="s">
        <v>2266</v>
      </c>
      <c r="K171">
        <v>120252</v>
      </c>
      <c r="L171" s="170" t="s">
        <v>3179</v>
      </c>
      <c r="M171" s="20">
        <v>5401087886</v>
      </c>
      <c r="N171" s="20">
        <v>10</v>
      </c>
      <c r="O171" s="22" t="s">
        <v>2870</v>
      </c>
      <c r="P171" s="22" t="s">
        <v>2870</v>
      </c>
      <c r="Q171" s="22" t="s">
        <v>3104</v>
      </c>
      <c r="R171" t="s">
        <v>3133</v>
      </c>
      <c r="S171" s="7">
        <v>10800</v>
      </c>
      <c r="T171" s="7">
        <v>10400</v>
      </c>
      <c r="U171" s="7">
        <v>10400</v>
      </c>
      <c r="V171" s="7"/>
      <c r="W171" s="7"/>
      <c r="X171" s="7">
        <f t="shared" si="16"/>
        <v>0</v>
      </c>
      <c r="Y171" s="5">
        <f t="shared" si="19"/>
        <v>0</v>
      </c>
      <c r="Z171" s="21"/>
      <c r="AA171" s="29">
        <f>SUMPRODUCT((BIdetails!$J$5:$J$3000=M171)*(BIdetails!$K$5:$K$3000=N171)*(BIdetails!$M$5:$M$3000))</f>
        <v>0</v>
      </c>
      <c r="AB171" s="30">
        <f t="shared" si="18"/>
        <v>0</v>
      </c>
      <c r="AC171" s="27"/>
      <c r="AD171" s="27"/>
      <c r="AE171" s="27"/>
      <c r="AF171" s="27"/>
    </row>
    <row r="172" spans="1:32" hidden="1" x14ac:dyDescent="0.25">
      <c r="A172" t="s">
        <v>3094</v>
      </c>
      <c r="B172" t="str">
        <f t="shared" si="15"/>
        <v>No Change</v>
      </c>
      <c r="C172" t="s">
        <v>2232</v>
      </c>
      <c r="D172" t="s">
        <v>3176</v>
      </c>
      <c r="E172">
        <v>68427709</v>
      </c>
      <c r="F172" s="91" t="s">
        <v>36</v>
      </c>
      <c r="G172" t="s">
        <v>37</v>
      </c>
      <c r="H172" t="s">
        <v>33</v>
      </c>
      <c r="J172" t="s">
        <v>2231</v>
      </c>
      <c r="K172">
        <v>120252</v>
      </c>
      <c r="L172" s="170" t="s">
        <v>3179</v>
      </c>
      <c r="M172" s="20">
        <v>5401087886</v>
      </c>
      <c r="N172" s="20">
        <v>10</v>
      </c>
      <c r="O172" s="22" t="s">
        <v>2870</v>
      </c>
      <c r="P172" s="22" t="s">
        <v>2870</v>
      </c>
      <c r="Q172" t="s">
        <v>3114</v>
      </c>
      <c r="R172" t="s">
        <v>3133</v>
      </c>
      <c r="S172" s="7">
        <v>10800</v>
      </c>
      <c r="T172" s="7">
        <v>10400</v>
      </c>
      <c r="U172" s="7">
        <v>10400</v>
      </c>
      <c r="V172" s="7"/>
      <c r="W172" s="7"/>
      <c r="X172" s="7">
        <f t="shared" si="16"/>
        <v>0</v>
      </c>
      <c r="Y172" s="5">
        <f t="shared" si="19"/>
        <v>0</v>
      </c>
      <c r="Z172" s="117"/>
      <c r="AA172" s="29">
        <f>SUMPRODUCT((BIdetails!$J$5:$J$3000=M172)*(BIdetails!$K$5:$K$3000=N172)*(BIdetails!$M$5:$M$3000))</f>
        <v>0</v>
      </c>
      <c r="AB172" s="30">
        <f t="shared" si="18"/>
        <v>0</v>
      </c>
      <c r="AC172" s="27"/>
      <c r="AD172" s="27"/>
      <c r="AE172" s="27"/>
      <c r="AF172" s="27"/>
    </row>
    <row r="173" spans="1:32" hidden="1" x14ac:dyDescent="0.25">
      <c r="A173" t="s">
        <v>3094</v>
      </c>
      <c r="B173" t="str">
        <f t="shared" si="15"/>
        <v>No Change</v>
      </c>
      <c r="C173" t="s">
        <v>2275</v>
      </c>
      <c r="D173" t="s">
        <v>3176</v>
      </c>
      <c r="E173">
        <v>68427709</v>
      </c>
      <c r="F173" s="91" t="s">
        <v>36</v>
      </c>
      <c r="G173" t="s">
        <v>37</v>
      </c>
      <c r="H173" t="s">
        <v>33</v>
      </c>
      <c r="J173" t="s">
        <v>2274</v>
      </c>
      <c r="K173">
        <v>120252</v>
      </c>
      <c r="L173" s="170" t="s">
        <v>3179</v>
      </c>
      <c r="M173" s="20">
        <v>5401087886</v>
      </c>
      <c r="N173" s="20">
        <v>10</v>
      </c>
      <c r="O173" s="22" t="s">
        <v>2870</v>
      </c>
      <c r="P173" s="22" t="s">
        <v>2870</v>
      </c>
      <c r="Q173" s="201" t="s">
        <v>3097</v>
      </c>
      <c r="R173" t="s">
        <v>3133</v>
      </c>
      <c r="S173" s="7">
        <v>43200</v>
      </c>
      <c r="T173" s="7">
        <v>41400</v>
      </c>
      <c r="U173" s="7">
        <v>41400</v>
      </c>
      <c r="V173" s="7"/>
      <c r="W173" s="7"/>
      <c r="X173" s="7">
        <f t="shared" si="16"/>
        <v>0</v>
      </c>
      <c r="Y173" s="5">
        <f t="shared" si="19"/>
        <v>0</v>
      </c>
      <c r="Z173" s="117"/>
      <c r="AA173" s="29">
        <f>SUMPRODUCT((BIdetails!$J$5:$J$3000=M173)*(BIdetails!$K$5:$K$3000=N173)*(BIdetails!$M$5:$M$3000))</f>
        <v>0</v>
      </c>
      <c r="AB173" s="30">
        <f t="shared" si="18"/>
        <v>0</v>
      </c>
      <c r="AC173" s="27"/>
      <c r="AD173" s="27"/>
      <c r="AE173" s="27"/>
      <c r="AF173" s="27"/>
    </row>
    <row r="174" spans="1:32" hidden="1" x14ac:dyDescent="0.25">
      <c r="A174" t="s">
        <v>3094</v>
      </c>
      <c r="B174" t="str">
        <f t="shared" si="15"/>
        <v>No Change</v>
      </c>
      <c r="C174" t="s">
        <v>2210</v>
      </c>
      <c r="D174" t="s">
        <v>3176</v>
      </c>
      <c r="E174">
        <v>68427709</v>
      </c>
      <c r="F174" s="91" t="s">
        <v>36</v>
      </c>
      <c r="G174" t="s">
        <v>37</v>
      </c>
      <c r="H174" t="s">
        <v>33</v>
      </c>
      <c r="J174" t="s">
        <v>2209</v>
      </c>
      <c r="K174">
        <v>120252</v>
      </c>
      <c r="L174" s="170" t="s">
        <v>3179</v>
      </c>
      <c r="M174" s="20">
        <v>5401087886</v>
      </c>
      <c r="N174" s="20">
        <v>10</v>
      </c>
      <c r="O174" s="22" t="s">
        <v>2870</v>
      </c>
      <c r="P174" s="22" t="s">
        <v>2870</v>
      </c>
      <c r="Q174" t="s">
        <v>3114</v>
      </c>
      <c r="R174" t="s">
        <v>3133</v>
      </c>
      <c r="S174" s="7">
        <v>32400</v>
      </c>
      <c r="T174" s="7">
        <v>10400</v>
      </c>
      <c r="U174" s="7">
        <v>10400</v>
      </c>
      <c r="V174" s="7"/>
      <c r="W174" s="7"/>
      <c r="X174" s="7">
        <f t="shared" si="16"/>
        <v>0</v>
      </c>
      <c r="Y174" s="5">
        <f t="shared" si="19"/>
        <v>0</v>
      </c>
      <c r="Z174" s="117"/>
      <c r="AA174" s="29">
        <f>SUMPRODUCT((BIdetails!$J$5:$J$3000=M174)*(BIdetails!$K$5:$K$3000=N174)*(BIdetails!$M$5:$M$3000))</f>
        <v>0</v>
      </c>
      <c r="AB174" s="30">
        <f t="shared" si="18"/>
        <v>0</v>
      </c>
      <c r="AC174" s="27"/>
      <c r="AD174" s="27"/>
      <c r="AE174" s="27"/>
      <c r="AF174" s="27"/>
    </row>
    <row r="175" spans="1:32" hidden="1" x14ac:dyDescent="0.25">
      <c r="A175" t="s">
        <v>3094</v>
      </c>
      <c r="B175" t="str">
        <f t="shared" si="15"/>
        <v>No Change</v>
      </c>
      <c r="C175" t="s">
        <v>3394</v>
      </c>
      <c r="D175" t="s">
        <v>3307</v>
      </c>
      <c r="E175">
        <v>68427709</v>
      </c>
      <c r="F175" s="91" t="s">
        <v>36</v>
      </c>
      <c r="G175" t="s">
        <v>37</v>
      </c>
      <c r="H175" t="s">
        <v>33</v>
      </c>
      <c r="I175" t="s">
        <v>3177</v>
      </c>
      <c r="J175" t="s">
        <v>3178</v>
      </c>
      <c r="K175">
        <v>187516</v>
      </c>
      <c r="L175" s="92" t="s">
        <v>3117</v>
      </c>
      <c r="O175" s="22" t="s">
        <v>2410</v>
      </c>
      <c r="P175" s="22" t="s">
        <v>2410</v>
      </c>
      <c r="Q175" t="s">
        <v>3114</v>
      </c>
      <c r="R175" t="s">
        <v>3133</v>
      </c>
      <c r="S175" s="7">
        <v>40000</v>
      </c>
      <c r="T175" s="7">
        <v>50000</v>
      </c>
      <c r="U175" s="7">
        <v>50000</v>
      </c>
      <c r="V175" s="7"/>
      <c r="W175" s="7"/>
      <c r="X175" s="7">
        <f t="shared" si="16"/>
        <v>0</v>
      </c>
      <c r="Y175" s="5">
        <f t="shared" si="19"/>
        <v>0</v>
      </c>
      <c r="Z175" s="221"/>
      <c r="AA175" s="29">
        <f>SUMPRODUCT((BIdetails!$J$5:$J$3000=M175)*(BIdetails!$K$5:$K$3000=N175)*(BIdetails!$M$5:$M$3000))</f>
        <v>0</v>
      </c>
      <c r="AB175" s="30">
        <f t="shared" si="18"/>
        <v>0</v>
      </c>
      <c r="AC175" s="27" t="s">
        <v>845</v>
      </c>
      <c r="AD175" s="27" t="s">
        <v>3100</v>
      </c>
      <c r="AE175" s="27" t="s">
        <v>3118</v>
      </c>
      <c r="AF175" s="27"/>
    </row>
    <row r="176" spans="1:32" hidden="1" x14ac:dyDescent="0.25">
      <c r="A176" t="s">
        <v>3094</v>
      </c>
      <c r="B176" t="str">
        <f t="shared" si="15"/>
        <v>Decrease</v>
      </c>
      <c r="C176" t="s">
        <v>3395</v>
      </c>
      <c r="D176" t="s">
        <v>3307</v>
      </c>
      <c r="E176">
        <v>68427709</v>
      </c>
      <c r="F176" s="91" t="s">
        <v>36</v>
      </c>
      <c r="G176" t="s">
        <v>37</v>
      </c>
      <c r="H176" t="s">
        <v>33</v>
      </c>
      <c r="I176" t="s">
        <v>3177</v>
      </c>
      <c r="J176" t="s">
        <v>3178</v>
      </c>
      <c r="K176">
        <v>187516</v>
      </c>
      <c r="L176" s="92" t="s">
        <v>3117</v>
      </c>
      <c r="O176" s="22" t="s">
        <v>2410</v>
      </c>
      <c r="P176" s="22" t="s">
        <v>2410</v>
      </c>
      <c r="Q176" t="s">
        <v>3114</v>
      </c>
      <c r="R176" t="s">
        <v>3133</v>
      </c>
      <c r="S176" s="7">
        <v>85000</v>
      </c>
      <c r="T176" s="7">
        <v>100000</v>
      </c>
      <c r="U176" s="7">
        <v>52500</v>
      </c>
      <c r="V176" s="7"/>
      <c r="W176" s="7"/>
      <c r="X176" s="7">
        <f t="shared" si="16"/>
        <v>-47500</v>
      </c>
      <c r="Y176" s="5">
        <f t="shared" si="19"/>
        <v>-0.47499999999999998</v>
      </c>
      <c r="Z176" s="221"/>
      <c r="AA176" s="29">
        <f>SUMPRODUCT((BIdetails!$J$5:$J$3000=M176)*(BIdetails!$K$5:$K$3000=N176)*(BIdetails!$M$5:$M$3000))</f>
        <v>0</v>
      </c>
      <c r="AB176" s="30">
        <f t="shared" si="18"/>
        <v>0</v>
      </c>
      <c r="AC176" s="27" t="s">
        <v>845</v>
      </c>
      <c r="AD176" s="27" t="s">
        <v>3100</v>
      </c>
      <c r="AE176" s="27" t="s">
        <v>3118</v>
      </c>
      <c r="AF176" s="27"/>
    </row>
    <row r="177" spans="1:32" hidden="1" x14ac:dyDescent="0.25">
      <c r="A177" t="s">
        <v>3094</v>
      </c>
      <c r="B177" t="str">
        <f t="shared" si="15"/>
        <v>New</v>
      </c>
      <c r="C177" s="22" t="s">
        <v>2736</v>
      </c>
      <c r="D177" t="s">
        <v>3396</v>
      </c>
      <c r="E177">
        <v>68427709</v>
      </c>
      <c r="F177" s="91" t="s">
        <v>59</v>
      </c>
      <c r="G177" t="s">
        <v>60</v>
      </c>
      <c r="H177" t="s">
        <v>46</v>
      </c>
      <c r="J177" t="s">
        <v>3397</v>
      </c>
      <c r="K177">
        <v>213007</v>
      </c>
      <c r="L177" s="22" t="s">
        <v>3398</v>
      </c>
      <c r="M177" s="203">
        <v>5401012917</v>
      </c>
      <c r="N177" s="20">
        <v>20</v>
      </c>
      <c r="O177" s="92" t="s">
        <v>2870</v>
      </c>
      <c r="P177" s="22" t="s">
        <v>3205</v>
      </c>
      <c r="Q177" t="s">
        <v>3114</v>
      </c>
      <c r="R177" t="s">
        <v>3207</v>
      </c>
      <c r="S177" s="7"/>
      <c r="T177" s="7"/>
      <c r="U177" s="7">
        <v>28000</v>
      </c>
      <c r="V177" s="7"/>
      <c r="W177" s="7"/>
      <c r="X177" s="7">
        <f t="shared" si="16"/>
        <v>28000</v>
      </c>
      <c r="Y177" s="5">
        <f t="shared" si="19"/>
        <v>1</v>
      </c>
      <c r="Z177" s="117"/>
      <c r="AA177" s="29">
        <f>SUMPRODUCT((BIdetails!$J$5:$J$3000=M177)*(BIdetails!$K$5:$K$3000=N177)*(BIdetails!$M$5:$M$3000))</f>
        <v>0</v>
      </c>
      <c r="AB177" s="30">
        <f t="shared" si="18"/>
        <v>0</v>
      </c>
      <c r="AC177" s="27"/>
      <c r="AD177" s="27"/>
      <c r="AE177" s="27"/>
      <c r="AF177" s="27"/>
    </row>
    <row r="178" spans="1:32" hidden="1" x14ac:dyDescent="0.25">
      <c r="A178" t="s">
        <v>3094</v>
      </c>
      <c r="B178" t="str">
        <f t="shared" si="15"/>
        <v>Increase</v>
      </c>
      <c r="C178" s="92" t="s">
        <v>2633</v>
      </c>
      <c r="D178" t="s">
        <v>3151</v>
      </c>
      <c r="E178">
        <v>68427709</v>
      </c>
      <c r="F178" s="91" t="s">
        <v>44</v>
      </c>
      <c r="G178" s="92" t="s">
        <v>75</v>
      </c>
      <c r="H178" s="92" t="s">
        <v>46</v>
      </c>
      <c r="J178" t="s">
        <v>3282</v>
      </c>
      <c r="K178">
        <v>187516</v>
      </c>
      <c r="L178" s="92" t="s">
        <v>3117</v>
      </c>
      <c r="M178" s="25">
        <v>5401088459</v>
      </c>
      <c r="N178" s="93" t="s">
        <v>3399</v>
      </c>
      <c r="O178" s="92" t="s">
        <v>2870</v>
      </c>
      <c r="P178" s="92" t="s">
        <v>1984</v>
      </c>
      <c r="Q178" s="92" t="s">
        <v>3104</v>
      </c>
      <c r="R178" s="92" t="s">
        <v>3098</v>
      </c>
      <c r="S178" s="7">
        <v>470000</v>
      </c>
      <c r="T178" s="7">
        <v>470000</v>
      </c>
      <c r="U178" s="7">
        <f>470000+75000</f>
        <v>545000</v>
      </c>
      <c r="V178" s="7"/>
      <c r="W178" s="7"/>
      <c r="X178" s="7">
        <f t="shared" si="16"/>
        <v>75000</v>
      </c>
      <c r="Y178" s="5">
        <f t="shared" si="19"/>
        <v>0.15957446808510639</v>
      </c>
      <c r="Z178" s="6"/>
      <c r="AA178" s="29">
        <f>SUMPRODUCT((BIdetails!$J$5:$J$3000=M178)*(BIdetails!$K$5:$K$3000=N178)*(BIdetails!$M$5:$M$3000))</f>
        <v>0</v>
      </c>
      <c r="AB178" s="30">
        <f t="shared" si="18"/>
        <v>0</v>
      </c>
      <c r="AC178" s="27"/>
      <c r="AD178" s="27"/>
      <c r="AE178" s="27"/>
      <c r="AF178" s="27"/>
    </row>
    <row r="179" spans="1:32" hidden="1" x14ac:dyDescent="0.25">
      <c r="A179" t="s">
        <v>3094</v>
      </c>
      <c r="B179" t="str">
        <f t="shared" si="15"/>
        <v>No Change</v>
      </c>
      <c r="C179" t="s">
        <v>2636</v>
      </c>
      <c r="D179" t="s">
        <v>3400</v>
      </c>
      <c r="E179">
        <v>68427709</v>
      </c>
      <c r="F179" s="91" t="s">
        <v>59</v>
      </c>
      <c r="G179" t="s">
        <v>60</v>
      </c>
      <c r="H179" s="92" t="s">
        <v>46</v>
      </c>
      <c r="J179" t="s">
        <v>3282</v>
      </c>
      <c r="K179" s="22">
        <v>209478</v>
      </c>
      <c r="L179" s="22" t="s">
        <v>3283</v>
      </c>
      <c r="M179" s="203">
        <v>5400912153</v>
      </c>
      <c r="N179" s="20">
        <v>60</v>
      </c>
      <c r="O179" s="22" t="s">
        <v>2870</v>
      </c>
      <c r="P179" s="22" t="s">
        <v>1984</v>
      </c>
      <c r="Q179" s="92" t="s">
        <v>3104</v>
      </c>
      <c r="R179" t="s">
        <v>3284</v>
      </c>
      <c r="S179" s="7">
        <v>305000</v>
      </c>
      <c r="T179" s="7">
        <v>352000</v>
      </c>
      <c r="U179" s="7">
        <v>352000</v>
      </c>
      <c r="V179" s="7"/>
      <c r="W179" s="7"/>
      <c r="X179" s="7">
        <f t="shared" si="16"/>
        <v>0</v>
      </c>
      <c r="Y179" s="5">
        <f t="shared" si="19"/>
        <v>0</v>
      </c>
      <c r="Z179" s="6"/>
      <c r="AA179" s="29">
        <f>SUMPRODUCT((BIdetails!$J$5:$J$3000=M179)*(BIdetails!$K$5:$K$3000=N179)*(BIdetails!$M$5:$M$3000))</f>
        <v>0</v>
      </c>
      <c r="AB179" s="30">
        <f t="shared" si="18"/>
        <v>0</v>
      </c>
      <c r="AC179" s="27" t="s">
        <v>3099</v>
      </c>
      <c r="AD179" s="27" t="s">
        <v>3100</v>
      </c>
      <c r="AE179" s="27"/>
      <c r="AF179" s="27"/>
    </row>
    <row r="180" spans="1:32" hidden="1" x14ac:dyDescent="0.25">
      <c r="A180" t="s">
        <v>3094</v>
      </c>
      <c r="B180" t="str">
        <f t="shared" si="15"/>
        <v>New</v>
      </c>
      <c r="C180" s="22" t="s">
        <v>2950</v>
      </c>
      <c r="E180">
        <v>68427709</v>
      </c>
      <c r="F180" s="91" t="s">
        <v>22</v>
      </c>
      <c r="G180" s="161" t="s">
        <v>100</v>
      </c>
      <c r="H180" s="161" t="s">
        <v>24</v>
      </c>
      <c r="I180" t="s">
        <v>2448</v>
      </c>
      <c r="J180" t="s">
        <v>3189</v>
      </c>
      <c r="K180" s="161">
        <v>196653</v>
      </c>
      <c r="L180" s="161" t="s">
        <v>102</v>
      </c>
      <c r="M180" s="203"/>
      <c r="O180" s="92" t="s">
        <v>2410</v>
      </c>
      <c r="P180" s="22"/>
      <c r="Q180" t="s">
        <v>3124</v>
      </c>
      <c r="R180" t="s">
        <v>2903</v>
      </c>
      <c r="S180" s="7"/>
      <c r="T180" s="7"/>
      <c r="U180" s="7">
        <v>16000</v>
      </c>
      <c r="V180" s="7"/>
      <c r="W180" s="7"/>
      <c r="X180" s="7">
        <f t="shared" si="16"/>
        <v>16000</v>
      </c>
      <c r="Y180" s="5">
        <f t="shared" si="19"/>
        <v>1</v>
      </c>
      <c r="Z180" s="117"/>
      <c r="AA180" s="29">
        <f>SUMPRODUCT((BIdetails!$J$5:$J$3000=M180)*(BIdetails!$K$5:$K$3000=N180)*(BIdetails!$M$5:$M$3000))</f>
        <v>0</v>
      </c>
      <c r="AB180" s="30">
        <f t="shared" si="18"/>
        <v>0</v>
      </c>
      <c r="AC180" s="27"/>
      <c r="AD180" s="27"/>
      <c r="AE180" s="27"/>
      <c r="AF180" s="27"/>
    </row>
    <row r="181" spans="1:32" hidden="1" x14ac:dyDescent="0.25">
      <c r="A181" t="s">
        <v>3094</v>
      </c>
      <c r="B181" t="str">
        <f t="shared" si="15"/>
        <v>Increase</v>
      </c>
      <c r="C181" s="22" t="s">
        <v>970</v>
      </c>
      <c r="D181" t="s">
        <v>3401</v>
      </c>
      <c r="E181">
        <v>68427709</v>
      </c>
      <c r="F181" s="91" t="s">
        <v>59</v>
      </c>
      <c r="G181" s="22" t="s">
        <v>60</v>
      </c>
      <c r="H181" s="22" t="s">
        <v>46</v>
      </c>
      <c r="J181" t="s">
        <v>3402</v>
      </c>
      <c r="K181">
        <v>188518</v>
      </c>
      <c r="L181" t="s">
        <v>225</v>
      </c>
      <c r="M181" s="24">
        <v>5401088257</v>
      </c>
      <c r="N181" s="24">
        <v>10</v>
      </c>
      <c r="O181" s="22" t="s">
        <v>2870</v>
      </c>
      <c r="P181" s="22" t="s">
        <v>3403</v>
      </c>
      <c r="Q181" s="22" t="s">
        <v>3114</v>
      </c>
      <c r="R181" s="22" t="s">
        <v>3141</v>
      </c>
      <c r="S181" s="7">
        <v>102000</v>
      </c>
      <c r="T181" s="7">
        <v>111000</v>
      </c>
      <c r="U181" s="7">
        <v>131000</v>
      </c>
      <c r="V181" s="7"/>
      <c r="W181" s="7"/>
      <c r="X181" s="7">
        <f t="shared" si="16"/>
        <v>20000</v>
      </c>
      <c r="Y181" s="5">
        <f t="shared" si="19"/>
        <v>0.18018018018018017</v>
      </c>
      <c r="Z181" s="6"/>
      <c r="AA181" s="29">
        <f>SUMPRODUCT((BIdetails!$J$5:$J$3000=M181)*(BIdetails!$K$5:$K$3000=N181)*(BIdetails!$M$5:$M$3000))</f>
        <v>0</v>
      </c>
      <c r="AB181" s="30">
        <f t="shared" si="18"/>
        <v>0</v>
      </c>
      <c r="AC181" s="27"/>
      <c r="AD181" s="27"/>
      <c r="AE181" s="27"/>
      <c r="AF181" s="27"/>
    </row>
    <row r="182" spans="1:32" hidden="1" x14ac:dyDescent="0.25">
      <c r="A182" t="s">
        <v>3094</v>
      </c>
      <c r="B182" t="str">
        <f t="shared" si="15"/>
        <v>No Change</v>
      </c>
      <c r="C182" s="92" t="s">
        <v>2525</v>
      </c>
      <c r="D182" t="s">
        <v>3307</v>
      </c>
      <c r="E182">
        <v>68427709</v>
      </c>
      <c r="F182" s="91" t="s">
        <v>44</v>
      </c>
      <c r="G182" s="92" t="s">
        <v>75</v>
      </c>
      <c r="H182" s="92" t="s">
        <v>46</v>
      </c>
      <c r="J182" t="s">
        <v>3254</v>
      </c>
      <c r="K182">
        <v>187516</v>
      </c>
      <c r="L182" s="92" t="s">
        <v>3117</v>
      </c>
      <c r="M182" s="93">
        <v>5400853128</v>
      </c>
      <c r="N182" s="93">
        <v>10</v>
      </c>
      <c r="O182" s="92" t="s">
        <v>1930</v>
      </c>
      <c r="P182" s="22" t="s">
        <v>1930</v>
      </c>
      <c r="Q182" t="s">
        <v>3114</v>
      </c>
      <c r="R182" t="s">
        <v>3098</v>
      </c>
      <c r="S182" s="7">
        <v>30000</v>
      </c>
      <c r="T182" s="7">
        <v>100000</v>
      </c>
      <c r="U182" s="7">
        <v>100000</v>
      </c>
      <c r="V182" s="7"/>
      <c r="W182" s="7"/>
      <c r="X182" s="7">
        <f t="shared" si="16"/>
        <v>0</v>
      </c>
      <c r="Y182" s="5">
        <f t="shared" si="19"/>
        <v>0</v>
      </c>
      <c r="Z182" s="6"/>
      <c r="AA182" s="29">
        <f>SUMPRODUCT((BIdetails!$J$5:$J$3000=M182)*(BIdetails!$K$5:$K$3000=N182)*(BIdetails!$M$5:$M$3000))</f>
        <v>0</v>
      </c>
      <c r="AB182" s="30">
        <f t="shared" si="18"/>
        <v>0</v>
      </c>
      <c r="AC182" s="27"/>
      <c r="AD182" s="27"/>
      <c r="AE182" s="27"/>
      <c r="AF182" s="27"/>
    </row>
    <row r="183" spans="1:32" hidden="1" x14ac:dyDescent="0.25">
      <c r="A183" t="s">
        <v>3094</v>
      </c>
      <c r="B183" t="str">
        <f t="shared" si="15"/>
        <v>No Change</v>
      </c>
      <c r="C183" s="92" t="s">
        <v>3404</v>
      </c>
      <c r="D183" t="s">
        <v>3405</v>
      </c>
      <c r="E183">
        <v>68427709</v>
      </c>
      <c r="F183" s="91" t="s">
        <v>54</v>
      </c>
      <c r="G183" t="s">
        <v>55</v>
      </c>
      <c r="H183" s="92" t="s">
        <v>46</v>
      </c>
      <c r="J183" t="s">
        <v>2262</v>
      </c>
      <c r="K183" s="92">
        <v>165589</v>
      </c>
      <c r="L183" s="92" t="s">
        <v>3406</v>
      </c>
      <c r="M183" s="93">
        <v>5401070323</v>
      </c>
      <c r="N183" s="93">
        <v>10</v>
      </c>
      <c r="O183" s="92" t="s">
        <v>2870</v>
      </c>
      <c r="P183" s="92" t="s">
        <v>3015</v>
      </c>
      <c r="Q183" t="s">
        <v>3104</v>
      </c>
      <c r="R183" s="92" t="s">
        <v>3098</v>
      </c>
      <c r="S183" s="7">
        <v>85000</v>
      </c>
      <c r="T183" s="7">
        <v>85000</v>
      </c>
      <c r="U183" s="7">
        <v>85000</v>
      </c>
      <c r="V183" s="7"/>
      <c r="W183" s="7"/>
      <c r="X183" s="7">
        <f t="shared" si="16"/>
        <v>0</v>
      </c>
      <c r="Y183" s="5">
        <f t="shared" si="19"/>
        <v>0</v>
      </c>
      <c r="Z183" s="6"/>
      <c r="AA183" s="29">
        <f>SUMPRODUCT((BIdetails!$J$5:$J$3000=M183)*(BIdetails!$K$5:$K$3000=N183)*(BIdetails!$M$5:$M$3000))</f>
        <v>0</v>
      </c>
      <c r="AB183" s="30">
        <f t="shared" si="18"/>
        <v>0</v>
      </c>
      <c r="AC183" s="27" t="s">
        <v>845</v>
      </c>
      <c r="AD183" s="27" t="s">
        <v>3100</v>
      </c>
      <c r="AE183" s="27" t="s">
        <v>3118</v>
      </c>
      <c r="AF183" s="27"/>
    </row>
    <row r="184" spans="1:32" hidden="1" x14ac:dyDescent="0.25">
      <c r="A184" t="s">
        <v>3094</v>
      </c>
      <c r="B184" t="str">
        <f t="shared" si="15"/>
        <v>No Change</v>
      </c>
      <c r="C184" t="s">
        <v>2193</v>
      </c>
      <c r="D184" t="s">
        <v>3407</v>
      </c>
      <c r="E184">
        <v>68427709</v>
      </c>
      <c r="F184" s="91" t="s">
        <v>59</v>
      </c>
      <c r="G184" t="s">
        <v>60</v>
      </c>
      <c r="H184" t="s">
        <v>46</v>
      </c>
      <c r="I184" t="s">
        <v>3144</v>
      </c>
      <c r="J184" t="s">
        <v>3408</v>
      </c>
      <c r="K184">
        <v>209507</v>
      </c>
      <c r="L184" t="s">
        <v>261</v>
      </c>
      <c r="M184" s="20">
        <v>5401045611</v>
      </c>
      <c r="N184" s="20">
        <v>10</v>
      </c>
      <c r="O184" t="s">
        <v>2870</v>
      </c>
      <c r="P184" s="92" t="s">
        <v>2510</v>
      </c>
      <c r="Q184" t="s">
        <v>3114</v>
      </c>
      <c r="R184" t="s">
        <v>3098</v>
      </c>
      <c r="S184" s="7">
        <v>14000</v>
      </c>
      <c r="T184" s="7">
        <v>14000</v>
      </c>
      <c r="U184" s="7">
        <v>14000</v>
      </c>
      <c r="V184" s="7"/>
      <c r="W184" s="7"/>
      <c r="X184" s="7">
        <f t="shared" si="16"/>
        <v>0</v>
      </c>
      <c r="Y184" s="5">
        <f t="shared" si="19"/>
        <v>0</v>
      </c>
      <c r="Z184" s="6"/>
      <c r="AA184" s="29">
        <f>SUMPRODUCT((BIdetails!$J$5:$J$3000=M184)*(BIdetails!$K$5:$K$3000=N184)*(BIdetails!$M$5:$M$3000))</f>
        <v>0</v>
      </c>
      <c r="AB184" s="30">
        <f t="shared" si="18"/>
        <v>0</v>
      </c>
      <c r="AC184" s="27"/>
      <c r="AD184" s="27"/>
      <c r="AE184" s="27"/>
      <c r="AF184" s="27"/>
    </row>
    <row r="185" spans="1:32" hidden="1" x14ac:dyDescent="0.25">
      <c r="A185" t="s">
        <v>3094</v>
      </c>
      <c r="B185" t="str">
        <f t="shared" si="15"/>
        <v>No Change</v>
      </c>
      <c r="C185" t="s">
        <v>3409</v>
      </c>
      <c r="D185" t="s">
        <v>3410</v>
      </c>
      <c r="E185">
        <v>68427709</v>
      </c>
      <c r="F185" s="91" t="s">
        <v>59</v>
      </c>
      <c r="G185" t="s">
        <v>60</v>
      </c>
      <c r="H185" t="s">
        <v>46</v>
      </c>
      <c r="I185" t="s">
        <v>3144</v>
      </c>
      <c r="J185" t="s">
        <v>3411</v>
      </c>
      <c r="K185">
        <v>189448</v>
      </c>
      <c r="L185" t="s">
        <v>3412</v>
      </c>
      <c r="M185" s="20">
        <v>5401041462</v>
      </c>
      <c r="N185" s="20">
        <v>20</v>
      </c>
      <c r="O185" t="s">
        <v>2870</v>
      </c>
      <c r="P185" s="22" t="s">
        <v>2344</v>
      </c>
      <c r="Q185" t="s">
        <v>3114</v>
      </c>
      <c r="R185" s="22" t="s">
        <v>3098</v>
      </c>
      <c r="S185" s="7">
        <v>135000</v>
      </c>
      <c r="T185" s="7">
        <v>150000</v>
      </c>
      <c r="U185" s="7">
        <v>150000</v>
      </c>
      <c r="V185" s="7"/>
      <c r="W185" s="7"/>
      <c r="X185" s="7">
        <f t="shared" si="16"/>
        <v>0</v>
      </c>
      <c r="Y185" s="5">
        <f t="shared" si="19"/>
        <v>0</v>
      </c>
      <c r="Z185" s="6"/>
      <c r="AA185" s="29">
        <f>SUMPRODUCT((BIdetails!$J$5:$J$3000=M185)*(BIdetails!$K$5:$K$3000=N185)*(BIdetails!$M$5:$M$3000))</f>
        <v>0</v>
      </c>
      <c r="AB185" s="30">
        <f t="shared" si="18"/>
        <v>0</v>
      </c>
      <c r="AC185" s="27"/>
      <c r="AD185" s="27"/>
      <c r="AE185" s="27"/>
      <c r="AF185" s="27"/>
    </row>
    <row r="186" spans="1:32" hidden="1" x14ac:dyDescent="0.25">
      <c r="A186" t="s">
        <v>3094</v>
      </c>
      <c r="B186" t="str">
        <f t="shared" si="15"/>
        <v>Decrease</v>
      </c>
      <c r="C186" s="22" t="s">
        <v>3413</v>
      </c>
      <c r="D186" t="s">
        <v>3151</v>
      </c>
      <c r="E186">
        <v>68427709</v>
      </c>
      <c r="F186" s="91" t="s">
        <v>44</v>
      </c>
      <c r="G186" s="92" t="s">
        <v>75</v>
      </c>
      <c r="H186" s="92" t="s">
        <v>46</v>
      </c>
      <c r="I186" s="22" t="s">
        <v>3144</v>
      </c>
      <c r="J186" s="22" t="s">
        <v>3411</v>
      </c>
      <c r="K186">
        <v>187516</v>
      </c>
      <c r="L186" s="92" t="s">
        <v>3117</v>
      </c>
      <c r="M186" s="25">
        <v>5401088459</v>
      </c>
      <c r="N186" s="20">
        <v>190</v>
      </c>
      <c r="O186" s="92" t="s">
        <v>2870</v>
      </c>
      <c r="P186" s="22" t="s">
        <v>3026</v>
      </c>
      <c r="Q186" t="s">
        <v>3114</v>
      </c>
      <c r="R186" t="s">
        <v>3098</v>
      </c>
      <c r="S186" s="7"/>
      <c r="T186" s="7">
        <v>65000</v>
      </c>
      <c r="U186" s="7">
        <v>38000</v>
      </c>
      <c r="V186" s="7"/>
      <c r="W186" s="7"/>
      <c r="X186" s="7">
        <f t="shared" si="16"/>
        <v>-27000</v>
      </c>
      <c r="Y186" s="5">
        <f t="shared" si="19"/>
        <v>-0.41538461538461541</v>
      </c>
      <c r="Z186" s="117"/>
      <c r="AA186" s="29">
        <f>SUMPRODUCT((BIdetails!$J$5:$J$3000=M186)*(BIdetails!$K$5:$K$3000=N186)*(BIdetails!$M$5:$M$3000))</f>
        <v>0</v>
      </c>
      <c r="AB186" s="30">
        <f t="shared" si="18"/>
        <v>0</v>
      </c>
      <c r="AC186" s="27"/>
      <c r="AD186" s="27"/>
      <c r="AE186" s="27"/>
      <c r="AF186" s="27"/>
    </row>
    <row r="187" spans="1:32" hidden="1" x14ac:dyDescent="0.25">
      <c r="A187" t="s">
        <v>3094</v>
      </c>
      <c r="B187" t="str">
        <f t="shared" si="15"/>
        <v>New</v>
      </c>
      <c r="C187" s="22" t="s">
        <v>2904</v>
      </c>
      <c r="E187">
        <v>68427709</v>
      </c>
      <c r="F187" s="91" t="s">
        <v>59</v>
      </c>
      <c r="G187" t="s">
        <v>60</v>
      </c>
      <c r="H187" t="s">
        <v>46</v>
      </c>
      <c r="J187" t="s">
        <v>3414</v>
      </c>
      <c r="L187" s="22"/>
      <c r="M187" s="203"/>
      <c r="O187" s="92" t="s">
        <v>2870</v>
      </c>
      <c r="P187" s="22" t="s">
        <v>1819</v>
      </c>
      <c r="Q187" t="s">
        <v>3170</v>
      </c>
      <c r="R187" t="s">
        <v>3120</v>
      </c>
      <c r="S187" s="7"/>
      <c r="T187" s="7"/>
      <c r="U187" s="7">
        <v>73000</v>
      </c>
      <c r="V187" s="7"/>
      <c r="W187" s="7"/>
      <c r="X187" s="7">
        <f t="shared" si="16"/>
        <v>73000</v>
      </c>
      <c r="Y187" s="5">
        <f t="shared" si="19"/>
        <v>1</v>
      </c>
      <c r="Z187" s="117"/>
      <c r="AA187" s="29">
        <f>SUMPRODUCT((BIdetails!$J$5:$J$3000=M187)*(BIdetails!$K$5:$K$3000=N187)*(BIdetails!$M$5:$M$3000))</f>
        <v>0</v>
      </c>
      <c r="AB187" s="30">
        <f t="shared" si="18"/>
        <v>0</v>
      </c>
      <c r="AC187" s="27"/>
      <c r="AD187" s="27"/>
      <c r="AE187" s="27"/>
      <c r="AF187" s="27"/>
    </row>
    <row r="188" spans="1:32" hidden="1" x14ac:dyDescent="0.25">
      <c r="A188" t="s">
        <v>3094</v>
      </c>
      <c r="B188" t="str">
        <f t="shared" si="15"/>
        <v>No Change</v>
      </c>
      <c r="C188" s="22" t="s">
        <v>2100</v>
      </c>
      <c r="D188" t="s">
        <v>3415</v>
      </c>
      <c r="E188" s="201">
        <v>68427709</v>
      </c>
      <c r="F188" s="91" t="s">
        <v>59</v>
      </c>
      <c r="G188" t="s">
        <v>60</v>
      </c>
      <c r="H188" s="92" t="s">
        <v>46</v>
      </c>
      <c r="I188" t="s">
        <v>3144</v>
      </c>
      <c r="J188" t="s">
        <v>3416</v>
      </c>
      <c r="K188" s="22">
        <v>208176</v>
      </c>
      <c r="L188" s="22" t="s">
        <v>2100</v>
      </c>
      <c r="M188" s="203">
        <v>5401116132</v>
      </c>
      <c r="N188" s="20">
        <v>10</v>
      </c>
      <c r="O188" s="22" t="s">
        <v>2870</v>
      </c>
      <c r="P188" s="22" t="s">
        <v>2344</v>
      </c>
      <c r="Q188" t="s">
        <v>3114</v>
      </c>
      <c r="R188" t="s">
        <v>3098</v>
      </c>
      <c r="S188" s="7">
        <v>7000</v>
      </c>
      <c r="T188" s="7">
        <v>10000</v>
      </c>
      <c r="U188" s="7">
        <v>10000</v>
      </c>
      <c r="V188" s="7"/>
      <c r="W188" s="7"/>
      <c r="X188" s="7">
        <f t="shared" si="16"/>
        <v>0</v>
      </c>
      <c r="Y188" s="5">
        <f t="shared" si="19"/>
        <v>0</v>
      </c>
      <c r="Z188" s="117"/>
      <c r="AA188" s="29">
        <f>SUMPRODUCT((BIdetails!$J$5:$J$3000=M188)*(BIdetails!$K$5:$K$3000=N188)*(BIdetails!$M$5:$M$3000))</f>
        <v>0</v>
      </c>
      <c r="AB188" s="30">
        <f t="shared" si="18"/>
        <v>0</v>
      </c>
      <c r="AC188" s="27"/>
      <c r="AD188" s="27"/>
      <c r="AE188" s="27"/>
      <c r="AF188" s="27"/>
    </row>
    <row r="189" spans="1:32" hidden="1" x14ac:dyDescent="0.25">
      <c r="A189" t="s">
        <v>3094</v>
      </c>
      <c r="B189" t="str">
        <f t="shared" si="15"/>
        <v>Increase</v>
      </c>
      <c r="C189" t="s">
        <v>1580</v>
      </c>
      <c r="D189" t="s">
        <v>3318</v>
      </c>
      <c r="E189">
        <v>68427709</v>
      </c>
      <c r="F189" s="91" t="s">
        <v>22</v>
      </c>
      <c r="G189" t="s">
        <v>100</v>
      </c>
      <c r="H189" t="s">
        <v>24</v>
      </c>
      <c r="I189" t="s">
        <v>2445</v>
      </c>
      <c r="J189" t="s">
        <v>3116</v>
      </c>
      <c r="K189">
        <v>196653</v>
      </c>
      <c r="L189" t="s">
        <v>102</v>
      </c>
      <c r="M189">
        <v>5401087923</v>
      </c>
      <c r="N189" s="20">
        <v>10</v>
      </c>
      <c r="O189" s="22" t="s">
        <v>2410</v>
      </c>
      <c r="P189" s="22" t="s">
        <v>2410</v>
      </c>
      <c r="Q189" t="s">
        <v>3114</v>
      </c>
      <c r="R189" t="s">
        <v>3133</v>
      </c>
      <c r="S189" s="7">
        <v>650000</v>
      </c>
      <c r="T189" s="7">
        <v>665000</v>
      </c>
      <c r="U189" s="7">
        <v>681000</v>
      </c>
      <c r="V189" s="7"/>
      <c r="W189" s="7"/>
      <c r="X189" s="7">
        <f t="shared" si="16"/>
        <v>16000</v>
      </c>
      <c r="Y189" s="5">
        <f t="shared" si="19"/>
        <v>2.4060150375939851E-2</v>
      </c>
      <c r="Z189" s="6"/>
      <c r="AA189" s="29">
        <f>SUMPRODUCT((BIdetails!$J$5:$J$3000=M189)*(BIdetails!$K$5:$K$3000=N189)*(BIdetails!$M$5:$M$3000))</f>
        <v>0</v>
      </c>
      <c r="AB189" s="30">
        <f t="shared" si="18"/>
        <v>0</v>
      </c>
      <c r="AC189" s="27"/>
      <c r="AD189" s="27"/>
      <c r="AE189" s="27"/>
      <c r="AF189" s="27"/>
    </row>
    <row r="190" spans="1:32" hidden="1" x14ac:dyDescent="0.25">
      <c r="A190" t="s">
        <v>3094</v>
      </c>
      <c r="B190" t="str">
        <f t="shared" si="15"/>
        <v>New</v>
      </c>
      <c r="C190" s="22" t="s">
        <v>2795</v>
      </c>
      <c r="D190" t="s">
        <v>3417</v>
      </c>
      <c r="E190">
        <v>68427709</v>
      </c>
      <c r="F190" s="91" t="s">
        <v>59</v>
      </c>
      <c r="G190" t="s">
        <v>60</v>
      </c>
      <c r="H190" t="s">
        <v>46</v>
      </c>
      <c r="J190" t="s">
        <v>3418</v>
      </c>
      <c r="K190">
        <v>3001669</v>
      </c>
      <c r="L190" s="22" t="s">
        <v>3419</v>
      </c>
      <c r="M190" s="203">
        <v>5401076431</v>
      </c>
      <c r="N190" s="20">
        <v>20</v>
      </c>
      <c r="O190" s="92" t="s">
        <v>2870</v>
      </c>
      <c r="P190" s="22" t="s">
        <v>2781</v>
      </c>
      <c r="Q190" s="240" t="s">
        <v>3114</v>
      </c>
      <c r="R190" t="s">
        <v>3136</v>
      </c>
      <c r="S190" s="7"/>
      <c r="T190" s="7"/>
      <c r="U190" s="7">
        <v>30000</v>
      </c>
      <c r="V190" s="7"/>
      <c r="W190" s="7"/>
      <c r="X190" s="7">
        <f t="shared" si="16"/>
        <v>30000</v>
      </c>
      <c r="Y190" s="5">
        <f t="shared" si="19"/>
        <v>1</v>
      </c>
      <c r="Z190" s="117"/>
      <c r="AA190" s="29">
        <f>SUMPRODUCT((BIdetails!$J$5:$J$3000=M190)*(BIdetails!$K$5:$K$3000=N190)*(BIdetails!$M$5:$M$3000))</f>
        <v>0</v>
      </c>
      <c r="AB190" s="30">
        <f t="shared" si="18"/>
        <v>0</v>
      </c>
      <c r="AC190" s="27"/>
      <c r="AD190" s="27"/>
      <c r="AE190" s="27"/>
      <c r="AF190" s="27"/>
    </row>
    <row r="191" spans="1:32" hidden="1" x14ac:dyDescent="0.25">
      <c r="A191" t="s">
        <v>3094</v>
      </c>
      <c r="B191" t="str">
        <f t="shared" si="15"/>
        <v>New</v>
      </c>
      <c r="C191" s="22" t="s">
        <v>2793</v>
      </c>
      <c r="D191" t="s">
        <v>3420</v>
      </c>
      <c r="E191">
        <v>68427709</v>
      </c>
      <c r="F191" s="91" t="s">
        <v>59</v>
      </c>
      <c r="G191" t="s">
        <v>60</v>
      </c>
      <c r="H191" t="s">
        <v>46</v>
      </c>
      <c r="J191" t="s">
        <v>3421</v>
      </c>
      <c r="K191">
        <v>212998</v>
      </c>
      <c r="L191" s="22" t="s">
        <v>281</v>
      </c>
      <c r="M191" s="203">
        <v>5401084009</v>
      </c>
      <c r="N191" s="20">
        <v>10</v>
      </c>
      <c r="O191" s="92" t="s">
        <v>2870</v>
      </c>
      <c r="P191" s="22" t="s">
        <v>2781</v>
      </c>
      <c r="Q191" s="240" t="s">
        <v>3114</v>
      </c>
      <c r="R191" t="s">
        <v>3136</v>
      </c>
      <c r="S191" s="7"/>
      <c r="T191" s="7"/>
      <c r="U191" s="7">
        <v>70000</v>
      </c>
      <c r="V191" s="7"/>
      <c r="W191" s="7"/>
      <c r="X191" s="7">
        <f t="shared" si="16"/>
        <v>70000</v>
      </c>
      <c r="Y191" s="5">
        <f t="shared" si="19"/>
        <v>1</v>
      </c>
      <c r="Z191" s="117"/>
      <c r="AA191" s="29">
        <f>SUMPRODUCT((BIdetails!$J$5:$J$3000=M191)*(BIdetails!$K$5:$K$3000=N191)*(BIdetails!$M$5:$M$3000))</f>
        <v>0</v>
      </c>
      <c r="AB191" s="30">
        <f t="shared" si="18"/>
        <v>0</v>
      </c>
      <c r="AC191" s="27"/>
      <c r="AD191" s="27"/>
      <c r="AE191" s="27"/>
      <c r="AF191" s="27"/>
    </row>
    <row r="192" spans="1:32" hidden="1" x14ac:dyDescent="0.25">
      <c r="A192" t="s">
        <v>3094</v>
      </c>
      <c r="B192" t="str">
        <f t="shared" si="15"/>
        <v>New</v>
      </c>
      <c r="C192" s="22" t="s">
        <v>2974</v>
      </c>
      <c r="D192" t="s">
        <v>3422</v>
      </c>
      <c r="E192">
        <v>68427709</v>
      </c>
      <c r="F192" s="91" t="s">
        <v>22</v>
      </c>
      <c r="G192" s="161" t="s">
        <v>100</v>
      </c>
      <c r="H192" s="161" t="s">
        <v>24</v>
      </c>
      <c r="I192" t="s">
        <v>2445</v>
      </c>
      <c r="J192" t="s">
        <v>3116</v>
      </c>
      <c r="K192">
        <v>196653</v>
      </c>
      <c r="L192" s="22" t="s">
        <v>102</v>
      </c>
      <c r="M192" s="276">
        <v>5401052888</v>
      </c>
      <c r="O192" s="92" t="s">
        <v>2410</v>
      </c>
      <c r="P192" s="22" t="s">
        <v>2410</v>
      </c>
      <c r="Q192" t="s">
        <v>3114</v>
      </c>
      <c r="R192" t="s">
        <v>3133</v>
      </c>
      <c r="S192" s="7"/>
      <c r="T192" s="7"/>
      <c r="U192" s="7">
        <v>60000</v>
      </c>
      <c r="V192" s="7"/>
      <c r="W192" s="7"/>
      <c r="X192" s="7">
        <f t="shared" si="16"/>
        <v>60000</v>
      </c>
      <c r="Y192" s="5">
        <f t="shared" si="19"/>
        <v>1</v>
      </c>
      <c r="Z192" s="117" t="s">
        <v>2973</v>
      </c>
      <c r="AA192" s="29">
        <f>SUMPRODUCT((BIdetails!$J$5:$J$3000=M192)*(BIdetails!$K$5:$K$3000=N192)*(BIdetails!$M$5:$M$3000))</f>
        <v>0</v>
      </c>
      <c r="AB192" s="30">
        <f t="shared" si="18"/>
        <v>0</v>
      </c>
      <c r="AC192" s="27"/>
      <c r="AD192" s="27"/>
      <c r="AE192" s="27"/>
      <c r="AF192" s="27"/>
    </row>
    <row r="193" spans="1:32" hidden="1" x14ac:dyDescent="0.25">
      <c r="A193" t="s">
        <v>3094</v>
      </c>
      <c r="B193" t="str">
        <f t="shared" si="15"/>
        <v>No Change</v>
      </c>
      <c r="C193" s="22" t="s">
        <v>2116</v>
      </c>
      <c r="D193" t="s">
        <v>3423</v>
      </c>
      <c r="E193">
        <v>68427719</v>
      </c>
      <c r="F193" s="91" t="s">
        <v>59</v>
      </c>
      <c r="G193" t="s">
        <v>60</v>
      </c>
      <c r="H193" s="92" t="s">
        <v>46</v>
      </c>
      <c r="J193" t="s">
        <v>3424</v>
      </c>
      <c r="K193" s="22">
        <v>210828</v>
      </c>
      <c r="L193" s="92" t="s">
        <v>3425</v>
      </c>
      <c r="M193" s="203">
        <v>5401071918</v>
      </c>
      <c r="N193" s="20">
        <v>10</v>
      </c>
      <c r="O193" s="22" t="s">
        <v>2870</v>
      </c>
      <c r="P193" s="22" t="s">
        <v>2356</v>
      </c>
      <c r="Q193" t="s">
        <v>3206</v>
      </c>
      <c r="R193" t="s">
        <v>3207</v>
      </c>
      <c r="S193" s="7">
        <v>2980</v>
      </c>
      <c r="T193" s="7">
        <v>2980</v>
      </c>
      <c r="U193" s="7">
        <v>2980</v>
      </c>
      <c r="V193" s="7"/>
      <c r="W193" s="7"/>
      <c r="X193" s="7">
        <f t="shared" si="16"/>
        <v>0</v>
      </c>
      <c r="Y193" s="5">
        <f t="shared" si="19"/>
        <v>0</v>
      </c>
      <c r="Z193" s="117"/>
      <c r="AA193" s="29">
        <f>SUMPRODUCT((BIdetails!$J$5:$J$3000=M193)*(BIdetails!$K$5:$K$3000=N193)*(BIdetails!$M$5:$M$3000))</f>
        <v>0</v>
      </c>
      <c r="AB193" s="30">
        <f t="shared" si="18"/>
        <v>0</v>
      </c>
      <c r="AC193" s="27"/>
      <c r="AD193" s="27"/>
      <c r="AE193" s="27"/>
      <c r="AF193" s="27"/>
    </row>
    <row r="194" spans="1:32" hidden="1" x14ac:dyDescent="0.25">
      <c r="A194" t="s">
        <v>3094</v>
      </c>
      <c r="B194" t="str">
        <f t="shared" ref="B194:B257" si="20">IF(T194=U194,"No Change",IF(AND(U194&lt;&gt;0,U194&lt;T194),"Decrease",IF(AND(U194&lt;&gt;0,T194=0),"New",IF(AND(T194&lt;&gt;0,U194=0),"Decommissioned","Increase"))))</f>
        <v>No Change</v>
      </c>
      <c r="C194" t="s">
        <v>3426</v>
      </c>
      <c r="D194" t="s">
        <v>3427</v>
      </c>
      <c r="E194">
        <v>68427709</v>
      </c>
      <c r="F194" s="91" t="s">
        <v>59</v>
      </c>
      <c r="G194" t="s">
        <v>60</v>
      </c>
      <c r="H194" t="s">
        <v>46</v>
      </c>
      <c r="J194" t="s">
        <v>3428</v>
      </c>
      <c r="K194">
        <v>204439</v>
      </c>
      <c r="L194" s="22" t="s">
        <v>3429</v>
      </c>
      <c r="M194" s="20">
        <v>5401069579</v>
      </c>
      <c r="N194" s="20">
        <v>10</v>
      </c>
      <c r="O194" s="22" t="s">
        <v>2870</v>
      </c>
      <c r="P194" s="22" t="s">
        <v>2500</v>
      </c>
      <c r="Q194" t="s">
        <v>3170</v>
      </c>
      <c r="R194" t="s">
        <v>517</v>
      </c>
      <c r="S194" s="7">
        <v>32000</v>
      </c>
      <c r="T194" s="7">
        <v>32000</v>
      </c>
      <c r="U194" s="7">
        <v>32000</v>
      </c>
      <c r="V194" s="7"/>
      <c r="W194" s="7"/>
      <c r="X194" s="7">
        <f t="shared" ref="X194:X257" si="21">U194-T194</f>
        <v>0</v>
      </c>
      <c r="Y194" s="5">
        <f t="shared" si="19"/>
        <v>0</v>
      </c>
      <c r="AA194" s="29">
        <f>SUMPRODUCT((BIdetails!$J$5:$J$3000=M194)*(BIdetails!$K$5:$K$3000=N194)*(BIdetails!$M$5:$M$3000))</f>
        <v>0</v>
      </c>
      <c r="AB194" s="30">
        <f t="shared" ref="AB194:AB257" si="22">IF(U194=0,"",(AA194/U194))</f>
        <v>0</v>
      </c>
      <c r="AC194" s="27"/>
      <c r="AD194" s="27"/>
      <c r="AE194" s="27"/>
      <c r="AF194" s="27"/>
    </row>
    <row r="195" spans="1:32" hidden="1" x14ac:dyDescent="0.25">
      <c r="A195" t="s">
        <v>3106</v>
      </c>
      <c r="B195" t="str">
        <f t="shared" si="20"/>
        <v>No Change</v>
      </c>
      <c r="C195" t="s">
        <v>2373</v>
      </c>
      <c r="D195" t="s">
        <v>3430</v>
      </c>
      <c r="E195">
        <v>68427709</v>
      </c>
      <c r="F195" s="91" t="s">
        <v>59</v>
      </c>
      <c r="G195" t="s">
        <v>60</v>
      </c>
      <c r="H195" t="s">
        <v>46</v>
      </c>
      <c r="J195" t="s">
        <v>3296</v>
      </c>
      <c r="K195" s="22">
        <v>197081</v>
      </c>
      <c r="L195" s="22" t="s">
        <v>586</v>
      </c>
      <c r="M195"/>
      <c r="O195" s="22" t="s">
        <v>2870</v>
      </c>
      <c r="P195" s="22" t="s">
        <v>2500</v>
      </c>
      <c r="Q195" t="s">
        <v>3170</v>
      </c>
      <c r="R195" t="s">
        <v>517</v>
      </c>
      <c r="S195" s="7">
        <v>99000</v>
      </c>
      <c r="T195" s="7">
        <v>0</v>
      </c>
      <c r="U195" s="7">
        <v>0</v>
      </c>
      <c r="V195" s="7"/>
      <c r="W195" s="7"/>
      <c r="X195" s="7">
        <f t="shared" si="21"/>
        <v>0</v>
      </c>
      <c r="Y195" s="5">
        <f t="shared" si="19"/>
        <v>0</v>
      </c>
      <c r="Z195" s="117"/>
      <c r="AA195" s="29">
        <f>SUMPRODUCT((BIdetails!$J$5:$J$3000=M195)*(BIdetails!$K$5:$K$3000=N195)*(BIdetails!$M$5:$M$3000))</f>
        <v>0</v>
      </c>
      <c r="AB195" s="30" t="str">
        <f t="shared" si="22"/>
        <v/>
      </c>
      <c r="AC195" s="27" t="s">
        <v>3110</v>
      </c>
      <c r="AD195" s="27" t="s">
        <v>3100</v>
      </c>
      <c r="AE195" s="27" t="s">
        <v>3101</v>
      </c>
      <c r="AF195" s="27"/>
    </row>
    <row r="196" spans="1:32" hidden="1" x14ac:dyDescent="0.25">
      <c r="A196" t="s">
        <v>3094</v>
      </c>
      <c r="B196" t="str">
        <f t="shared" si="20"/>
        <v>Decrease</v>
      </c>
      <c r="C196" t="s">
        <v>3431</v>
      </c>
      <c r="D196" t="s">
        <v>3432</v>
      </c>
      <c r="E196">
        <v>68427709</v>
      </c>
      <c r="F196" s="91" t="s">
        <v>19</v>
      </c>
      <c r="G196" t="s">
        <v>20</v>
      </c>
      <c r="H196" s="92" t="s">
        <v>46</v>
      </c>
      <c r="J196" t="s">
        <v>3296</v>
      </c>
      <c r="K196">
        <v>166304</v>
      </c>
      <c r="L196" s="92" t="s">
        <v>97</v>
      </c>
      <c r="M196" s="203">
        <v>5400989555</v>
      </c>
      <c r="N196" s="20">
        <v>10</v>
      </c>
      <c r="O196" s="92" t="s">
        <v>2410</v>
      </c>
      <c r="P196" s="22" t="s">
        <v>2500</v>
      </c>
      <c r="Q196" t="s">
        <v>3170</v>
      </c>
      <c r="R196" t="s">
        <v>517</v>
      </c>
      <c r="S196" s="7"/>
      <c r="T196" s="7">
        <v>376000</v>
      </c>
      <c r="U196" s="7">
        <v>342000</v>
      </c>
      <c r="V196" s="7"/>
      <c r="W196" s="7"/>
      <c r="X196" s="7">
        <f t="shared" si="21"/>
        <v>-34000</v>
      </c>
      <c r="Y196" s="5">
        <f t="shared" si="19"/>
        <v>-9.0425531914893623E-2</v>
      </c>
      <c r="AA196" s="29">
        <f>SUMPRODUCT((BIdetails!$J$5:$J$3000=M196)*(BIdetails!$K$5:$K$3000=N196)*(BIdetails!$M$5:$M$3000))</f>
        <v>0</v>
      </c>
      <c r="AB196" s="30">
        <f t="shared" si="22"/>
        <v>0</v>
      </c>
      <c r="AC196" s="27"/>
      <c r="AD196" s="27"/>
      <c r="AE196" s="27"/>
      <c r="AF196" s="27"/>
    </row>
    <row r="197" spans="1:32" hidden="1" x14ac:dyDescent="0.25">
      <c r="A197" t="s">
        <v>3106</v>
      </c>
      <c r="B197" t="str">
        <f t="shared" si="20"/>
        <v>No Change</v>
      </c>
      <c r="C197" t="s">
        <v>2601</v>
      </c>
      <c r="D197" t="s">
        <v>3433</v>
      </c>
      <c r="E197">
        <v>68427709</v>
      </c>
      <c r="F197" s="91" t="s">
        <v>59</v>
      </c>
      <c r="G197" t="s">
        <v>60</v>
      </c>
      <c r="H197" t="s">
        <v>46</v>
      </c>
      <c r="J197" t="s">
        <v>3434</v>
      </c>
      <c r="K197" s="22">
        <v>197081</v>
      </c>
      <c r="L197" s="22" t="s">
        <v>586</v>
      </c>
      <c r="M197"/>
      <c r="O197" s="22" t="s">
        <v>2870</v>
      </c>
      <c r="P197" s="22" t="s">
        <v>2500</v>
      </c>
      <c r="Q197" t="s">
        <v>3170</v>
      </c>
      <c r="R197" t="s">
        <v>517</v>
      </c>
      <c r="S197" s="7">
        <v>23200</v>
      </c>
      <c r="T197" s="7">
        <v>0</v>
      </c>
      <c r="U197" s="7">
        <v>0</v>
      </c>
      <c r="V197" s="7"/>
      <c r="W197" s="7"/>
      <c r="X197" s="7">
        <f t="shared" si="21"/>
        <v>0</v>
      </c>
      <c r="Y197" s="5">
        <f t="shared" si="19"/>
        <v>0</v>
      </c>
      <c r="Z197" s="117"/>
      <c r="AA197" s="29">
        <f>SUMPRODUCT((BIdetails!$J$5:$J$3000=M197)*(BIdetails!$K$5:$K$3000=N197)*(BIdetails!$M$5:$M$3000))</f>
        <v>0</v>
      </c>
      <c r="AB197" s="30" t="str">
        <f t="shared" si="22"/>
        <v/>
      </c>
      <c r="AC197" s="27"/>
      <c r="AD197" s="27"/>
      <c r="AE197" s="27"/>
      <c r="AF197" s="27"/>
    </row>
    <row r="198" spans="1:32" hidden="1" x14ac:dyDescent="0.25">
      <c r="A198" t="s">
        <v>3094</v>
      </c>
      <c r="B198" t="str">
        <f t="shared" si="20"/>
        <v>New</v>
      </c>
      <c r="C198" s="22" t="s">
        <v>2961</v>
      </c>
      <c r="D198" t="s">
        <v>3435</v>
      </c>
      <c r="E198">
        <v>68427709</v>
      </c>
      <c r="F198" s="91" t="s">
        <v>59</v>
      </c>
      <c r="G198" t="s">
        <v>60</v>
      </c>
      <c r="H198" t="s">
        <v>46</v>
      </c>
      <c r="I198" t="s">
        <v>2448</v>
      </c>
      <c r="J198" t="s">
        <v>3189</v>
      </c>
      <c r="K198">
        <v>187516</v>
      </c>
      <c r="L198" s="22" t="s">
        <v>3117</v>
      </c>
      <c r="M198" s="20">
        <v>5401093332</v>
      </c>
      <c r="N198" s="20">
        <v>30</v>
      </c>
      <c r="O198" s="92" t="s">
        <v>2410</v>
      </c>
      <c r="P198" s="22"/>
      <c r="Q198" t="s">
        <v>3124</v>
      </c>
      <c r="R198" t="s">
        <v>2903</v>
      </c>
      <c r="S198" s="7"/>
      <c r="T198" s="7"/>
      <c r="U198" s="7">
        <v>43528.800000000003</v>
      </c>
      <c r="V198" s="7"/>
      <c r="W198" s="7"/>
      <c r="X198" s="7">
        <f t="shared" si="21"/>
        <v>43528.800000000003</v>
      </c>
      <c r="Y198" s="5">
        <f t="shared" si="19"/>
        <v>1</v>
      </c>
      <c r="Z198" s="117"/>
      <c r="AA198" s="29">
        <f>SUMPRODUCT((BIdetails!$J$5:$J$3000=M198)*(BIdetails!$K$5:$K$3000=N198)*(BIdetails!$M$5:$M$3000))</f>
        <v>0</v>
      </c>
      <c r="AB198" s="30">
        <f t="shared" si="22"/>
        <v>0</v>
      </c>
      <c r="AC198" s="27"/>
      <c r="AD198" s="27"/>
      <c r="AE198" s="27"/>
      <c r="AF198" s="27"/>
    </row>
    <row r="199" spans="1:32" x14ac:dyDescent="0.25">
      <c r="A199" t="s">
        <v>3094</v>
      </c>
      <c r="B199" t="str">
        <f t="shared" si="20"/>
        <v>No Change</v>
      </c>
      <c r="C199" s="22" t="s">
        <v>2314</v>
      </c>
      <c r="D199" t="s">
        <v>3436</v>
      </c>
      <c r="E199">
        <v>68427709</v>
      </c>
      <c r="F199" s="91" t="s">
        <v>40</v>
      </c>
      <c r="G199" t="s">
        <v>42</v>
      </c>
      <c r="H199" t="s">
        <v>42</v>
      </c>
      <c r="I199" t="s">
        <v>2445</v>
      </c>
      <c r="J199" t="s">
        <v>3116</v>
      </c>
      <c r="K199" s="22">
        <v>209193</v>
      </c>
      <c r="L199" s="22" t="s">
        <v>3437</v>
      </c>
      <c r="M199" s="20">
        <v>5401100852</v>
      </c>
      <c r="O199" t="s">
        <v>2843</v>
      </c>
      <c r="P199" s="92" t="s">
        <v>2843</v>
      </c>
      <c r="Q199" t="s">
        <v>3114</v>
      </c>
      <c r="R199" s="92" t="s">
        <v>42</v>
      </c>
      <c r="S199" s="7">
        <v>74000</v>
      </c>
      <c r="T199" s="7">
        <v>74000</v>
      </c>
      <c r="U199" s="7">
        <v>74000</v>
      </c>
      <c r="V199" s="7"/>
      <c r="W199" s="7">
        <f>U199*1.04</f>
        <v>76960</v>
      </c>
      <c r="X199" s="7">
        <f t="shared" ref="X199" si="23">W199-U199</f>
        <v>2960</v>
      </c>
      <c r="Y199" s="5">
        <f t="shared" si="19"/>
        <v>0.04</v>
      </c>
      <c r="Z199" s="21"/>
      <c r="AA199" s="29">
        <f>SUMPRODUCT((BIdetails!$J$5:$J$3000=M199)*(BIdetails!$K$5:$K$3000=N199)*(BIdetails!$M$5:$M$3000))</f>
        <v>0</v>
      </c>
      <c r="AB199" s="30">
        <f t="shared" si="22"/>
        <v>0</v>
      </c>
      <c r="AC199" s="27"/>
      <c r="AD199" s="27"/>
      <c r="AE199" s="27"/>
      <c r="AF199" s="27"/>
    </row>
    <row r="200" spans="1:32" hidden="1" x14ac:dyDescent="0.25">
      <c r="A200" t="s">
        <v>3106</v>
      </c>
      <c r="B200" t="str">
        <f t="shared" si="20"/>
        <v>Decommissioned</v>
      </c>
      <c r="C200" s="23" t="s">
        <v>2883</v>
      </c>
      <c r="E200">
        <v>68427709</v>
      </c>
      <c r="F200" s="91" t="s">
        <v>54</v>
      </c>
      <c r="G200" t="s">
        <v>55</v>
      </c>
      <c r="H200" s="92" t="s">
        <v>46</v>
      </c>
      <c r="J200" t="s">
        <v>3438</v>
      </c>
      <c r="K200">
        <v>179303</v>
      </c>
      <c r="L200" s="23" t="s">
        <v>540</v>
      </c>
      <c r="O200" s="22" t="s">
        <v>2870</v>
      </c>
      <c r="P200" t="s">
        <v>3195</v>
      </c>
      <c r="Q200" t="s">
        <v>3114</v>
      </c>
      <c r="R200" t="s">
        <v>3125</v>
      </c>
      <c r="S200" s="7">
        <v>24000</v>
      </c>
      <c r="T200" s="7">
        <v>24000</v>
      </c>
      <c r="U200" s="7">
        <v>0</v>
      </c>
      <c r="V200" s="7"/>
      <c r="W200" s="7"/>
      <c r="X200" s="7">
        <f t="shared" si="21"/>
        <v>-24000</v>
      </c>
      <c r="Y200" s="5">
        <f t="shared" si="19"/>
        <v>-1</v>
      </c>
      <c r="Z200" s="117"/>
      <c r="AA200" s="29">
        <f>SUMPRODUCT((BIdetails!$J$5:$J$3000=M200)*(BIdetails!$K$5:$K$3000=N200)*(BIdetails!$M$5:$M$3000))</f>
        <v>0</v>
      </c>
      <c r="AB200" s="30" t="str">
        <f t="shared" si="22"/>
        <v/>
      </c>
      <c r="AC200" s="27"/>
      <c r="AD200" s="27"/>
      <c r="AE200" s="27"/>
      <c r="AF200" s="27"/>
    </row>
    <row r="201" spans="1:32" hidden="1" x14ac:dyDescent="0.25">
      <c r="A201" t="s">
        <v>3094</v>
      </c>
      <c r="B201" t="str">
        <f t="shared" si="20"/>
        <v>Decrease</v>
      </c>
      <c r="C201" t="s">
        <v>2440</v>
      </c>
      <c r="D201" t="s">
        <v>3439</v>
      </c>
      <c r="E201">
        <v>68427709</v>
      </c>
      <c r="F201" s="91" t="s">
        <v>59</v>
      </c>
      <c r="G201" t="s">
        <v>60</v>
      </c>
      <c r="H201" t="s">
        <v>46</v>
      </c>
      <c r="J201" t="s">
        <v>3440</v>
      </c>
      <c r="K201">
        <v>167606</v>
      </c>
      <c r="L201" t="s">
        <v>213</v>
      </c>
      <c r="M201" s="20">
        <v>5401097355</v>
      </c>
      <c r="N201" s="20">
        <v>10</v>
      </c>
      <c r="O201" t="s">
        <v>2410</v>
      </c>
      <c r="P201" s="22" t="s">
        <v>3132</v>
      </c>
      <c r="Q201" t="s">
        <v>3114</v>
      </c>
      <c r="R201" t="s">
        <v>3133</v>
      </c>
      <c r="S201" s="7">
        <v>25000</v>
      </c>
      <c r="T201" s="7">
        <v>25000</v>
      </c>
      <c r="U201" s="7">
        <v>23000</v>
      </c>
      <c r="V201" s="7"/>
      <c r="W201" s="7"/>
      <c r="X201" s="7">
        <f t="shared" si="21"/>
        <v>-2000</v>
      </c>
      <c r="Y201" s="5">
        <f t="shared" ref="Y201:Y264" si="24">IF(B201="New",1,IFERROR(X201/T201,0))</f>
        <v>-0.08</v>
      </c>
      <c r="Z201" s="6"/>
      <c r="AA201" s="29">
        <f>SUMPRODUCT((BIdetails!$J$5:$J$3000=M201)*(BIdetails!$K$5:$K$3000=N201)*(BIdetails!$M$5:$M$3000))</f>
        <v>0</v>
      </c>
      <c r="AB201" s="30">
        <f t="shared" si="22"/>
        <v>0</v>
      </c>
      <c r="AC201" s="27"/>
      <c r="AD201" s="27"/>
      <c r="AE201" s="27"/>
      <c r="AF201" s="27"/>
    </row>
    <row r="202" spans="1:32" hidden="1" x14ac:dyDescent="0.25">
      <c r="A202" t="s">
        <v>3094</v>
      </c>
      <c r="B202" t="str">
        <f t="shared" si="20"/>
        <v>No Change</v>
      </c>
      <c r="C202" s="22" t="s">
        <v>3441</v>
      </c>
      <c r="D202" t="s">
        <v>3442</v>
      </c>
      <c r="E202">
        <v>68427709</v>
      </c>
      <c r="F202" s="91" t="s">
        <v>59</v>
      </c>
      <c r="G202" s="22" t="s">
        <v>60</v>
      </c>
      <c r="H202" s="22" t="s">
        <v>46</v>
      </c>
      <c r="J202" t="s">
        <v>3443</v>
      </c>
      <c r="K202" s="22">
        <v>166023</v>
      </c>
      <c r="L202" s="22" t="s">
        <v>3444</v>
      </c>
      <c r="M202" s="24">
        <v>5401085514</v>
      </c>
      <c r="N202" s="24">
        <v>10</v>
      </c>
      <c r="O202" s="22" t="s">
        <v>2870</v>
      </c>
      <c r="P202" s="22" t="s">
        <v>3158</v>
      </c>
      <c r="Q202" s="22" t="s">
        <v>3104</v>
      </c>
      <c r="R202" s="22" t="s">
        <v>3141</v>
      </c>
      <c r="S202" s="7">
        <v>14000</v>
      </c>
      <c r="T202" s="7">
        <v>14000</v>
      </c>
      <c r="U202" s="7">
        <v>14000</v>
      </c>
      <c r="V202" s="7"/>
      <c r="W202" s="7"/>
      <c r="X202" s="7">
        <f t="shared" si="21"/>
        <v>0</v>
      </c>
      <c r="Y202" s="5">
        <f t="shared" si="24"/>
        <v>0</v>
      </c>
      <c r="Z202" s="6"/>
      <c r="AA202" s="29">
        <f>SUMPRODUCT((BIdetails!$J$5:$J$3000=M202)*(BIdetails!$K$5:$K$3000=N202)*(BIdetails!$M$5:$M$3000))</f>
        <v>0</v>
      </c>
      <c r="AB202" s="30">
        <f t="shared" si="22"/>
        <v>0</v>
      </c>
      <c r="AC202" s="27"/>
      <c r="AD202" s="27"/>
      <c r="AE202" s="27"/>
      <c r="AF202" s="27"/>
    </row>
    <row r="203" spans="1:32" hidden="1" x14ac:dyDescent="0.25">
      <c r="A203" t="s">
        <v>3094</v>
      </c>
      <c r="B203" t="str">
        <f t="shared" si="20"/>
        <v>No Change</v>
      </c>
      <c r="C203" s="22" t="s">
        <v>2604</v>
      </c>
      <c r="D203" t="s">
        <v>3445</v>
      </c>
      <c r="E203">
        <v>68427709</v>
      </c>
      <c r="F203" s="91" t="s">
        <v>59</v>
      </c>
      <c r="G203" t="s">
        <v>60</v>
      </c>
      <c r="H203" s="92" t="s">
        <v>46</v>
      </c>
      <c r="J203" t="s">
        <v>3446</v>
      </c>
      <c r="K203" s="22">
        <v>208526</v>
      </c>
      <c r="L203" s="22" t="s">
        <v>3447</v>
      </c>
      <c r="M203" s="20">
        <v>5401017905</v>
      </c>
      <c r="N203" s="20">
        <v>20</v>
      </c>
      <c r="O203" s="22" t="s">
        <v>2870</v>
      </c>
      <c r="P203" s="22" t="s">
        <v>2500</v>
      </c>
      <c r="Q203" t="s">
        <v>3170</v>
      </c>
      <c r="R203" t="s">
        <v>517</v>
      </c>
      <c r="S203" s="7">
        <v>25000</v>
      </c>
      <c r="T203" s="7">
        <v>102000</v>
      </c>
      <c r="U203" s="7">
        <v>102000</v>
      </c>
      <c r="V203" s="7"/>
      <c r="W203" s="7"/>
      <c r="X203" s="7">
        <f t="shared" si="21"/>
        <v>0</v>
      </c>
      <c r="Y203" s="5">
        <f t="shared" si="24"/>
        <v>0</v>
      </c>
      <c r="Z203" s="117"/>
      <c r="AA203" s="29">
        <f>SUMPRODUCT((BIdetails!$J$5:$J$3000=M203)*(BIdetails!$K$5:$K$3000=N203)*(BIdetails!$M$5:$M$3000))</f>
        <v>0</v>
      </c>
      <c r="AB203" s="30">
        <f t="shared" si="22"/>
        <v>0</v>
      </c>
      <c r="AC203" s="27"/>
      <c r="AD203" s="27"/>
      <c r="AE203" s="27"/>
      <c r="AF203" s="27"/>
    </row>
    <row r="204" spans="1:32" hidden="1" x14ac:dyDescent="0.25">
      <c r="A204" t="s">
        <v>3094</v>
      </c>
      <c r="B204" t="str">
        <f t="shared" si="20"/>
        <v>No Change</v>
      </c>
      <c r="C204" s="22" t="s">
        <v>1626</v>
      </c>
      <c r="D204" t="s">
        <v>3448</v>
      </c>
      <c r="E204">
        <v>68427709</v>
      </c>
      <c r="F204" s="91" t="s">
        <v>59</v>
      </c>
      <c r="G204" t="s">
        <v>60</v>
      </c>
      <c r="H204" t="s">
        <v>46</v>
      </c>
      <c r="I204" t="s">
        <v>3177</v>
      </c>
      <c r="J204" t="s">
        <v>3178</v>
      </c>
      <c r="K204">
        <v>187516</v>
      </c>
      <c r="L204" s="92" t="s">
        <v>3117</v>
      </c>
      <c r="M204"/>
      <c r="O204" s="22" t="s">
        <v>2410</v>
      </c>
      <c r="P204" s="22" t="s">
        <v>2410</v>
      </c>
      <c r="Q204" t="s">
        <v>3114</v>
      </c>
      <c r="R204" t="s">
        <v>3133</v>
      </c>
      <c r="S204" s="7">
        <v>95000</v>
      </c>
      <c r="T204" s="7">
        <v>60000</v>
      </c>
      <c r="U204" s="7">
        <v>60000</v>
      </c>
      <c r="V204" s="7"/>
      <c r="W204" s="7"/>
      <c r="X204" s="7">
        <f t="shared" si="21"/>
        <v>0</v>
      </c>
      <c r="Y204" s="5">
        <f t="shared" si="24"/>
        <v>0</v>
      </c>
      <c r="Z204" s="117"/>
      <c r="AA204" s="29">
        <f>SUMPRODUCT((BIdetails!$J$5:$J$3000=M204)*(BIdetails!$K$5:$K$3000=N204)*(BIdetails!$M$5:$M$3000))</f>
        <v>0</v>
      </c>
      <c r="AB204" s="30">
        <f t="shared" si="22"/>
        <v>0</v>
      </c>
      <c r="AC204" s="27"/>
      <c r="AD204" s="27"/>
      <c r="AE204" s="27"/>
      <c r="AF204" s="27"/>
    </row>
    <row r="205" spans="1:32" hidden="1" x14ac:dyDescent="0.25">
      <c r="A205" t="s">
        <v>3094</v>
      </c>
      <c r="B205" t="str">
        <f t="shared" si="20"/>
        <v>No Change</v>
      </c>
      <c r="C205" s="22" t="s">
        <v>1626</v>
      </c>
      <c r="E205">
        <v>68427709</v>
      </c>
      <c r="F205" s="91" t="s">
        <v>38</v>
      </c>
      <c r="G205" t="s">
        <v>39</v>
      </c>
      <c r="H205" s="92" t="s">
        <v>33</v>
      </c>
      <c r="I205" t="s">
        <v>2448</v>
      </c>
      <c r="J205" t="s">
        <v>3189</v>
      </c>
      <c r="K205">
        <v>211753</v>
      </c>
      <c r="L205" s="92" t="s">
        <v>3449</v>
      </c>
      <c r="M205" s="203">
        <v>5401109430</v>
      </c>
      <c r="O205" s="92" t="s">
        <v>2410</v>
      </c>
      <c r="P205" s="22" t="s">
        <v>2410</v>
      </c>
      <c r="Q205" s="201" t="s">
        <v>3124</v>
      </c>
      <c r="R205" t="s">
        <v>3133</v>
      </c>
      <c r="S205" s="7"/>
      <c r="T205" s="7">
        <v>50000</v>
      </c>
      <c r="U205" s="7">
        <v>50000</v>
      </c>
      <c r="V205" s="7"/>
      <c r="W205" s="7"/>
      <c r="X205" s="7">
        <f t="shared" si="21"/>
        <v>0</v>
      </c>
      <c r="Y205" s="5">
        <f t="shared" si="24"/>
        <v>0</v>
      </c>
      <c r="Z205" s="117"/>
      <c r="AA205" s="29">
        <f>SUMPRODUCT((BIdetails!$J$5:$J$3000=M205)*(BIdetails!$K$5:$K$3000=N205)*(BIdetails!$M$5:$M$3000))</f>
        <v>0</v>
      </c>
      <c r="AB205" s="30">
        <f t="shared" si="22"/>
        <v>0</v>
      </c>
      <c r="AC205" s="27"/>
      <c r="AD205" s="27"/>
      <c r="AE205" s="27"/>
      <c r="AF205" s="27"/>
    </row>
    <row r="206" spans="1:32" hidden="1" x14ac:dyDescent="0.25">
      <c r="A206" t="s">
        <v>3094</v>
      </c>
      <c r="B206" t="str">
        <f t="shared" si="20"/>
        <v>Increase</v>
      </c>
      <c r="C206" s="92" t="s">
        <v>2657</v>
      </c>
      <c r="D206" t="s">
        <v>3450</v>
      </c>
      <c r="E206">
        <v>68427709</v>
      </c>
      <c r="F206" s="91" t="s">
        <v>54</v>
      </c>
      <c r="G206" t="s">
        <v>20</v>
      </c>
      <c r="H206" t="s">
        <v>16</v>
      </c>
      <c r="J206" s="201" t="s">
        <v>3451</v>
      </c>
      <c r="K206">
        <v>166304</v>
      </c>
      <c r="L206" s="92" t="s">
        <v>97</v>
      </c>
      <c r="M206">
        <v>5401060725</v>
      </c>
      <c r="N206" s="93">
        <v>10</v>
      </c>
      <c r="O206" s="92" t="s">
        <v>2410</v>
      </c>
      <c r="P206" s="22" t="s">
        <v>2410</v>
      </c>
      <c r="Q206" t="s">
        <v>3114</v>
      </c>
      <c r="R206" s="92" t="s">
        <v>3133</v>
      </c>
      <c r="S206" s="7">
        <v>170000</v>
      </c>
      <c r="T206" s="7">
        <v>235000</v>
      </c>
      <c r="U206" s="7">
        <v>550000</v>
      </c>
      <c r="V206" s="7"/>
      <c r="W206" s="7"/>
      <c r="X206" s="7">
        <f t="shared" si="21"/>
        <v>315000</v>
      </c>
      <c r="Y206" s="5">
        <f t="shared" si="24"/>
        <v>1.3404255319148937</v>
      </c>
      <c r="Z206" s="35"/>
      <c r="AA206" s="29">
        <f>SUMPRODUCT((BIdetails!$J$5:$J$3000=M206)*(BIdetails!$K$5:$K$3000=N206)*(BIdetails!$M$5:$M$3000))</f>
        <v>0</v>
      </c>
      <c r="AB206" s="30">
        <f t="shared" si="22"/>
        <v>0</v>
      </c>
      <c r="AC206" s="27" t="s">
        <v>3099</v>
      </c>
      <c r="AD206" s="27" t="s">
        <v>3100</v>
      </c>
      <c r="AE206" s="27" t="s">
        <v>3101</v>
      </c>
      <c r="AF206" s="27"/>
    </row>
    <row r="207" spans="1:32" hidden="1" x14ac:dyDescent="0.25">
      <c r="A207" t="s">
        <v>3094</v>
      </c>
      <c r="B207" t="str">
        <f t="shared" si="20"/>
        <v>New</v>
      </c>
      <c r="C207" t="s">
        <v>3452</v>
      </c>
      <c r="D207" t="s">
        <v>3432</v>
      </c>
      <c r="E207">
        <v>68427709</v>
      </c>
      <c r="F207" s="91" t="s">
        <v>19</v>
      </c>
      <c r="G207" t="s">
        <v>20</v>
      </c>
      <c r="H207" t="s">
        <v>16</v>
      </c>
      <c r="J207" t="s">
        <v>3379</v>
      </c>
      <c r="K207">
        <v>166304</v>
      </c>
      <c r="L207" s="22" t="s">
        <v>97</v>
      </c>
      <c r="M207" s="203">
        <v>5401060725</v>
      </c>
      <c r="O207" s="92" t="s">
        <v>2870</v>
      </c>
      <c r="P207" s="22" t="s">
        <v>2500</v>
      </c>
      <c r="Q207" t="s">
        <v>3170</v>
      </c>
      <c r="R207" t="s">
        <v>517</v>
      </c>
      <c r="S207" s="7"/>
      <c r="T207" s="7"/>
      <c r="U207" s="7">
        <v>78860</v>
      </c>
      <c r="V207" s="7"/>
      <c r="W207" s="7"/>
      <c r="X207" s="7">
        <f t="shared" si="21"/>
        <v>78860</v>
      </c>
      <c r="Y207" s="5">
        <f t="shared" si="24"/>
        <v>1</v>
      </c>
      <c r="Z207" s="117"/>
      <c r="AA207" s="29">
        <f>SUMPRODUCT((BIdetails!$J$5:$J$3000=M207)*(BIdetails!$K$5:$K$3000=N207)*(BIdetails!$M$5:$M$3000))</f>
        <v>0</v>
      </c>
      <c r="AB207" s="30">
        <f t="shared" si="22"/>
        <v>0</v>
      </c>
      <c r="AC207" s="27"/>
      <c r="AD207" s="27"/>
      <c r="AE207" s="27"/>
      <c r="AF207" s="27"/>
    </row>
    <row r="208" spans="1:32" ht="15" hidden="1" customHeight="1" x14ac:dyDescent="0.25">
      <c r="A208" t="s">
        <v>3094</v>
      </c>
      <c r="B208" t="str">
        <f t="shared" si="20"/>
        <v>New</v>
      </c>
      <c r="C208" s="22" t="s">
        <v>2938</v>
      </c>
      <c r="D208" t="s">
        <v>3450</v>
      </c>
      <c r="E208">
        <v>68427709</v>
      </c>
      <c r="F208" s="91" t="s">
        <v>19</v>
      </c>
      <c r="G208" t="s">
        <v>20</v>
      </c>
      <c r="H208" t="s">
        <v>16</v>
      </c>
      <c r="I208" t="s">
        <v>2448</v>
      </c>
      <c r="J208" t="s">
        <v>3326</v>
      </c>
      <c r="K208">
        <v>166304</v>
      </c>
      <c r="L208" s="92" t="s">
        <v>97</v>
      </c>
      <c r="M208" s="203">
        <v>5401060725</v>
      </c>
      <c r="O208" s="92" t="s">
        <v>2410</v>
      </c>
      <c r="P208" s="22"/>
      <c r="Q208" t="s">
        <v>3124</v>
      </c>
      <c r="R208" t="s">
        <v>3125</v>
      </c>
      <c r="S208" s="7"/>
      <c r="T208" s="7"/>
      <c r="U208" s="7">
        <v>15000</v>
      </c>
      <c r="V208" s="7"/>
      <c r="W208" s="7"/>
      <c r="X208" s="7">
        <f t="shared" si="21"/>
        <v>15000</v>
      </c>
      <c r="Y208" s="5">
        <f t="shared" si="24"/>
        <v>1</v>
      </c>
      <c r="Z208" s="21"/>
      <c r="AA208" s="29">
        <f>SUMPRODUCT((BIdetails!$J$5:$J$3000=M208)*(BIdetails!$K$5:$K$3000=N208)*(BIdetails!$M$5:$M$3000))</f>
        <v>0</v>
      </c>
      <c r="AB208" s="30">
        <f t="shared" si="22"/>
        <v>0</v>
      </c>
      <c r="AC208" s="27"/>
      <c r="AD208" s="27"/>
      <c r="AE208" s="27"/>
      <c r="AF208" s="27"/>
    </row>
    <row r="209" spans="1:32" hidden="1" x14ac:dyDescent="0.25">
      <c r="A209" t="s">
        <v>3094</v>
      </c>
      <c r="B209" t="str">
        <f t="shared" si="20"/>
        <v>Decrease</v>
      </c>
      <c r="C209" s="22" t="s">
        <v>2030</v>
      </c>
      <c r="D209" t="s">
        <v>3450</v>
      </c>
      <c r="E209">
        <v>68427709</v>
      </c>
      <c r="F209" s="91" t="s">
        <v>19</v>
      </c>
      <c r="G209" t="s">
        <v>20</v>
      </c>
      <c r="H209" t="s">
        <v>16</v>
      </c>
      <c r="I209" t="s">
        <v>2445</v>
      </c>
      <c r="J209" t="s">
        <v>3116</v>
      </c>
      <c r="K209">
        <v>166304</v>
      </c>
      <c r="L209" s="92" t="s">
        <v>97</v>
      </c>
      <c r="M209">
        <v>5401060725</v>
      </c>
      <c r="N209" s="20">
        <v>10</v>
      </c>
      <c r="O209" s="22" t="s">
        <v>2410</v>
      </c>
      <c r="P209" s="22" t="s">
        <v>2410</v>
      </c>
      <c r="Q209" t="s">
        <v>3114</v>
      </c>
      <c r="R209" t="s">
        <v>3133</v>
      </c>
      <c r="S209" s="7">
        <v>133000</v>
      </c>
      <c r="T209" s="7">
        <v>125000</v>
      </c>
      <c r="U209" s="7">
        <v>100000</v>
      </c>
      <c r="V209" s="7"/>
      <c r="W209" s="7"/>
      <c r="X209" s="7">
        <f t="shared" si="21"/>
        <v>-25000</v>
      </c>
      <c r="Y209" s="5">
        <f t="shared" si="24"/>
        <v>-0.2</v>
      </c>
      <c r="Z209" s="21"/>
      <c r="AA209" s="29">
        <f>SUMPRODUCT((BIdetails!$J$5:$J$3000=M209)*(BIdetails!$K$5:$K$3000=N209)*(BIdetails!$M$5:$M$3000))</f>
        <v>0</v>
      </c>
      <c r="AB209" s="30">
        <f t="shared" si="22"/>
        <v>0</v>
      </c>
      <c r="AC209" s="27"/>
      <c r="AD209" s="27"/>
      <c r="AE209" s="27"/>
      <c r="AF209" s="27"/>
    </row>
    <row r="210" spans="1:32" hidden="1" x14ac:dyDescent="0.25">
      <c r="A210" t="s">
        <v>3094</v>
      </c>
      <c r="B210" t="str">
        <f t="shared" si="20"/>
        <v>Increase</v>
      </c>
      <c r="C210" s="22" t="s">
        <v>2031</v>
      </c>
      <c r="D210" t="s">
        <v>3450</v>
      </c>
      <c r="E210">
        <v>68427709</v>
      </c>
      <c r="F210" s="91" t="s">
        <v>19</v>
      </c>
      <c r="G210" t="s">
        <v>20</v>
      </c>
      <c r="H210" t="s">
        <v>16</v>
      </c>
      <c r="I210" t="s">
        <v>2445</v>
      </c>
      <c r="J210" t="s">
        <v>3116</v>
      </c>
      <c r="K210">
        <v>166304</v>
      </c>
      <c r="L210" s="92" t="s">
        <v>97</v>
      </c>
      <c r="M210">
        <v>5401060725</v>
      </c>
      <c r="N210" s="20">
        <v>10</v>
      </c>
      <c r="O210" s="22" t="s">
        <v>2410</v>
      </c>
      <c r="P210" s="22" t="s">
        <v>2410</v>
      </c>
      <c r="Q210" t="s">
        <v>3114</v>
      </c>
      <c r="R210" t="s">
        <v>3133</v>
      </c>
      <c r="S210" s="7">
        <v>165000</v>
      </c>
      <c r="T210" s="7">
        <v>180000</v>
      </c>
      <c r="U210" s="7">
        <v>210000</v>
      </c>
      <c r="V210" s="7"/>
      <c r="W210" s="7"/>
      <c r="X210" s="7">
        <f t="shared" si="21"/>
        <v>30000</v>
      </c>
      <c r="Y210" s="5">
        <f t="shared" si="24"/>
        <v>0.16666666666666666</v>
      </c>
      <c r="Z210" s="21"/>
      <c r="AA210" s="29">
        <f>SUMPRODUCT((BIdetails!$J$5:$J$3000=M210)*(BIdetails!$K$5:$K$3000=N210)*(BIdetails!$M$5:$M$3000))</f>
        <v>0</v>
      </c>
      <c r="AB210" s="30">
        <f t="shared" si="22"/>
        <v>0</v>
      </c>
      <c r="AC210" s="27" t="s">
        <v>845</v>
      </c>
      <c r="AD210" s="27" t="s">
        <v>3100</v>
      </c>
      <c r="AE210" s="27"/>
      <c r="AF210" s="27"/>
    </row>
    <row r="211" spans="1:32" hidden="1" x14ac:dyDescent="0.25">
      <c r="A211" t="s">
        <v>3094</v>
      </c>
      <c r="B211" t="str">
        <f t="shared" si="20"/>
        <v>New</v>
      </c>
      <c r="C211" s="22" t="s">
        <v>2957</v>
      </c>
      <c r="D211" t="s">
        <v>3450</v>
      </c>
      <c r="E211">
        <v>68427709</v>
      </c>
      <c r="F211" s="91" t="s">
        <v>19</v>
      </c>
      <c r="G211" t="s">
        <v>20</v>
      </c>
      <c r="H211" t="s">
        <v>16</v>
      </c>
      <c r="I211" t="s">
        <v>2448</v>
      </c>
      <c r="J211" t="s">
        <v>3189</v>
      </c>
      <c r="K211">
        <v>166304</v>
      </c>
      <c r="L211" s="92" t="s">
        <v>97</v>
      </c>
      <c r="M211" s="203">
        <v>5401060727</v>
      </c>
      <c r="N211" s="20">
        <v>10</v>
      </c>
      <c r="O211" s="92" t="s">
        <v>2410</v>
      </c>
      <c r="P211" s="22"/>
      <c r="Q211" t="s">
        <v>3124</v>
      </c>
      <c r="R211" t="s">
        <v>2903</v>
      </c>
      <c r="S211" s="7"/>
      <c r="T211" s="7"/>
      <c r="U211" s="7">
        <v>200000</v>
      </c>
      <c r="V211" s="7"/>
      <c r="W211" s="7"/>
      <c r="X211" s="7">
        <f t="shared" si="21"/>
        <v>200000</v>
      </c>
      <c r="Y211" s="5">
        <f t="shared" si="24"/>
        <v>1</v>
      </c>
      <c r="Z211" s="21"/>
      <c r="AA211" s="29">
        <f>SUMPRODUCT((BIdetails!$J$5:$J$3000=M211)*(BIdetails!$K$5:$K$3000=N211)*(BIdetails!$M$5:$M$3000))</f>
        <v>0</v>
      </c>
      <c r="AB211" s="30">
        <f t="shared" si="22"/>
        <v>0</v>
      </c>
      <c r="AC211" s="27"/>
      <c r="AD211" s="27"/>
      <c r="AE211" s="27"/>
      <c r="AF211" s="27"/>
    </row>
    <row r="212" spans="1:32" hidden="1" x14ac:dyDescent="0.25">
      <c r="A212" t="s">
        <v>3094</v>
      </c>
      <c r="B212" t="str">
        <f t="shared" si="20"/>
        <v>Decrease</v>
      </c>
      <c r="C212" s="22" t="s">
        <v>2029</v>
      </c>
      <c r="D212" t="s">
        <v>3450</v>
      </c>
      <c r="E212">
        <v>68427709</v>
      </c>
      <c r="F212" s="91" t="s">
        <v>19</v>
      </c>
      <c r="G212" t="s">
        <v>20</v>
      </c>
      <c r="H212" t="s">
        <v>16</v>
      </c>
      <c r="I212" t="s">
        <v>2445</v>
      </c>
      <c r="J212" t="s">
        <v>3116</v>
      </c>
      <c r="K212">
        <v>166304</v>
      </c>
      <c r="L212" s="92" t="s">
        <v>97</v>
      </c>
      <c r="M212">
        <v>5401060725</v>
      </c>
      <c r="N212" s="20">
        <v>10</v>
      </c>
      <c r="O212" s="22" t="s">
        <v>2410</v>
      </c>
      <c r="P212" s="22" t="s">
        <v>2410</v>
      </c>
      <c r="Q212" t="s">
        <v>3114</v>
      </c>
      <c r="R212" t="s">
        <v>3133</v>
      </c>
      <c r="S212" s="7">
        <v>30000</v>
      </c>
      <c r="T212" s="7">
        <v>90000</v>
      </c>
      <c r="U212" s="7">
        <v>60000</v>
      </c>
      <c r="V212" s="7"/>
      <c r="W212" s="7"/>
      <c r="X212" s="7">
        <f t="shared" si="21"/>
        <v>-30000</v>
      </c>
      <c r="Y212" s="5">
        <f t="shared" si="24"/>
        <v>-0.33333333333333331</v>
      </c>
      <c r="Z212" s="21"/>
      <c r="AA212" s="29">
        <f>SUMPRODUCT((BIdetails!$J$5:$J$3000=M212)*(BIdetails!$K$5:$K$3000=N212)*(BIdetails!$M$5:$M$3000))</f>
        <v>0</v>
      </c>
      <c r="AB212" s="30">
        <f t="shared" si="22"/>
        <v>0</v>
      </c>
      <c r="AC212" s="27" t="s">
        <v>3172</v>
      </c>
      <c r="AD212" s="27" t="s">
        <v>3100</v>
      </c>
      <c r="AE212" s="27" t="s">
        <v>3101</v>
      </c>
      <c r="AF212" s="27"/>
    </row>
    <row r="213" spans="1:32" hidden="1" x14ac:dyDescent="0.25">
      <c r="A213" t="s">
        <v>3094</v>
      </c>
      <c r="B213" t="str">
        <f t="shared" si="20"/>
        <v>No Change</v>
      </c>
      <c r="C213" s="22" t="s">
        <v>2025</v>
      </c>
      <c r="D213" t="s">
        <v>3450</v>
      </c>
      <c r="E213">
        <v>68427709</v>
      </c>
      <c r="F213" s="91" t="s">
        <v>19</v>
      </c>
      <c r="G213" t="s">
        <v>20</v>
      </c>
      <c r="H213" t="s">
        <v>16</v>
      </c>
      <c r="I213" t="s">
        <v>2445</v>
      </c>
      <c r="J213" t="s">
        <v>3116</v>
      </c>
      <c r="K213">
        <v>166304</v>
      </c>
      <c r="L213" s="92" t="s">
        <v>97</v>
      </c>
      <c r="M213">
        <v>5401060725</v>
      </c>
      <c r="N213" s="20">
        <v>10</v>
      </c>
      <c r="O213" s="22" t="s">
        <v>2410</v>
      </c>
      <c r="P213" s="22" t="s">
        <v>2410</v>
      </c>
      <c r="Q213" t="s">
        <v>3114</v>
      </c>
      <c r="R213" t="s">
        <v>3133</v>
      </c>
      <c r="S213" s="7">
        <v>8000</v>
      </c>
      <c r="T213" s="7">
        <v>8000</v>
      </c>
      <c r="U213" s="7">
        <v>8000</v>
      </c>
      <c r="V213" s="7"/>
      <c r="W213" s="7"/>
      <c r="X213" s="7">
        <f t="shared" si="21"/>
        <v>0</v>
      </c>
      <c r="Y213" s="5">
        <f t="shared" si="24"/>
        <v>0</v>
      </c>
      <c r="Z213" s="21"/>
      <c r="AA213" s="29">
        <f>SUMPRODUCT((BIdetails!$J$5:$J$3000=M213)*(BIdetails!$K$5:$K$3000=N213)*(BIdetails!$M$5:$M$3000))</f>
        <v>0</v>
      </c>
      <c r="AB213" s="30">
        <f t="shared" si="22"/>
        <v>0</v>
      </c>
      <c r="AC213" s="27"/>
      <c r="AD213" s="27"/>
      <c r="AE213" s="27"/>
      <c r="AF213" s="27"/>
    </row>
    <row r="214" spans="1:32" hidden="1" x14ac:dyDescent="0.25">
      <c r="A214" t="s">
        <v>3094</v>
      </c>
      <c r="B214" t="str">
        <f t="shared" si="20"/>
        <v>No Change</v>
      </c>
      <c r="C214" t="s">
        <v>2414</v>
      </c>
      <c r="D214" t="s">
        <v>3450</v>
      </c>
      <c r="E214">
        <v>68427709</v>
      </c>
      <c r="F214" s="91" t="s">
        <v>19</v>
      </c>
      <c r="G214" t="s">
        <v>20</v>
      </c>
      <c r="H214" t="s">
        <v>16</v>
      </c>
      <c r="I214" t="s">
        <v>2445</v>
      </c>
      <c r="J214" t="s">
        <v>3252</v>
      </c>
      <c r="K214">
        <v>166304</v>
      </c>
      <c r="L214" s="92" t="s">
        <v>97</v>
      </c>
      <c r="M214">
        <v>5401060725</v>
      </c>
      <c r="N214" s="20">
        <v>10</v>
      </c>
      <c r="O214" s="22" t="s">
        <v>2410</v>
      </c>
      <c r="P214" s="22" t="s">
        <v>2410</v>
      </c>
      <c r="Q214" t="s">
        <v>3114</v>
      </c>
      <c r="R214" t="s">
        <v>3133</v>
      </c>
      <c r="S214" s="7">
        <v>100000</v>
      </c>
      <c r="T214" s="7">
        <v>110000</v>
      </c>
      <c r="U214" s="7">
        <v>110000</v>
      </c>
      <c r="V214" s="7"/>
      <c r="W214" s="7"/>
      <c r="X214" s="7">
        <f t="shared" si="21"/>
        <v>0</v>
      </c>
      <c r="Y214" s="5">
        <f t="shared" si="24"/>
        <v>0</v>
      </c>
      <c r="Z214" s="35"/>
      <c r="AA214" s="29">
        <f>SUMPRODUCT((BIdetails!$J$5:$J$3000=M214)*(BIdetails!$K$5:$K$3000=N214)*(BIdetails!$M$5:$M$3000))</f>
        <v>0</v>
      </c>
      <c r="AB214" s="30">
        <f t="shared" si="22"/>
        <v>0</v>
      </c>
      <c r="AC214" s="27"/>
      <c r="AD214" s="27"/>
      <c r="AE214" s="27"/>
      <c r="AF214" s="27"/>
    </row>
    <row r="215" spans="1:32" hidden="1" x14ac:dyDescent="0.25">
      <c r="A215" t="s">
        <v>3094</v>
      </c>
      <c r="B215" t="str">
        <f t="shared" si="20"/>
        <v>No Change</v>
      </c>
      <c r="C215" s="22" t="s">
        <v>3453</v>
      </c>
      <c r="D215" t="s">
        <v>3450</v>
      </c>
      <c r="E215">
        <v>68427709</v>
      </c>
      <c r="F215" s="91" t="s">
        <v>19</v>
      </c>
      <c r="G215" t="s">
        <v>20</v>
      </c>
      <c r="H215" t="s">
        <v>16</v>
      </c>
      <c r="J215" t="s">
        <v>3454</v>
      </c>
      <c r="K215">
        <v>166304</v>
      </c>
      <c r="L215" s="92" t="s">
        <v>97</v>
      </c>
      <c r="M215" s="203">
        <v>5401060725</v>
      </c>
      <c r="N215" s="20">
        <v>10</v>
      </c>
      <c r="O215" s="92" t="s">
        <v>2410</v>
      </c>
      <c r="P215" s="22" t="s">
        <v>2500</v>
      </c>
      <c r="Q215" t="s">
        <v>3170</v>
      </c>
      <c r="R215" t="s">
        <v>517</v>
      </c>
      <c r="S215" s="7"/>
      <c r="T215" s="7">
        <v>40800</v>
      </c>
      <c r="U215" s="7">
        <v>40800</v>
      </c>
      <c r="V215" s="7"/>
      <c r="W215" s="7"/>
      <c r="X215" s="7">
        <f t="shared" si="21"/>
        <v>0</v>
      </c>
      <c r="Y215" s="5">
        <f t="shared" si="24"/>
        <v>0</v>
      </c>
      <c r="Z215" s="21"/>
      <c r="AA215" s="29">
        <f>SUMPRODUCT((BIdetails!$J$5:$J$3000=M215)*(BIdetails!$K$5:$K$3000=N215)*(BIdetails!$M$5:$M$3000))</f>
        <v>0</v>
      </c>
      <c r="AB215" s="30">
        <f t="shared" si="22"/>
        <v>0</v>
      </c>
      <c r="AC215" s="27"/>
      <c r="AD215" s="27"/>
      <c r="AE215" s="27"/>
      <c r="AF215" s="27"/>
    </row>
    <row r="216" spans="1:32" hidden="1" x14ac:dyDescent="0.25">
      <c r="A216" t="s">
        <v>3106</v>
      </c>
      <c r="B216" t="str">
        <f t="shared" si="20"/>
        <v>No Change</v>
      </c>
      <c r="C216" t="s">
        <v>2592</v>
      </c>
      <c r="D216" t="s">
        <v>3432</v>
      </c>
      <c r="E216">
        <v>68427709</v>
      </c>
      <c r="F216" s="91" t="s">
        <v>19</v>
      </c>
      <c r="G216" t="s">
        <v>20</v>
      </c>
      <c r="H216" t="s">
        <v>16</v>
      </c>
      <c r="J216" t="s">
        <v>3296</v>
      </c>
      <c r="K216">
        <v>166304</v>
      </c>
      <c r="L216" s="92" t="s">
        <v>97</v>
      </c>
      <c r="M216"/>
      <c r="O216" s="22" t="s">
        <v>2410</v>
      </c>
      <c r="P216" s="22" t="s">
        <v>2410</v>
      </c>
      <c r="Q216" t="s">
        <v>3170</v>
      </c>
      <c r="R216" t="s">
        <v>517</v>
      </c>
      <c r="S216" s="7">
        <v>150000</v>
      </c>
      <c r="T216" s="7">
        <v>0</v>
      </c>
      <c r="U216" s="7">
        <v>0</v>
      </c>
      <c r="V216" s="7"/>
      <c r="W216" s="7"/>
      <c r="X216" s="7">
        <f t="shared" si="21"/>
        <v>0</v>
      </c>
      <c r="Y216" s="5">
        <f t="shared" si="24"/>
        <v>0</v>
      </c>
      <c r="Z216" s="35"/>
      <c r="AA216" s="29">
        <f>SUMPRODUCT((BIdetails!$J$5:$J$3000=M216)*(BIdetails!$K$5:$K$3000=N216)*(BIdetails!$M$5:$M$3000))</f>
        <v>0</v>
      </c>
      <c r="AB216" s="30" t="str">
        <f t="shared" si="22"/>
        <v/>
      </c>
      <c r="AC216" s="27" t="s">
        <v>3099</v>
      </c>
      <c r="AD216" s="27" t="s">
        <v>3100</v>
      </c>
      <c r="AE216" s="27" t="s">
        <v>3101</v>
      </c>
      <c r="AF216" s="27"/>
    </row>
    <row r="217" spans="1:32" hidden="1" x14ac:dyDescent="0.25">
      <c r="A217" t="s">
        <v>3094</v>
      </c>
      <c r="B217" t="str">
        <f t="shared" si="20"/>
        <v>Increase</v>
      </c>
      <c r="C217" t="s">
        <v>2020</v>
      </c>
      <c r="D217" t="s">
        <v>3450</v>
      </c>
      <c r="E217">
        <v>68427709</v>
      </c>
      <c r="F217" s="91" t="s">
        <v>19</v>
      </c>
      <c r="G217" t="s">
        <v>20</v>
      </c>
      <c r="H217" t="s">
        <v>16</v>
      </c>
      <c r="I217" t="s">
        <v>2445</v>
      </c>
      <c r="J217" t="s">
        <v>3116</v>
      </c>
      <c r="K217">
        <v>166304</v>
      </c>
      <c r="L217" s="92" t="s">
        <v>97</v>
      </c>
      <c r="M217">
        <v>5401060725</v>
      </c>
      <c r="N217" s="20">
        <v>10</v>
      </c>
      <c r="O217" s="22" t="s">
        <v>2410</v>
      </c>
      <c r="P217" s="22" t="s">
        <v>2410</v>
      </c>
      <c r="Q217" t="s">
        <v>3114</v>
      </c>
      <c r="R217" t="s">
        <v>3133</v>
      </c>
      <c r="S217" s="7">
        <v>1250000</v>
      </c>
      <c r="T217" s="7">
        <v>1250000</v>
      </c>
      <c r="U217" s="7">
        <v>1350000</v>
      </c>
      <c r="V217" s="7"/>
      <c r="W217" s="7"/>
      <c r="X217" s="7">
        <f t="shared" si="21"/>
        <v>100000</v>
      </c>
      <c r="Y217" s="5">
        <f t="shared" si="24"/>
        <v>0.08</v>
      </c>
      <c r="Z217" s="35"/>
      <c r="AA217" s="29">
        <f>SUMPRODUCT((BIdetails!$J$5:$J$3000=M217)*(BIdetails!$K$5:$K$3000=N217)*(BIdetails!$M$5:$M$3000))</f>
        <v>0</v>
      </c>
      <c r="AB217" s="30">
        <f t="shared" si="22"/>
        <v>0</v>
      </c>
      <c r="AC217" s="27" t="s">
        <v>845</v>
      </c>
      <c r="AD217" s="27" t="s">
        <v>3162</v>
      </c>
      <c r="AE217" s="27" t="s">
        <v>3163</v>
      </c>
      <c r="AF217" s="27"/>
    </row>
    <row r="218" spans="1:32" hidden="1" x14ac:dyDescent="0.25">
      <c r="A218" t="s">
        <v>3094</v>
      </c>
      <c r="B218" t="str">
        <f t="shared" si="20"/>
        <v>New</v>
      </c>
      <c r="C218" s="22" t="s">
        <v>2949</v>
      </c>
      <c r="D218" t="s">
        <v>3450</v>
      </c>
      <c r="E218">
        <v>68427709</v>
      </c>
      <c r="F218" s="91" t="s">
        <v>19</v>
      </c>
      <c r="G218" t="s">
        <v>20</v>
      </c>
      <c r="H218" t="s">
        <v>16</v>
      </c>
      <c r="I218" t="s">
        <v>2448</v>
      </c>
      <c r="J218" t="s">
        <v>3189</v>
      </c>
      <c r="K218">
        <v>166304</v>
      </c>
      <c r="L218" s="92" t="s">
        <v>97</v>
      </c>
      <c r="M218" s="203">
        <v>5401060727</v>
      </c>
      <c r="N218" s="20">
        <v>10</v>
      </c>
      <c r="O218" s="92" t="s">
        <v>2410</v>
      </c>
      <c r="P218" s="22"/>
      <c r="Q218" t="s">
        <v>3124</v>
      </c>
      <c r="R218" t="s">
        <v>2903</v>
      </c>
      <c r="S218" s="7"/>
      <c r="T218" s="7"/>
      <c r="U218" s="7">
        <v>400000</v>
      </c>
      <c r="V218" s="7"/>
      <c r="W218" s="7"/>
      <c r="X218" s="7">
        <f t="shared" si="21"/>
        <v>400000</v>
      </c>
      <c r="Y218" s="5">
        <f t="shared" si="24"/>
        <v>1</v>
      </c>
      <c r="Z218" s="117"/>
      <c r="AA218" s="29">
        <f>SUMPRODUCT((BIdetails!$J$5:$J$3000=M218)*(BIdetails!$K$5:$K$3000=N218)*(BIdetails!$M$5:$M$3000))</f>
        <v>0</v>
      </c>
      <c r="AB218" s="30">
        <f t="shared" si="22"/>
        <v>0</v>
      </c>
      <c r="AC218" s="27"/>
      <c r="AD218" s="27"/>
      <c r="AE218" s="27"/>
      <c r="AF218" s="27"/>
    </row>
    <row r="219" spans="1:32" hidden="1" x14ac:dyDescent="0.25">
      <c r="A219" t="s">
        <v>3094</v>
      </c>
      <c r="B219" t="str">
        <f t="shared" si="20"/>
        <v>No Change</v>
      </c>
      <c r="C219" t="s">
        <v>2416</v>
      </c>
      <c r="D219" t="s">
        <v>3450</v>
      </c>
      <c r="E219">
        <v>68427709</v>
      </c>
      <c r="F219" s="91" t="s">
        <v>19</v>
      </c>
      <c r="G219" t="s">
        <v>20</v>
      </c>
      <c r="H219" t="s">
        <v>16</v>
      </c>
      <c r="I219" t="s">
        <v>2445</v>
      </c>
      <c r="J219" t="s">
        <v>3313</v>
      </c>
      <c r="K219">
        <v>166304</v>
      </c>
      <c r="L219" s="92" t="s">
        <v>97</v>
      </c>
      <c r="M219">
        <v>5401060725</v>
      </c>
      <c r="N219" s="20">
        <v>10</v>
      </c>
      <c r="O219" s="22" t="s">
        <v>2410</v>
      </c>
      <c r="P219" s="22" t="s">
        <v>2410</v>
      </c>
      <c r="Q219" t="s">
        <v>3114</v>
      </c>
      <c r="R219" t="s">
        <v>3133</v>
      </c>
      <c r="S219" s="7">
        <v>170000</v>
      </c>
      <c r="T219" s="7">
        <v>170000</v>
      </c>
      <c r="U219" s="7">
        <v>170000</v>
      </c>
      <c r="V219" s="7"/>
      <c r="W219" s="7"/>
      <c r="X219" s="7">
        <f t="shared" si="21"/>
        <v>0</v>
      </c>
      <c r="Y219" s="5">
        <f t="shared" si="24"/>
        <v>0</v>
      </c>
      <c r="Z219" s="35"/>
      <c r="AA219" s="29">
        <f>SUMPRODUCT((BIdetails!$J$5:$J$3000=M219)*(BIdetails!$K$5:$K$3000=N219)*(BIdetails!$M$5:$M$3000))</f>
        <v>0</v>
      </c>
      <c r="AB219" s="30">
        <f t="shared" si="22"/>
        <v>0</v>
      </c>
      <c r="AC219" s="27"/>
      <c r="AD219" s="27"/>
      <c r="AE219" s="27"/>
      <c r="AF219" s="27"/>
    </row>
    <row r="220" spans="1:32" hidden="1" x14ac:dyDescent="0.25">
      <c r="A220" t="s">
        <v>3094</v>
      </c>
      <c r="B220" t="str">
        <f t="shared" si="20"/>
        <v>No Change</v>
      </c>
      <c r="C220" t="s">
        <v>2023</v>
      </c>
      <c r="D220" t="s">
        <v>3450</v>
      </c>
      <c r="E220">
        <v>68427709</v>
      </c>
      <c r="F220" s="91" t="s">
        <v>19</v>
      </c>
      <c r="G220" t="s">
        <v>20</v>
      </c>
      <c r="H220" t="s">
        <v>16</v>
      </c>
      <c r="I220" t="s">
        <v>2445</v>
      </c>
      <c r="J220" s="228" t="s">
        <v>3455</v>
      </c>
      <c r="K220">
        <v>166304</v>
      </c>
      <c r="L220" s="92" t="s">
        <v>97</v>
      </c>
      <c r="M220">
        <v>5401060725</v>
      </c>
      <c r="N220" s="20">
        <v>10</v>
      </c>
      <c r="O220" s="22" t="s">
        <v>2410</v>
      </c>
      <c r="P220" s="22" t="s">
        <v>3149</v>
      </c>
      <c r="Q220" t="s">
        <v>3114</v>
      </c>
      <c r="R220" t="s">
        <v>3133</v>
      </c>
      <c r="S220" s="7">
        <v>140000</v>
      </c>
      <c r="T220" s="7">
        <v>185000</v>
      </c>
      <c r="U220" s="7">
        <v>185000</v>
      </c>
      <c r="V220" s="7"/>
      <c r="W220" s="7"/>
      <c r="X220" s="7">
        <f t="shared" si="21"/>
        <v>0</v>
      </c>
      <c r="Y220" s="5">
        <f t="shared" si="24"/>
        <v>0</v>
      </c>
      <c r="Z220" s="35"/>
      <c r="AA220" s="29">
        <f>SUMPRODUCT((BIdetails!$J$5:$J$3000=M220)*(BIdetails!$K$5:$K$3000=N220)*(BIdetails!$M$5:$M$3000))</f>
        <v>0</v>
      </c>
      <c r="AB220" s="30">
        <f t="shared" si="22"/>
        <v>0</v>
      </c>
      <c r="AC220" s="27" t="s">
        <v>3110</v>
      </c>
      <c r="AD220" s="27" t="s">
        <v>3100</v>
      </c>
      <c r="AE220" s="27" t="s">
        <v>3101</v>
      </c>
      <c r="AF220" s="27"/>
    </row>
    <row r="221" spans="1:32" hidden="1" x14ac:dyDescent="0.25">
      <c r="A221" t="s">
        <v>3094</v>
      </c>
      <c r="B221" t="str">
        <f t="shared" si="20"/>
        <v>Decrease</v>
      </c>
      <c r="C221" t="s">
        <v>2413</v>
      </c>
      <c r="D221" t="s">
        <v>3450</v>
      </c>
      <c r="E221">
        <v>68427709</v>
      </c>
      <c r="F221" s="91" t="s">
        <v>19</v>
      </c>
      <c r="G221" t="s">
        <v>20</v>
      </c>
      <c r="H221" t="s">
        <v>16</v>
      </c>
      <c r="I221" t="s">
        <v>2445</v>
      </c>
      <c r="J221" t="s">
        <v>3116</v>
      </c>
      <c r="K221">
        <v>166304</v>
      </c>
      <c r="L221" s="92" t="s">
        <v>97</v>
      </c>
      <c r="M221">
        <v>5401060725</v>
      </c>
      <c r="N221" s="20">
        <v>10</v>
      </c>
      <c r="O221" s="22" t="s">
        <v>2410</v>
      </c>
      <c r="P221" s="22" t="s">
        <v>2410</v>
      </c>
      <c r="Q221" t="s">
        <v>3114</v>
      </c>
      <c r="R221" t="s">
        <v>3133</v>
      </c>
      <c r="S221" s="7">
        <v>600000</v>
      </c>
      <c r="T221" s="7">
        <v>430000</v>
      </c>
      <c r="U221" s="7">
        <v>10000</v>
      </c>
      <c r="V221" s="7"/>
      <c r="W221" s="7"/>
      <c r="X221" s="7">
        <f t="shared" si="21"/>
        <v>-420000</v>
      </c>
      <c r="Y221" s="5">
        <f t="shared" si="24"/>
        <v>-0.97674418604651159</v>
      </c>
      <c r="Z221" s="35"/>
      <c r="AA221" s="29">
        <f>SUMPRODUCT((BIdetails!$J$5:$J$3000=M221)*(BIdetails!$K$5:$K$3000=N221)*(BIdetails!$M$5:$M$3000))</f>
        <v>0</v>
      </c>
      <c r="AB221" s="30">
        <f t="shared" si="22"/>
        <v>0</v>
      </c>
      <c r="AC221" s="27"/>
      <c r="AD221" s="27"/>
      <c r="AE221" s="27"/>
      <c r="AF221" s="27"/>
    </row>
    <row r="222" spans="1:32" hidden="1" x14ac:dyDescent="0.25">
      <c r="A222" t="s">
        <v>3094</v>
      </c>
      <c r="B222" t="str">
        <f t="shared" si="20"/>
        <v>New</v>
      </c>
      <c r="C222" s="22" t="s">
        <v>3456</v>
      </c>
      <c r="D222" t="s">
        <v>3457</v>
      </c>
      <c r="E222">
        <v>68427709</v>
      </c>
      <c r="F222" s="91" t="s">
        <v>19</v>
      </c>
      <c r="G222" t="s">
        <v>20</v>
      </c>
      <c r="H222" t="s">
        <v>16</v>
      </c>
      <c r="J222" t="s">
        <v>3458</v>
      </c>
      <c r="K222">
        <v>166304</v>
      </c>
      <c r="L222" s="92" t="s">
        <v>97</v>
      </c>
      <c r="M222" s="203">
        <v>5401060860</v>
      </c>
      <c r="N222" s="20">
        <v>10</v>
      </c>
      <c r="O222" s="22" t="s">
        <v>2410</v>
      </c>
      <c r="P222" s="22" t="s">
        <v>3244</v>
      </c>
      <c r="Q222" s="22" t="s">
        <v>3170</v>
      </c>
      <c r="R222" s="22" t="s">
        <v>3120</v>
      </c>
      <c r="S222" s="7"/>
      <c r="T222" s="7"/>
      <c r="U222" s="7">
        <v>25000</v>
      </c>
      <c r="V222" s="7"/>
      <c r="W222" s="7"/>
      <c r="X222" s="7">
        <f t="shared" si="21"/>
        <v>25000</v>
      </c>
      <c r="Y222" s="5">
        <f t="shared" si="24"/>
        <v>1</v>
      </c>
      <c r="Z222" s="21"/>
      <c r="AA222" s="29">
        <f>SUMPRODUCT((BIdetails!$J$5:$J$3000=M222)*(BIdetails!$K$5:$K$3000=N222)*(BIdetails!$M$5:$M$3000))</f>
        <v>0</v>
      </c>
      <c r="AB222" s="30">
        <f t="shared" si="22"/>
        <v>0</v>
      </c>
      <c r="AC222" s="27"/>
      <c r="AD222" s="27"/>
      <c r="AE222" s="27"/>
      <c r="AF222" s="27"/>
    </row>
    <row r="223" spans="1:32" hidden="1" x14ac:dyDescent="0.25">
      <c r="A223" t="s">
        <v>3094</v>
      </c>
      <c r="B223" t="str">
        <f t="shared" si="20"/>
        <v>Increase</v>
      </c>
      <c r="C223" t="s">
        <v>786</v>
      </c>
      <c r="D223" t="s">
        <v>3457</v>
      </c>
      <c r="E223">
        <v>68427709</v>
      </c>
      <c r="F223" s="91" t="s">
        <v>19</v>
      </c>
      <c r="G223" t="s">
        <v>20</v>
      </c>
      <c r="H223" t="s">
        <v>16</v>
      </c>
      <c r="I223" t="s">
        <v>2445</v>
      </c>
      <c r="J223" t="s">
        <v>3116</v>
      </c>
      <c r="K223">
        <v>166304</v>
      </c>
      <c r="L223" s="92" t="s">
        <v>97</v>
      </c>
      <c r="M223">
        <v>5401060702</v>
      </c>
      <c r="N223" s="20">
        <v>10</v>
      </c>
      <c r="O223" s="22" t="s">
        <v>2410</v>
      </c>
      <c r="P223" s="22" t="s">
        <v>2410</v>
      </c>
      <c r="Q223" t="s">
        <v>3114</v>
      </c>
      <c r="R223" t="s">
        <v>3133</v>
      </c>
      <c r="S223" s="7">
        <v>4200000</v>
      </c>
      <c r="T223" s="7">
        <v>4500000</v>
      </c>
      <c r="U223" s="7">
        <v>5450000</v>
      </c>
      <c r="V223" s="7"/>
      <c r="W223" s="7"/>
      <c r="X223" s="7">
        <f t="shared" si="21"/>
        <v>950000</v>
      </c>
      <c r="Y223" s="5">
        <f t="shared" si="24"/>
        <v>0.21111111111111111</v>
      </c>
      <c r="Z223" s="35"/>
      <c r="AA223" s="29">
        <f>SUMPRODUCT((BIdetails!$J$5:$J$3000=M223)*(BIdetails!$K$5:$K$3000=N223)*(BIdetails!$M$5:$M$3000))</f>
        <v>0</v>
      </c>
      <c r="AB223" s="30">
        <f t="shared" si="22"/>
        <v>0</v>
      </c>
      <c r="AC223" s="27" t="s">
        <v>845</v>
      </c>
      <c r="AD223" s="27" t="s">
        <v>3100</v>
      </c>
      <c r="AE223" s="27" t="s">
        <v>3118</v>
      </c>
      <c r="AF223" s="27"/>
    </row>
    <row r="224" spans="1:32" hidden="1" x14ac:dyDescent="0.25">
      <c r="A224" t="s">
        <v>3094</v>
      </c>
      <c r="B224" t="str">
        <f t="shared" si="20"/>
        <v>Increase</v>
      </c>
      <c r="C224" t="s">
        <v>782</v>
      </c>
      <c r="D224" t="s">
        <v>3459</v>
      </c>
      <c r="E224">
        <v>68427709</v>
      </c>
      <c r="F224" s="91" t="s">
        <v>19</v>
      </c>
      <c r="G224" t="s">
        <v>20</v>
      </c>
      <c r="H224" t="s">
        <v>16</v>
      </c>
      <c r="I224" t="s">
        <v>2445</v>
      </c>
      <c r="J224" t="s">
        <v>3116</v>
      </c>
      <c r="K224">
        <v>117627</v>
      </c>
      <c r="L224" s="22" t="s">
        <v>3460</v>
      </c>
      <c r="M224" s="203">
        <v>5400996228</v>
      </c>
      <c r="N224" s="20">
        <v>10</v>
      </c>
      <c r="O224" s="22" t="s">
        <v>2410</v>
      </c>
      <c r="P224" s="22" t="s">
        <v>3132</v>
      </c>
      <c r="Q224" t="s">
        <v>3114</v>
      </c>
      <c r="R224" t="s">
        <v>3133</v>
      </c>
      <c r="S224" s="7">
        <v>300000</v>
      </c>
      <c r="T224" s="7">
        <v>450000</v>
      </c>
      <c r="U224" s="7">
        <v>525000</v>
      </c>
      <c r="V224" s="7"/>
      <c r="W224" s="7"/>
      <c r="X224" s="7">
        <f t="shared" si="21"/>
        <v>75000</v>
      </c>
      <c r="Y224" s="5">
        <f t="shared" si="24"/>
        <v>0.16666666666666666</v>
      </c>
      <c r="Z224" s="35"/>
      <c r="AA224" s="29">
        <f>SUMPRODUCT((BIdetails!$J$5:$J$3000=M224)*(BIdetails!$K$5:$K$3000=N224)*(BIdetails!$M$5:$M$3000))</f>
        <v>0</v>
      </c>
      <c r="AB224" s="30">
        <f t="shared" si="22"/>
        <v>0</v>
      </c>
      <c r="AC224" s="27"/>
      <c r="AD224" s="27"/>
      <c r="AE224" s="27"/>
      <c r="AF224" s="27"/>
    </row>
    <row r="225" spans="1:32" hidden="1" x14ac:dyDescent="0.25">
      <c r="A225" t="s">
        <v>3094</v>
      </c>
      <c r="B225" t="str">
        <f t="shared" si="20"/>
        <v>Decrease</v>
      </c>
      <c r="C225" t="s">
        <v>787</v>
      </c>
      <c r="D225" t="s">
        <v>3457</v>
      </c>
      <c r="E225">
        <v>68427709</v>
      </c>
      <c r="F225" s="91" t="s">
        <v>19</v>
      </c>
      <c r="G225" t="s">
        <v>20</v>
      </c>
      <c r="H225" t="s">
        <v>16</v>
      </c>
      <c r="I225" t="s">
        <v>2445</v>
      </c>
      <c r="J225" t="s">
        <v>3116</v>
      </c>
      <c r="K225">
        <v>166304</v>
      </c>
      <c r="L225" s="92" t="s">
        <v>97</v>
      </c>
      <c r="M225">
        <v>5401060702</v>
      </c>
      <c r="N225" s="20">
        <v>10</v>
      </c>
      <c r="O225" s="22" t="s">
        <v>2410</v>
      </c>
      <c r="P225" s="22" t="s">
        <v>2410</v>
      </c>
      <c r="Q225" t="s">
        <v>3114</v>
      </c>
      <c r="R225" t="s">
        <v>3133</v>
      </c>
      <c r="S225" s="7">
        <v>275000</v>
      </c>
      <c r="T225" s="7">
        <v>275000</v>
      </c>
      <c r="U225" s="7">
        <v>250000</v>
      </c>
      <c r="V225" s="7"/>
      <c r="W225" s="7"/>
      <c r="X225" s="7">
        <f t="shared" si="21"/>
        <v>-25000</v>
      </c>
      <c r="Y225" s="5">
        <f t="shared" si="24"/>
        <v>-9.0909090909090912E-2</v>
      </c>
      <c r="Z225" s="35"/>
      <c r="AA225" s="29">
        <f>SUMPRODUCT((BIdetails!$J$5:$J$3000=M225)*(BIdetails!$K$5:$K$3000=N225)*(BIdetails!$M$5:$M$3000))</f>
        <v>0</v>
      </c>
      <c r="AB225" s="30">
        <f t="shared" si="22"/>
        <v>0</v>
      </c>
      <c r="AC225" s="27"/>
      <c r="AD225" s="27"/>
      <c r="AE225" s="27"/>
      <c r="AF225" s="27"/>
    </row>
    <row r="226" spans="1:32" hidden="1" x14ac:dyDescent="0.25">
      <c r="A226" t="s">
        <v>3094</v>
      </c>
      <c r="B226" t="str">
        <f t="shared" si="20"/>
        <v>New</v>
      </c>
      <c r="C226" s="22" t="s">
        <v>2959</v>
      </c>
      <c r="D226" t="s">
        <v>3450</v>
      </c>
      <c r="E226">
        <v>68427709</v>
      </c>
      <c r="F226" s="91" t="s">
        <v>59</v>
      </c>
      <c r="G226" t="s">
        <v>60</v>
      </c>
      <c r="H226" t="s">
        <v>46</v>
      </c>
      <c r="I226" t="s">
        <v>2448</v>
      </c>
      <c r="J226" t="s">
        <v>3189</v>
      </c>
      <c r="K226">
        <v>166304</v>
      </c>
      <c r="L226" s="22" t="s">
        <v>97</v>
      </c>
      <c r="M226" s="203">
        <v>5401060727</v>
      </c>
      <c r="N226" s="20">
        <v>10</v>
      </c>
      <c r="O226" s="92" t="s">
        <v>2410</v>
      </c>
      <c r="P226" s="22"/>
      <c r="Q226" t="s">
        <v>3124</v>
      </c>
      <c r="R226" t="s">
        <v>2903</v>
      </c>
      <c r="S226" s="7"/>
      <c r="T226" s="7"/>
      <c r="U226" s="7">
        <v>97200</v>
      </c>
      <c r="V226" s="7"/>
      <c r="W226" s="7"/>
      <c r="X226" s="7">
        <f t="shared" si="21"/>
        <v>97200</v>
      </c>
      <c r="Y226" s="5">
        <f t="shared" si="24"/>
        <v>1</v>
      </c>
      <c r="Z226" s="21"/>
      <c r="AA226" s="29">
        <f>SUMPRODUCT((BIdetails!$J$5:$J$3000=M226)*(BIdetails!$K$5:$K$3000=N226)*(BIdetails!$M$5:$M$3000))</f>
        <v>0</v>
      </c>
      <c r="AB226" s="30">
        <f t="shared" si="22"/>
        <v>0</v>
      </c>
      <c r="AC226" s="27"/>
      <c r="AD226" s="27"/>
      <c r="AE226" s="27"/>
      <c r="AF226" s="27"/>
    </row>
    <row r="227" spans="1:32" hidden="1" x14ac:dyDescent="0.25">
      <c r="A227" t="s">
        <v>3094</v>
      </c>
      <c r="B227" t="str">
        <f t="shared" si="20"/>
        <v>Increase</v>
      </c>
      <c r="C227" s="22" t="s">
        <v>2943</v>
      </c>
      <c r="D227" t="s">
        <v>3457</v>
      </c>
      <c r="E227">
        <v>68427709</v>
      </c>
      <c r="F227" s="91" t="s">
        <v>19</v>
      </c>
      <c r="G227" t="s">
        <v>20</v>
      </c>
      <c r="H227" t="s">
        <v>16</v>
      </c>
      <c r="J227" t="s">
        <v>3461</v>
      </c>
      <c r="K227">
        <v>166304</v>
      </c>
      <c r="L227" s="92" t="s">
        <v>97</v>
      </c>
      <c r="M227" s="203">
        <v>5401060702</v>
      </c>
      <c r="N227" s="20">
        <v>10</v>
      </c>
      <c r="O227" s="22" t="s">
        <v>2410</v>
      </c>
      <c r="P227" s="22" t="s">
        <v>3244</v>
      </c>
      <c r="Q227" t="s">
        <v>3114</v>
      </c>
      <c r="R227" t="s">
        <v>3136</v>
      </c>
      <c r="S227" s="7"/>
      <c r="T227" s="7">
        <v>50000</v>
      </c>
      <c r="U227" s="7">
        <v>75000</v>
      </c>
      <c r="V227" s="7"/>
      <c r="W227" s="7"/>
      <c r="X227" s="7">
        <f t="shared" si="21"/>
        <v>25000</v>
      </c>
      <c r="Y227" s="5">
        <f t="shared" si="24"/>
        <v>0.5</v>
      </c>
      <c r="Z227" s="21"/>
      <c r="AA227" s="29">
        <f>SUMPRODUCT((BIdetails!$J$5:$J$3000=M227)*(BIdetails!$K$5:$K$3000=N227)*(BIdetails!$M$5:$M$3000))</f>
        <v>0</v>
      </c>
      <c r="AB227" s="30">
        <f t="shared" si="22"/>
        <v>0</v>
      </c>
      <c r="AC227" s="27"/>
      <c r="AD227" s="27"/>
      <c r="AE227" s="27"/>
      <c r="AF227" s="27"/>
    </row>
    <row r="228" spans="1:32" hidden="1" x14ac:dyDescent="0.25">
      <c r="A228" t="s">
        <v>3094</v>
      </c>
      <c r="B228" t="str">
        <f t="shared" si="20"/>
        <v>No Change</v>
      </c>
      <c r="C228" s="22" t="s">
        <v>3462</v>
      </c>
      <c r="D228" t="s">
        <v>3463</v>
      </c>
      <c r="E228">
        <v>68427709</v>
      </c>
      <c r="F228" s="91" t="s">
        <v>59</v>
      </c>
      <c r="G228" t="s">
        <v>60</v>
      </c>
      <c r="H228" t="s">
        <v>46</v>
      </c>
      <c r="J228" t="s">
        <v>3451</v>
      </c>
      <c r="K228">
        <v>166304</v>
      </c>
      <c r="L228" s="92" t="s">
        <v>97</v>
      </c>
      <c r="M228">
        <v>5401060702</v>
      </c>
      <c r="N228" s="20">
        <v>10</v>
      </c>
      <c r="O228" s="22" t="s">
        <v>3149</v>
      </c>
      <c r="P228" s="22" t="s">
        <v>3149</v>
      </c>
      <c r="Q228" t="s">
        <v>3114</v>
      </c>
      <c r="R228" t="s">
        <v>1046</v>
      </c>
      <c r="S228" s="7">
        <v>84000</v>
      </c>
      <c r="T228" s="7">
        <v>137500</v>
      </c>
      <c r="U228" s="7">
        <v>137500</v>
      </c>
      <c r="V228" s="7"/>
      <c r="W228" s="7"/>
      <c r="X228" s="7">
        <f t="shared" si="21"/>
        <v>0</v>
      </c>
      <c r="Y228" s="5">
        <f t="shared" si="24"/>
        <v>0</v>
      </c>
      <c r="Z228" s="21"/>
      <c r="AA228" s="29">
        <f>SUMPRODUCT((BIdetails!$J$5:$J$3000=M228)*(BIdetails!$K$5:$K$3000=N228)*(BIdetails!$M$5:$M$3000))</f>
        <v>0</v>
      </c>
      <c r="AB228" s="30">
        <f t="shared" si="22"/>
        <v>0</v>
      </c>
      <c r="AC228" s="27"/>
      <c r="AD228" s="27"/>
      <c r="AE228" s="27"/>
      <c r="AF228" s="27"/>
    </row>
    <row r="229" spans="1:32" hidden="1" x14ac:dyDescent="0.25">
      <c r="A229" t="s">
        <v>3094</v>
      </c>
      <c r="B229" t="str">
        <f t="shared" si="20"/>
        <v>No Change</v>
      </c>
      <c r="C229" t="s">
        <v>2666</v>
      </c>
      <c r="D229" t="s">
        <v>3457</v>
      </c>
      <c r="E229">
        <v>68427709</v>
      </c>
      <c r="F229" s="91" t="s">
        <v>19</v>
      </c>
      <c r="G229" t="s">
        <v>20</v>
      </c>
      <c r="H229" s="91" t="s">
        <v>16</v>
      </c>
      <c r="I229" t="s">
        <v>2445</v>
      </c>
      <c r="J229" t="s">
        <v>3116</v>
      </c>
      <c r="K229">
        <v>166304</v>
      </c>
      <c r="L229" s="92" t="s">
        <v>97</v>
      </c>
      <c r="M229">
        <v>5401060702</v>
      </c>
      <c r="N229" s="20">
        <v>10</v>
      </c>
      <c r="O229" s="22" t="s">
        <v>2410</v>
      </c>
      <c r="P229" s="22" t="s">
        <v>2410</v>
      </c>
      <c r="Q229" t="s">
        <v>3114</v>
      </c>
      <c r="R229" t="s">
        <v>3133</v>
      </c>
      <c r="S229" s="7">
        <v>50000</v>
      </c>
      <c r="T229" s="7">
        <v>125000</v>
      </c>
      <c r="U229" s="7">
        <v>125000</v>
      </c>
      <c r="V229" s="7"/>
      <c r="W229" s="7"/>
      <c r="X229" s="7">
        <f t="shared" si="21"/>
        <v>0</v>
      </c>
      <c r="Y229" s="5">
        <f t="shared" si="24"/>
        <v>0</v>
      </c>
      <c r="Z229" s="21"/>
      <c r="AA229" s="29">
        <f>SUMPRODUCT((BIdetails!$J$5:$J$3000=M229)*(BIdetails!$K$5:$K$3000=N229)*(BIdetails!$M$5:$M$3000))</f>
        <v>0</v>
      </c>
      <c r="AB229" s="30">
        <f t="shared" si="22"/>
        <v>0</v>
      </c>
      <c r="AC229" s="27"/>
      <c r="AD229" s="27"/>
      <c r="AE229" s="27"/>
      <c r="AF229" s="27"/>
    </row>
    <row r="230" spans="1:32" hidden="1" x14ac:dyDescent="0.25">
      <c r="A230" t="s">
        <v>3094</v>
      </c>
      <c r="B230" t="str">
        <f t="shared" si="20"/>
        <v>No Change</v>
      </c>
      <c r="C230" t="s">
        <v>1105</v>
      </c>
      <c r="D230" t="s">
        <v>3227</v>
      </c>
      <c r="E230">
        <v>68427709</v>
      </c>
      <c r="F230" s="91" t="s">
        <v>59</v>
      </c>
      <c r="G230" t="s">
        <v>60</v>
      </c>
      <c r="H230" t="s">
        <v>46</v>
      </c>
      <c r="J230" t="s">
        <v>3464</v>
      </c>
      <c r="K230">
        <v>123087</v>
      </c>
      <c r="L230" t="s">
        <v>3465</v>
      </c>
      <c r="M230" s="20">
        <v>5400938327</v>
      </c>
      <c r="N230" s="20">
        <v>30</v>
      </c>
      <c r="O230" t="s">
        <v>2870</v>
      </c>
      <c r="P230" s="22" t="s">
        <v>3183</v>
      </c>
      <c r="Q230" t="s">
        <v>3114</v>
      </c>
      <c r="R230" t="s">
        <v>3125</v>
      </c>
      <c r="S230" s="7">
        <v>50000</v>
      </c>
      <c r="T230" s="7">
        <v>50000</v>
      </c>
      <c r="U230" s="7">
        <v>50000</v>
      </c>
      <c r="V230" s="7"/>
      <c r="W230" s="7"/>
      <c r="X230" s="7">
        <f t="shared" si="21"/>
        <v>0</v>
      </c>
      <c r="Y230" s="5">
        <f t="shared" si="24"/>
        <v>0</v>
      </c>
      <c r="Z230" s="35"/>
      <c r="AA230" s="29">
        <f>SUMPRODUCT((BIdetails!$J$5:$J$3000=M230)*(BIdetails!$K$5:$K$3000=N230)*(BIdetails!$M$5:$M$3000))</f>
        <v>0</v>
      </c>
      <c r="AB230" s="30">
        <f t="shared" si="22"/>
        <v>0</v>
      </c>
      <c r="AC230" s="27" t="s">
        <v>3099</v>
      </c>
      <c r="AD230" s="27" t="s">
        <v>3100</v>
      </c>
      <c r="AE230" s="27"/>
      <c r="AF230" s="27"/>
    </row>
    <row r="231" spans="1:32" hidden="1" x14ac:dyDescent="0.25">
      <c r="A231" t="s">
        <v>3094</v>
      </c>
      <c r="B231" t="str">
        <f t="shared" si="20"/>
        <v>Decrease</v>
      </c>
      <c r="C231" t="s">
        <v>1569</v>
      </c>
      <c r="E231">
        <v>68427709</v>
      </c>
      <c r="F231" s="91" t="s">
        <v>38</v>
      </c>
      <c r="G231" t="s">
        <v>39</v>
      </c>
      <c r="H231" t="s">
        <v>33</v>
      </c>
      <c r="I231" t="s">
        <v>2448</v>
      </c>
      <c r="J231" t="s">
        <v>3189</v>
      </c>
      <c r="K231">
        <v>187516</v>
      </c>
      <c r="L231" s="92" t="s">
        <v>3117</v>
      </c>
      <c r="O231" s="22" t="s">
        <v>2410</v>
      </c>
      <c r="P231" s="22" t="s">
        <v>2410</v>
      </c>
      <c r="Q231" s="201" t="s">
        <v>3124</v>
      </c>
      <c r="R231" t="s">
        <v>3133</v>
      </c>
      <c r="S231" s="7">
        <v>20000</v>
      </c>
      <c r="T231" s="7">
        <v>20000</v>
      </c>
      <c r="U231" s="7">
        <v>10000</v>
      </c>
      <c r="V231" s="7"/>
      <c r="W231" s="7"/>
      <c r="X231" s="7">
        <f t="shared" si="21"/>
        <v>-10000</v>
      </c>
      <c r="Y231" s="5">
        <f t="shared" si="24"/>
        <v>-0.5</v>
      </c>
      <c r="Z231" s="35"/>
      <c r="AA231" s="29">
        <f>SUMPRODUCT((BIdetails!$J$5:$J$3000=M231)*(BIdetails!$K$5:$K$3000=N231)*(BIdetails!$M$5:$M$3000))</f>
        <v>0</v>
      </c>
      <c r="AB231" s="30">
        <f t="shared" si="22"/>
        <v>0</v>
      </c>
      <c r="AC231" s="27" t="s">
        <v>845</v>
      </c>
      <c r="AD231" s="27" t="s">
        <v>3100</v>
      </c>
      <c r="AE231" s="27" t="s">
        <v>3118</v>
      </c>
      <c r="AF231" s="27"/>
    </row>
    <row r="232" spans="1:32" hidden="1" x14ac:dyDescent="0.25">
      <c r="A232" t="s">
        <v>3106</v>
      </c>
      <c r="B232" t="str">
        <f t="shared" si="20"/>
        <v>Decommissioned</v>
      </c>
      <c r="C232" s="92" t="s">
        <v>2187</v>
      </c>
      <c r="D232" t="s">
        <v>3466</v>
      </c>
      <c r="E232">
        <v>68427709</v>
      </c>
      <c r="F232" s="91" t="s">
        <v>59</v>
      </c>
      <c r="G232" t="s">
        <v>60</v>
      </c>
      <c r="H232" t="s">
        <v>46</v>
      </c>
      <c r="J232" t="s">
        <v>3467</v>
      </c>
      <c r="K232" s="92">
        <v>209658</v>
      </c>
      <c r="L232" s="92" t="s">
        <v>3468</v>
      </c>
      <c r="M232" s="32"/>
      <c r="N232" s="94"/>
      <c r="O232" t="s">
        <v>2870</v>
      </c>
      <c r="P232" s="92" t="s">
        <v>3244</v>
      </c>
      <c r="Q232" t="s">
        <v>3114</v>
      </c>
      <c r="R232" t="s">
        <v>3136</v>
      </c>
      <c r="S232" s="7">
        <v>15000</v>
      </c>
      <c r="T232" s="7">
        <v>15000</v>
      </c>
      <c r="U232" s="7">
        <v>0</v>
      </c>
      <c r="V232" s="7"/>
      <c r="W232" s="7"/>
      <c r="X232" s="7">
        <f t="shared" si="21"/>
        <v>-15000</v>
      </c>
      <c r="Y232" s="5">
        <f t="shared" si="24"/>
        <v>-1</v>
      </c>
      <c r="Z232" s="35"/>
      <c r="AA232" s="29">
        <f>SUMPRODUCT((BIdetails!$J$5:$J$3000=M232)*(BIdetails!$K$5:$K$3000=N232)*(BIdetails!$M$5:$M$3000))</f>
        <v>0</v>
      </c>
      <c r="AB232" s="30" t="str">
        <f t="shared" si="22"/>
        <v/>
      </c>
      <c r="AC232" s="27"/>
      <c r="AD232" s="27"/>
      <c r="AE232" s="27"/>
      <c r="AF232" s="27"/>
    </row>
    <row r="233" spans="1:32" hidden="1" x14ac:dyDescent="0.25">
      <c r="A233" t="s">
        <v>3094</v>
      </c>
      <c r="B233" t="str">
        <f t="shared" si="20"/>
        <v>New</v>
      </c>
      <c r="C233" s="22" t="s">
        <v>2955</v>
      </c>
      <c r="D233" t="s">
        <v>3318</v>
      </c>
      <c r="E233">
        <v>68427709</v>
      </c>
      <c r="F233" s="283" t="s">
        <v>22</v>
      </c>
      <c r="G233" s="161" t="s">
        <v>100</v>
      </c>
      <c r="H233" s="161" t="s">
        <v>24</v>
      </c>
      <c r="I233" t="s">
        <v>2445</v>
      </c>
      <c r="J233" t="s">
        <v>3116</v>
      </c>
      <c r="K233">
        <v>196653</v>
      </c>
      <c r="L233" t="s">
        <v>102</v>
      </c>
      <c r="M233" s="203">
        <v>5401090239</v>
      </c>
      <c r="N233" s="20">
        <v>10</v>
      </c>
      <c r="O233" s="92" t="s">
        <v>2410</v>
      </c>
      <c r="P233" s="22"/>
      <c r="Q233" t="s">
        <v>3124</v>
      </c>
      <c r="R233" t="s">
        <v>2903</v>
      </c>
      <c r="S233" s="7"/>
      <c r="T233" s="7"/>
      <c r="U233" s="7">
        <v>40000</v>
      </c>
      <c r="V233" s="7"/>
      <c r="W233" s="7"/>
      <c r="X233" s="7">
        <f t="shared" si="21"/>
        <v>40000</v>
      </c>
      <c r="Y233" s="5">
        <f t="shared" si="24"/>
        <v>1</v>
      </c>
      <c r="Z233" s="21"/>
      <c r="AA233" s="29">
        <f>SUMPRODUCT((BIdetails!$J$5:$J$3000=M233)*(BIdetails!$K$5:$K$3000=N233)*(BIdetails!$M$5:$M$3000))</f>
        <v>0</v>
      </c>
      <c r="AB233" s="30">
        <f t="shared" si="22"/>
        <v>0</v>
      </c>
      <c r="AC233" s="27"/>
      <c r="AD233" s="27"/>
      <c r="AE233" s="27"/>
      <c r="AF233" s="27"/>
    </row>
    <row r="234" spans="1:32" hidden="1" x14ac:dyDescent="0.25">
      <c r="A234" t="s">
        <v>3094</v>
      </c>
      <c r="B234" t="str">
        <f t="shared" si="20"/>
        <v>Decrease</v>
      </c>
      <c r="C234" t="s">
        <v>2037</v>
      </c>
      <c r="D234" t="s">
        <v>3318</v>
      </c>
      <c r="E234">
        <v>68427709</v>
      </c>
      <c r="F234" s="91" t="s">
        <v>22</v>
      </c>
      <c r="G234" t="s">
        <v>100</v>
      </c>
      <c r="H234" t="s">
        <v>24</v>
      </c>
      <c r="I234" t="s">
        <v>2445</v>
      </c>
      <c r="J234" t="s">
        <v>3116</v>
      </c>
      <c r="K234">
        <v>196653</v>
      </c>
      <c r="L234" t="s">
        <v>102</v>
      </c>
      <c r="M234">
        <v>5401087925</v>
      </c>
      <c r="N234" s="20">
        <v>10</v>
      </c>
      <c r="O234" s="22" t="s">
        <v>2410</v>
      </c>
      <c r="P234" s="22" t="s">
        <v>2410</v>
      </c>
      <c r="Q234" t="s">
        <v>3114</v>
      </c>
      <c r="R234" t="s">
        <v>3133</v>
      </c>
      <c r="S234" s="7">
        <v>60000</v>
      </c>
      <c r="T234" s="7">
        <v>61200</v>
      </c>
      <c r="U234" s="7">
        <v>50000</v>
      </c>
      <c r="V234" s="7"/>
      <c r="W234" s="7"/>
      <c r="X234" s="7">
        <f t="shared" si="21"/>
        <v>-11200</v>
      </c>
      <c r="Y234" s="5">
        <f t="shared" si="24"/>
        <v>-0.18300653594771241</v>
      </c>
      <c r="Z234" s="35"/>
      <c r="AA234" s="29">
        <f>SUMPRODUCT((BIdetails!$J$5:$J$3000=M234)*(BIdetails!$K$5:$K$3000=N234)*(BIdetails!$M$5:$M$3000))</f>
        <v>0</v>
      </c>
      <c r="AB234" s="30">
        <f t="shared" si="22"/>
        <v>0</v>
      </c>
      <c r="AC234" s="27"/>
      <c r="AD234" s="27"/>
      <c r="AE234" s="27"/>
      <c r="AF234" s="27"/>
    </row>
    <row r="235" spans="1:32" hidden="1" x14ac:dyDescent="0.25">
      <c r="A235" t="s">
        <v>3106</v>
      </c>
      <c r="B235" t="str">
        <f t="shared" si="20"/>
        <v>Decommissioned</v>
      </c>
      <c r="C235" t="s">
        <v>780</v>
      </c>
      <c r="D235" t="s">
        <v>3469</v>
      </c>
      <c r="E235">
        <v>68427709</v>
      </c>
      <c r="F235" s="91" t="s">
        <v>59</v>
      </c>
      <c r="G235" t="s">
        <v>60</v>
      </c>
      <c r="H235" s="22" t="s">
        <v>46</v>
      </c>
      <c r="I235" t="s">
        <v>3144</v>
      </c>
      <c r="J235" t="s">
        <v>3470</v>
      </c>
      <c r="K235" s="22">
        <v>152539</v>
      </c>
      <c r="L235" s="22" t="s">
        <v>125</v>
      </c>
      <c r="M235"/>
      <c r="O235" s="22" t="s">
        <v>2410</v>
      </c>
      <c r="P235" s="22" t="s">
        <v>3132</v>
      </c>
      <c r="Q235" t="s">
        <v>3114</v>
      </c>
      <c r="R235" t="s">
        <v>3133</v>
      </c>
      <c r="S235" s="7">
        <v>54000</v>
      </c>
      <c r="T235" s="7">
        <v>54000</v>
      </c>
      <c r="U235" s="7">
        <v>0</v>
      </c>
      <c r="V235" s="7"/>
      <c r="W235" s="7"/>
      <c r="X235" s="7">
        <f t="shared" si="21"/>
        <v>-54000</v>
      </c>
      <c r="Y235" s="5">
        <f t="shared" si="24"/>
        <v>-1</v>
      </c>
      <c r="Z235" s="21"/>
      <c r="AA235" s="29">
        <f>SUMPRODUCT((BIdetails!$J$5:$J$3000=M235)*(BIdetails!$K$5:$K$3000=N235)*(BIdetails!$M$5:$M$3000))</f>
        <v>0</v>
      </c>
      <c r="AB235" s="30" t="str">
        <f t="shared" si="22"/>
        <v/>
      </c>
      <c r="AC235" s="27" t="s">
        <v>3099</v>
      </c>
      <c r="AD235" s="27" t="s">
        <v>3108</v>
      </c>
      <c r="AE235" s="27" t="s">
        <v>3101</v>
      </c>
      <c r="AF235" s="27"/>
    </row>
    <row r="236" spans="1:32" hidden="1" x14ac:dyDescent="0.25">
      <c r="A236" t="s">
        <v>3106</v>
      </c>
      <c r="B236" t="str">
        <f t="shared" si="20"/>
        <v>No Change</v>
      </c>
      <c r="C236" t="s">
        <v>1994</v>
      </c>
      <c r="D236" t="s">
        <v>3471</v>
      </c>
      <c r="E236">
        <v>68427709</v>
      </c>
      <c r="F236" s="91" t="s">
        <v>59</v>
      </c>
      <c r="G236" t="s">
        <v>60</v>
      </c>
      <c r="H236" t="s">
        <v>46</v>
      </c>
      <c r="J236" t="s">
        <v>3472</v>
      </c>
      <c r="K236">
        <v>203848</v>
      </c>
      <c r="L236" s="22" t="s">
        <v>3473</v>
      </c>
      <c r="O236" s="22" t="s">
        <v>2870</v>
      </c>
      <c r="P236" s="22" t="s">
        <v>2500</v>
      </c>
      <c r="Q236" t="s">
        <v>3170</v>
      </c>
      <c r="R236" t="s">
        <v>517</v>
      </c>
      <c r="S236" s="7">
        <v>40000</v>
      </c>
      <c r="T236" s="7">
        <v>0</v>
      </c>
      <c r="U236" s="7">
        <v>0</v>
      </c>
      <c r="V236" s="7"/>
      <c r="W236" s="7"/>
      <c r="X236" s="7">
        <f t="shared" si="21"/>
        <v>0</v>
      </c>
      <c r="Y236" s="5">
        <f t="shared" si="24"/>
        <v>0</v>
      </c>
      <c r="Z236" s="35"/>
      <c r="AA236" s="29">
        <f>SUMPRODUCT((BIdetails!$J$5:$J$3000=M236)*(BIdetails!$K$5:$K$3000=N236)*(BIdetails!$M$5:$M$3000))</f>
        <v>0</v>
      </c>
      <c r="AB236" s="30" t="str">
        <f t="shared" si="22"/>
        <v/>
      </c>
      <c r="AC236" s="27"/>
      <c r="AD236" s="27"/>
      <c r="AE236" s="27"/>
      <c r="AF236" s="27"/>
    </row>
    <row r="237" spans="1:32" hidden="1" x14ac:dyDescent="0.25">
      <c r="A237" t="s">
        <v>3106</v>
      </c>
      <c r="B237" t="str">
        <f t="shared" si="20"/>
        <v>Decommissioned</v>
      </c>
      <c r="C237" t="s">
        <v>2785</v>
      </c>
      <c r="D237" t="s">
        <v>3342</v>
      </c>
      <c r="E237">
        <v>68427709</v>
      </c>
      <c r="F237" s="91" t="s">
        <v>59</v>
      </c>
      <c r="G237" t="s">
        <v>60</v>
      </c>
      <c r="H237" t="s">
        <v>46</v>
      </c>
      <c r="J237" t="s">
        <v>3343</v>
      </c>
      <c r="K237">
        <v>3000002</v>
      </c>
      <c r="L237" t="s">
        <v>3344</v>
      </c>
      <c r="M237"/>
      <c r="O237" t="s">
        <v>2870</v>
      </c>
      <c r="P237" s="22" t="s">
        <v>3244</v>
      </c>
      <c r="Q237" t="s">
        <v>3114</v>
      </c>
      <c r="R237" s="22" t="s">
        <v>3136</v>
      </c>
      <c r="S237" s="7">
        <v>147000</v>
      </c>
      <c r="T237" s="7">
        <v>157000</v>
      </c>
      <c r="U237" s="7">
        <v>0</v>
      </c>
      <c r="V237" s="7"/>
      <c r="W237" s="7"/>
      <c r="X237" s="7">
        <f t="shared" si="21"/>
        <v>-157000</v>
      </c>
      <c r="Y237" s="5">
        <f t="shared" si="24"/>
        <v>-1</v>
      </c>
      <c r="Z237" s="35"/>
      <c r="AA237" s="29">
        <f>SUMPRODUCT((BIdetails!$J$5:$J$3000=M237)*(BIdetails!$K$5:$K$3000=N237)*(BIdetails!$M$5:$M$3000))</f>
        <v>0</v>
      </c>
      <c r="AB237" s="30" t="str">
        <f t="shared" si="22"/>
        <v/>
      </c>
      <c r="AC237" s="27"/>
      <c r="AD237" s="27"/>
      <c r="AE237" s="27"/>
      <c r="AF237" s="27"/>
    </row>
    <row r="238" spans="1:32" hidden="1" x14ac:dyDescent="0.25">
      <c r="A238" t="s">
        <v>3094</v>
      </c>
      <c r="B238" t="str">
        <f t="shared" si="20"/>
        <v>Decrease</v>
      </c>
      <c r="C238" t="s">
        <v>2655</v>
      </c>
      <c r="D238" t="s">
        <v>3176</v>
      </c>
      <c r="E238">
        <v>68427709</v>
      </c>
      <c r="F238" s="91" t="s">
        <v>36</v>
      </c>
      <c r="G238" t="s">
        <v>37</v>
      </c>
      <c r="H238" t="s">
        <v>33</v>
      </c>
      <c r="I238" t="s">
        <v>3177</v>
      </c>
      <c r="J238" t="s">
        <v>3178</v>
      </c>
      <c r="K238">
        <v>120252</v>
      </c>
      <c r="L238" s="170" t="s">
        <v>3179</v>
      </c>
      <c r="M238">
        <v>5401087890</v>
      </c>
      <c r="N238" s="20">
        <v>10</v>
      </c>
      <c r="O238" s="22" t="s">
        <v>2410</v>
      </c>
      <c r="P238" s="22" t="s">
        <v>2410</v>
      </c>
      <c r="Q238" t="s">
        <v>3114</v>
      </c>
      <c r="R238" t="s">
        <v>3133</v>
      </c>
      <c r="S238" s="7">
        <v>60000</v>
      </c>
      <c r="T238" s="7">
        <v>61500</v>
      </c>
      <c r="U238" s="7">
        <v>40000</v>
      </c>
      <c r="V238" s="7"/>
      <c r="W238" s="7"/>
      <c r="X238" s="7">
        <f t="shared" si="21"/>
        <v>-21500</v>
      </c>
      <c r="Y238" s="5">
        <f t="shared" si="24"/>
        <v>-0.34959349593495936</v>
      </c>
      <c r="Z238" s="35"/>
      <c r="AA238" s="29">
        <f>SUMPRODUCT((BIdetails!$J$5:$J$3000=M238)*(BIdetails!$K$5:$K$3000=N238)*(BIdetails!$M$5:$M$3000))</f>
        <v>0</v>
      </c>
      <c r="AB238" s="30">
        <f t="shared" si="22"/>
        <v>0</v>
      </c>
      <c r="AC238" s="27" t="s">
        <v>845</v>
      </c>
      <c r="AD238" s="27" t="s">
        <v>3100</v>
      </c>
      <c r="AE238" s="27" t="s">
        <v>3118</v>
      </c>
      <c r="AF238" s="27"/>
    </row>
    <row r="239" spans="1:32" hidden="1" x14ac:dyDescent="0.25">
      <c r="A239" t="s">
        <v>3106</v>
      </c>
      <c r="B239" t="str">
        <f t="shared" si="20"/>
        <v>Decommissioned</v>
      </c>
      <c r="C239" t="s">
        <v>2435</v>
      </c>
      <c r="D239" t="s">
        <v>3176</v>
      </c>
      <c r="E239">
        <v>68427709</v>
      </c>
      <c r="F239" s="91" t="s">
        <v>36</v>
      </c>
      <c r="G239" t="s">
        <v>37</v>
      </c>
      <c r="H239" t="s">
        <v>33</v>
      </c>
      <c r="I239" t="s">
        <v>3177</v>
      </c>
      <c r="J239" t="s">
        <v>3178</v>
      </c>
      <c r="K239">
        <v>120252</v>
      </c>
      <c r="L239" s="170" t="s">
        <v>3179</v>
      </c>
      <c r="M239"/>
      <c r="O239" s="22" t="s">
        <v>2410</v>
      </c>
      <c r="P239" s="22" t="s">
        <v>2410</v>
      </c>
      <c r="Q239" t="s">
        <v>3114</v>
      </c>
      <c r="R239" t="s">
        <v>3133</v>
      </c>
      <c r="S239" s="7">
        <v>0</v>
      </c>
      <c r="T239" s="7">
        <v>100000</v>
      </c>
      <c r="U239" s="7">
        <v>0</v>
      </c>
      <c r="V239" s="7"/>
      <c r="W239" s="7"/>
      <c r="X239" s="7">
        <f t="shared" si="21"/>
        <v>-100000</v>
      </c>
      <c r="Y239" s="5">
        <f t="shared" si="24"/>
        <v>-1</v>
      </c>
      <c r="Z239" s="35"/>
      <c r="AA239" s="29">
        <f>SUMPRODUCT((BIdetails!$J$5:$J$3000=M239)*(BIdetails!$K$5:$K$3000=N239)*(BIdetails!$M$5:$M$3000))</f>
        <v>0</v>
      </c>
      <c r="AB239" s="30" t="str">
        <f t="shared" si="22"/>
        <v/>
      </c>
      <c r="AC239" s="27"/>
      <c r="AD239" s="27"/>
      <c r="AE239" s="27"/>
      <c r="AF239" s="27"/>
    </row>
    <row r="240" spans="1:32" hidden="1" x14ac:dyDescent="0.25">
      <c r="A240" t="s">
        <v>3094</v>
      </c>
      <c r="B240" t="str">
        <f t="shared" si="20"/>
        <v>Decrease</v>
      </c>
      <c r="C240" t="s">
        <v>2932</v>
      </c>
      <c r="D240" t="s">
        <v>3474</v>
      </c>
      <c r="E240">
        <v>68427709</v>
      </c>
      <c r="F240" s="91" t="s">
        <v>36</v>
      </c>
      <c r="G240" t="s">
        <v>37</v>
      </c>
      <c r="H240" t="s">
        <v>33</v>
      </c>
      <c r="I240" t="s">
        <v>2445</v>
      </c>
      <c r="J240" t="s">
        <v>3116</v>
      </c>
      <c r="L240" t="s">
        <v>2049</v>
      </c>
      <c r="M240" s="20" t="s">
        <v>3475</v>
      </c>
      <c r="O240" s="22" t="s">
        <v>2410</v>
      </c>
      <c r="P240" s="22" t="s">
        <v>2410</v>
      </c>
      <c r="Q240" t="s">
        <v>3114</v>
      </c>
      <c r="R240" t="s">
        <v>3133</v>
      </c>
      <c r="S240" s="7">
        <v>48544</v>
      </c>
      <c r="T240" s="7">
        <v>48544</v>
      </c>
      <c r="U240" s="7">
        <v>25000</v>
      </c>
      <c r="V240" s="7"/>
      <c r="W240" s="7"/>
      <c r="X240" s="7">
        <f t="shared" si="21"/>
        <v>-23544</v>
      </c>
      <c r="Y240" s="5">
        <f t="shared" si="24"/>
        <v>-0.48500329597890574</v>
      </c>
      <c r="Z240" s="35"/>
      <c r="AA240" s="29">
        <f>SUMPRODUCT((BIdetails!$J$5:$J$3000=M240)*(BIdetails!$K$5:$K$3000=N240)*(BIdetails!$M$5:$M$3000))</f>
        <v>0</v>
      </c>
      <c r="AB240" s="30">
        <f t="shared" si="22"/>
        <v>0</v>
      </c>
      <c r="AC240" s="27" t="s">
        <v>845</v>
      </c>
      <c r="AD240" s="27" t="s">
        <v>3100</v>
      </c>
      <c r="AE240" s="27" t="s">
        <v>3118</v>
      </c>
      <c r="AF240" s="27"/>
    </row>
    <row r="241" spans="1:32" hidden="1" x14ac:dyDescent="0.25">
      <c r="A241" t="s">
        <v>3094</v>
      </c>
      <c r="B241" t="str">
        <f t="shared" si="20"/>
        <v>No Change</v>
      </c>
      <c r="C241" s="22" t="s">
        <v>2685</v>
      </c>
      <c r="E241">
        <v>68427709</v>
      </c>
      <c r="F241" s="91" t="s">
        <v>38</v>
      </c>
      <c r="G241" t="s">
        <v>39</v>
      </c>
      <c r="H241" s="92" t="s">
        <v>33</v>
      </c>
      <c r="I241" t="s">
        <v>2448</v>
      </c>
      <c r="J241" t="s">
        <v>3189</v>
      </c>
      <c r="K241">
        <v>187516</v>
      </c>
      <c r="L241" s="92" t="s">
        <v>3117</v>
      </c>
      <c r="M241" s="203"/>
      <c r="O241" s="92" t="s">
        <v>2410</v>
      </c>
      <c r="P241" s="22" t="s">
        <v>2410</v>
      </c>
      <c r="Q241" s="201" t="s">
        <v>3124</v>
      </c>
      <c r="R241" t="s">
        <v>3133</v>
      </c>
      <c r="S241" s="7"/>
      <c r="T241" s="7">
        <v>10000</v>
      </c>
      <c r="U241" s="7">
        <v>10000</v>
      </c>
      <c r="V241" s="7"/>
      <c r="W241" s="7"/>
      <c r="X241" s="7">
        <f t="shared" si="21"/>
        <v>0</v>
      </c>
      <c r="Y241" s="5">
        <f t="shared" si="24"/>
        <v>0</v>
      </c>
      <c r="Z241" s="21"/>
      <c r="AA241" s="29">
        <f>SUMPRODUCT((BIdetails!$J$5:$J$3000=M241)*(BIdetails!$K$5:$K$3000=N241)*(BIdetails!$M$5:$M$3000))</f>
        <v>0</v>
      </c>
      <c r="AB241" s="30">
        <f t="shared" si="22"/>
        <v>0</v>
      </c>
      <c r="AC241" s="27"/>
      <c r="AD241" s="27"/>
      <c r="AE241" s="27"/>
      <c r="AF241" s="27"/>
    </row>
    <row r="242" spans="1:32" hidden="1" x14ac:dyDescent="0.25">
      <c r="A242" t="s">
        <v>3094</v>
      </c>
      <c r="B242" t="str">
        <f t="shared" si="20"/>
        <v>No Change</v>
      </c>
      <c r="C242" s="22" t="s">
        <v>3476</v>
      </c>
      <c r="D242" t="s">
        <v>3255</v>
      </c>
      <c r="E242">
        <v>68427709</v>
      </c>
      <c r="F242" s="91" t="s">
        <v>59</v>
      </c>
      <c r="G242" t="s">
        <v>60</v>
      </c>
      <c r="H242" s="92" t="s">
        <v>46</v>
      </c>
      <c r="J242" t="s">
        <v>3477</v>
      </c>
      <c r="K242" s="92">
        <v>212998</v>
      </c>
      <c r="L242" s="92" t="s">
        <v>281</v>
      </c>
      <c r="M242" s="203">
        <v>5401105315</v>
      </c>
      <c r="N242" s="20">
        <v>10</v>
      </c>
      <c r="O242" s="92" t="s">
        <v>2870</v>
      </c>
      <c r="P242" s="22" t="s">
        <v>2500</v>
      </c>
      <c r="Q242" t="s">
        <v>3114</v>
      </c>
      <c r="R242" s="201" t="s">
        <v>3175</v>
      </c>
      <c r="S242" s="7"/>
      <c r="T242" s="7">
        <v>56200</v>
      </c>
      <c r="U242" s="7">
        <v>56200</v>
      </c>
      <c r="V242" s="7"/>
      <c r="W242" s="7"/>
      <c r="X242" s="7">
        <f t="shared" si="21"/>
        <v>0</v>
      </c>
      <c r="Y242" s="5">
        <f t="shared" si="24"/>
        <v>0</v>
      </c>
      <c r="Z242" s="21"/>
      <c r="AA242" s="29">
        <f>SUMPRODUCT((BIdetails!$J$5:$J$3000=M242)*(BIdetails!$K$5:$K$3000=N242)*(BIdetails!$M$5:$M$3000))</f>
        <v>0</v>
      </c>
      <c r="AB242" s="30">
        <f t="shared" si="22"/>
        <v>0</v>
      </c>
      <c r="AC242" s="27"/>
      <c r="AD242" s="27"/>
      <c r="AE242" s="27"/>
      <c r="AF242" s="27"/>
    </row>
    <row r="243" spans="1:32" hidden="1" x14ac:dyDescent="0.25">
      <c r="A243" t="s">
        <v>3094</v>
      </c>
      <c r="B243" t="str">
        <f t="shared" si="20"/>
        <v>Increase</v>
      </c>
      <c r="C243" s="92" t="s">
        <v>2638</v>
      </c>
      <c r="D243" t="s">
        <v>3478</v>
      </c>
      <c r="E243">
        <v>68427709</v>
      </c>
      <c r="F243" s="91" t="s">
        <v>54</v>
      </c>
      <c r="G243" t="s">
        <v>55</v>
      </c>
      <c r="H243" s="92" t="s">
        <v>46</v>
      </c>
      <c r="J243" t="s">
        <v>3479</v>
      </c>
      <c r="K243" s="92">
        <v>168933</v>
      </c>
      <c r="L243" s="92" t="s">
        <v>149</v>
      </c>
      <c r="M243" s="93" t="s">
        <v>3480</v>
      </c>
      <c r="N243" s="93">
        <v>30</v>
      </c>
      <c r="O243" s="92" t="s">
        <v>2870</v>
      </c>
      <c r="P243" s="92" t="s">
        <v>1984</v>
      </c>
      <c r="Q243" t="s">
        <v>3114</v>
      </c>
      <c r="R243" s="92" t="s">
        <v>3284</v>
      </c>
      <c r="S243" s="7">
        <v>230000</v>
      </c>
      <c r="T243" s="7">
        <v>281000</v>
      </c>
      <c r="U243" s="7">
        <f>281000+84000</f>
        <v>365000</v>
      </c>
      <c r="V243" s="7"/>
      <c r="W243" s="7"/>
      <c r="X243" s="7">
        <f t="shared" si="21"/>
        <v>84000</v>
      </c>
      <c r="Y243" s="5">
        <f t="shared" si="24"/>
        <v>0.29893238434163699</v>
      </c>
      <c r="Z243" s="35"/>
      <c r="AA243" s="29">
        <f>SUMPRODUCT((BIdetails!$J$5:$J$3000=M243)*(BIdetails!$K$5:$K$3000=N243)*(BIdetails!$M$5:$M$3000))</f>
        <v>0</v>
      </c>
      <c r="AB243" s="30">
        <f t="shared" si="22"/>
        <v>0</v>
      </c>
      <c r="AC243" s="27" t="s">
        <v>3099</v>
      </c>
      <c r="AD243" s="27" t="s">
        <v>3108</v>
      </c>
      <c r="AE243" s="27" t="s">
        <v>3101</v>
      </c>
      <c r="AF243" s="27"/>
    </row>
    <row r="244" spans="1:32" hidden="1" x14ac:dyDescent="0.25">
      <c r="A244" t="s">
        <v>3094</v>
      </c>
      <c r="B244" t="str">
        <f t="shared" si="20"/>
        <v>No Change</v>
      </c>
      <c r="C244" t="s">
        <v>3481</v>
      </c>
      <c r="D244" t="s">
        <v>3482</v>
      </c>
      <c r="E244">
        <v>68427709</v>
      </c>
      <c r="F244" s="91" t="s">
        <v>57</v>
      </c>
      <c r="G244" t="s">
        <v>58</v>
      </c>
      <c r="H244" t="s">
        <v>46</v>
      </c>
      <c r="I244" t="s">
        <v>3096</v>
      </c>
      <c r="J244" t="s">
        <v>3128</v>
      </c>
      <c r="K244">
        <v>168933</v>
      </c>
      <c r="L244" t="s">
        <v>3483</v>
      </c>
      <c r="O244" t="s">
        <v>2870</v>
      </c>
      <c r="P244" s="22" t="s">
        <v>2870</v>
      </c>
      <c r="Q244" t="s">
        <v>3104</v>
      </c>
      <c r="R244" s="92" t="s">
        <v>3098</v>
      </c>
      <c r="S244" s="7">
        <v>28000</v>
      </c>
      <c r="T244" s="7">
        <v>28000</v>
      </c>
      <c r="U244" s="7">
        <v>28000</v>
      </c>
      <c r="V244" s="7"/>
      <c r="W244" s="7"/>
      <c r="X244" s="7">
        <f t="shared" si="21"/>
        <v>0</v>
      </c>
      <c r="Y244" s="5">
        <f t="shared" si="24"/>
        <v>0</v>
      </c>
      <c r="Z244" s="35"/>
      <c r="AA244" s="29">
        <f>SUMPRODUCT((BIdetails!$J$5:$J$3000=M244)*(BIdetails!$K$5:$K$3000=N244)*(BIdetails!$M$5:$M$3000))</f>
        <v>0</v>
      </c>
      <c r="AB244" s="30">
        <f t="shared" si="22"/>
        <v>0</v>
      </c>
      <c r="AC244" s="27" t="s">
        <v>3099</v>
      </c>
      <c r="AD244" s="27" t="s">
        <v>3108</v>
      </c>
      <c r="AE244" s="27" t="s">
        <v>3101</v>
      </c>
      <c r="AF244" s="27"/>
    </row>
    <row r="245" spans="1:32" hidden="1" x14ac:dyDescent="0.25">
      <c r="A245" t="s">
        <v>3094</v>
      </c>
      <c r="B245" t="str">
        <f t="shared" si="20"/>
        <v>New</v>
      </c>
      <c r="C245" s="22" t="s">
        <v>2990</v>
      </c>
      <c r="E245">
        <v>68427709</v>
      </c>
      <c r="F245" s="91" t="s">
        <v>59</v>
      </c>
      <c r="G245" t="s">
        <v>60</v>
      </c>
      <c r="H245" t="s">
        <v>46</v>
      </c>
      <c r="I245" t="s">
        <v>2448</v>
      </c>
      <c r="J245" t="s">
        <v>3189</v>
      </c>
      <c r="L245" s="22"/>
      <c r="M245" s="203"/>
      <c r="O245" s="92" t="s">
        <v>2410</v>
      </c>
      <c r="P245" s="22"/>
      <c r="Q245" t="s">
        <v>3124</v>
      </c>
      <c r="R245" t="s">
        <v>2903</v>
      </c>
      <c r="S245" s="7"/>
      <c r="T245" s="7"/>
      <c r="U245" s="7">
        <v>127000</v>
      </c>
      <c r="V245" s="7"/>
      <c r="W245" s="7"/>
      <c r="X245" s="7">
        <f t="shared" si="21"/>
        <v>127000</v>
      </c>
      <c r="Y245" s="5">
        <f t="shared" si="24"/>
        <v>1</v>
      </c>
      <c r="Z245" s="21"/>
      <c r="AA245" s="29">
        <f>SUMPRODUCT((BIdetails!$J$5:$J$3000=M245)*(BIdetails!$K$5:$K$3000=N245)*(BIdetails!$M$5:$M$3000))</f>
        <v>0</v>
      </c>
      <c r="AB245" s="30">
        <f t="shared" si="22"/>
        <v>0</v>
      </c>
      <c r="AC245" s="27"/>
      <c r="AD245" s="27"/>
      <c r="AE245" s="27"/>
      <c r="AF245" s="27"/>
    </row>
    <row r="246" spans="1:32" hidden="1" x14ac:dyDescent="0.25">
      <c r="A246" t="s">
        <v>3094</v>
      </c>
      <c r="B246" t="str">
        <f t="shared" si="20"/>
        <v>New</v>
      </c>
      <c r="C246" s="22" t="s">
        <v>2777</v>
      </c>
      <c r="D246" t="s">
        <v>3484</v>
      </c>
      <c r="E246">
        <v>68427709</v>
      </c>
      <c r="F246" s="91" t="s">
        <v>59</v>
      </c>
      <c r="G246" t="s">
        <v>60</v>
      </c>
      <c r="H246" t="s">
        <v>46</v>
      </c>
      <c r="J246" t="s">
        <v>3236</v>
      </c>
      <c r="K246" s="22">
        <v>166095</v>
      </c>
      <c r="L246" s="22" t="s">
        <v>209</v>
      </c>
      <c r="M246" s="203">
        <v>5401004748</v>
      </c>
      <c r="N246" s="20">
        <v>20</v>
      </c>
      <c r="O246" s="92" t="s">
        <v>2870</v>
      </c>
      <c r="P246" s="22" t="s">
        <v>2500</v>
      </c>
      <c r="Q246" s="22" t="s">
        <v>3114</v>
      </c>
      <c r="R246" s="22" t="s">
        <v>3175</v>
      </c>
      <c r="S246" s="7"/>
      <c r="T246" s="7"/>
      <c r="U246" s="7">
        <v>130000</v>
      </c>
      <c r="V246" s="7"/>
      <c r="W246" s="7"/>
      <c r="X246" s="7">
        <f t="shared" si="21"/>
        <v>130000</v>
      </c>
      <c r="Y246" s="5">
        <f t="shared" si="24"/>
        <v>1</v>
      </c>
      <c r="Z246" s="21"/>
      <c r="AA246" s="29">
        <f>SUMPRODUCT((BIdetails!$J$5:$J$3000=M246)*(BIdetails!$K$5:$K$3000=N246)*(BIdetails!$M$5:$M$3000))</f>
        <v>0</v>
      </c>
      <c r="AB246" s="30">
        <f t="shared" si="22"/>
        <v>0</v>
      </c>
      <c r="AC246" s="27"/>
      <c r="AD246" s="27"/>
      <c r="AE246" s="27"/>
      <c r="AF246" s="27"/>
    </row>
    <row r="247" spans="1:32" hidden="1" x14ac:dyDescent="0.25">
      <c r="A247" t="s">
        <v>3106</v>
      </c>
      <c r="B247" t="str">
        <f t="shared" si="20"/>
        <v>Decommissioned</v>
      </c>
      <c r="C247" t="s">
        <v>1703</v>
      </c>
      <c r="E247">
        <v>68427709</v>
      </c>
      <c r="F247" s="91" t="s">
        <v>59</v>
      </c>
      <c r="G247" t="s">
        <v>60</v>
      </c>
      <c r="H247" s="91" t="s">
        <v>46</v>
      </c>
      <c r="I247" t="s">
        <v>2445</v>
      </c>
      <c r="J247" t="s">
        <v>3116</v>
      </c>
      <c r="K247">
        <v>118054</v>
      </c>
      <c r="L247" t="s">
        <v>1096</v>
      </c>
      <c r="M247"/>
      <c r="O247" s="22" t="s">
        <v>2410</v>
      </c>
      <c r="P247" s="22" t="s">
        <v>2410</v>
      </c>
      <c r="Q247" t="s">
        <v>3114</v>
      </c>
      <c r="R247" t="s">
        <v>3133</v>
      </c>
      <c r="S247" s="7">
        <v>75000</v>
      </c>
      <c r="T247" s="7">
        <v>75000</v>
      </c>
      <c r="U247" s="7">
        <v>0</v>
      </c>
      <c r="V247" s="7"/>
      <c r="W247" s="7"/>
      <c r="X247" s="7">
        <f t="shared" si="21"/>
        <v>-75000</v>
      </c>
      <c r="Y247" s="5">
        <f t="shared" si="24"/>
        <v>-1</v>
      </c>
      <c r="Z247" s="21"/>
      <c r="AA247" s="29">
        <f>SUMPRODUCT((BIdetails!$J$5:$J$3000=M247)*(BIdetails!$K$5:$K$3000=N247)*(BIdetails!$M$5:$M$3000))</f>
        <v>0</v>
      </c>
      <c r="AB247" s="30" t="str">
        <f t="shared" si="22"/>
        <v/>
      </c>
      <c r="AC247" s="27"/>
      <c r="AD247" s="27"/>
      <c r="AE247" s="27"/>
      <c r="AF247" s="27"/>
    </row>
    <row r="248" spans="1:32" hidden="1" x14ac:dyDescent="0.25">
      <c r="A248" t="s">
        <v>3094</v>
      </c>
      <c r="B248" t="str">
        <f t="shared" si="20"/>
        <v>New</v>
      </c>
      <c r="C248" s="22" t="s">
        <v>2966</v>
      </c>
      <c r="D248" t="s">
        <v>3435</v>
      </c>
      <c r="E248">
        <v>68427709</v>
      </c>
      <c r="F248" s="91" t="s">
        <v>59</v>
      </c>
      <c r="G248" t="s">
        <v>60</v>
      </c>
      <c r="H248" t="s">
        <v>46</v>
      </c>
      <c r="I248" t="s">
        <v>2448</v>
      </c>
      <c r="J248" t="s">
        <v>3189</v>
      </c>
      <c r="K248">
        <v>187516</v>
      </c>
      <c r="L248" s="22" t="s">
        <v>3117</v>
      </c>
      <c r="M248" s="20">
        <v>5401093332</v>
      </c>
      <c r="N248" s="20">
        <v>20</v>
      </c>
      <c r="O248" s="92" t="s">
        <v>2410</v>
      </c>
      <c r="P248" s="22"/>
      <c r="Q248" t="s">
        <v>3124</v>
      </c>
      <c r="R248" t="s">
        <v>2903</v>
      </c>
      <c r="S248" s="7"/>
      <c r="T248" s="7"/>
      <c r="U248" s="7">
        <v>96000</v>
      </c>
      <c r="V248" s="7"/>
      <c r="W248" s="7"/>
      <c r="X248" s="7">
        <f t="shared" si="21"/>
        <v>96000</v>
      </c>
      <c r="Y248" s="5">
        <f t="shared" si="24"/>
        <v>1</v>
      </c>
      <c r="Z248" s="21"/>
      <c r="AA248" s="29">
        <f>SUMPRODUCT((BIdetails!$J$5:$J$3000=M248)*(BIdetails!$K$5:$K$3000=N248)*(BIdetails!$M$5:$M$3000))</f>
        <v>0</v>
      </c>
      <c r="AB248" s="30">
        <f t="shared" si="22"/>
        <v>0</v>
      </c>
      <c r="AC248" s="27"/>
      <c r="AD248" s="27"/>
      <c r="AE248" s="27"/>
      <c r="AF248" s="27"/>
    </row>
    <row r="249" spans="1:32" hidden="1" x14ac:dyDescent="0.25">
      <c r="A249" t="s">
        <v>3094</v>
      </c>
      <c r="B249" t="str">
        <f t="shared" si="20"/>
        <v>New</v>
      </c>
      <c r="C249" s="22" t="s">
        <v>2968</v>
      </c>
      <c r="E249">
        <v>68427709</v>
      </c>
      <c r="F249" s="91" t="s">
        <v>59</v>
      </c>
      <c r="G249" t="s">
        <v>60</v>
      </c>
      <c r="H249" t="s">
        <v>46</v>
      </c>
      <c r="I249" t="s">
        <v>2448</v>
      </c>
      <c r="J249" t="s">
        <v>3189</v>
      </c>
      <c r="L249" s="22"/>
      <c r="M249" s="203"/>
      <c r="O249" s="92" t="s">
        <v>2410</v>
      </c>
      <c r="P249" s="22"/>
      <c r="Q249" t="s">
        <v>3124</v>
      </c>
      <c r="R249" t="s">
        <v>2903</v>
      </c>
      <c r="S249" s="7"/>
      <c r="T249" s="7"/>
      <c r="U249" s="7">
        <v>7000</v>
      </c>
      <c r="V249" s="7"/>
      <c r="W249" s="7"/>
      <c r="X249" s="7">
        <f t="shared" si="21"/>
        <v>7000</v>
      </c>
      <c r="Y249" s="5">
        <f t="shared" si="24"/>
        <v>1</v>
      </c>
      <c r="Z249" s="21"/>
      <c r="AA249" s="29">
        <f>SUMPRODUCT((BIdetails!$J$5:$J$3000=M249)*(BIdetails!$K$5:$K$3000=N249)*(BIdetails!$M$5:$M$3000))</f>
        <v>0</v>
      </c>
      <c r="AB249" s="30">
        <f t="shared" si="22"/>
        <v>0</v>
      </c>
      <c r="AC249" s="27"/>
      <c r="AD249" s="27"/>
      <c r="AE249" s="27"/>
      <c r="AF249" s="27"/>
    </row>
    <row r="250" spans="1:32" hidden="1" x14ac:dyDescent="0.25">
      <c r="A250" t="s">
        <v>3094</v>
      </c>
      <c r="B250" t="str">
        <f t="shared" si="20"/>
        <v>New</v>
      </c>
      <c r="C250" s="22" t="s">
        <v>2956</v>
      </c>
      <c r="D250" t="s">
        <v>3435</v>
      </c>
      <c r="E250">
        <v>68427709</v>
      </c>
      <c r="F250" s="91" t="s">
        <v>59</v>
      </c>
      <c r="G250" t="s">
        <v>60</v>
      </c>
      <c r="H250" t="s">
        <v>46</v>
      </c>
      <c r="I250" t="s">
        <v>2448</v>
      </c>
      <c r="J250" t="s">
        <v>3189</v>
      </c>
      <c r="K250">
        <v>187516</v>
      </c>
      <c r="L250" s="22" t="s">
        <v>3117</v>
      </c>
      <c r="M250" s="20">
        <v>5401093332</v>
      </c>
      <c r="N250" s="20">
        <v>40</v>
      </c>
      <c r="O250" s="92" t="s">
        <v>2410</v>
      </c>
      <c r="P250" s="22"/>
      <c r="Q250" t="s">
        <v>3124</v>
      </c>
      <c r="R250" t="s">
        <v>2903</v>
      </c>
      <c r="S250" s="7"/>
      <c r="T250" s="7"/>
      <c r="U250" s="7">
        <v>194400</v>
      </c>
      <c r="V250" s="7"/>
      <c r="W250" s="7"/>
      <c r="X250" s="7">
        <f t="shared" si="21"/>
        <v>194400</v>
      </c>
      <c r="Y250" s="5">
        <f t="shared" si="24"/>
        <v>1</v>
      </c>
      <c r="Z250" s="21"/>
      <c r="AA250" s="29">
        <f>SUMPRODUCT((BIdetails!$J$5:$J$3000=M250)*(BIdetails!$K$5:$K$3000=N250)*(BIdetails!$M$5:$M$3000))</f>
        <v>0</v>
      </c>
      <c r="AB250" s="30">
        <f t="shared" si="22"/>
        <v>0</v>
      </c>
      <c r="AC250" s="27"/>
      <c r="AD250" s="27"/>
      <c r="AE250" s="27"/>
      <c r="AF250" s="27"/>
    </row>
    <row r="251" spans="1:32" x14ac:dyDescent="0.25">
      <c r="A251" t="s">
        <v>3094</v>
      </c>
      <c r="B251" t="str">
        <f t="shared" si="20"/>
        <v>New</v>
      </c>
      <c r="C251" s="306" t="s">
        <v>2984</v>
      </c>
      <c r="D251" t="s">
        <v>3485</v>
      </c>
      <c r="E251">
        <v>68427709</v>
      </c>
      <c r="F251" s="91" t="s">
        <v>40</v>
      </c>
      <c r="G251" t="s">
        <v>42</v>
      </c>
      <c r="H251" t="s">
        <v>42</v>
      </c>
      <c r="I251" t="s">
        <v>2448</v>
      </c>
      <c r="J251" t="s">
        <v>3189</v>
      </c>
      <c r="K251">
        <v>212346</v>
      </c>
      <c r="L251" s="22" t="s">
        <v>273</v>
      </c>
      <c r="M251" s="203">
        <v>5401084798</v>
      </c>
      <c r="N251" s="20">
        <v>10</v>
      </c>
      <c r="O251" s="92" t="s">
        <v>2843</v>
      </c>
      <c r="P251" s="22"/>
      <c r="Q251" t="s">
        <v>3124</v>
      </c>
      <c r="R251" t="s">
        <v>2903</v>
      </c>
      <c r="S251" s="7"/>
      <c r="T251" s="7"/>
      <c r="U251" s="7">
        <v>12000</v>
      </c>
      <c r="V251" s="7"/>
      <c r="W251" s="304">
        <v>12000</v>
      </c>
      <c r="X251" s="7">
        <f t="shared" ref="X251:X255" si="25">W251-U251</f>
        <v>0</v>
      </c>
      <c r="Y251" s="5">
        <f t="shared" si="24"/>
        <v>1</v>
      </c>
      <c r="Z251" s="21"/>
      <c r="AA251" s="29">
        <f>SUMPRODUCT((BIdetails!$J$5:$J$3000=M251)*(BIdetails!$K$5:$K$3000=N251)*(BIdetails!$M$5:$M$3000))</f>
        <v>0</v>
      </c>
      <c r="AB251" s="30">
        <f t="shared" si="22"/>
        <v>0</v>
      </c>
      <c r="AC251" s="27"/>
      <c r="AD251" s="27"/>
      <c r="AE251" s="27"/>
      <c r="AF251" s="27"/>
    </row>
    <row r="252" spans="1:32" x14ac:dyDescent="0.25">
      <c r="A252" t="s">
        <v>3094</v>
      </c>
      <c r="B252" t="str">
        <f t="shared" si="20"/>
        <v>New</v>
      </c>
      <c r="C252" s="306" t="s">
        <v>2981</v>
      </c>
      <c r="D252" t="s">
        <v>3485</v>
      </c>
      <c r="E252">
        <v>68427709</v>
      </c>
      <c r="F252" s="91" t="s">
        <v>40</v>
      </c>
      <c r="G252" t="s">
        <v>42</v>
      </c>
      <c r="H252" t="s">
        <v>42</v>
      </c>
      <c r="I252" t="s">
        <v>2448</v>
      </c>
      <c r="J252" t="s">
        <v>3189</v>
      </c>
      <c r="K252">
        <v>212346</v>
      </c>
      <c r="L252" s="22" t="s">
        <v>273</v>
      </c>
      <c r="M252" s="203">
        <v>5401084798</v>
      </c>
      <c r="N252" s="20">
        <v>10</v>
      </c>
      <c r="O252" s="92" t="s">
        <v>2843</v>
      </c>
      <c r="P252" s="22"/>
      <c r="Q252" t="s">
        <v>3124</v>
      </c>
      <c r="R252" t="s">
        <v>2903</v>
      </c>
      <c r="S252" s="7"/>
      <c r="T252" s="7"/>
      <c r="U252" s="7">
        <v>3700</v>
      </c>
      <c r="V252" s="7"/>
      <c r="W252" s="304">
        <v>3700</v>
      </c>
      <c r="X252" s="7">
        <f t="shared" si="25"/>
        <v>0</v>
      </c>
      <c r="Y252" s="5">
        <f t="shared" si="24"/>
        <v>1</v>
      </c>
      <c r="Z252" s="21"/>
      <c r="AA252" s="29">
        <f>SUMPRODUCT((BIdetails!$J$5:$J$3000=M252)*(BIdetails!$K$5:$K$3000=N252)*(BIdetails!$M$5:$M$3000))</f>
        <v>0</v>
      </c>
      <c r="AB252" s="30">
        <f t="shared" si="22"/>
        <v>0</v>
      </c>
      <c r="AC252" s="27"/>
      <c r="AD252" s="27"/>
      <c r="AE252" s="27"/>
      <c r="AF252" s="27"/>
    </row>
    <row r="253" spans="1:32" x14ac:dyDescent="0.25">
      <c r="A253" t="s">
        <v>3094</v>
      </c>
      <c r="B253" t="str">
        <f t="shared" si="20"/>
        <v>New</v>
      </c>
      <c r="C253" s="306" t="s">
        <v>3486</v>
      </c>
      <c r="D253" t="s">
        <v>3485</v>
      </c>
      <c r="E253">
        <v>68427709</v>
      </c>
      <c r="F253" s="91" t="s">
        <v>40</v>
      </c>
      <c r="G253" t="s">
        <v>42</v>
      </c>
      <c r="H253" t="s">
        <v>42</v>
      </c>
      <c r="I253" t="s">
        <v>2448</v>
      </c>
      <c r="J253" t="s">
        <v>3189</v>
      </c>
      <c r="K253">
        <v>212346</v>
      </c>
      <c r="L253" s="22" t="s">
        <v>273</v>
      </c>
      <c r="M253" s="203">
        <v>5401070309</v>
      </c>
      <c r="N253" s="20">
        <v>10</v>
      </c>
      <c r="O253" s="92" t="s">
        <v>2843</v>
      </c>
      <c r="P253" s="22"/>
      <c r="Q253" t="s">
        <v>3124</v>
      </c>
      <c r="R253" t="s">
        <v>2903</v>
      </c>
      <c r="S253" s="7"/>
      <c r="T253" s="7"/>
      <c r="U253" s="7">
        <v>172000</v>
      </c>
      <c r="V253" s="7"/>
      <c r="W253" s="304">
        <v>172000</v>
      </c>
      <c r="X253" s="7">
        <f t="shared" si="25"/>
        <v>0</v>
      </c>
      <c r="Y253" s="5">
        <f t="shared" si="24"/>
        <v>1</v>
      </c>
      <c r="Z253" s="21"/>
      <c r="AA253" s="29">
        <f>SUMPRODUCT((BIdetails!$J$5:$J$3000=M253)*(BIdetails!$K$5:$K$3000=N253)*(BIdetails!$M$5:$M$3000))</f>
        <v>0</v>
      </c>
      <c r="AB253" s="30">
        <f t="shared" si="22"/>
        <v>0</v>
      </c>
      <c r="AC253" s="27"/>
      <c r="AD253" s="27"/>
      <c r="AE253" s="27"/>
      <c r="AF253" s="27"/>
    </row>
    <row r="254" spans="1:32" ht="14.1" customHeight="1" x14ac:dyDescent="0.25">
      <c r="A254" t="s">
        <v>3094</v>
      </c>
      <c r="B254" t="str">
        <f t="shared" si="20"/>
        <v>New</v>
      </c>
      <c r="C254" s="306" t="s">
        <v>2982</v>
      </c>
      <c r="E254">
        <v>68427709</v>
      </c>
      <c r="F254" s="91" t="s">
        <v>40</v>
      </c>
      <c r="G254" t="s">
        <v>42</v>
      </c>
      <c r="H254" t="s">
        <v>42</v>
      </c>
      <c r="I254" t="s">
        <v>2448</v>
      </c>
      <c r="J254" t="s">
        <v>3189</v>
      </c>
      <c r="K254">
        <v>187516</v>
      </c>
      <c r="L254" s="22" t="s">
        <v>273</v>
      </c>
      <c r="M254" s="203">
        <v>5401040892</v>
      </c>
      <c r="N254" s="20">
        <v>10</v>
      </c>
      <c r="O254" s="92" t="s">
        <v>2843</v>
      </c>
      <c r="P254" s="22"/>
      <c r="Q254" t="s">
        <v>3124</v>
      </c>
      <c r="R254" t="s">
        <v>2903</v>
      </c>
      <c r="S254" s="7"/>
      <c r="T254" s="7"/>
      <c r="U254" s="7">
        <v>14300</v>
      </c>
      <c r="V254" s="7"/>
      <c r="W254" s="304">
        <v>14300</v>
      </c>
      <c r="X254" s="7">
        <f t="shared" si="25"/>
        <v>0</v>
      </c>
      <c r="Y254" s="5">
        <f t="shared" si="24"/>
        <v>1</v>
      </c>
      <c r="Z254" s="21"/>
      <c r="AA254" s="29">
        <f>SUMPRODUCT((BIdetails!$J$5:$J$3000=M254)*(BIdetails!$K$5:$K$3000=N254)*(BIdetails!$M$5:$M$3000))</f>
        <v>0</v>
      </c>
      <c r="AB254" s="30">
        <f t="shared" si="22"/>
        <v>0</v>
      </c>
      <c r="AC254" s="27"/>
      <c r="AD254" s="27"/>
      <c r="AE254" s="27"/>
      <c r="AF254" s="27"/>
    </row>
    <row r="255" spans="1:32" x14ac:dyDescent="0.25">
      <c r="A255" t="s">
        <v>3094</v>
      </c>
      <c r="B255" t="str">
        <f t="shared" si="20"/>
        <v>New</v>
      </c>
      <c r="C255" s="306" t="s">
        <v>2958</v>
      </c>
      <c r="E255">
        <v>68427709</v>
      </c>
      <c r="F255" s="91" t="s">
        <v>40</v>
      </c>
      <c r="G255" t="s">
        <v>42</v>
      </c>
      <c r="H255" t="s">
        <v>42</v>
      </c>
      <c r="I255" t="s">
        <v>2448</v>
      </c>
      <c r="J255" t="s">
        <v>3189</v>
      </c>
      <c r="K255">
        <v>166304</v>
      </c>
      <c r="L255" s="92" t="s">
        <v>97</v>
      </c>
      <c r="M255" s="203"/>
      <c r="O255" s="92" t="s">
        <v>2843</v>
      </c>
      <c r="P255" s="22"/>
      <c r="Q255" t="s">
        <v>3124</v>
      </c>
      <c r="R255" t="s">
        <v>2903</v>
      </c>
      <c r="S255" s="7"/>
      <c r="T255" s="7"/>
      <c r="U255" s="7">
        <v>150000</v>
      </c>
      <c r="V255" s="7"/>
      <c r="W255" s="308">
        <v>96000</v>
      </c>
      <c r="X255" s="7">
        <f t="shared" si="25"/>
        <v>-54000</v>
      </c>
      <c r="Y255" s="5">
        <f t="shared" si="24"/>
        <v>1</v>
      </c>
      <c r="Z255" s="21"/>
      <c r="AA255" s="29">
        <f>SUMPRODUCT((BIdetails!$J$5:$J$3000=M255)*(BIdetails!$K$5:$K$3000=N255)*(BIdetails!$M$5:$M$3000))</f>
        <v>0</v>
      </c>
      <c r="AB255" s="30">
        <f t="shared" si="22"/>
        <v>0</v>
      </c>
      <c r="AC255" s="27"/>
      <c r="AD255" s="27"/>
      <c r="AE255" s="27"/>
      <c r="AF255" s="27"/>
    </row>
    <row r="256" spans="1:32" hidden="1" x14ac:dyDescent="0.25">
      <c r="A256" t="s">
        <v>3094</v>
      </c>
      <c r="B256" t="str">
        <f t="shared" si="20"/>
        <v>Increase</v>
      </c>
      <c r="C256" t="s">
        <v>2926</v>
      </c>
      <c r="D256" t="s">
        <v>3307</v>
      </c>
      <c r="E256">
        <v>68427709</v>
      </c>
      <c r="F256" s="91" t="s">
        <v>14</v>
      </c>
      <c r="G256" t="s">
        <v>15</v>
      </c>
      <c r="H256" t="s">
        <v>16</v>
      </c>
      <c r="I256" t="s">
        <v>2445</v>
      </c>
      <c r="J256" t="s">
        <v>3116</v>
      </c>
      <c r="K256">
        <v>187516</v>
      </c>
      <c r="L256" s="92" t="s">
        <v>3117</v>
      </c>
      <c r="M256" s="20">
        <v>5401087931</v>
      </c>
      <c r="N256" s="20">
        <v>10</v>
      </c>
      <c r="O256" t="s">
        <v>2410</v>
      </c>
      <c r="P256" t="s">
        <v>3132</v>
      </c>
      <c r="Q256" t="s">
        <v>3114</v>
      </c>
      <c r="R256" t="s">
        <v>3133</v>
      </c>
      <c r="S256" s="7">
        <v>98000</v>
      </c>
      <c r="T256" s="7">
        <v>98000</v>
      </c>
      <c r="U256" s="7">
        <v>100000</v>
      </c>
      <c r="V256" s="7"/>
      <c r="W256" s="7"/>
      <c r="X256" s="7">
        <f t="shared" si="21"/>
        <v>2000</v>
      </c>
      <c r="Y256" s="5">
        <f t="shared" si="24"/>
        <v>2.0408163265306121E-2</v>
      </c>
      <c r="Z256" s="35"/>
      <c r="AA256" s="29">
        <f>SUMPRODUCT((BIdetails!$J$5:$J$3000=M256)*(BIdetails!$K$5:$K$3000=N256)*(BIdetails!$M$5:$M$3000))</f>
        <v>0</v>
      </c>
      <c r="AB256" s="30">
        <f t="shared" si="22"/>
        <v>0</v>
      </c>
      <c r="AC256" s="27" t="s">
        <v>845</v>
      </c>
      <c r="AD256" s="27" t="s">
        <v>3100</v>
      </c>
      <c r="AE256" s="27" t="s">
        <v>3118</v>
      </c>
      <c r="AF256" s="27"/>
    </row>
    <row r="257" spans="1:32" hidden="1" x14ac:dyDescent="0.25">
      <c r="A257" t="s">
        <v>3094</v>
      </c>
      <c r="B257" t="str">
        <f t="shared" si="20"/>
        <v>No Change</v>
      </c>
      <c r="C257" s="92" t="s">
        <v>3487</v>
      </c>
      <c r="D257" t="s">
        <v>3151</v>
      </c>
      <c r="E257">
        <v>68427709</v>
      </c>
      <c r="F257" s="91" t="s">
        <v>44</v>
      </c>
      <c r="G257" s="92" t="s">
        <v>75</v>
      </c>
      <c r="H257" s="92" t="s">
        <v>46</v>
      </c>
      <c r="I257" t="s">
        <v>3096</v>
      </c>
      <c r="J257" t="s">
        <v>3128</v>
      </c>
      <c r="K257">
        <v>187516</v>
      </c>
      <c r="L257" s="92" t="s">
        <v>3117</v>
      </c>
      <c r="M257" s="25">
        <v>5401088459</v>
      </c>
      <c r="N257" s="93">
        <v>260</v>
      </c>
      <c r="O257" s="92" t="s">
        <v>2870</v>
      </c>
      <c r="P257" s="92" t="s">
        <v>3026</v>
      </c>
      <c r="Q257" s="92" t="s">
        <v>3104</v>
      </c>
      <c r="R257" s="92" t="s">
        <v>3098</v>
      </c>
      <c r="S257" s="7">
        <v>100000</v>
      </c>
      <c r="T257" s="7">
        <v>100000</v>
      </c>
      <c r="U257" s="7">
        <v>100000</v>
      </c>
      <c r="V257" s="7"/>
      <c r="W257" s="7"/>
      <c r="X257" s="7">
        <f t="shared" si="21"/>
        <v>0</v>
      </c>
      <c r="Y257" s="5">
        <f t="shared" si="24"/>
        <v>0</v>
      </c>
      <c r="Z257" s="35"/>
      <c r="AA257" s="29">
        <f>SUMPRODUCT((BIdetails!$J$5:$J$3000=M257)*(BIdetails!$K$5:$K$3000=N257)*(BIdetails!$M$5:$M$3000))</f>
        <v>0</v>
      </c>
      <c r="AB257" s="30">
        <f t="shared" si="22"/>
        <v>0</v>
      </c>
      <c r="AC257" s="27" t="s">
        <v>845</v>
      </c>
      <c r="AD257" s="27" t="s">
        <v>3100</v>
      </c>
      <c r="AE257" s="27" t="s">
        <v>3118</v>
      </c>
      <c r="AF257" s="27"/>
    </row>
    <row r="258" spans="1:32" hidden="1" x14ac:dyDescent="0.25">
      <c r="A258" t="s">
        <v>3094</v>
      </c>
      <c r="B258" t="str">
        <f t="shared" ref="B258:B321" si="26">IF(T258=U258,"No Change",IF(AND(U258&lt;&gt;0,U258&lt;T258),"Decrease",IF(AND(U258&lt;&gt;0,T258=0),"New",IF(AND(T258&lt;&gt;0,U258=0),"Decommissioned","Increase"))))</f>
        <v>No Change</v>
      </c>
      <c r="C258" t="s">
        <v>907</v>
      </c>
      <c r="D258" t="s">
        <v>3488</v>
      </c>
      <c r="E258" s="201">
        <v>68427709</v>
      </c>
      <c r="F258" s="91" t="s">
        <v>59</v>
      </c>
      <c r="G258" t="s">
        <v>60</v>
      </c>
      <c r="H258" s="22" t="s">
        <v>46</v>
      </c>
      <c r="J258" t="s">
        <v>3489</v>
      </c>
      <c r="K258">
        <v>199977</v>
      </c>
      <c r="L258" s="22" t="s">
        <v>3490</v>
      </c>
      <c r="M258" s="93">
        <v>5400976352</v>
      </c>
      <c r="N258" s="93">
        <v>20</v>
      </c>
      <c r="O258" s="22" t="s">
        <v>2870</v>
      </c>
      <c r="P258" s="22" t="s">
        <v>2344</v>
      </c>
      <c r="Q258" s="92" t="s">
        <v>3206</v>
      </c>
      <c r="R258" s="92" t="s">
        <v>3207</v>
      </c>
      <c r="S258" s="7">
        <v>60000</v>
      </c>
      <c r="T258" s="7">
        <v>100000</v>
      </c>
      <c r="U258" s="7">
        <v>100000</v>
      </c>
      <c r="V258" s="7"/>
      <c r="W258" s="7"/>
      <c r="X258" s="7">
        <f t="shared" ref="X258:X321" si="27">U258-T258</f>
        <v>0</v>
      </c>
      <c r="Y258" s="5">
        <f t="shared" si="24"/>
        <v>0</v>
      </c>
      <c r="Z258" s="35"/>
      <c r="AA258" s="29">
        <f>SUMPRODUCT((BIdetails!$J$5:$J$3000=M258)*(BIdetails!$K$5:$K$3000=N258)*(BIdetails!$M$5:$M$3000))</f>
        <v>0</v>
      </c>
      <c r="AB258" s="30">
        <f t="shared" ref="AB258:AB321" si="28">IF(U258=0,"",(AA258/U258))</f>
        <v>0</v>
      </c>
      <c r="AC258" s="27"/>
      <c r="AD258" s="27"/>
      <c r="AE258" s="27"/>
      <c r="AF258" s="27"/>
    </row>
    <row r="259" spans="1:32" hidden="1" x14ac:dyDescent="0.25">
      <c r="A259" t="s">
        <v>3106</v>
      </c>
      <c r="B259" t="str">
        <f t="shared" si="26"/>
        <v>No Change</v>
      </c>
      <c r="C259" s="22" t="s">
        <v>357</v>
      </c>
      <c r="D259" t="s">
        <v>3491</v>
      </c>
      <c r="E259">
        <v>68427709</v>
      </c>
      <c r="F259" s="91" t="s">
        <v>59</v>
      </c>
      <c r="G259" s="22" t="s">
        <v>60</v>
      </c>
      <c r="H259" s="22" t="s">
        <v>46</v>
      </c>
      <c r="J259" t="s">
        <v>3492</v>
      </c>
      <c r="K259" s="22">
        <v>169113</v>
      </c>
      <c r="L259" s="22" t="s">
        <v>3493</v>
      </c>
      <c r="M259" s="24">
        <v>5401049390</v>
      </c>
      <c r="N259" s="24">
        <v>10</v>
      </c>
      <c r="O259" s="22" t="s">
        <v>2870</v>
      </c>
      <c r="P259" s="22" t="s">
        <v>3183</v>
      </c>
      <c r="Q259" s="22" t="s">
        <v>3114</v>
      </c>
      <c r="R259" s="22" t="s">
        <v>3125</v>
      </c>
      <c r="S259" s="7">
        <v>130000</v>
      </c>
      <c r="T259" s="7">
        <v>0</v>
      </c>
      <c r="U259" s="7">
        <v>0</v>
      </c>
      <c r="V259" s="7"/>
      <c r="W259" s="7"/>
      <c r="X259" s="7">
        <f t="shared" si="27"/>
        <v>0</v>
      </c>
      <c r="Y259" s="5">
        <f t="shared" si="24"/>
        <v>0</v>
      </c>
      <c r="Z259" s="35"/>
      <c r="AA259" s="29">
        <f>SUMPRODUCT((BIdetails!$J$5:$J$3000=M259)*(BIdetails!$K$5:$K$3000=N259)*(BIdetails!$M$5:$M$3000))</f>
        <v>0</v>
      </c>
      <c r="AB259" s="30" t="str">
        <f t="shared" si="28"/>
        <v/>
      </c>
      <c r="AC259" s="27"/>
      <c r="AD259" s="27"/>
      <c r="AE259" s="27"/>
      <c r="AF259" s="27"/>
    </row>
    <row r="260" spans="1:32" ht="14.1" customHeight="1" x14ac:dyDescent="0.25">
      <c r="A260" t="s">
        <v>3094</v>
      </c>
      <c r="B260" t="str">
        <f t="shared" si="26"/>
        <v>No Change</v>
      </c>
      <c r="C260" t="s">
        <v>3494</v>
      </c>
      <c r="D260" t="s">
        <v>3495</v>
      </c>
      <c r="E260">
        <v>68427709</v>
      </c>
      <c r="F260" s="91" t="s">
        <v>40</v>
      </c>
      <c r="G260" t="s">
        <v>42</v>
      </c>
      <c r="H260" t="s">
        <v>42</v>
      </c>
      <c r="I260" t="s">
        <v>2445</v>
      </c>
      <c r="J260" t="s">
        <v>3116</v>
      </c>
      <c r="K260">
        <v>187516</v>
      </c>
      <c r="L260" s="92" t="s">
        <v>3117</v>
      </c>
      <c r="M260" s="20" t="s">
        <v>3496</v>
      </c>
      <c r="N260" s="20">
        <v>20</v>
      </c>
      <c r="O260" t="s">
        <v>2843</v>
      </c>
      <c r="P260" t="s">
        <v>2843</v>
      </c>
      <c r="Q260" t="s">
        <v>3114</v>
      </c>
      <c r="R260" t="s">
        <v>42</v>
      </c>
      <c r="S260" s="7">
        <v>200000</v>
      </c>
      <c r="T260" s="7">
        <v>200000</v>
      </c>
      <c r="U260" s="7">
        <v>200000</v>
      </c>
      <c r="V260" s="7"/>
      <c r="W260" s="7">
        <f>U260*1.04</f>
        <v>208000</v>
      </c>
      <c r="X260" s="7">
        <f t="shared" ref="X260" si="29">W260-U260</f>
        <v>8000</v>
      </c>
      <c r="Y260" s="5">
        <f t="shared" si="24"/>
        <v>0.04</v>
      </c>
      <c r="Z260" s="35"/>
      <c r="AA260" s="29">
        <f>SUMPRODUCT((BIdetails!$J$5:$J$3000=M260)*(BIdetails!$K$5:$K$3000=N260)*(BIdetails!$M$5:$M$3000))</f>
        <v>0</v>
      </c>
      <c r="AB260" s="30">
        <f t="shared" si="28"/>
        <v>0</v>
      </c>
      <c r="AC260" s="27" t="s">
        <v>845</v>
      </c>
      <c r="AD260" s="27" t="s">
        <v>3100</v>
      </c>
      <c r="AE260" s="27" t="s">
        <v>3118</v>
      </c>
      <c r="AF260" s="27"/>
    </row>
    <row r="261" spans="1:32" hidden="1" x14ac:dyDescent="0.25">
      <c r="A261" t="s">
        <v>3094</v>
      </c>
      <c r="B261" t="str">
        <f t="shared" si="26"/>
        <v>New</v>
      </c>
      <c r="C261" s="22" t="s">
        <v>2960</v>
      </c>
      <c r="D261" t="s">
        <v>3435</v>
      </c>
      <c r="E261">
        <v>68427709</v>
      </c>
      <c r="F261" s="91" t="s">
        <v>59</v>
      </c>
      <c r="G261" t="s">
        <v>60</v>
      </c>
      <c r="H261" t="s">
        <v>46</v>
      </c>
      <c r="I261" t="s">
        <v>2448</v>
      </c>
      <c r="J261" t="s">
        <v>3189</v>
      </c>
      <c r="K261">
        <v>187516</v>
      </c>
      <c r="L261" s="22" t="s">
        <v>3117</v>
      </c>
      <c r="M261" s="20">
        <v>5401093332</v>
      </c>
      <c r="N261" s="20">
        <v>10</v>
      </c>
      <c r="O261" s="92" t="s">
        <v>2410</v>
      </c>
      <c r="P261" s="22"/>
      <c r="Q261" t="s">
        <v>3124</v>
      </c>
      <c r="R261" t="s">
        <v>2903</v>
      </c>
      <c r="S261" s="7"/>
      <c r="T261" s="7"/>
      <c r="U261" s="7">
        <v>31560</v>
      </c>
      <c r="V261" s="7"/>
      <c r="W261" s="7"/>
      <c r="X261" s="7">
        <f t="shared" si="27"/>
        <v>31560</v>
      </c>
      <c r="Y261" s="5">
        <f t="shared" si="24"/>
        <v>1</v>
      </c>
      <c r="Z261" s="21"/>
      <c r="AA261" s="29">
        <f>SUMPRODUCT((BIdetails!$J$5:$J$3000=M261)*(BIdetails!$K$5:$K$3000=N261)*(BIdetails!$M$5:$M$3000))</f>
        <v>0</v>
      </c>
      <c r="AB261" s="30">
        <f t="shared" si="28"/>
        <v>0</v>
      </c>
      <c r="AC261" s="27"/>
      <c r="AD261" s="27"/>
      <c r="AE261" s="27"/>
      <c r="AF261" s="27"/>
    </row>
    <row r="262" spans="1:32" hidden="1" x14ac:dyDescent="0.25">
      <c r="A262" t="s">
        <v>3094</v>
      </c>
      <c r="B262" t="str">
        <f t="shared" si="26"/>
        <v>Increase</v>
      </c>
      <c r="C262" s="22" t="s">
        <v>2705</v>
      </c>
      <c r="D262" t="s">
        <v>3497</v>
      </c>
      <c r="E262">
        <v>68427709</v>
      </c>
      <c r="F262" s="91" t="s">
        <v>59</v>
      </c>
      <c r="G262" t="s">
        <v>60</v>
      </c>
      <c r="H262" t="s">
        <v>46</v>
      </c>
      <c r="J262" t="s">
        <v>3498</v>
      </c>
      <c r="K262">
        <v>212251</v>
      </c>
      <c r="L262" s="22" t="s">
        <v>271</v>
      </c>
      <c r="M262" s="203">
        <v>5401023562</v>
      </c>
      <c r="N262" s="20">
        <v>30</v>
      </c>
      <c r="O262" s="92" t="s">
        <v>2870</v>
      </c>
      <c r="P262" s="22" t="s">
        <v>3195</v>
      </c>
      <c r="Q262" t="s">
        <v>3124</v>
      </c>
      <c r="R262" t="s">
        <v>3125</v>
      </c>
      <c r="S262" s="7"/>
      <c r="T262" s="7">
        <v>190000</v>
      </c>
      <c r="U262" s="7">
        <v>360000</v>
      </c>
      <c r="V262" s="7"/>
      <c r="W262" s="7"/>
      <c r="X262" s="7">
        <f t="shared" si="27"/>
        <v>170000</v>
      </c>
      <c r="Y262" s="5">
        <f t="shared" si="24"/>
        <v>0.89473684210526316</v>
      </c>
      <c r="Z262" s="21"/>
      <c r="AA262" s="29">
        <f>SUMPRODUCT((BIdetails!$J$5:$J$3000=M262)*(BIdetails!$K$5:$K$3000=N262)*(BIdetails!$M$5:$M$3000))</f>
        <v>0</v>
      </c>
      <c r="AB262" s="30">
        <f t="shared" si="28"/>
        <v>0</v>
      </c>
      <c r="AC262" s="27"/>
      <c r="AD262" s="27"/>
      <c r="AE262" s="27"/>
      <c r="AF262" s="27"/>
    </row>
    <row r="263" spans="1:32" hidden="1" x14ac:dyDescent="0.25">
      <c r="A263" t="s">
        <v>3094</v>
      </c>
      <c r="B263" t="str">
        <f t="shared" si="26"/>
        <v>No Change</v>
      </c>
      <c r="C263" t="s">
        <v>3499</v>
      </c>
      <c r="D263" t="s">
        <v>3500</v>
      </c>
      <c r="E263">
        <v>68427709</v>
      </c>
      <c r="F263" s="91" t="s">
        <v>59</v>
      </c>
      <c r="G263" t="s">
        <v>60</v>
      </c>
      <c r="H263" t="s">
        <v>46</v>
      </c>
      <c r="I263" t="s">
        <v>3144</v>
      </c>
      <c r="J263" t="s">
        <v>3501</v>
      </c>
      <c r="K263" s="92">
        <v>203647</v>
      </c>
      <c r="L263" s="92" t="s">
        <v>3502</v>
      </c>
      <c r="M263" s="20">
        <v>5400940618</v>
      </c>
      <c r="N263" s="20">
        <v>30</v>
      </c>
      <c r="O263" s="22" t="s">
        <v>2870</v>
      </c>
      <c r="P263" s="22" t="s">
        <v>3503</v>
      </c>
      <c r="Q263" t="s">
        <v>3114</v>
      </c>
      <c r="R263" t="s">
        <v>3504</v>
      </c>
      <c r="S263" s="7">
        <v>176000</v>
      </c>
      <c r="T263" s="7">
        <v>176000</v>
      </c>
      <c r="U263" s="7">
        <v>176000</v>
      </c>
      <c r="V263" s="7"/>
      <c r="W263" s="7"/>
      <c r="X263" s="7">
        <f t="shared" si="27"/>
        <v>0</v>
      </c>
      <c r="Y263" s="5">
        <f t="shared" si="24"/>
        <v>0</v>
      </c>
      <c r="Z263" s="35"/>
      <c r="AA263" s="29">
        <f>SUMPRODUCT((BIdetails!$J$5:$J$3000=M263)*(BIdetails!$K$5:$K$3000=N263)*(BIdetails!$M$5:$M$3000))</f>
        <v>0</v>
      </c>
      <c r="AB263" s="30">
        <f t="shared" si="28"/>
        <v>0</v>
      </c>
      <c r="AC263" s="27"/>
      <c r="AD263" s="27"/>
      <c r="AE263" s="27"/>
      <c r="AF263" s="27"/>
    </row>
    <row r="264" spans="1:32" hidden="1" x14ac:dyDescent="0.25">
      <c r="A264" t="s">
        <v>3094</v>
      </c>
      <c r="B264" t="str">
        <f t="shared" si="26"/>
        <v>No Change</v>
      </c>
      <c r="C264" t="s">
        <v>3059</v>
      </c>
      <c r="D264" t="s">
        <v>3505</v>
      </c>
      <c r="E264">
        <v>68427709</v>
      </c>
      <c r="F264" s="91" t="s">
        <v>59</v>
      </c>
      <c r="G264" t="s">
        <v>60</v>
      </c>
      <c r="H264" t="s">
        <v>46</v>
      </c>
      <c r="I264" t="s">
        <v>3144</v>
      </c>
      <c r="J264" t="s">
        <v>3506</v>
      </c>
      <c r="K264">
        <v>199582</v>
      </c>
      <c r="L264" s="22" t="s">
        <v>169</v>
      </c>
      <c r="M264" s="20">
        <v>5401094866</v>
      </c>
      <c r="N264" s="20">
        <v>10</v>
      </c>
      <c r="O264" s="22" t="s">
        <v>2870</v>
      </c>
      <c r="P264" s="22" t="s">
        <v>2870</v>
      </c>
      <c r="Q264" t="s">
        <v>3114</v>
      </c>
      <c r="R264" t="s">
        <v>3098</v>
      </c>
      <c r="S264" s="7">
        <v>40000</v>
      </c>
      <c r="T264" s="7">
        <v>40000</v>
      </c>
      <c r="U264" s="7">
        <v>40000</v>
      </c>
      <c r="V264" s="7"/>
      <c r="W264" s="7"/>
      <c r="X264" s="7">
        <f t="shared" si="27"/>
        <v>0</v>
      </c>
      <c r="Y264" s="5">
        <f t="shared" si="24"/>
        <v>0</v>
      </c>
      <c r="Z264" s="35"/>
      <c r="AA264" s="29">
        <f>SUMPRODUCT((BIdetails!$J$5:$J$3000=M264)*(BIdetails!$K$5:$K$3000=N264)*(BIdetails!$M$5:$M$3000))</f>
        <v>0</v>
      </c>
      <c r="AB264" s="30">
        <f t="shared" si="28"/>
        <v>0</v>
      </c>
      <c r="AC264" s="27"/>
      <c r="AD264" s="27"/>
      <c r="AE264" s="27"/>
      <c r="AF264" s="27"/>
    </row>
    <row r="265" spans="1:32" hidden="1" x14ac:dyDescent="0.25">
      <c r="A265" t="s">
        <v>3106</v>
      </c>
      <c r="B265" t="str">
        <f t="shared" si="26"/>
        <v>Decommissioned</v>
      </c>
      <c r="C265" s="22" t="s">
        <v>2893</v>
      </c>
      <c r="D265" t="s">
        <v>3507</v>
      </c>
      <c r="E265">
        <v>68427709</v>
      </c>
      <c r="F265" s="91" t="s">
        <v>59</v>
      </c>
      <c r="G265" t="s">
        <v>60</v>
      </c>
      <c r="H265" t="s">
        <v>46</v>
      </c>
      <c r="J265" t="s">
        <v>3508</v>
      </c>
      <c r="K265">
        <v>199582</v>
      </c>
      <c r="L265" s="22" t="s">
        <v>169</v>
      </c>
      <c r="M265" s="203"/>
      <c r="O265" s="22" t="s">
        <v>2870</v>
      </c>
      <c r="P265" s="22" t="s">
        <v>1479</v>
      </c>
      <c r="Q265" t="s">
        <v>3170</v>
      </c>
      <c r="R265" t="s">
        <v>3120</v>
      </c>
      <c r="S265" s="7"/>
      <c r="T265" s="7">
        <v>76000</v>
      </c>
      <c r="U265" s="7">
        <v>0</v>
      </c>
      <c r="V265" s="7"/>
      <c r="W265" s="7"/>
      <c r="X265" s="7">
        <f t="shared" si="27"/>
        <v>-76000</v>
      </c>
      <c r="Y265" s="5">
        <f t="shared" ref="Y265:Y328" si="30">IF(B265="New",1,IFERROR(X265/T265,0))</f>
        <v>-1</v>
      </c>
      <c r="Z265" s="21"/>
      <c r="AA265" s="29">
        <f>SUMPRODUCT((BIdetails!$J$5:$J$3000=M265)*(BIdetails!$K$5:$K$3000=N265)*(BIdetails!$M$5:$M$3000))</f>
        <v>0</v>
      </c>
      <c r="AB265" s="30" t="str">
        <f t="shared" si="28"/>
        <v/>
      </c>
      <c r="AC265" s="27"/>
      <c r="AD265" s="27"/>
      <c r="AE265" s="27"/>
      <c r="AF265" s="27"/>
    </row>
    <row r="266" spans="1:32" hidden="1" x14ac:dyDescent="0.25">
      <c r="A266" t="s">
        <v>3094</v>
      </c>
      <c r="B266" t="str">
        <f t="shared" si="26"/>
        <v>No Change</v>
      </c>
      <c r="C266" t="s">
        <v>3061</v>
      </c>
      <c r="D266" t="s">
        <v>3509</v>
      </c>
      <c r="E266">
        <v>68427709</v>
      </c>
      <c r="F266" s="91" t="s">
        <v>54</v>
      </c>
      <c r="G266" t="s">
        <v>55</v>
      </c>
      <c r="H266" t="s">
        <v>46</v>
      </c>
      <c r="I266" t="s">
        <v>3144</v>
      </c>
      <c r="J266" t="s">
        <v>3510</v>
      </c>
      <c r="K266">
        <v>193174</v>
      </c>
      <c r="L266" t="s">
        <v>469</v>
      </c>
      <c r="M266"/>
      <c r="O266" t="s">
        <v>1930</v>
      </c>
      <c r="P266" s="22" t="s">
        <v>1930</v>
      </c>
      <c r="Q266" t="s">
        <v>3114</v>
      </c>
      <c r="R266" t="s">
        <v>3098</v>
      </c>
      <c r="S266" s="7">
        <v>95000</v>
      </c>
      <c r="T266" s="7">
        <v>80000</v>
      </c>
      <c r="U266" s="7">
        <v>80000</v>
      </c>
      <c r="V266" s="7"/>
      <c r="W266" s="7"/>
      <c r="X266" s="7">
        <f t="shared" si="27"/>
        <v>0</v>
      </c>
      <c r="Y266" s="5">
        <f t="shared" si="30"/>
        <v>0</v>
      </c>
      <c r="Z266" s="35"/>
      <c r="AA266" s="29">
        <f>SUMPRODUCT((BIdetails!$J$5:$J$3000=M266)*(BIdetails!$K$5:$K$3000=N266)*(BIdetails!$M$5:$M$3000))</f>
        <v>0</v>
      </c>
      <c r="AB266" s="30">
        <f t="shared" si="28"/>
        <v>0</v>
      </c>
      <c r="AC266" s="27"/>
      <c r="AD266" s="27"/>
      <c r="AE266" s="27"/>
      <c r="AF266" s="27"/>
    </row>
    <row r="267" spans="1:32" hidden="1" x14ac:dyDescent="0.25">
      <c r="A267" t="s">
        <v>3106</v>
      </c>
      <c r="B267" t="str">
        <f t="shared" si="26"/>
        <v>No Change</v>
      </c>
      <c r="C267" s="92" t="s">
        <v>2594</v>
      </c>
      <c r="D267" t="s">
        <v>3511</v>
      </c>
      <c r="E267">
        <v>68427709</v>
      </c>
      <c r="F267" s="91" t="s">
        <v>54</v>
      </c>
      <c r="G267" s="92" t="s">
        <v>55</v>
      </c>
      <c r="H267" s="92" t="s">
        <v>46</v>
      </c>
      <c r="J267" t="s">
        <v>3296</v>
      </c>
      <c r="K267" s="92">
        <v>205476</v>
      </c>
      <c r="L267" s="92" t="s">
        <v>1612</v>
      </c>
      <c r="M267" s="93"/>
      <c r="N267" s="93"/>
      <c r="O267" s="92" t="s">
        <v>2870</v>
      </c>
      <c r="P267" s="22" t="s">
        <v>2500</v>
      </c>
      <c r="Q267" s="92" t="s">
        <v>3170</v>
      </c>
      <c r="R267" s="92" t="s">
        <v>517</v>
      </c>
      <c r="S267" s="7">
        <v>285000</v>
      </c>
      <c r="T267" s="7">
        <v>0</v>
      </c>
      <c r="U267" s="7">
        <v>0</v>
      </c>
      <c r="V267" s="7"/>
      <c r="W267" s="7"/>
      <c r="X267" s="7">
        <f t="shared" si="27"/>
        <v>0</v>
      </c>
      <c r="Y267" s="5">
        <f t="shared" si="30"/>
        <v>0</v>
      </c>
      <c r="Z267" s="35"/>
      <c r="AA267" s="29">
        <f>SUMPRODUCT((BIdetails!$J$5:$J$3000=M267)*(BIdetails!$K$5:$K$3000=N267)*(BIdetails!$M$5:$M$3000))</f>
        <v>0</v>
      </c>
      <c r="AB267" s="30" t="str">
        <f t="shared" si="28"/>
        <v/>
      </c>
      <c r="AC267" s="27" t="s">
        <v>3099</v>
      </c>
      <c r="AD267" s="27" t="s">
        <v>3108</v>
      </c>
      <c r="AE267" s="27" t="s">
        <v>3101</v>
      </c>
      <c r="AF267" s="27"/>
    </row>
    <row r="268" spans="1:32" hidden="1" x14ac:dyDescent="0.25">
      <c r="A268" t="s">
        <v>3094</v>
      </c>
      <c r="B268" t="str">
        <f t="shared" si="26"/>
        <v>Increase</v>
      </c>
      <c r="C268" t="s">
        <v>1789</v>
      </c>
      <c r="D268" t="s">
        <v>3512</v>
      </c>
      <c r="E268">
        <v>68427709</v>
      </c>
      <c r="F268" s="91" t="s">
        <v>59</v>
      </c>
      <c r="G268" t="s">
        <v>60</v>
      </c>
      <c r="H268" s="92" t="s">
        <v>46</v>
      </c>
      <c r="J268" t="s">
        <v>3513</v>
      </c>
      <c r="K268" s="92">
        <v>200670</v>
      </c>
      <c r="L268" s="92" t="s">
        <v>243</v>
      </c>
      <c r="M268" s="20">
        <v>5401057267</v>
      </c>
      <c r="N268" s="20">
        <v>30</v>
      </c>
      <c r="O268" s="92" t="s">
        <v>2870</v>
      </c>
      <c r="P268" s="92" t="s">
        <v>3183</v>
      </c>
      <c r="Q268" t="s">
        <v>3170</v>
      </c>
      <c r="R268" t="s">
        <v>3120</v>
      </c>
      <c r="S268" s="7">
        <v>450000</v>
      </c>
      <c r="T268" s="7">
        <v>410000</v>
      </c>
      <c r="U268" s="7">
        <v>485000</v>
      </c>
      <c r="V268" s="7"/>
      <c r="W268" s="7"/>
      <c r="X268" s="7">
        <f t="shared" si="27"/>
        <v>75000</v>
      </c>
      <c r="Y268" s="5">
        <f t="shared" si="30"/>
        <v>0.18292682926829268</v>
      </c>
      <c r="Z268" s="21"/>
      <c r="AA268" s="29">
        <f>SUMPRODUCT((BIdetails!$J$5:$J$3000=M268)*(BIdetails!$K$5:$K$3000=N268)*(BIdetails!$M$5:$M$3000))</f>
        <v>0</v>
      </c>
      <c r="AB268" s="30">
        <f t="shared" si="28"/>
        <v>0</v>
      </c>
      <c r="AC268" s="27"/>
      <c r="AD268" s="27"/>
      <c r="AE268" s="27"/>
      <c r="AF268" s="27"/>
    </row>
    <row r="269" spans="1:32" hidden="1" x14ac:dyDescent="0.25">
      <c r="A269" t="s">
        <v>3094</v>
      </c>
      <c r="B269" t="str">
        <f t="shared" si="26"/>
        <v>No Change</v>
      </c>
      <c r="C269" s="22" t="s">
        <v>3514</v>
      </c>
      <c r="D269" t="s">
        <v>3515</v>
      </c>
      <c r="E269">
        <v>68427709</v>
      </c>
      <c r="F269" s="91" t="s">
        <v>59</v>
      </c>
      <c r="G269" t="s">
        <v>60</v>
      </c>
      <c r="H269" t="s">
        <v>46</v>
      </c>
      <c r="J269" t="s">
        <v>2280</v>
      </c>
      <c r="K269" s="145">
        <v>172149</v>
      </c>
      <c r="L269" s="22" t="s">
        <v>219</v>
      </c>
      <c r="M269" s="20">
        <v>5401081746</v>
      </c>
      <c r="N269" s="20">
        <v>10</v>
      </c>
      <c r="O269" s="22" t="s">
        <v>2870</v>
      </c>
      <c r="P269" s="22" t="s">
        <v>1819</v>
      </c>
      <c r="Q269" s="201" t="s">
        <v>3124</v>
      </c>
      <c r="R269" t="s">
        <v>3125</v>
      </c>
      <c r="S269" s="7">
        <v>49000</v>
      </c>
      <c r="T269" s="7">
        <v>39000</v>
      </c>
      <c r="U269" s="7">
        <v>39000</v>
      </c>
      <c r="V269" s="7"/>
      <c r="W269" s="7"/>
      <c r="X269" s="7">
        <f t="shared" si="27"/>
        <v>0</v>
      </c>
      <c r="Y269" s="5">
        <f t="shared" si="30"/>
        <v>0</v>
      </c>
      <c r="Z269" s="21"/>
      <c r="AA269" s="29">
        <f>SUMPRODUCT((BIdetails!$J$5:$J$3000=M269)*(BIdetails!$K$5:$K$3000=N269)*(BIdetails!$M$5:$M$3000))</f>
        <v>0</v>
      </c>
      <c r="AB269" s="30">
        <f t="shared" si="28"/>
        <v>0</v>
      </c>
      <c r="AC269" s="27"/>
      <c r="AD269" s="27"/>
      <c r="AE269" s="27"/>
      <c r="AF269" s="27"/>
    </row>
    <row r="270" spans="1:32" hidden="1" x14ac:dyDescent="0.25">
      <c r="A270" t="s">
        <v>3094</v>
      </c>
      <c r="B270" t="str">
        <f t="shared" si="26"/>
        <v>No Change</v>
      </c>
      <c r="C270" t="s">
        <v>1387</v>
      </c>
      <c r="D270" t="s">
        <v>3516</v>
      </c>
      <c r="E270">
        <v>68427709</v>
      </c>
      <c r="F270" s="91" t="s">
        <v>59</v>
      </c>
      <c r="G270" t="s">
        <v>60</v>
      </c>
      <c r="H270" t="s">
        <v>46</v>
      </c>
      <c r="I270" t="s">
        <v>3144</v>
      </c>
      <c r="J270" t="s">
        <v>3517</v>
      </c>
      <c r="K270">
        <v>203475</v>
      </c>
      <c r="L270" s="22" t="s">
        <v>1387</v>
      </c>
      <c r="M270" s="292">
        <v>5401075346</v>
      </c>
      <c r="N270" s="20">
        <v>10</v>
      </c>
      <c r="O270" s="22" t="s">
        <v>2870</v>
      </c>
      <c r="P270" s="22" t="s">
        <v>2510</v>
      </c>
      <c r="Q270" t="s">
        <v>3114</v>
      </c>
      <c r="R270" t="s">
        <v>3098</v>
      </c>
      <c r="S270" s="7">
        <v>35000</v>
      </c>
      <c r="T270" s="7">
        <v>35000</v>
      </c>
      <c r="U270" s="7">
        <v>35000</v>
      </c>
      <c r="V270" s="7"/>
      <c r="W270" s="7"/>
      <c r="X270" s="7">
        <f t="shared" si="27"/>
        <v>0</v>
      </c>
      <c r="Y270" s="5">
        <f t="shared" si="30"/>
        <v>0</v>
      </c>
      <c r="Z270" s="35"/>
      <c r="AA270" s="29">
        <f>SUMPRODUCT((BIdetails!$J$5:$J$3000=M270)*(BIdetails!$K$5:$K$3000=N270)*(BIdetails!$M$5:$M$3000))</f>
        <v>0</v>
      </c>
      <c r="AB270" s="30">
        <f t="shared" si="28"/>
        <v>0</v>
      </c>
      <c r="AC270" s="27"/>
      <c r="AD270" s="27"/>
      <c r="AE270" s="27"/>
      <c r="AF270" s="27"/>
    </row>
    <row r="271" spans="1:32" hidden="1" x14ac:dyDescent="0.25">
      <c r="A271" t="s">
        <v>3094</v>
      </c>
      <c r="B271" t="str">
        <f t="shared" si="26"/>
        <v>Decrease</v>
      </c>
      <c r="C271" s="23" t="s">
        <v>2703</v>
      </c>
      <c r="D271" t="s">
        <v>3518</v>
      </c>
      <c r="E271">
        <v>68427709</v>
      </c>
      <c r="F271" s="91" t="s">
        <v>59</v>
      </c>
      <c r="G271" t="s">
        <v>60</v>
      </c>
      <c r="H271" t="s">
        <v>46</v>
      </c>
      <c r="J271" t="s">
        <v>3519</v>
      </c>
      <c r="K271">
        <v>3000948</v>
      </c>
      <c r="L271" t="s">
        <v>289</v>
      </c>
      <c r="M271" s="203">
        <v>5401087725</v>
      </c>
      <c r="N271" s="20">
        <v>10</v>
      </c>
      <c r="O271" s="92" t="s">
        <v>2870</v>
      </c>
      <c r="P271" s="22" t="s">
        <v>3123</v>
      </c>
      <c r="Q271" s="201" t="s">
        <v>3124</v>
      </c>
      <c r="R271" t="s">
        <v>3125</v>
      </c>
      <c r="S271" s="7"/>
      <c r="T271" s="7">
        <v>42000</v>
      </c>
      <c r="U271" s="7">
        <v>22000</v>
      </c>
      <c r="V271" s="7"/>
      <c r="W271" s="7"/>
      <c r="X271" s="7">
        <f t="shared" si="27"/>
        <v>-20000</v>
      </c>
      <c r="Y271" s="5">
        <f t="shared" si="30"/>
        <v>-0.47619047619047616</v>
      </c>
      <c r="Z271" s="21"/>
      <c r="AA271" s="29">
        <f>SUMPRODUCT((BIdetails!$J$5:$J$3000=M271)*(BIdetails!$K$5:$K$3000=N271)*(BIdetails!$M$5:$M$3000))</f>
        <v>0</v>
      </c>
      <c r="AB271" s="30">
        <f t="shared" si="28"/>
        <v>0</v>
      </c>
      <c r="AC271" s="27"/>
      <c r="AD271" s="27"/>
      <c r="AE271" s="27"/>
      <c r="AF271" s="27"/>
    </row>
    <row r="272" spans="1:32" hidden="1" x14ac:dyDescent="0.25">
      <c r="A272" t="s">
        <v>3094</v>
      </c>
      <c r="B272" t="str">
        <f t="shared" si="26"/>
        <v>Increase</v>
      </c>
      <c r="C272" t="s">
        <v>1219</v>
      </c>
      <c r="D272" t="s">
        <v>3520</v>
      </c>
      <c r="E272">
        <v>68427719</v>
      </c>
      <c r="F272" s="91" t="s">
        <v>44</v>
      </c>
      <c r="G272" s="92" t="s">
        <v>75</v>
      </c>
      <c r="H272" t="s">
        <v>46</v>
      </c>
      <c r="J272" t="s">
        <v>3247</v>
      </c>
      <c r="K272">
        <v>210046</v>
      </c>
      <c r="L272" t="s">
        <v>3521</v>
      </c>
      <c r="M272" s="20">
        <v>5401080683</v>
      </c>
      <c r="N272" s="20">
        <v>10</v>
      </c>
      <c r="O272" s="92" t="s">
        <v>2800</v>
      </c>
      <c r="P272" s="92" t="s">
        <v>2800</v>
      </c>
      <c r="Q272" t="s">
        <v>3249</v>
      </c>
      <c r="R272" t="s">
        <v>3207</v>
      </c>
      <c r="S272" s="7">
        <v>700000</v>
      </c>
      <c r="T272" s="7">
        <v>650000</v>
      </c>
      <c r="U272" s="7">
        <v>725000</v>
      </c>
      <c r="V272" s="7"/>
      <c r="W272" s="7"/>
      <c r="X272" s="7">
        <f t="shared" si="27"/>
        <v>75000</v>
      </c>
      <c r="Y272" s="5">
        <f t="shared" si="30"/>
        <v>0.11538461538461539</v>
      </c>
      <c r="Z272" s="35"/>
      <c r="AA272" s="29">
        <f>SUMPRODUCT((BIdetails!$J$5:$J$3000=M272)*(BIdetails!$K$5:$K$3000=N272)*(BIdetails!$M$5:$M$3000))</f>
        <v>0</v>
      </c>
      <c r="AB272" s="30">
        <f t="shared" si="28"/>
        <v>0</v>
      </c>
      <c r="AC272" s="27"/>
      <c r="AD272" s="27"/>
      <c r="AE272" s="27"/>
      <c r="AF272" s="27"/>
    </row>
    <row r="273" spans="1:32" hidden="1" x14ac:dyDescent="0.25">
      <c r="A273" t="s">
        <v>3094</v>
      </c>
      <c r="B273" t="str">
        <f t="shared" si="26"/>
        <v>Increase</v>
      </c>
      <c r="C273" t="s">
        <v>1215</v>
      </c>
      <c r="D273" t="s">
        <v>3522</v>
      </c>
      <c r="E273">
        <v>68427719</v>
      </c>
      <c r="F273" s="91" t="s">
        <v>44</v>
      </c>
      <c r="G273" s="92" t="s">
        <v>75</v>
      </c>
      <c r="H273" t="s">
        <v>46</v>
      </c>
      <c r="J273" t="s">
        <v>3523</v>
      </c>
      <c r="K273">
        <v>209288</v>
      </c>
      <c r="L273" s="92" t="s">
        <v>3524</v>
      </c>
      <c r="M273" s="278" t="s">
        <v>3525</v>
      </c>
      <c r="N273" s="93">
        <v>10</v>
      </c>
      <c r="O273" s="92" t="s">
        <v>2800</v>
      </c>
      <c r="P273" s="92" t="s">
        <v>2800</v>
      </c>
      <c r="Q273" t="s">
        <v>3206</v>
      </c>
      <c r="R273" t="s">
        <v>3207</v>
      </c>
      <c r="S273" s="7">
        <v>955000</v>
      </c>
      <c r="T273" s="7">
        <v>625000</v>
      </c>
      <c r="U273" s="7">
        <v>695000</v>
      </c>
      <c r="V273" s="7"/>
      <c r="W273" s="7"/>
      <c r="X273" s="7">
        <f t="shared" si="27"/>
        <v>70000</v>
      </c>
      <c r="Y273" s="5">
        <f t="shared" si="30"/>
        <v>0.112</v>
      </c>
      <c r="Z273" s="35"/>
      <c r="AA273" s="29">
        <f>SUMPRODUCT((BIdetails!$J$5:$J$3000=M273)*(BIdetails!$K$5:$K$3000=N273)*(BIdetails!$M$5:$M$3000))</f>
        <v>0</v>
      </c>
      <c r="AB273" s="30">
        <f t="shared" si="28"/>
        <v>0</v>
      </c>
      <c r="AC273" s="27"/>
      <c r="AD273" s="27"/>
      <c r="AE273" s="27"/>
      <c r="AF273" s="27"/>
    </row>
    <row r="274" spans="1:32" hidden="1" x14ac:dyDescent="0.25">
      <c r="A274" t="s">
        <v>3094</v>
      </c>
      <c r="B274" t="str">
        <f t="shared" si="26"/>
        <v>Increase</v>
      </c>
      <c r="C274" t="s">
        <v>1218</v>
      </c>
      <c r="D274" t="s">
        <v>3522</v>
      </c>
      <c r="E274">
        <v>68427719</v>
      </c>
      <c r="F274" s="91" t="s">
        <v>44</v>
      </c>
      <c r="G274" s="92" t="s">
        <v>75</v>
      </c>
      <c r="H274" t="s">
        <v>46</v>
      </c>
      <c r="J274" t="s">
        <v>3223</v>
      </c>
      <c r="K274">
        <v>209288</v>
      </c>
      <c r="L274" s="92" t="s">
        <v>3524</v>
      </c>
      <c r="M274" s="278" t="s">
        <v>3525</v>
      </c>
      <c r="N274" s="93">
        <v>10</v>
      </c>
      <c r="O274" s="92" t="s">
        <v>2800</v>
      </c>
      <c r="P274" s="92" t="s">
        <v>2800</v>
      </c>
      <c r="Q274" t="s">
        <v>3225</v>
      </c>
      <c r="R274" t="s">
        <v>3207</v>
      </c>
      <c r="S274" s="7">
        <v>300000</v>
      </c>
      <c r="T274" s="7">
        <v>200000</v>
      </c>
      <c r="U274" s="7">
        <v>230000</v>
      </c>
      <c r="V274" s="7"/>
      <c r="W274" s="7"/>
      <c r="X274" s="7">
        <f t="shared" si="27"/>
        <v>30000</v>
      </c>
      <c r="Y274" s="5">
        <f t="shared" si="30"/>
        <v>0.15</v>
      </c>
      <c r="Z274" s="35"/>
      <c r="AA274" s="29">
        <f>SUMPRODUCT((BIdetails!$J$5:$J$3000=M274)*(BIdetails!$K$5:$K$3000=N274)*(BIdetails!$M$5:$M$3000))</f>
        <v>0</v>
      </c>
      <c r="AB274" s="30">
        <f t="shared" si="28"/>
        <v>0</v>
      </c>
      <c r="AC274" s="27" t="s">
        <v>845</v>
      </c>
      <c r="AD274" s="27" t="s">
        <v>3100</v>
      </c>
      <c r="AE274" s="27" t="s">
        <v>3118</v>
      </c>
      <c r="AF274" s="27"/>
    </row>
    <row r="275" spans="1:32" hidden="1" x14ac:dyDescent="0.25">
      <c r="A275" t="s">
        <v>3094</v>
      </c>
      <c r="B275" t="str">
        <f t="shared" si="26"/>
        <v>Increase</v>
      </c>
      <c r="C275" s="92" t="s">
        <v>2889</v>
      </c>
      <c r="D275" t="s">
        <v>3526</v>
      </c>
      <c r="E275">
        <v>68427709</v>
      </c>
      <c r="F275" s="91" t="s">
        <v>59</v>
      </c>
      <c r="G275" t="s">
        <v>60</v>
      </c>
      <c r="H275" s="92" t="s">
        <v>46</v>
      </c>
      <c r="J275" t="s">
        <v>3527</v>
      </c>
      <c r="K275" s="92">
        <v>181895</v>
      </c>
      <c r="L275" s="92" t="s">
        <v>3233</v>
      </c>
      <c r="M275" s="20">
        <v>5400910728</v>
      </c>
      <c r="N275" s="20">
        <v>40</v>
      </c>
      <c r="O275" s="92" t="s">
        <v>2870</v>
      </c>
      <c r="P275" s="22" t="s">
        <v>423</v>
      </c>
      <c r="Q275" s="201" t="s">
        <v>3114</v>
      </c>
      <c r="R275" t="s">
        <v>3120</v>
      </c>
      <c r="S275" s="7">
        <v>219000</v>
      </c>
      <c r="T275" s="7">
        <v>158000</v>
      </c>
      <c r="U275" s="7">
        <v>236000</v>
      </c>
      <c r="V275" s="7"/>
      <c r="W275" s="7"/>
      <c r="X275" s="7">
        <f t="shared" si="27"/>
        <v>78000</v>
      </c>
      <c r="Y275" s="5">
        <f t="shared" si="30"/>
        <v>0.49367088607594939</v>
      </c>
      <c r="Z275" s="35"/>
      <c r="AA275" s="29">
        <f>SUMPRODUCT((BIdetails!$J$5:$J$3000=M275)*(BIdetails!$K$5:$K$3000=N275)*(BIdetails!$M$5:$M$3000))</f>
        <v>0</v>
      </c>
      <c r="AB275" s="30">
        <f t="shared" si="28"/>
        <v>0</v>
      </c>
      <c r="AC275" s="27"/>
      <c r="AD275" s="27"/>
      <c r="AE275" s="27"/>
      <c r="AF275" s="27"/>
    </row>
    <row r="276" spans="1:32" hidden="1" x14ac:dyDescent="0.25">
      <c r="A276" t="s">
        <v>3094</v>
      </c>
      <c r="B276" t="str">
        <f t="shared" si="26"/>
        <v>No Change</v>
      </c>
      <c r="C276" s="22" t="s">
        <v>2587</v>
      </c>
      <c r="E276">
        <v>68427709</v>
      </c>
      <c r="F276" s="91" t="s">
        <v>59</v>
      </c>
      <c r="G276" t="s">
        <v>60</v>
      </c>
      <c r="H276" s="92" t="s">
        <v>46</v>
      </c>
      <c r="J276" t="s">
        <v>3527</v>
      </c>
      <c r="K276" s="92">
        <v>181895</v>
      </c>
      <c r="L276" s="92" t="s">
        <v>3233</v>
      </c>
      <c r="M276" s="203"/>
      <c r="O276" s="92" t="s">
        <v>2870</v>
      </c>
      <c r="P276" s="22" t="s">
        <v>3528</v>
      </c>
      <c r="Q276" t="s">
        <v>3114</v>
      </c>
      <c r="R276" t="s">
        <v>3120</v>
      </c>
      <c r="S276" s="7"/>
      <c r="T276" s="7">
        <v>78000</v>
      </c>
      <c r="U276" s="7">
        <v>78000</v>
      </c>
      <c r="V276" s="7"/>
      <c r="W276" s="7"/>
      <c r="X276" s="7">
        <f t="shared" si="27"/>
        <v>0</v>
      </c>
      <c r="Y276" s="5">
        <f t="shared" si="30"/>
        <v>0</v>
      </c>
      <c r="Z276" s="21"/>
      <c r="AA276" s="29">
        <f>SUMPRODUCT((BIdetails!$J$5:$J$3000=M276)*(BIdetails!$K$5:$K$3000=N276)*(BIdetails!$M$5:$M$3000))</f>
        <v>0</v>
      </c>
      <c r="AB276" s="30">
        <f t="shared" si="28"/>
        <v>0</v>
      </c>
      <c r="AC276" s="27"/>
      <c r="AD276" s="27"/>
      <c r="AE276" s="27"/>
      <c r="AF276" s="27"/>
    </row>
    <row r="277" spans="1:32" x14ac:dyDescent="0.25">
      <c r="A277" t="s">
        <v>3094</v>
      </c>
      <c r="B277" t="str">
        <f t="shared" si="26"/>
        <v>No Change</v>
      </c>
      <c r="C277" s="22" t="s">
        <v>2318</v>
      </c>
      <c r="D277" t="s">
        <v>3529</v>
      </c>
      <c r="E277">
        <v>68427709</v>
      </c>
      <c r="F277" s="91" t="s">
        <v>40</v>
      </c>
      <c r="G277" t="s">
        <v>42</v>
      </c>
      <c r="H277" t="s">
        <v>42</v>
      </c>
      <c r="I277" t="s">
        <v>3096</v>
      </c>
      <c r="J277" t="s">
        <v>3530</v>
      </c>
      <c r="K277" s="22">
        <v>209514</v>
      </c>
      <c r="L277" s="22" t="s">
        <v>3531</v>
      </c>
      <c r="M277" s="203">
        <v>5400978265</v>
      </c>
      <c r="N277" s="20">
        <v>10</v>
      </c>
      <c r="O277" t="s">
        <v>2843</v>
      </c>
      <c r="P277" s="92" t="s">
        <v>2843</v>
      </c>
      <c r="Q277" t="s">
        <v>3104</v>
      </c>
      <c r="R277" s="92" t="s">
        <v>42</v>
      </c>
      <c r="S277" s="7">
        <v>85000</v>
      </c>
      <c r="T277" s="7">
        <v>85000</v>
      </c>
      <c r="U277" s="7">
        <v>85000</v>
      </c>
      <c r="V277" s="7"/>
      <c r="W277" s="7">
        <f>U277*1.04</f>
        <v>88400</v>
      </c>
      <c r="X277" s="7">
        <f t="shared" ref="X277" si="31">W277-U277</f>
        <v>3400</v>
      </c>
      <c r="Y277" s="5">
        <f t="shared" si="30"/>
        <v>0.04</v>
      </c>
      <c r="Z277" s="21"/>
      <c r="AA277" s="29">
        <f>SUMPRODUCT((BIdetails!$J$5:$J$3000=M277)*(BIdetails!$K$5:$K$3000=N277)*(BIdetails!$M$5:$M$3000))</f>
        <v>0</v>
      </c>
      <c r="AB277" s="30">
        <f t="shared" si="28"/>
        <v>0</v>
      </c>
      <c r="AC277" s="27"/>
      <c r="AD277" s="27"/>
      <c r="AE277" s="27"/>
      <c r="AF277" s="27"/>
    </row>
    <row r="278" spans="1:32" hidden="1" x14ac:dyDescent="0.25">
      <c r="A278" t="s">
        <v>3094</v>
      </c>
      <c r="B278" t="str">
        <f t="shared" si="26"/>
        <v>No Change</v>
      </c>
      <c r="C278" t="s">
        <v>3532</v>
      </c>
      <c r="D278" t="s">
        <v>3533</v>
      </c>
      <c r="E278">
        <v>68427709</v>
      </c>
      <c r="F278" s="91" t="s">
        <v>59</v>
      </c>
      <c r="G278" t="s">
        <v>60</v>
      </c>
      <c r="H278" t="s">
        <v>46</v>
      </c>
      <c r="J278" t="s">
        <v>2209</v>
      </c>
      <c r="K278">
        <v>199680</v>
      </c>
      <c r="L278" t="s">
        <v>327</v>
      </c>
      <c r="M278" s="20">
        <v>5401084023</v>
      </c>
      <c r="N278" s="20">
        <v>10</v>
      </c>
      <c r="O278" t="s">
        <v>2870</v>
      </c>
      <c r="P278" s="22" t="s">
        <v>3183</v>
      </c>
      <c r="Q278" t="s">
        <v>3114</v>
      </c>
      <c r="R278" s="22" t="s">
        <v>3120</v>
      </c>
      <c r="S278" s="7">
        <v>103000</v>
      </c>
      <c r="T278" s="7">
        <v>103000</v>
      </c>
      <c r="U278" s="7">
        <v>103000</v>
      </c>
      <c r="V278" s="7"/>
      <c r="W278" s="7"/>
      <c r="X278" s="7">
        <f t="shared" si="27"/>
        <v>0</v>
      </c>
      <c r="Y278" s="5">
        <f t="shared" si="30"/>
        <v>0</v>
      </c>
      <c r="Z278" s="35"/>
      <c r="AA278" s="29">
        <f>SUMPRODUCT((BIdetails!$J$5:$J$3000=M278)*(BIdetails!$K$5:$K$3000=N278)*(BIdetails!$M$5:$M$3000))</f>
        <v>0</v>
      </c>
      <c r="AB278" s="30">
        <f t="shared" si="28"/>
        <v>0</v>
      </c>
      <c r="AC278" s="27"/>
      <c r="AD278" s="27"/>
      <c r="AE278" s="27"/>
      <c r="AF278" s="27"/>
    </row>
    <row r="279" spans="1:32" hidden="1" x14ac:dyDescent="0.25">
      <c r="A279" t="s">
        <v>3094</v>
      </c>
      <c r="B279" t="str">
        <f t="shared" si="26"/>
        <v>No Change</v>
      </c>
      <c r="C279" s="92" t="s">
        <v>2538</v>
      </c>
      <c r="D279" t="s">
        <v>3534</v>
      </c>
      <c r="E279">
        <v>68427709</v>
      </c>
      <c r="F279" s="91" t="s">
        <v>59</v>
      </c>
      <c r="G279" t="s">
        <v>60</v>
      </c>
      <c r="H279" t="s">
        <v>46</v>
      </c>
      <c r="J279" t="s">
        <v>3535</v>
      </c>
      <c r="K279">
        <v>204075</v>
      </c>
      <c r="L279" t="s">
        <v>171</v>
      </c>
      <c r="M279"/>
      <c r="O279" s="22" t="s">
        <v>2870</v>
      </c>
      <c r="P279" s="22" t="s">
        <v>2781</v>
      </c>
      <c r="Q279" t="s">
        <v>3114</v>
      </c>
      <c r="R279" t="s">
        <v>3136</v>
      </c>
      <c r="S279" s="7"/>
      <c r="T279" s="7">
        <v>35000</v>
      </c>
      <c r="U279" s="7">
        <v>35000</v>
      </c>
      <c r="V279" s="7"/>
      <c r="W279" s="7"/>
      <c r="X279" s="7">
        <f t="shared" si="27"/>
        <v>0</v>
      </c>
      <c r="Y279" s="5">
        <f t="shared" si="30"/>
        <v>0</v>
      </c>
      <c r="Z279" s="216"/>
      <c r="AA279" s="29">
        <f>SUMPRODUCT((BIdetails!$J$5:$J$3000=M279)*(BIdetails!$K$5:$K$3000=N279)*(BIdetails!$M$5:$M$3000))</f>
        <v>0</v>
      </c>
      <c r="AB279" s="30">
        <f t="shared" si="28"/>
        <v>0</v>
      </c>
      <c r="AC279" s="27"/>
      <c r="AD279" s="27"/>
      <c r="AE279" s="27"/>
      <c r="AF279" s="27"/>
    </row>
    <row r="280" spans="1:32" hidden="1" x14ac:dyDescent="0.25">
      <c r="A280" t="s">
        <v>3094</v>
      </c>
      <c r="B280" t="str">
        <f t="shared" si="26"/>
        <v>No Change</v>
      </c>
      <c r="C280" s="92" t="s">
        <v>3536</v>
      </c>
      <c r="D280" t="s">
        <v>3537</v>
      </c>
      <c r="E280">
        <v>68427709</v>
      </c>
      <c r="F280" s="91" t="s">
        <v>54</v>
      </c>
      <c r="G280" t="s">
        <v>55</v>
      </c>
      <c r="H280" t="s">
        <v>46</v>
      </c>
      <c r="J280" t="s">
        <v>3535</v>
      </c>
      <c r="K280">
        <v>204075</v>
      </c>
      <c r="L280" t="s">
        <v>171</v>
      </c>
      <c r="M280" s="203">
        <v>5401084790</v>
      </c>
      <c r="N280" s="20">
        <v>10</v>
      </c>
      <c r="O280" s="22" t="s">
        <v>2870</v>
      </c>
      <c r="P280" s="22" t="s">
        <v>2781</v>
      </c>
      <c r="Q280" t="s">
        <v>3114</v>
      </c>
      <c r="R280" t="s">
        <v>3136</v>
      </c>
      <c r="S280" s="7"/>
      <c r="T280" s="7">
        <v>12500</v>
      </c>
      <c r="U280" s="7">
        <v>12500</v>
      </c>
      <c r="V280" s="7"/>
      <c r="W280" s="7"/>
      <c r="X280" s="7">
        <f t="shared" si="27"/>
        <v>0</v>
      </c>
      <c r="Y280" s="5">
        <f t="shared" si="30"/>
        <v>0</v>
      </c>
      <c r="Z280" s="216"/>
      <c r="AA280" s="29">
        <f>SUMPRODUCT((BIdetails!$J$5:$J$3000=M280)*(BIdetails!$K$5:$K$3000=N280)*(BIdetails!$M$5:$M$3000))</f>
        <v>0</v>
      </c>
      <c r="AB280" s="30">
        <f t="shared" si="28"/>
        <v>0</v>
      </c>
      <c r="AC280" s="27"/>
      <c r="AD280" s="27"/>
      <c r="AE280" s="27"/>
      <c r="AF280" s="27"/>
    </row>
    <row r="281" spans="1:32" hidden="1" x14ac:dyDescent="0.25">
      <c r="A281" t="s">
        <v>3094</v>
      </c>
      <c r="B281" t="str">
        <f t="shared" si="26"/>
        <v>No Change</v>
      </c>
      <c r="C281" s="22" t="s">
        <v>2969</v>
      </c>
      <c r="E281">
        <v>68427709</v>
      </c>
      <c r="F281" s="91" t="s">
        <v>59</v>
      </c>
      <c r="G281" t="s">
        <v>60</v>
      </c>
      <c r="H281" t="s">
        <v>46</v>
      </c>
      <c r="I281" t="s">
        <v>2448</v>
      </c>
      <c r="J281" t="s">
        <v>3189</v>
      </c>
      <c r="K281">
        <v>166304</v>
      </c>
      <c r="L281" s="22" t="s">
        <v>97</v>
      </c>
      <c r="M281" s="203"/>
      <c r="O281" s="92" t="s">
        <v>2410</v>
      </c>
      <c r="P281" s="22"/>
      <c r="Q281" t="s">
        <v>3124</v>
      </c>
      <c r="R281" t="s">
        <v>2903</v>
      </c>
      <c r="S281" s="7"/>
      <c r="T281" s="7"/>
      <c r="U281" s="7">
        <v>0</v>
      </c>
      <c r="V281" s="7"/>
      <c r="W281" s="7"/>
      <c r="X281" s="7">
        <f t="shared" si="27"/>
        <v>0</v>
      </c>
      <c r="Y281" s="5">
        <f t="shared" si="30"/>
        <v>0</v>
      </c>
      <c r="Z281" s="21"/>
      <c r="AA281" s="29">
        <f>SUMPRODUCT((BIdetails!$J$5:$J$3000=M281)*(BIdetails!$K$5:$K$3000=N281)*(BIdetails!$M$5:$M$3000))</f>
        <v>0</v>
      </c>
      <c r="AB281" s="30" t="str">
        <f t="shared" si="28"/>
        <v/>
      </c>
      <c r="AC281" s="27"/>
      <c r="AD281" s="27"/>
      <c r="AE281" s="27"/>
      <c r="AF281" s="27"/>
    </row>
    <row r="282" spans="1:32" x14ac:dyDescent="0.25">
      <c r="A282" t="s">
        <v>3094</v>
      </c>
      <c r="B282" t="str">
        <f t="shared" si="26"/>
        <v>No Change</v>
      </c>
      <c r="C282" t="s">
        <v>1146</v>
      </c>
      <c r="D282" t="s">
        <v>3538</v>
      </c>
      <c r="E282">
        <v>68427709</v>
      </c>
      <c r="F282" s="91" t="s">
        <v>40</v>
      </c>
      <c r="G282" t="s">
        <v>42</v>
      </c>
      <c r="H282" t="s">
        <v>42</v>
      </c>
      <c r="I282" t="s">
        <v>2445</v>
      </c>
      <c r="J282" t="s">
        <v>3116</v>
      </c>
      <c r="K282">
        <v>181508</v>
      </c>
      <c r="L282" t="s">
        <v>129</v>
      </c>
      <c r="M282" s="20">
        <v>5401100859</v>
      </c>
      <c r="N282" s="20">
        <v>10</v>
      </c>
      <c r="O282" t="s">
        <v>2843</v>
      </c>
      <c r="P282" t="s">
        <v>2843</v>
      </c>
      <c r="Q282" t="s">
        <v>3114</v>
      </c>
      <c r="R282" t="s">
        <v>42</v>
      </c>
      <c r="S282" s="7">
        <v>50000</v>
      </c>
      <c r="T282" s="7">
        <v>50000</v>
      </c>
      <c r="U282" s="7">
        <v>50000</v>
      </c>
      <c r="V282" s="7"/>
      <c r="W282" s="7">
        <f>U282*1.04</f>
        <v>52000</v>
      </c>
      <c r="X282" s="7">
        <f t="shared" ref="X282" si="32">W282-U282</f>
        <v>2000</v>
      </c>
      <c r="Y282" s="5">
        <f t="shared" si="30"/>
        <v>0.04</v>
      </c>
      <c r="Z282" s="35"/>
      <c r="AA282" s="29">
        <f>SUMPRODUCT((BIdetails!$J$5:$J$3000=M282)*(BIdetails!$K$5:$K$3000=N282)*(BIdetails!$M$5:$M$3000))</f>
        <v>0</v>
      </c>
      <c r="AB282" s="30">
        <f t="shared" si="28"/>
        <v>0</v>
      </c>
      <c r="AC282" s="27" t="s">
        <v>845</v>
      </c>
      <c r="AD282" s="27" t="s">
        <v>3100</v>
      </c>
      <c r="AE282" s="27" t="s">
        <v>3118</v>
      </c>
      <c r="AF282" s="27"/>
    </row>
    <row r="283" spans="1:32" hidden="1" x14ac:dyDescent="0.25">
      <c r="A283" t="s">
        <v>3094</v>
      </c>
      <c r="B283" t="str">
        <f t="shared" si="26"/>
        <v>New</v>
      </c>
      <c r="C283" s="22" t="s">
        <v>2964</v>
      </c>
      <c r="E283">
        <v>68427709</v>
      </c>
      <c r="F283" s="91" t="s">
        <v>59</v>
      </c>
      <c r="G283" t="s">
        <v>60</v>
      </c>
      <c r="H283" t="s">
        <v>46</v>
      </c>
      <c r="I283" t="s">
        <v>2448</v>
      </c>
      <c r="J283" t="s">
        <v>3189</v>
      </c>
      <c r="K283">
        <v>152539</v>
      </c>
      <c r="L283" s="22" t="s">
        <v>125</v>
      </c>
      <c r="M283" s="203"/>
      <c r="O283" s="92" t="s">
        <v>2410</v>
      </c>
      <c r="P283" s="22"/>
      <c r="Q283" t="s">
        <v>3124</v>
      </c>
      <c r="R283" t="s">
        <v>2903</v>
      </c>
      <c r="S283" s="7"/>
      <c r="T283" s="7"/>
      <c r="U283" s="7">
        <v>850</v>
      </c>
      <c r="V283" s="7"/>
      <c r="W283" s="7"/>
      <c r="X283" s="7">
        <f t="shared" si="27"/>
        <v>850</v>
      </c>
      <c r="Y283" s="5">
        <f t="shared" si="30"/>
        <v>1</v>
      </c>
      <c r="Z283" s="21"/>
      <c r="AA283" s="29">
        <f>SUMPRODUCT((BIdetails!$J$5:$J$3000=M283)*(BIdetails!$K$5:$K$3000=N283)*(BIdetails!$M$5:$M$3000))</f>
        <v>0</v>
      </c>
      <c r="AB283" s="30">
        <f t="shared" si="28"/>
        <v>0</v>
      </c>
      <c r="AC283" s="27"/>
      <c r="AD283" s="27"/>
      <c r="AE283" s="27"/>
      <c r="AF283" s="27"/>
    </row>
    <row r="284" spans="1:32" hidden="1" x14ac:dyDescent="0.25">
      <c r="A284" t="s">
        <v>3094</v>
      </c>
      <c r="B284" t="str">
        <f t="shared" si="26"/>
        <v>New</v>
      </c>
      <c r="C284" s="22" t="s">
        <v>2963</v>
      </c>
      <c r="D284" t="s">
        <v>3539</v>
      </c>
      <c r="E284">
        <v>68427709</v>
      </c>
      <c r="F284" s="91" t="s">
        <v>59</v>
      </c>
      <c r="G284" t="s">
        <v>60</v>
      </c>
      <c r="H284" t="s">
        <v>46</v>
      </c>
      <c r="I284" t="s">
        <v>2448</v>
      </c>
      <c r="J284" t="s">
        <v>3189</v>
      </c>
      <c r="K284">
        <v>152539</v>
      </c>
      <c r="L284" s="22" t="s">
        <v>125</v>
      </c>
      <c r="M284" s="203">
        <v>5400940615</v>
      </c>
      <c r="N284" s="20">
        <v>10</v>
      </c>
      <c r="O284" s="92" t="s">
        <v>2410</v>
      </c>
      <c r="P284" s="22"/>
      <c r="Q284" t="s">
        <v>3124</v>
      </c>
      <c r="R284" t="s">
        <v>2903</v>
      </c>
      <c r="S284" s="7"/>
      <c r="T284" s="7"/>
      <c r="U284" s="7">
        <v>40000</v>
      </c>
      <c r="V284" s="7"/>
      <c r="W284" s="7"/>
      <c r="X284" s="7">
        <f t="shared" si="27"/>
        <v>40000</v>
      </c>
      <c r="Y284" s="5">
        <f t="shared" si="30"/>
        <v>1</v>
      </c>
      <c r="Z284" s="21"/>
      <c r="AA284" s="29">
        <f>SUMPRODUCT((BIdetails!$J$5:$J$3000=M284)*(BIdetails!$K$5:$K$3000=N284)*(BIdetails!$M$5:$M$3000))</f>
        <v>0</v>
      </c>
      <c r="AB284" s="30">
        <f t="shared" si="28"/>
        <v>0</v>
      </c>
      <c r="AC284" s="27"/>
      <c r="AD284" s="27"/>
      <c r="AE284" s="27"/>
      <c r="AF284" s="27"/>
    </row>
    <row r="285" spans="1:32" hidden="1" x14ac:dyDescent="0.25">
      <c r="A285" t="s">
        <v>3094</v>
      </c>
      <c r="B285" t="str">
        <f t="shared" si="26"/>
        <v>New</v>
      </c>
      <c r="C285" s="22" t="s">
        <v>2965</v>
      </c>
      <c r="E285">
        <v>68427709</v>
      </c>
      <c r="F285" s="91" t="s">
        <v>59</v>
      </c>
      <c r="G285" t="s">
        <v>60</v>
      </c>
      <c r="H285" t="s">
        <v>46</v>
      </c>
      <c r="I285" t="s">
        <v>2448</v>
      </c>
      <c r="J285" t="s">
        <v>3189</v>
      </c>
      <c r="K285">
        <v>152539</v>
      </c>
      <c r="L285" s="22" t="s">
        <v>125</v>
      </c>
      <c r="M285" s="203"/>
      <c r="O285" s="92" t="s">
        <v>2410</v>
      </c>
      <c r="P285" s="22"/>
      <c r="Q285" t="s">
        <v>3124</v>
      </c>
      <c r="R285" t="s">
        <v>2903</v>
      </c>
      <c r="S285" s="7"/>
      <c r="T285" s="7"/>
      <c r="U285" s="7">
        <v>600</v>
      </c>
      <c r="V285" s="7"/>
      <c r="W285" s="7"/>
      <c r="X285" s="7">
        <f t="shared" si="27"/>
        <v>600</v>
      </c>
      <c r="Y285" s="5">
        <f t="shared" si="30"/>
        <v>1</v>
      </c>
      <c r="Z285" s="21"/>
      <c r="AA285" s="29">
        <f>SUMPRODUCT((BIdetails!$J$5:$J$3000=M285)*(BIdetails!$K$5:$K$3000=N285)*(BIdetails!$M$5:$M$3000))</f>
        <v>0</v>
      </c>
      <c r="AB285" s="30">
        <f t="shared" si="28"/>
        <v>0</v>
      </c>
      <c r="AC285" s="27"/>
      <c r="AD285" s="27"/>
      <c r="AE285" s="27"/>
      <c r="AF285" s="27"/>
    </row>
    <row r="286" spans="1:32" hidden="1" x14ac:dyDescent="0.25">
      <c r="A286" t="s">
        <v>3094</v>
      </c>
      <c r="B286" t="str">
        <f t="shared" si="26"/>
        <v>No Change</v>
      </c>
      <c r="C286" s="22" t="s">
        <v>3540</v>
      </c>
      <c r="D286" t="s">
        <v>3541</v>
      </c>
      <c r="E286">
        <v>68427709</v>
      </c>
      <c r="F286" s="91" t="s">
        <v>59</v>
      </c>
      <c r="G286" t="s">
        <v>60</v>
      </c>
      <c r="H286" t="s">
        <v>46</v>
      </c>
      <c r="J286" s="22" t="s">
        <v>3542</v>
      </c>
      <c r="K286" s="22">
        <v>166010</v>
      </c>
      <c r="L286" s="22" t="s">
        <v>207</v>
      </c>
      <c r="M286" s="20">
        <v>5401066356</v>
      </c>
      <c r="N286" s="20">
        <v>10</v>
      </c>
      <c r="O286" s="22" t="s">
        <v>2870</v>
      </c>
      <c r="P286" s="22" t="s">
        <v>1479</v>
      </c>
      <c r="Q286" t="s">
        <v>3114</v>
      </c>
      <c r="R286" t="s">
        <v>3136</v>
      </c>
      <c r="S286" s="7"/>
      <c r="T286" s="7">
        <v>30500</v>
      </c>
      <c r="U286" s="7">
        <v>30500</v>
      </c>
      <c r="V286" s="7"/>
      <c r="W286" s="7"/>
      <c r="X286" s="7">
        <f t="shared" si="27"/>
        <v>0</v>
      </c>
      <c r="Y286" s="5">
        <f t="shared" si="30"/>
        <v>0</v>
      </c>
      <c r="Z286" s="207"/>
      <c r="AA286" s="29">
        <f>SUMPRODUCT((BIdetails!$J$5:$J$3000=M286)*(BIdetails!$K$5:$K$3000=N286)*(BIdetails!$M$5:$M$3000))</f>
        <v>0</v>
      </c>
      <c r="AB286" s="30">
        <f t="shared" si="28"/>
        <v>0</v>
      </c>
      <c r="AC286" s="27"/>
      <c r="AD286" s="27"/>
      <c r="AE286" s="27"/>
      <c r="AF286" s="27"/>
    </row>
    <row r="287" spans="1:32" hidden="1" x14ac:dyDescent="0.25">
      <c r="A287" t="s">
        <v>3106</v>
      </c>
      <c r="B287" t="str">
        <f t="shared" si="26"/>
        <v>Decommissioned</v>
      </c>
      <c r="C287" s="22" t="s">
        <v>2780</v>
      </c>
      <c r="D287" t="s">
        <v>3543</v>
      </c>
      <c r="E287">
        <v>68427709</v>
      </c>
      <c r="F287" s="97" t="s">
        <v>59</v>
      </c>
      <c r="G287" s="22" t="s">
        <v>60</v>
      </c>
      <c r="H287" s="22" t="s">
        <v>46</v>
      </c>
      <c r="J287" t="s">
        <v>3544</v>
      </c>
      <c r="K287" s="22">
        <v>168949</v>
      </c>
      <c r="L287" s="22" t="s">
        <v>2406</v>
      </c>
      <c r="M287" s="24"/>
      <c r="N287" s="24"/>
      <c r="O287" s="22" t="s">
        <v>2870</v>
      </c>
      <c r="P287" s="22" t="s">
        <v>1479</v>
      </c>
      <c r="Q287" s="22" t="s">
        <v>3114</v>
      </c>
      <c r="R287" s="22" t="s">
        <v>3136</v>
      </c>
      <c r="S287" s="7">
        <v>67000</v>
      </c>
      <c r="T287" s="7">
        <v>23000</v>
      </c>
      <c r="U287" s="7">
        <v>0</v>
      </c>
      <c r="V287" s="7"/>
      <c r="W287" s="7"/>
      <c r="X287" s="7">
        <f t="shared" si="27"/>
        <v>-23000</v>
      </c>
      <c r="Y287" s="5">
        <f t="shared" si="30"/>
        <v>-1</v>
      </c>
      <c r="Z287" s="35"/>
      <c r="AA287" s="29">
        <f>SUMPRODUCT((BIdetails!$J$5:$J$3000=M287)*(BIdetails!$K$5:$K$3000=N287)*(BIdetails!$M$5:$M$3000))</f>
        <v>0</v>
      </c>
      <c r="AB287" s="30" t="str">
        <f t="shared" si="28"/>
        <v/>
      </c>
      <c r="AC287" s="27"/>
      <c r="AD287" s="27"/>
      <c r="AE287" s="27"/>
      <c r="AF287" s="27"/>
    </row>
    <row r="288" spans="1:32" hidden="1" x14ac:dyDescent="0.25">
      <c r="A288" t="s">
        <v>3094</v>
      </c>
      <c r="B288" t="str">
        <f t="shared" si="26"/>
        <v>No Change</v>
      </c>
      <c r="C288" t="s">
        <v>2443</v>
      </c>
      <c r="D288" t="s">
        <v>3545</v>
      </c>
      <c r="E288">
        <v>68427709</v>
      </c>
      <c r="F288" s="91" t="s">
        <v>22</v>
      </c>
      <c r="G288" t="s">
        <v>100</v>
      </c>
      <c r="H288" t="s">
        <v>24</v>
      </c>
      <c r="I288" t="s">
        <v>2445</v>
      </c>
      <c r="J288" t="s">
        <v>3116</v>
      </c>
      <c r="L288" t="s">
        <v>3546</v>
      </c>
      <c r="M288">
        <v>5401079380</v>
      </c>
      <c r="N288" s="20">
        <v>10</v>
      </c>
      <c r="O288" s="22" t="s">
        <v>2410</v>
      </c>
      <c r="P288" s="22" t="s">
        <v>2410</v>
      </c>
      <c r="Q288" t="s">
        <v>3114</v>
      </c>
      <c r="R288" t="s">
        <v>3133</v>
      </c>
      <c r="S288" s="7">
        <v>2500</v>
      </c>
      <c r="T288" s="7">
        <v>2500</v>
      </c>
      <c r="U288" s="7">
        <v>2500</v>
      </c>
      <c r="V288" s="7"/>
      <c r="W288" s="7"/>
      <c r="X288" s="7">
        <f t="shared" si="27"/>
        <v>0</v>
      </c>
      <c r="Y288" s="5">
        <f t="shared" si="30"/>
        <v>0</v>
      </c>
      <c r="Z288" s="21"/>
      <c r="AA288" s="29">
        <f>SUMPRODUCT((BIdetails!$J$5:$J$3000=M288)*(BIdetails!$K$5:$K$3000=N288)*(BIdetails!$M$5:$M$3000))</f>
        <v>0</v>
      </c>
      <c r="AB288" s="30">
        <f t="shared" si="28"/>
        <v>0</v>
      </c>
      <c r="AC288" s="27"/>
      <c r="AD288" s="27"/>
      <c r="AE288" s="27"/>
      <c r="AF288" s="27"/>
    </row>
    <row r="289" spans="1:32" hidden="1" x14ac:dyDescent="0.25">
      <c r="A289" t="s">
        <v>3094</v>
      </c>
      <c r="B289" t="str">
        <f t="shared" si="26"/>
        <v>Increase</v>
      </c>
      <c r="C289" t="s">
        <v>1078</v>
      </c>
      <c r="D289" t="s">
        <v>3151</v>
      </c>
      <c r="E289">
        <v>68427709</v>
      </c>
      <c r="F289" s="91" t="s">
        <v>44</v>
      </c>
      <c r="G289" s="92" t="s">
        <v>75</v>
      </c>
      <c r="H289" s="92" t="s">
        <v>46</v>
      </c>
      <c r="J289" t="s">
        <v>3547</v>
      </c>
      <c r="K289">
        <v>187516</v>
      </c>
      <c r="L289" s="92" t="s">
        <v>3117</v>
      </c>
      <c r="M289" s="25">
        <v>5401088459</v>
      </c>
      <c r="N289" s="20">
        <v>110</v>
      </c>
      <c r="O289" s="92" t="s">
        <v>2870</v>
      </c>
      <c r="P289" s="92" t="s">
        <v>2510</v>
      </c>
      <c r="Q289" s="92" t="s">
        <v>3114</v>
      </c>
      <c r="R289" s="92" t="s">
        <v>3098</v>
      </c>
      <c r="S289" s="7">
        <v>100000</v>
      </c>
      <c r="T289" s="7">
        <v>100000</v>
      </c>
      <c r="U289" s="7">
        <v>310000</v>
      </c>
      <c r="V289" s="7"/>
      <c r="W289" s="7"/>
      <c r="X289" s="7">
        <f t="shared" si="27"/>
        <v>210000</v>
      </c>
      <c r="Y289" s="5">
        <f t="shared" si="30"/>
        <v>2.1</v>
      </c>
      <c r="Z289" s="35"/>
      <c r="AA289" s="29">
        <f>SUMPRODUCT((BIdetails!$J$5:$J$3000=M289)*(BIdetails!$K$5:$K$3000=N289)*(BIdetails!$M$5:$M$3000))</f>
        <v>0</v>
      </c>
      <c r="AB289" s="30">
        <f t="shared" si="28"/>
        <v>0</v>
      </c>
      <c r="AC289" s="27"/>
      <c r="AD289" s="27"/>
      <c r="AE289" s="27"/>
      <c r="AF289" s="27"/>
    </row>
    <row r="290" spans="1:32" hidden="1" x14ac:dyDescent="0.25">
      <c r="A290" t="s">
        <v>3094</v>
      </c>
      <c r="B290" t="str">
        <f t="shared" si="26"/>
        <v>No Change</v>
      </c>
      <c r="C290" t="s">
        <v>3548</v>
      </c>
      <c r="D290" t="s">
        <v>3549</v>
      </c>
      <c r="E290">
        <v>68427709</v>
      </c>
      <c r="F290" s="91" t="s">
        <v>59</v>
      </c>
      <c r="G290" t="s">
        <v>60</v>
      </c>
      <c r="H290" t="s">
        <v>46</v>
      </c>
      <c r="J290" t="s">
        <v>3550</v>
      </c>
      <c r="K290">
        <v>209341</v>
      </c>
      <c r="L290" s="92" t="s">
        <v>255</v>
      </c>
      <c r="M290">
        <v>5401097362</v>
      </c>
      <c r="N290" s="20">
        <v>10</v>
      </c>
      <c r="O290" s="22" t="s">
        <v>2870</v>
      </c>
      <c r="P290" s="22" t="s">
        <v>1984</v>
      </c>
      <c r="Q290" t="s">
        <v>3114</v>
      </c>
      <c r="R290" t="s">
        <v>3284</v>
      </c>
      <c r="S290" s="7">
        <v>24000</v>
      </c>
      <c r="T290" s="7">
        <v>24000</v>
      </c>
      <c r="U290" s="7">
        <v>24000</v>
      </c>
      <c r="V290" s="7"/>
      <c r="W290" s="7"/>
      <c r="X290" s="7">
        <f t="shared" si="27"/>
        <v>0</v>
      </c>
      <c r="Y290" s="5">
        <f t="shared" si="30"/>
        <v>0</v>
      </c>
      <c r="Z290" s="21"/>
      <c r="AA290" s="29">
        <f>SUMPRODUCT((BIdetails!$J$5:$J$3000=M290)*(BIdetails!$K$5:$K$3000=N290)*(BIdetails!$M$5:$M$3000))</f>
        <v>0</v>
      </c>
      <c r="AB290" s="30">
        <f t="shared" si="28"/>
        <v>0</v>
      </c>
      <c r="AC290" s="27"/>
      <c r="AD290" s="27"/>
      <c r="AE290" s="27"/>
      <c r="AF290" s="27"/>
    </row>
    <row r="291" spans="1:32" hidden="1" x14ac:dyDescent="0.25">
      <c r="A291" t="s">
        <v>3094</v>
      </c>
      <c r="B291" t="str">
        <f t="shared" si="26"/>
        <v>Increase</v>
      </c>
      <c r="C291" s="92" t="s">
        <v>2475</v>
      </c>
      <c r="D291" t="s">
        <v>3551</v>
      </c>
      <c r="E291">
        <v>68427709</v>
      </c>
      <c r="F291" s="91" t="s">
        <v>59</v>
      </c>
      <c r="G291" t="s">
        <v>60</v>
      </c>
      <c r="H291" s="92" t="s">
        <v>46</v>
      </c>
      <c r="J291" t="s">
        <v>3552</v>
      </c>
      <c r="K291" s="92">
        <v>205988</v>
      </c>
      <c r="L291" s="92" t="s">
        <v>3553</v>
      </c>
      <c r="M291">
        <v>5401072476</v>
      </c>
      <c r="N291" s="20">
        <v>10</v>
      </c>
      <c r="O291" s="92" t="s">
        <v>2870</v>
      </c>
      <c r="P291" s="92" t="s">
        <v>3183</v>
      </c>
      <c r="Q291" t="s">
        <v>3170</v>
      </c>
      <c r="R291" t="s">
        <v>3120</v>
      </c>
      <c r="S291" s="7">
        <v>52000</v>
      </c>
      <c r="T291" s="7">
        <v>52000</v>
      </c>
      <c r="U291" s="7">
        <v>57400</v>
      </c>
      <c r="V291" s="7"/>
      <c r="W291" s="7"/>
      <c r="X291" s="7">
        <f t="shared" si="27"/>
        <v>5400</v>
      </c>
      <c r="Y291" s="5">
        <f t="shared" si="30"/>
        <v>0.10384615384615385</v>
      </c>
      <c r="Z291" s="35"/>
      <c r="AA291" s="29">
        <f>SUMPRODUCT((BIdetails!$J$5:$J$3000=M291)*(BIdetails!$K$5:$K$3000=N291)*(BIdetails!$M$5:$M$3000))</f>
        <v>0</v>
      </c>
      <c r="AB291" s="30">
        <f t="shared" si="28"/>
        <v>0</v>
      </c>
      <c r="AC291" s="27"/>
      <c r="AD291" s="27"/>
      <c r="AE291" s="27"/>
      <c r="AF291" s="27"/>
    </row>
    <row r="292" spans="1:32" hidden="1" x14ac:dyDescent="0.25">
      <c r="A292" t="s">
        <v>3094</v>
      </c>
      <c r="B292" t="str">
        <f t="shared" si="26"/>
        <v>No Change</v>
      </c>
      <c r="C292" t="s">
        <v>3554</v>
      </c>
      <c r="D292" t="s">
        <v>3555</v>
      </c>
      <c r="E292">
        <v>68427709</v>
      </c>
      <c r="F292" s="97" t="s">
        <v>59</v>
      </c>
      <c r="G292" s="22" t="s">
        <v>60</v>
      </c>
      <c r="H292" s="22" t="s">
        <v>46</v>
      </c>
      <c r="I292" t="s">
        <v>3096</v>
      </c>
      <c r="J292" s="22" t="s">
        <v>3556</v>
      </c>
      <c r="K292" s="145">
        <v>193309</v>
      </c>
      <c r="L292" s="22" t="s">
        <v>3557</v>
      </c>
      <c r="M292" s="24">
        <v>5401063351</v>
      </c>
      <c r="N292" s="24">
        <v>10</v>
      </c>
      <c r="O292" s="22" t="s">
        <v>2870</v>
      </c>
      <c r="P292" s="22" t="s">
        <v>2870</v>
      </c>
      <c r="Q292" s="22" t="s">
        <v>3104</v>
      </c>
      <c r="R292" s="22" t="s">
        <v>3098</v>
      </c>
      <c r="S292" s="7">
        <v>2000</v>
      </c>
      <c r="T292" s="7">
        <v>2000</v>
      </c>
      <c r="U292" s="7">
        <v>2000</v>
      </c>
      <c r="V292" s="7"/>
      <c r="W292" s="7"/>
      <c r="X292" s="7">
        <f t="shared" si="27"/>
        <v>0</v>
      </c>
      <c r="Y292" s="5">
        <f t="shared" si="30"/>
        <v>0</v>
      </c>
      <c r="Z292" s="35"/>
      <c r="AA292" s="29">
        <f>SUMPRODUCT((BIdetails!$J$5:$J$3000=M292)*(BIdetails!$K$5:$K$3000=N292)*(BIdetails!$M$5:$M$3000))</f>
        <v>0</v>
      </c>
      <c r="AB292" s="30">
        <f t="shared" si="28"/>
        <v>0</v>
      </c>
      <c r="AC292" s="27"/>
      <c r="AD292" s="27"/>
      <c r="AE292" s="27"/>
      <c r="AF292" s="27"/>
    </row>
    <row r="293" spans="1:32" hidden="1" x14ac:dyDescent="0.25">
      <c r="A293" t="s">
        <v>3094</v>
      </c>
      <c r="B293" t="str">
        <f t="shared" si="26"/>
        <v>Increase</v>
      </c>
      <c r="C293" t="s">
        <v>2361</v>
      </c>
      <c r="D293" t="s">
        <v>3222</v>
      </c>
      <c r="E293">
        <v>68427719</v>
      </c>
      <c r="F293" s="91" t="s">
        <v>54</v>
      </c>
      <c r="G293" t="s">
        <v>55</v>
      </c>
      <c r="H293" t="s">
        <v>46</v>
      </c>
      <c r="J293" t="s">
        <v>3523</v>
      </c>
      <c r="K293">
        <v>193275</v>
      </c>
      <c r="L293" t="s">
        <v>3224</v>
      </c>
      <c r="M293">
        <v>5400972346</v>
      </c>
      <c r="N293" s="20">
        <v>10</v>
      </c>
      <c r="O293" s="92" t="s">
        <v>2800</v>
      </c>
      <c r="P293" s="92" t="s">
        <v>2800</v>
      </c>
      <c r="Q293" t="s">
        <v>3206</v>
      </c>
      <c r="R293" t="s">
        <v>3207</v>
      </c>
      <c r="S293" s="7">
        <v>2915000</v>
      </c>
      <c r="T293" s="7">
        <v>2320000</v>
      </c>
      <c r="U293" s="7">
        <v>2445000</v>
      </c>
      <c r="V293" s="7"/>
      <c r="W293" s="7"/>
      <c r="X293" s="7">
        <f t="shared" si="27"/>
        <v>125000</v>
      </c>
      <c r="Y293" s="5">
        <f t="shared" si="30"/>
        <v>5.3879310344827583E-2</v>
      </c>
      <c r="Z293" s="35"/>
      <c r="AA293" s="29">
        <f>SUMPRODUCT((BIdetails!$J$5:$J$3000=M293)*(BIdetails!$K$5:$K$3000=N293)*(BIdetails!$M$5:$M$3000))</f>
        <v>0</v>
      </c>
      <c r="AB293" s="30">
        <f t="shared" si="28"/>
        <v>0</v>
      </c>
      <c r="AC293" s="27"/>
      <c r="AD293" s="27"/>
      <c r="AE293" s="27"/>
      <c r="AF293" s="27"/>
    </row>
    <row r="294" spans="1:32" hidden="1" x14ac:dyDescent="0.25">
      <c r="A294" t="s">
        <v>3094</v>
      </c>
      <c r="B294" t="str">
        <f t="shared" si="26"/>
        <v>No Change</v>
      </c>
      <c r="C294" t="s">
        <v>2630</v>
      </c>
      <c r="D294" t="s">
        <v>3558</v>
      </c>
      <c r="E294">
        <v>68427709</v>
      </c>
      <c r="F294" s="91" t="s">
        <v>54</v>
      </c>
      <c r="G294" t="s">
        <v>55</v>
      </c>
      <c r="H294" t="s">
        <v>46</v>
      </c>
      <c r="J294" t="s">
        <v>3285</v>
      </c>
      <c r="K294">
        <v>193275</v>
      </c>
      <c r="L294" t="s">
        <v>376</v>
      </c>
      <c r="M294" s="20">
        <v>5400972346</v>
      </c>
      <c r="N294" s="20">
        <v>10</v>
      </c>
      <c r="O294" t="s">
        <v>2870</v>
      </c>
      <c r="P294" t="s">
        <v>2500</v>
      </c>
      <c r="Q294" t="s">
        <v>3114</v>
      </c>
      <c r="R294" t="s">
        <v>3175</v>
      </c>
      <c r="S294" s="7">
        <v>298300</v>
      </c>
      <c r="T294" s="7">
        <v>333000</v>
      </c>
      <c r="U294" s="7">
        <v>333000</v>
      </c>
      <c r="V294" s="7"/>
      <c r="W294" s="7"/>
      <c r="X294" s="7">
        <f t="shared" si="27"/>
        <v>0</v>
      </c>
      <c r="Y294" s="5">
        <f t="shared" si="30"/>
        <v>0</v>
      </c>
      <c r="Z294" s="21"/>
      <c r="AA294" s="29">
        <f>SUMPRODUCT((BIdetails!$J$5:$J$3000=M294)*(BIdetails!$K$5:$K$3000=N294)*(BIdetails!$M$5:$M$3000))</f>
        <v>0</v>
      </c>
      <c r="AB294" s="30">
        <f t="shared" si="28"/>
        <v>0</v>
      </c>
      <c r="AC294" s="27" t="s">
        <v>845</v>
      </c>
      <c r="AD294" s="27" t="s">
        <v>3100</v>
      </c>
      <c r="AE294" s="27" t="s">
        <v>3118</v>
      </c>
      <c r="AF294" s="27"/>
    </row>
    <row r="295" spans="1:32" hidden="1" x14ac:dyDescent="0.25">
      <c r="A295" t="s">
        <v>3094</v>
      </c>
      <c r="B295" t="str">
        <f t="shared" si="26"/>
        <v>No Change</v>
      </c>
      <c r="C295" s="22" t="s">
        <v>3559</v>
      </c>
      <c r="D295" t="s">
        <v>3560</v>
      </c>
      <c r="E295">
        <v>68427709</v>
      </c>
      <c r="F295" s="91" t="s">
        <v>59</v>
      </c>
      <c r="G295" t="s">
        <v>60</v>
      </c>
      <c r="H295" s="92" t="s">
        <v>46</v>
      </c>
      <c r="J295" t="s">
        <v>3434</v>
      </c>
      <c r="K295">
        <v>193275</v>
      </c>
      <c r="L295" t="s">
        <v>3224</v>
      </c>
      <c r="M295" s="203">
        <v>5401023756</v>
      </c>
      <c r="N295" s="20">
        <v>10</v>
      </c>
      <c r="O295" s="92" t="s">
        <v>2870</v>
      </c>
      <c r="P295" s="22" t="s">
        <v>2500</v>
      </c>
      <c r="Q295" t="s">
        <v>3170</v>
      </c>
      <c r="R295" t="s">
        <v>517</v>
      </c>
      <c r="S295" s="7"/>
      <c r="T295" s="7">
        <v>260000</v>
      </c>
      <c r="U295" s="7">
        <v>260000</v>
      </c>
      <c r="V295" s="7"/>
      <c r="W295" s="7"/>
      <c r="X295" s="7">
        <f t="shared" si="27"/>
        <v>0</v>
      </c>
      <c r="Y295" s="5">
        <f t="shared" si="30"/>
        <v>0</v>
      </c>
      <c r="Z295" s="21"/>
      <c r="AA295" s="29">
        <f>SUMPRODUCT((BIdetails!$J$5:$J$3000=M295)*(BIdetails!$K$5:$K$3000=N295)*(BIdetails!$M$5:$M$3000))</f>
        <v>0</v>
      </c>
      <c r="AB295" s="30">
        <f t="shared" si="28"/>
        <v>0</v>
      </c>
      <c r="AC295" s="27"/>
      <c r="AD295" s="27"/>
      <c r="AE295" s="27"/>
      <c r="AF295" s="27"/>
    </row>
    <row r="296" spans="1:32" hidden="1" x14ac:dyDescent="0.25">
      <c r="A296" t="s">
        <v>3094</v>
      </c>
      <c r="B296" t="str">
        <f t="shared" si="26"/>
        <v>New</v>
      </c>
      <c r="C296" s="22" t="s">
        <v>3561</v>
      </c>
      <c r="D296" t="s">
        <v>3562</v>
      </c>
      <c r="E296">
        <v>68427709</v>
      </c>
      <c r="F296" s="91" t="s">
        <v>59</v>
      </c>
      <c r="G296" t="s">
        <v>60</v>
      </c>
      <c r="H296" t="s">
        <v>46</v>
      </c>
      <c r="J296" t="s">
        <v>3563</v>
      </c>
      <c r="K296">
        <v>193275</v>
      </c>
      <c r="L296" t="s">
        <v>376</v>
      </c>
      <c r="M296" s="203"/>
      <c r="O296" s="92" t="s">
        <v>2870</v>
      </c>
      <c r="P296" s="22" t="s">
        <v>2500</v>
      </c>
      <c r="Q296" t="s">
        <v>3170</v>
      </c>
      <c r="R296" t="s">
        <v>3120</v>
      </c>
      <c r="S296" s="7"/>
      <c r="T296" s="7"/>
      <c r="U296" s="7">
        <v>185000</v>
      </c>
      <c r="V296" s="7"/>
      <c r="W296" s="7"/>
      <c r="X296" s="7">
        <f t="shared" si="27"/>
        <v>185000</v>
      </c>
      <c r="Y296" s="5">
        <f t="shared" si="30"/>
        <v>1</v>
      </c>
      <c r="Z296" s="21"/>
      <c r="AA296" s="29"/>
      <c r="AB296" s="30">
        <f t="shared" si="28"/>
        <v>0</v>
      </c>
      <c r="AC296" s="27"/>
      <c r="AD296" s="27"/>
      <c r="AE296" s="27"/>
      <c r="AF296" s="27"/>
    </row>
    <row r="297" spans="1:32" hidden="1" x14ac:dyDescent="0.25">
      <c r="A297" t="s">
        <v>3094</v>
      </c>
      <c r="B297" t="str">
        <f t="shared" si="26"/>
        <v>New</v>
      </c>
      <c r="C297" s="22" t="s">
        <v>3564</v>
      </c>
      <c r="D297" t="s">
        <v>3565</v>
      </c>
      <c r="E297">
        <v>68427709</v>
      </c>
      <c r="F297" s="91" t="s">
        <v>59</v>
      </c>
      <c r="G297" t="s">
        <v>60</v>
      </c>
      <c r="H297" t="s">
        <v>46</v>
      </c>
      <c r="J297" t="s">
        <v>3563</v>
      </c>
      <c r="K297">
        <v>193275</v>
      </c>
      <c r="L297" t="s">
        <v>376</v>
      </c>
      <c r="M297" s="203"/>
      <c r="O297" s="92" t="s">
        <v>2870</v>
      </c>
      <c r="P297" s="22" t="s">
        <v>2500</v>
      </c>
      <c r="Q297" t="s">
        <v>3170</v>
      </c>
      <c r="R297" t="s">
        <v>517</v>
      </c>
      <c r="S297" s="7"/>
      <c r="T297" s="7"/>
      <c r="U297" s="7">
        <v>185000</v>
      </c>
      <c r="V297" s="7"/>
      <c r="W297" s="7"/>
      <c r="X297" s="7">
        <f t="shared" si="27"/>
        <v>185000</v>
      </c>
      <c r="Y297" s="5">
        <f t="shared" si="30"/>
        <v>1</v>
      </c>
      <c r="Z297" s="21"/>
      <c r="AA297" s="29">
        <f>SUMPRODUCT((BIdetails!$J$5:$J$3000=M297)*(BIdetails!$K$5:$K$3000=N297)*(BIdetails!$M$5:$M$3000))</f>
        <v>0</v>
      </c>
      <c r="AB297" s="30">
        <f t="shared" si="28"/>
        <v>0</v>
      </c>
      <c r="AC297" s="27"/>
      <c r="AD297" s="27"/>
      <c r="AE297" s="27"/>
      <c r="AF297" s="27"/>
    </row>
    <row r="298" spans="1:32" hidden="1" x14ac:dyDescent="0.25">
      <c r="A298" t="s">
        <v>3106</v>
      </c>
      <c r="B298" t="str">
        <f t="shared" si="26"/>
        <v>Decommissioned</v>
      </c>
      <c r="C298" s="22" t="s">
        <v>1495</v>
      </c>
      <c r="D298" t="s">
        <v>3566</v>
      </c>
      <c r="E298">
        <v>68427709</v>
      </c>
      <c r="F298" s="97" t="s">
        <v>57</v>
      </c>
      <c r="G298" s="22" t="s">
        <v>58</v>
      </c>
      <c r="H298" s="22" t="s">
        <v>46</v>
      </c>
      <c r="I298" t="s">
        <v>3096</v>
      </c>
      <c r="J298" t="s">
        <v>3567</v>
      </c>
      <c r="K298" s="22">
        <v>117570</v>
      </c>
      <c r="L298" s="22" t="s">
        <v>633</v>
      </c>
      <c r="M298"/>
      <c r="O298" s="22" t="s">
        <v>2870</v>
      </c>
      <c r="P298" s="22" t="s">
        <v>3149</v>
      </c>
      <c r="Q298" s="22" t="s">
        <v>3104</v>
      </c>
      <c r="R298" s="92" t="s">
        <v>1046</v>
      </c>
      <c r="S298" s="7">
        <v>95000</v>
      </c>
      <c r="T298" s="7">
        <v>95000</v>
      </c>
      <c r="U298" s="7">
        <v>0</v>
      </c>
      <c r="V298" s="7"/>
      <c r="W298" s="7"/>
      <c r="X298" s="7">
        <f t="shared" si="27"/>
        <v>-95000</v>
      </c>
      <c r="Y298" s="5">
        <f t="shared" si="30"/>
        <v>-1</v>
      </c>
      <c r="Z298" s="21"/>
      <c r="AA298" s="29">
        <f>SUMPRODUCT((BIdetails!$J$5:$J$3000=M298)*(BIdetails!$K$5:$K$3000=N298)*(BIdetails!$M$5:$M$3000))</f>
        <v>0</v>
      </c>
      <c r="AB298" s="30" t="str">
        <f t="shared" si="28"/>
        <v/>
      </c>
      <c r="AC298" s="27"/>
      <c r="AD298" s="27"/>
      <c r="AE298" s="27"/>
      <c r="AF298" s="27"/>
    </row>
    <row r="299" spans="1:32" hidden="1" x14ac:dyDescent="0.25">
      <c r="A299" t="s">
        <v>3094</v>
      </c>
      <c r="B299" t="str">
        <f t="shared" si="26"/>
        <v>No Change</v>
      </c>
      <c r="C299" s="22" t="s">
        <v>3568</v>
      </c>
      <c r="D299" t="s">
        <v>3569</v>
      </c>
      <c r="E299">
        <v>68427709</v>
      </c>
      <c r="F299" s="97" t="s">
        <v>57</v>
      </c>
      <c r="G299" s="22" t="s">
        <v>58</v>
      </c>
      <c r="H299" s="22" t="s">
        <v>46</v>
      </c>
      <c r="I299" t="s">
        <v>3096</v>
      </c>
      <c r="J299" t="s">
        <v>3128</v>
      </c>
      <c r="K299">
        <v>117570</v>
      </c>
      <c r="L299" t="s">
        <v>633</v>
      </c>
      <c r="M299" s="25">
        <v>5401082136</v>
      </c>
      <c r="N299" s="20">
        <v>230</v>
      </c>
      <c r="O299" s="22" t="s">
        <v>2870</v>
      </c>
      <c r="P299" s="22" t="s">
        <v>2870</v>
      </c>
      <c r="Q299" t="s">
        <v>3104</v>
      </c>
      <c r="R299" s="92" t="s">
        <v>3098</v>
      </c>
      <c r="S299" s="7">
        <v>21250</v>
      </c>
      <c r="T299" s="7">
        <v>21250</v>
      </c>
      <c r="U299" s="7">
        <v>21250</v>
      </c>
      <c r="V299" s="7"/>
      <c r="W299" s="7"/>
      <c r="X299" s="7">
        <f t="shared" si="27"/>
        <v>0</v>
      </c>
      <c r="Y299" s="5">
        <f t="shared" si="30"/>
        <v>0</v>
      </c>
      <c r="Z299" s="21"/>
      <c r="AA299" s="29">
        <f>SUMPRODUCT((BIdetails!$J$5:$J$3000=M299)*(BIdetails!$K$5:$K$3000=N299)*(BIdetails!$M$5:$M$3000))</f>
        <v>0</v>
      </c>
      <c r="AB299" s="30">
        <f t="shared" si="28"/>
        <v>0</v>
      </c>
      <c r="AC299" s="27" t="s">
        <v>3172</v>
      </c>
      <c r="AD299" s="27" t="s">
        <v>3100</v>
      </c>
      <c r="AE299" s="27"/>
      <c r="AF299" s="27"/>
    </row>
    <row r="300" spans="1:32" hidden="1" x14ac:dyDescent="0.25">
      <c r="A300" t="s">
        <v>3094</v>
      </c>
      <c r="B300" t="str">
        <f t="shared" si="26"/>
        <v>No Change</v>
      </c>
      <c r="C300" t="s">
        <v>3570</v>
      </c>
      <c r="D300" t="s">
        <v>3482</v>
      </c>
      <c r="E300">
        <v>68427709</v>
      </c>
      <c r="F300" s="91" t="s">
        <v>57</v>
      </c>
      <c r="G300" t="s">
        <v>58</v>
      </c>
      <c r="H300" t="s">
        <v>46</v>
      </c>
      <c r="J300" t="s">
        <v>2262</v>
      </c>
      <c r="K300">
        <v>168933</v>
      </c>
      <c r="L300" t="s">
        <v>3483</v>
      </c>
      <c r="M300" s="20">
        <v>5401084021</v>
      </c>
      <c r="N300" s="20">
        <v>10</v>
      </c>
      <c r="O300" t="s">
        <v>2870</v>
      </c>
      <c r="P300" s="22" t="s">
        <v>2870</v>
      </c>
      <c r="Q300" t="s">
        <v>3104</v>
      </c>
      <c r="R300" s="92" t="s">
        <v>3098</v>
      </c>
      <c r="S300" s="7">
        <v>165000</v>
      </c>
      <c r="T300" s="7">
        <v>235000</v>
      </c>
      <c r="U300" s="7">
        <v>235000</v>
      </c>
      <c r="V300" s="7"/>
      <c r="W300" s="7"/>
      <c r="X300" s="7">
        <f t="shared" si="27"/>
        <v>0</v>
      </c>
      <c r="Y300" s="5">
        <f t="shared" si="30"/>
        <v>0</v>
      </c>
      <c r="Z300" s="35"/>
      <c r="AA300" s="29">
        <f>SUMPRODUCT((BIdetails!$J$5:$J$3000=M300)*(BIdetails!$K$5:$K$3000=N300)*(BIdetails!$M$5:$M$3000))</f>
        <v>0</v>
      </c>
      <c r="AB300" s="30">
        <f t="shared" si="28"/>
        <v>0</v>
      </c>
      <c r="AC300" s="27" t="s">
        <v>3099</v>
      </c>
      <c r="AD300" s="27" t="s">
        <v>3108</v>
      </c>
      <c r="AE300" s="27" t="s">
        <v>3101</v>
      </c>
      <c r="AF300" s="27"/>
    </row>
    <row r="301" spans="1:32" hidden="1" x14ac:dyDescent="0.25">
      <c r="A301" t="s">
        <v>3094</v>
      </c>
      <c r="B301" t="str">
        <f t="shared" si="26"/>
        <v>Decrease</v>
      </c>
      <c r="C301" t="s">
        <v>3571</v>
      </c>
      <c r="D301" t="s">
        <v>3572</v>
      </c>
      <c r="E301">
        <v>68427709</v>
      </c>
      <c r="F301" s="91" t="s">
        <v>57</v>
      </c>
      <c r="G301" t="s">
        <v>58</v>
      </c>
      <c r="H301" t="s">
        <v>46</v>
      </c>
      <c r="J301" t="s">
        <v>3573</v>
      </c>
      <c r="K301">
        <v>117570</v>
      </c>
      <c r="L301" t="s">
        <v>633</v>
      </c>
      <c r="M301">
        <v>5401019012</v>
      </c>
      <c r="N301" s="20">
        <v>20</v>
      </c>
      <c r="O301" t="s">
        <v>2870</v>
      </c>
      <c r="P301" s="92" t="s">
        <v>2135</v>
      </c>
      <c r="Q301" t="s">
        <v>3104</v>
      </c>
      <c r="R301" s="92" t="s">
        <v>3574</v>
      </c>
      <c r="S301" s="7">
        <v>455000</v>
      </c>
      <c r="T301" s="7">
        <v>455000</v>
      </c>
      <c r="U301" s="7">
        <v>432000</v>
      </c>
      <c r="V301" s="7"/>
      <c r="W301" s="7"/>
      <c r="X301" s="7">
        <f t="shared" si="27"/>
        <v>-23000</v>
      </c>
      <c r="Y301" s="5">
        <f t="shared" si="30"/>
        <v>-5.054945054945055E-2</v>
      </c>
      <c r="Z301" s="35"/>
      <c r="AA301" s="29">
        <f>SUMPRODUCT((BIdetails!$J$5:$J$3000=M301)*(BIdetails!$K$5:$K$3000=N301)*(BIdetails!$M$5:$M$3000))</f>
        <v>0</v>
      </c>
      <c r="AB301" s="30">
        <f t="shared" si="28"/>
        <v>0</v>
      </c>
      <c r="AC301" s="27"/>
      <c r="AD301" s="27"/>
      <c r="AE301" s="27"/>
      <c r="AF301" s="27"/>
    </row>
    <row r="302" spans="1:32" hidden="1" x14ac:dyDescent="0.25">
      <c r="A302" t="s">
        <v>3094</v>
      </c>
      <c r="B302" t="str">
        <f t="shared" si="26"/>
        <v>No Change</v>
      </c>
      <c r="C302" s="22" t="s">
        <v>3575</v>
      </c>
      <c r="D302" t="s">
        <v>3151</v>
      </c>
      <c r="E302">
        <v>68427709</v>
      </c>
      <c r="F302" s="91" t="s">
        <v>44</v>
      </c>
      <c r="G302" s="92" t="s">
        <v>75</v>
      </c>
      <c r="H302" s="92" t="s">
        <v>46</v>
      </c>
      <c r="I302" t="s">
        <v>3096</v>
      </c>
      <c r="J302" s="22" t="s">
        <v>3573</v>
      </c>
      <c r="K302">
        <v>187516</v>
      </c>
      <c r="L302" s="92" t="s">
        <v>3117</v>
      </c>
      <c r="M302" s="25">
        <v>5401088459</v>
      </c>
      <c r="N302" s="20">
        <v>190</v>
      </c>
      <c r="O302" s="92" t="s">
        <v>2870</v>
      </c>
      <c r="P302" s="22" t="s">
        <v>3026</v>
      </c>
      <c r="Q302" t="s">
        <v>3104</v>
      </c>
      <c r="R302" t="s">
        <v>3098</v>
      </c>
      <c r="S302" s="7"/>
      <c r="T302" s="7">
        <v>65000</v>
      </c>
      <c r="U302" s="7">
        <v>65000</v>
      </c>
      <c r="V302" s="7"/>
      <c r="W302" s="7"/>
      <c r="X302" s="7">
        <f t="shared" si="27"/>
        <v>0</v>
      </c>
      <c r="Y302" s="5">
        <f t="shared" si="30"/>
        <v>0</v>
      </c>
      <c r="Z302" s="21"/>
      <c r="AA302" s="29">
        <f>SUMPRODUCT((BIdetails!$J$5:$J$3000=M302)*(BIdetails!$K$5:$K$3000=N302)*(BIdetails!$M$5:$M$3000))</f>
        <v>0</v>
      </c>
      <c r="AB302" s="30">
        <f t="shared" si="28"/>
        <v>0</v>
      </c>
      <c r="AC302" s="27"/>
      <c r="AD302" s="27"/>
      <c r="AE302" s="27"/>
      <c r="AF302" s="27"/>
    </row>
    <row r="303" spans="1:32" hidden="1" x14ac:dyDescent="0.25">
      <c r="A303" t="s">
        <v>3094</v>
      </c>
      <c r="B303" t="str">
        <f t="shared" si="26"/>
        <v>No Change</v>
      </c>
      <c r="C303" s="22" t="s">
        <v>1824</v>
      </c>
      <c r="D303" t="s">
        <v>3576</v>
      </c>
      <c r="E303">
        <v>68427709</v>
      </c>
      <c r="F303" s="97" t="s">
        <v>57</v>
      </c>
      <c r="G303" s="22" t="s">
        <v>58</v>
      </c>
      <c r="H303" s="22" t="s">
        <v>46</v>
      </c>
      <c r="I303" t="s">
        <v>3096</v>
      </c>
      <c r="J303" t="s">
        <v>3128</v>
      </c>
      <c r="K303">
        <v>117570</v>
      </c>
      <c r="L303" t="s">
        <v>633</v>
      </c>
      <c r="M303" s="203"/>
      <c r="O303" s="22" t="s">
        <v>2870</v>
      </c>
      <c r="P303" s="22" t="s">
        <v>2870</v>
      </c>
      <c r="Q303" t="s">
        <v>3104</v>
      </c>
      <c r="R303" s="92" t="s">
        <v>3098</v>
      </c>
      <c r="S303" s="7">
        <v>29000</v>
      </c>
      <c r="T303" s="7">
        <v>29000</v>
      </c>
      <c r="U303" s="7">
        <v>29000</v>
      </c>
      <c r="V303" s="7"/>
      <c r="W303" s="7"/>
      <c r="X303" s="7">
        <f t="shared" si="27"/>
        <v>0</v>
      </c>
      <c r="Y303" s="5">
        <f t="shared" si="30"/>
        <v>0</v>
      </c>
      <c r="Z303" s="21"/>
      <c r="AA303" s="29">
        <f>SUMPRODUCT((BIdetails!$J$5:$J$3000=M303)*(BIdetails!$K$5:$K$3000=N303)*(BIdetails!$M$5:$M$3000))</f>
        <v>0</v>
      </c>
      <c r="AB303" s="30">
        <f t="shared" si="28"/>
        <v>0</v>
      </c>
      <c r="AC303" s="27"/>
      <c r="AD303" s="27"/>
      <c r="AE303" s="27"/>
      <c r="AF303" s="27"/>
    </row>
    <row r="304" spans="1:32" hidden="1" x14ac:dyDescent="0.25">
      <c r="A304" t="s">
        <v>3094</v>
      </c>
      <c r="B304" t="str">
        <f t="shared" si="26"/>
        <v>No Change</v>
      </c>
      <c r="C304" s="22" t="s">
        <v>1856</v>
      </c>
      <c r="D304" t="s">
        <v>3572</v>
      </c>
      <c r="E304">
        <v>68427709</v>
      </c>
      <c r="F304" s="97" t="s">
        <v>57</v>
      </c>
      <c r="G304" s="22" t="s">
        <v>58</v>
      </c>
      <c r="H304" s="22" t="s">
        <v>46</v>
      </c>
      <c r="I304" t="s">
        <v>3096</v>
      </c>
      <c r="J304" t="s">
        <v>3128</v>
      </c>
      <c r="K304" s="22">
        <v>117570</v>
      </c>
      <c r="L304" s="22" t="s">
        <v>633</v>
      </c>
      <c r="M304" s="20">
        <v>5401050766</v>
      </c>
      <c r="N304" s="20">
        <v>10</v>
      </c>
      <c r="O304" s="22" t="s">
        <v>2870</v>
      </c>
      <c r="P304" s="92" t="s">
        <v>2870</v>
      </c>
      <c r="Q304" s="22" t="s">
        <v>3104</v>
      </c>
      <c r="R304" s="92" t="s">
        <v>3098</v>
      </c>
      <c r="S304" s="7">
        <v>10000</v>
      </c>
      <c r="T304" s="7">
        <v>10000</v>
      </c>
      <c r="U304" s="7">
        <v>10000</v>
      </c>
      <c r="V304" s="7"/>
      <c r="W304" s="7"/>
      <c r="X304" s="7">
        <f t="shared" si="27"/>
        <v>0</v>
      </c>
      <c r="Y304" s="5">
        <f t="shared" si="30"/>
        <v>0</v>
      </c>
      <c r="Z304" s="21"/>
      <c r="AA304" s="29">
        <f>SUMPRODUCT((BIdetails!$J$5:$J$3000=M304)*(BIdetails!$K$5:$K$3000=N304)*(BIdetails!$M$5:$M$3000))</f>
        <v>0</v>
      </c>
      <c r="AB304" s="30">
        <f t="shared" si="28"/>
        <v>0</v>
      </c>
      <c r="AC304" s="27" t="s">
        <v>3099</v>
      </c>
      <c r="AD304" s="27" t="s">
        <v>3100</v>
      </c>
      <c r="AE304" s="27" t="s">
        <v>3118</v>
      </c>
      <c r="AF304" s="27"/>
    </row>
    <row r="305" spans="1:32" ht="15" hidden="1" customHeight="1" x14ac:dyDescent="0.25">
      <c r="A305" t="s">
        <v>3094</v>
      </c>
      <c r="B305" t="str">
        <f t="shared" si="26"/>
        <v>No Change</v>
      </c>
      <c r="C305" s="22" t="s">
        <v>3577</v>
      </c>
      <c r="D305" t="s">
        <v>3569</v>
      </c>
      <c r="E305">
        <v>68427709</v>
      </c>
      <c r="F305" s="97" t="s">
        <v>57</v>
      </c>
      <c r="G305" s="22" t="s">
        <v>58</v>
      </c>
      <c r="H305" s="22" t="s">
        <v>46</v>
      </c>
      <c r="I305" t="s">
        <v>3096</v>
      </c>
      <c r="J305" t="s">
        <v>3128</v>
      </c>
      <c r="K305" s="22">
        <v>117570</v>
      </c>
      <c r="L305" s="22" t="s">
        <v>633</v>
      </c>
      <c r="M305" s="25">
        <v>5401082136</v>
      </c>
      <c r="N305" s="24">
        <v>10</v>
      </c>
      <c r="O305" s="22" t="s">
        <v>2870</v>
      </c>
      <c r="P305" s="22" t="s">
        <v>2870</v>
      </c>
      <c r="Q305" s="22" t="s">
        <v>3104</v>
      </c>
      <c r="R305" s="92" t="s">
        <v>3098</v>
      </c>
      <c r="S305" s="7">
        <v>997165</v>
      </c>
      <c r="T305" s="7">
        <v>1232165</v>
      </c>
      <c r="U305" s="7">
        <v>1232165</v>
      </c>
      <c r="V305" s="7"/>
      <c r="W305" s="7"/>
      <c r="X305" s="7">
        <f t="shared" si="27"/>
        <v>0</v>
      </c>
      <c r="Y305" s="5">
        <f t="shared" si="30"/>
        <v>0</v>
      </c>
      <c r="Z305" s="35"/>
      <c r="AA305" s="29">
        <f>SUMPRODUCT((BIdetails!$J$5:$J$3000=M305)*(BIdetails!$K$5:$K$3000=N305)*(BIdetails!$M$5:$M$3000))</f>
        <v>0</v>
      </c>
      <c r="AB305" s="30">
        <f t="shared" si="28"/>
        <v>0</v>
      </c>
      <c r="AC305" s="27" t="s">
        <v>3099</v>
      </c>
      <c r="AD305" s="27" t="s">
        <v>3100</v>
      </c>
      <c r="AE305" s="27" t="s">
        <v>3101</v>
      </c>
      <c r="AF305" s="27"/>
    </row>
    <row r="306" spans="1:32" hidden="1" x14ac:dyDescent="0.25">
      <c r="A306" t="s">
        <v>3094</v>
      </c>
      <c r="B306" t="str">
        <f t="shared" si="26"/>
        <v>No Change</v>
      </c>
      <c r="C306" s="22" t="s">
        <v>3578</v>
      </c>
      <c r="D306" t="s">
        <v>3569</v>
      </c>
      <c r="E306">
        <v>68427709</v>
      </c>
      <c r="F306" s="97" t="s">
        <v>57</v>
      </c>
      <c r="G306" s="22" t="s">
        <v>58</v>
      </c>
      <c r="H306" s="22" t="s">
        <v>46</v>
      </c>
      <c r="I306" t="s">
        <v>3096</v>
      </c>
      <c r="J306" t="s">
        <v>3128</v>
      </c>
      <c r="K306" s="22">
        <v>117570</v>
      </c>
      <c r="L306" s="22" t="s">
        <v>633</v>
      </c>
      <c r="M306" s="25">
        <v>5401082136</v>
      </c>
      <c r="N306" s="24">
        <v>100</v>
      </c>
      <c r="O306" s="22" t="s">
        <v>2870</v>
      </c>
      <c r="P306" s="22" t="s">
        <v>2870</v>
      </c>
      <c r="Q306" s="22" t="s">
        <v>3104</v>
      </c>
      <c r="R306" s="92" t="s">
        <v>3098</v>
      </c>
      <c r="S306" s="7">
        <v>5892</v>
      </c>
      <c r="T306" s="7">
        <v>5892</v>
      </c>
      <c r="U306" s="7">
        <v>5892</v>
      </c>
      <c r="V306" s="7"/>
      <c r="W306" s="7"/>
      <c r="X306" s="7">
        <f t="shared" si="27"/>
        <v>0</v>
      </c>
      <c r="Y306" s="5">
        <f t="shared" si="30"/>
        <v>0</v>
      </c>
      <c r="Z306" s="35"/>
      <c r="AA306" s="29">
        <f>SUMPRODUCT((BIdetails!$J$5:$J$3000=M306)*(BIdetails!$K$5:$K$3000=N306)*(BIdetails!$M$5:$M$3000))</f>
        <v>0</v>
      </c>
      <c r="AB306" s="30">
        <f t="shared" si="28"/>
        <v>0</v>
      </c>
      <c r="AC306" s="27" t="s">
        <v>845</v>
      </c>
      <c r="AD306" s="27" t="s">
        <v>3100</v>
      </c>
      <c r="AE306" s="27" t="s">
        <v>3118</v>
      </c>
      <c r="AF306" s="27"/>
    </row>
    <row r="307" spans="1:32" hidden="1" x14ac:dyDescent="0.25">
      <c r="A307" t="s">
        <v>3094</v>
      </c>
      <c r="B307" t="str">
        <f t="shared" si="26"/>
        <v>No Change</v>
      </c>
      <c r="C307" s="22" t="s">
        <v>3579</v>
      </c>
      <c r="D307" t="s">
        <v>3569</v>
      </c>
      <c r="E307">
        <v>68427709</v>
      </c>
      <c r="F307" s="97" t="s">
        <v>57</v>
      </c>
      <c r="G307" s="22" t="s">
        <v>58</v>
      </c>
      <c r="H307" s="22" t="s">
        <v>46</v>
      </c>
      <c r="I307" t="s">
        <v>3096</v>
      </c>
      <c r="J307" t="s">
        <v>3128</v>
      </c>
      <c r="K307" s="22">
        <v>117570</v>
      </c>
      <c r="L307" s="22" t="s">
        <v>633</v>
      </c>
      <c r="M307" s="25">
        <v>5401082136</v>
      </c>
      <c r="N307" s="24">
        <v>110</v>
      </c>
      <c r="O307" s="22" t="s">
        <v>2870</v>
      </c>
      <c r="P307" s="22" t="s">
        <v>2870</v>
      </c>
      <c r="Q307" s="22" t="s">
        <v>3104</v>
      </c>
      <c r="R307" s="92" t="s">
        <v>3098</v>
      </c>
      <c r="S307" s="7">
        <v>1266493</v>
      </c>
      <c r="T307" s="7">
        <v>1266493</v>
      </c>
      <c r="U307" s="7">
        <v>1266493</v>
      </c>
      <c r="V307" s="7"/>
      <c r="W307" s="7"/>
      <c r="X307" s="7">
        <f t="shared" si="27"/>
        <v>0</v>
      </c>
      <c r="Y307" s="5">
        <f t="shared" si="30"/>
        <v>0</v>
      </c>
      <c r="Z307" s="35"/>
      <c r="AA307" s="29">
        <f>SUMPRODUCT((BIdetails!$J$5:$J$3000=M307)*(BIdetails!$K$5:$K$3000=N307)*(BIdetails!$M$5:$M$3000))</f>
        <v>0</v>
      </c>
      <c r="AB307" s="30">
        <f t="shared" si="28"/>
        <v>0</v>
      </c>
      <c r="AC307" s="27" t="s">
        <v>3099</v>
      </c>
      <c r="AD307" s="27" t="s">
        <v>3108</v>
      </c>
      <c r="AE307" s="27" t="s">
        <v>3101</v>
      </c>
      <c r="AF307" s="27"/>
    </row>
    <row r="308" spans="1:32" hidden="1" x14ac:dyDescent="0.25">
      <c r="A308" t="s">
        <v>3094</v>
      </c>
      <c r="B308" t="str">
        <f t="shared" si="26"/>
        <v>Increase</v>
      </c>
      <c r="C308" s="22" t="s">
        <v>3580</v>
      </c>
      <c r="D308" t="s">
        <v>3569</v>
      </c>
      <c r="E308">
        <v>68427709</v>
      </c>
      <c r="F308" s="97" t="s">
        <v>57</v>
      </c>
      <c r="G308" s="22" t="s">
        <v>58</v>
      </c>
      <c r="H308" s="22" t="s">
        <v>46</v>
      </c>
      <c r="I308" t="s">
        <v>3096</v>
      </c>
      <c r="J308" t="s">
        <v>3128</v>
      </c>
      <c r="K308" s="22">
        <v>117570</v>
      </c>
      <c r="L308" s="22" t="s">
        <v>633</v>
      </c>
      <c r="M308" s="25">
        <v>5401082136</v>
      </c>
      <c r="N308" s="24">
        <v>120</v>
      </c>
      <c r="O308" s="22" t="s">
        <v>2870</v>
      </c>
      <c r="P308" s="22" t="s">
        <v>2870</v>
      </c>
      <c r="Q308" s="22" t="s">
        <v>3104</v>
      </c>
      <c r="R308" s="92" t="s">
        <v>3098</v>
      </c>
      <c r="S308" s="7">
        <v>20263</v>
      </c>
      <c r="T308" s="7">
        <v>75263</v>
      </c>
      <c r="U308" s="7">
        <v>115263</v>
      </c>
      <c r="V308" s="7"/>
      <c r="W308" s="7"/>
      <c r="X308" s="7">
        <f t="shared" si="27"/>
        <v>40000</v>
      </c>
      <c r="Y308" s="5">
        <f t="shared" si="30"/>
        <v>0.53146964643981776</v>
      </c>
      <c r="Z308" s="35"/>
      <c r="AA308" s="29">
        <f>SUMPRODUCT((BIdetails!$J$5:$J$3000=M308)*(BIdetails!$K$5:$K$3000=N308)*(BIdetails!$M$5:$M$3000))</f>
        <v>0</v>
      </c>
      <c r="AB308" s="30">
        <f t="shared" si="28"/>
        <v>0</v>
      </c>
      <c r="AC308" s="27" t="s">
        <v>3099</v>
      </c>
      <c r="AD308" s="27" t="s">
        <v>3108</v>
      </c>
      <c r="AE308" s="27" t="s">
        <v>3101</v>
      </c>
      <c r="AF308" s="27"/>
    </row>
    <row r="309" spans="1:32" hidden="1" x14ac:dyDescent="0.25">
      <c r="A309" t="s">
        <v>3094</v>
      </c>
      <c r="B309" t="str">
        <f t="shared" si="26"/>
        <v>No Change</v>
      </c>
      <c r="C309" s="22" t="s">
        <v>3581</v>
      </c>
      <c r="D309" t="s">
        <v>3569</v>
      </c>
      <c r="E309">
        <v>68427709</v>
      </c>
      <c r="F309" s="97" t="s">
        <v>57</v>
      </c>
      <c r="G309" s="22" t="s">
        <v>58</v>
      </c>
      <c r="H309" s="22" t="s">
        <v>46</v>
      </c>
      <c r="I309" t="s">
        <v>3096</v>
      </c>
      <c r="J309" t="s">
        <v>3128</v>
      </c>
      <c r="K309" s="22">
        <v>117570</v>
      </c>
      <c r="L309" s="22" t="s">
        <v>633</v>
      </c>
      <c r="M309" s="25">
        <v>5401082136</v>
      </c>
      <c r="N309" s="24">
        <v>130</v>
      </c>
      <c r="O309" s="22" t="s">
        <v>2870</v>
      </c>
      <c r="P309" s="22" t="s">
        <v>2870</v>
      </c>
      <c r="Q309" s="22" t="s">
        <v>3104</v>
      </c>
      <c r="R309" s="92" t="s">
        <v>3098</v>
      </c>
      <c r="S309" s="7">
        <v>958152</v>
      </c>
      <c r="T309" s="7">
        <v>958152</v>
      </c>
      <c r="U309" s="7">
        <v>958152</v>
      </c>
      <c r="V309" s="7"/>
      <c r="W309" s="7"/>
      <c r="X309" s="7">
        <f t="shared" si="27"/>
        <v>0</v>
      </c>
      <c r="Y309" s="5">
        <f t="shared" si="30"/>
        <v>0</v>
      </c>
      <c r="Z309" s="35"/>
      <c r="AA309" s="29">
        <f>SUMPRODUCT((BIdetails!$J$5:$J$3000=M309)*(BIdetails!$K$5:$K$3000=N309)*(BIdetails!$M$5:$M$3000))</f>
        <v>0</v>
      </c>
      <c r="AB309" s="30">
        <f t="shared" si="28"/>
        <v>0</v>
      </c>
      <c r="AC309" s="27" t="s">
        <v>3099</v>
      </c>
      <c r="AD309" s="27" t="s">
        <v>3108</v>
      </c>
      <c r="AE309" s="27" t="s">
        <v>3101</v>
      </c>
      <c r="AF309" s="27"/>
    </row>
    <row r="310" spans="1:32" hidden="1" x14ac:dyDescent="0.25">
      <c r="A310" t="s">
        <v>3094</v>
      </c>
      <c r="B310" t="str">
        <f t="shared" si="26"/>
        <v>No Change</v>
      </c>
      <c r="C310" s="22" t="s">
        <v>3582</v>
      </c>
      <c r="D310" t="s">
        <v>3569</v>
      </c>
      <c r="E310">
        <v>68427709</v>
      </c>
      <c r="F310" s="97" t="s">
        <v>57</v>
      </c>
      <c r="G310" s="22" t="s">
        <v>58</v>
      </c>
      <c r="H310" s="22" t="s">
        <v>46</v>
      </c>
      <c r="I310" t="s">
        <v>3096</v>
      </c>
      <c r="J310" t="s">
        <v>3128</v>
      </c>
      <c r="K310" s="22">
        <v>117570</v>
      </c>
      <c r="L310" s="22" t="s">
        <v>633</v>
      </c>
      <c r="M310" s="25">
        <v>5401082136</v>
      </c>
      <c r="N310" s="24">
        <v>140</v>
      </c>
      <c r="O310" s="22" t="s">
        <v>2870</v>
      </c>
      <c r="P310" s="22" t="s">
        <v>2870</v>
      </c>
      <c r="Q310" s="22" t="s">
        <v>3104</v>
      </c>
      <c r="R310" s="92" t="s">
        <v>3098</v>
      </c>
      <c r="S310" s="7">
        <v>110084</v>
      </c>
      <c r="T310" s="7">
        <v>110084</v>
      </c>
      <c r="U310" s="7">
        <v>110084</v>
      </c>
      <c r="V310" s="7"/>
      <c r="W310" s="7"/>
      <c r="X310" s="7">
        <f t="shared" si="27"/>
        <v>0</v>
      </c>
      <c r="Y310" s="5">
        <f t="shared" si="30"/>
        <v>0</v>
      </c>
      <c r="Z310" s="35"/>
      <c r="AA310" s="29">
        <f>SUMPRODUCT((BIdetails!$J$5:$J$3000=M310)*(BIdetails!$K$5:$K$3000=N310)*(BIdetails!$M$5:$M$3000))</f>
        <v>0</v>
      </c>
      <c r="AB310" s="30">
        <f t="shared" si="28"/>
        <v>0</v>
      </c>
      <c r="AC310" s="27" t="s">
        <v>3099</v>
      </c>
      <c r="AD310" s="27" t="s">
        <v>3108</v>
      </c>
      <c r="AE310" s="27" t="s">
        <v>3101</v>
      </c>
      <c r="AF310" s="27"/>
    </row>
    <row r="311" spans="1:32" hidden="1" x14ac:dyDescent="0.25">
      <c r="A311" t="s">
        <v>3094</v>
      </c>
      <c r="B311" t="str">
        <f t="shared" si="26"/>
        <v>No Change</v>
      </c>
      <c r="C311" s="22" t="s">
        <v>3583</v>
      </c>
      <c r="D311" t="s">
        <v>3569</v>
      </c>
      <c r="E311">
        <v>68427709</v>
      </c>
      <c r="F311" s="91" t="s">
        <v>57</v>
      </c>
      <c r="G311" t="s">
        <v>58</v>
      </c>
      <c r="H311" t="s">
        <v>46</v>
      </c>
      <c r="I311" t="s">
        <v>3096</v>
      </c>
      <c r="J311" t="s">
        <v>3128</v>
      </c>
      <c r="K311" s="22">
        <v>117570</v>
      </c>
      <c r="L311" s="22" t="s">
        <v>633</v>
      </c>
      <c r="M311" s="25">
        <v>5401082136</v>
      </c>
      <c r="N311" s="24">
        <v>150</v>
      </c>
      <c r="O311" s="22" t="s">
        <v>2870</v>
      </c>
      <c r="P311" s="22" t="s">
        <v>2870</v>
      </c>
      <c r="Q311" s="22" t="s">
        <v>3104</v>
      </c>
      <c r="R311" s="92" t="s">
        <v>3098</v>
      </c>
      <c r="S311" s="7">
        <v>240000</v>
      </c>
      <c r="T311" s="7">
        <v>240000</v>
      </c>
      <c r="U311" s="7">
        <v>240000</v>
      </c>
      <c r="V311" s="7"/>
      <c r="W311" s="7"/>
      <c r="X311" s="7">
        <f t="shared" si="27"/>
        <v>0</v>
      </c>
      <c r="Y311" s="5">
        <f t="shared" si="30"/>
        <v>0</v>
      </c>
      <c r="Z311" s="35"/>
      <c r="AA311" s="29">
        <f>SUMPRODUCT((BIdetails!$J$5:$J$3000=M311)*(BIdetails!$K$5:$K$3000=N311)*(BIdetails!$M$5:$M$3000))</f>
        <v>0</v>
      </c>
      <c r="AB311" s="30">
        <f t="shared" si="28"/>
        <v>0</v>
      </c>
      <c r="AC311" s="27" t="s">
        <v>3099</v>
      </c>
      <c r="AD311" s="27" t="s">
        <v>3108</v>
      </c>
      <c r="AE311" s="27" t="s">
        <v>3101</v>
      </c>
      <c r="AF311" s="27"/>
    </row>
    <row r="312" spans="1:32" hidden="1" x14ac:dyDescent="0.25">
      <c r="A312" t="s">
        <v>3094</v>
      </c>
      <c r="B312" t="str">
        <f t="shared" si="26"/>
        <v>No Change</v>
      </c>
      <c r="C312" s="22" t="s">
        <v>3584</v>
      </c>
      <c r="D312" t="s">
        <v>3569</v>
      </c>
      <c r="E312">
        <v>68427709</v>
      </c>
      <c r="F312" s="97" t="s">
        <v>57</v>
      </c>
      <c r="G312" s="22" t="s">
        <v>58</v>
      </c>
      <c r="H312" s="22" t="s">
        <v>46</v>
      </c>
      <c r="I312" t="s">
        <v>3096</v>
      </c>
      <c r="J312" t="s">
        <v>3128</v>
      </c>
      <c r="K312" s="22">
        <v>117570</v>
      </c>
      <c r="L312" s="22" t="s">
        <v>633</v>
      </c>
      <c r="M312" s="25">
        <v>5401082136</v>
      </c>
      <c r="N312" s="24">
        <v>160</v>
      </c>
      <c r="O312" s="22" t="s">
        <v>2870</v>
      </c>
      <c r="P312" s="22" t="s">
        <v>2870</v>
      </c>
      <c r="Q312" s="22" t="s">
        <v>3104</v>
      </c>
      <c r="R312" s="92" t="s">
        <v>3098</v>
      </c>
      <c r="S312" s="7">
        <v>365000</v>
      </c>
      <c r="T312" s="7">
        <v>365000</v>
      </c>
      <c r="U312" s="7">
        <v>365000</v>
      </c>
      <c r="V312" s="7"/>
      <c r="W312" s="7"/>
      <c r="X312" s="7">
        <f t="shared" si="27"/>
        <v>0</v>
      </c>
      <c r="Y312" s="5">
        <f t="shared" si="30"/>
        <v>0</v>
      </c>
      <c r="Z312" s="35"/>
      <c r="AA312" s="29">
        <f>SUMPRODUCT((BIdetails!$J$5:$J$3000=M312)*(BIdetails!$K$5:$K$3000=N312)*(BIdetails!$M$5:$M$3000))</f>
        <v>0</v>
      </c>
      <c r="AB312" s="30">
        <f t="shared" si="28"/>
        <v>0</v>
      </c>
      <c r="AC312" s="27" t="s">
        <v>3099</v>
      </c>
      <c r="AD312" s="27" t="s">
        <v>3108</v>
      </c>
      <c r="AE312" s="27" t="s">
        <v>3101</v>
      </c>
      <c r="AF312" s="27"/>
    </row>
    <row r="313" spans="1:32" hidden="1" x14ac:dyDescent="0.25">
      <c r="A313" t="s">
        <v>3094</v>
      </c>
      <c r="B313" t="str">
        <f t="shared" si="26"/>
        <v>No Change</v>
      </c>
      <c r="C313" s="22" t="s">
        <v>3585</v>
      </c>
      <c r="D313" t="s">
        <v>3569</v>
      </c>
      <c r="E313">
        <v>68427709</v>
      </c>
      <c r="F313" s="97" t="s">
        <v>57</v>
      </c>
      <c r="G313" s="22" t="s">
        <v>58</v>
      </c>
      <c r="H313" s="22" t="s">
        <v>46</v>
      </c>
      <c r="I313" t="s">
        <v>3096</v>
      </c>
      <c r="J313" t="s">
        <v>3128</v>
      </c>
      <c r="K313" s="22">
        <v>117570</v>
      </c>
      <c r="L313" s="22" t="s">
        <v>633</v>
      </c>
      <c r="M313" s="25">
        <v>5401082136</v>
      </c>
      <c r="N313" s="20">
        <v>170</v>
      </c>
      <c r="O313" s="22" t="s">
        <v>2870</v>
      </c>
      <c r="P313" s="22" t="s">
        <v>2870</v>
      </c>
      <c r="Q313" s="22" t="s">
        <v>3104</v>
      </c>
      <c r="R313" s="92" t="s">
        <v>3098</v>
      </c>
      <c r="S313" s="7">
        <v>164000</v>
      </c>
      <c r="T313" s="7">
        <v>164000</v>
      </c>
      <c r="U313" s="7">
        <v>164000</v>
      </c>
      <c r="V313" s="7"/>
      <c r="W313" s="7"/>
      <c r="X313" s="7">
        <f t="shared" si="27"/>
        <v>0</v>
      </c>
      <c r="Y313" s="5">
        <f t="shared" si="30"/>
        <v>0</v>
      </c>
      <c r="Z313" s="35"/>
      <c r="AA313" s="29">
        <f>SUMPRODUCT((BIdetails!$J$5:$J$3000=M313)*(BIdetails!$K$5:$K$3000=N313)*(BIdetails!$M$5:$M$3000))</f>
        <v>0</v>
      </c>
      <c r="AB313" s="30">
        <f t="shared" si="28"/>
        <v>0</v>
      </c>
      <c r="AC313" s="27" t="s">
        <v>3099</v>
      </c>
      <c r="AD313" s="27" t="s">
        <v>3108</v>
      </c>
      <c r="AE313" s="27" t="s">
        <v>3101</v>
      </c>
      <c r="AF313" s="27"/>
    </row>
    <row r="314" spans="1:32" hidden="1" x14ac:dyDescent="0.25">
      <c r="A314" t="s">
        <v>3094</v>
      </c>
      <c r="B314" t="str">
        <f t="shared" si="26"/>
        <v>No Change</v>
      </c>
      <c r="C314" s="22" t="s">
        <v>3586</v>
      </c>
      <c r="D314" t="s">
        <v>3569</v>
      </c>
      <c r="E314">
        <v>68427709</v>
      </c>
      <c r="F314" s="97" t="s">
        <v>57</v>
      </c>
      <c r="G314" s="22" t="s">
        <v>58</v>
      </c>
      <c r="H314" s="22" t="s">
        <v>46</v>
      </c>
      <c r="I314" t="s">
        <v>3096</v>
      </c>
      <c r="J314" t="s">
        <v>3567</v>
      </c>
      <c r="K314" s="22">
        <v>117570</v>
      </c>
      <c r="L314" s="22" t="s">
        <v>633</v>
      </c>
      <c r="M314" s="25">
        <v>5401082136</v>
      </c>
      <c r="N314" s="20">
        <v>180</v>
      </c>
      <c r="O314" s="22" t="s">
        <v>2870</v>
      </c>
      <c r="P314" s="22" t="s">
        <v>2870</v>
      </c>
      <c r="Q314" s="22" t="s">
        <v>3104</v>
      </c>
      <c r="R314" s="92" t="s">
        <v>3098</v>
      </c>
      <c r="S314" s="7">
        <v>1000</v>
      </c>
      <c r="T314" s="7">
        <v>1000</v>
      </c>
      <c r="U314" s="7">
        <v>1000</v>
      </c>
      <c r="V314" s="7"/>
      <c r="W314" s="7"/>
      <c r="X314" s="7">
        <f t="shared" si="27"/>
        <v>0</v>
      </c>
      <c r="Y314" s="5">
        <f t="shared" si="30"/>
        <v>0</v>
      </c>
      <c r="Z314" s="35"/>
      <c r="AA314" s="29">
        <f>SUMPRODUCT((BIdetails!$J$5:$J$3000=M314)*(BIdetails!$K$5:$K$3000=N314)*(BIdetails!$M$5:$M$3000))</f>
        <v>0</v>
      </c>
      <c r="AB314" s="30">
        <f t="shared" si="28"/>
        <v>0</v>
      </c>
      <c r="AC314" s="27" t="s">
        <v>3099</v>
      </c>
      <c r="AD314" s="27" t="s">
        <v>3100</v>
      </c>
      <c r="AE314" s="27" t="s">
        <v>3101</v>
      </c>
      <c r="AF314" s="27"/>
    </row>
    <row r="315" spans="1:32" hidden="1" x14ac:dyDescent="0.25">
      <c r="A315" t="s">
        <v>3094</v>
      </c>
      <c r="B315" t="str">
        <f t="shared" si="26"/>
        <v>No Change</v>
      </c>
      <c r="C315" s="22" t="s">
        <v>3587</v>
      </c>
      <c r="D315" t="s">
        <v>3569</v>
      </c>
      <c r="E315">
        <v>68427709</v>
      </c>
      <c r="F315" s="97" t="s">
        <v>57</v>
      </c>
      <c r="G315" s="22" t="s">
        <v>58</v>
      </c>
      <c r="H315" s="22" t="s">
        <v>46</v>
      </c>
      <c r="I315" t="s">
        <v>3096</v>
      </c>
      <c r="J315" s="22" t="s">
        <v>3588</v>
      </c>
      <c r="K315" s="22">
        <v>117570</v>
      </c>
      <c r="L315" s="22" t="s">
        <v>633</v>
      </c>
      <c r="M315" s="25">
        <v>5401082136</v>
      </c>
      <c r="N315" s="24">
        <v>20</v>
      </c>
      <c r="O315" s="22" t="s">
        <v>2870</v>
      </c>
      <c r="P315" s="22" t="s">
        <v>2870</v>
      </c>
      <c r="Q315" s="22" t="s">
        <v>3104</v>
      </c>
      <c r="R315" s="92" t="s">
        <v>3098</v>
      </c>
      <c r="S315" s="7">
        <v>15961</v>
      </c>
      <c r="T315" s="7">
        <v>15961</v>
      </c>
      <c r="U315" s="7">
        <v>15961</v>
      </c>
      <c r="V315" s="7"/>
      <c r="W315" s="7"/>
      <c r="X315" s="7">
        <f t="shared" si="27"/>
        <v>0</v>
      </c>
      <c r="Y315" s="5">
        <f t="shared" si="30"/>
        <v>0</v>
      </c>
      <c r="Z315" s="35"/>
      <c r="AA315" s="29">
        <f>SUMPRODUCT((BIdetails!$J$5:$J$3000=M315)*(BIdetails!$K$5:$K$3000=N315)*(BIdetails!$M$5:$M$3000))</f>
        <v>0</v>
      </c>
      <c r="AB315" s="30">
        <f t="shared" si="28"/>
        <v>0</v>
      </c>
      <c r="AC315" s="27" t="s">
        <v>3099</v>
      </c>
      <c r="AD315" s="27" t="s">
        <v>3108</v>
      </c>
      <c r="AE315" s="27" t="s">
        <v>3101</v>
      </c>
      <c r="AF315" s="27"/>
    </row>
    <row r="316" spans="1:32" hidden="1" x14ac:dyDescent="0.25">
      <c r="A316" t="s">
        <v>3094</v>
      </c>
      <c r="B316" t="str">
        <f t="shared" si="26"/>
        <v>No Change</v>
      </c>
      <c r="C316" t="s">
        <v>3589</v>
      </c>
      <c r="D316" t="s">
        <v>3569</v>
      </c>
      <c r="E316">
        <v>68427709</v>
      </c>
      <c r="F316" s="97" t="s">
        <v>57</v>
      </c>
      <c r="G316" s="22" t="s">
        <v>58</v>
      </c>
      <c r="H316" s="22" t="s">
        <v>46</v>
      </c>
      <c r="I316" t="s">
        <v>3096</v>
      </c>
      <c r="J316" t="s">
        <v>3590</v>
      </c>
      <c r="K316">
        <v>117570</v>
      </c>
      <c r="L316" t="s">
        <v>633</v>
      </c>
      <c r="M316" s="25">
        <v>5401082136</v>
      </c>
      <c r="N316" s="20">
        <v>200</v>
      </c>
      <c r="O316" t="s">
        <v>2870</v>
      </c>
      <c r="P316" s="22" t="s">
        <v>2870</v>
      </c>
      <c r="Q316" t="s">
        <v>3104</v>
      </c>
      <c r="R316" s="92" t="s">
        <v>3098</v>
      </c>
      <c r="S316" s="7">
        <v>219000</v>
      </c>
      <c r="T316" s="7">
        <v>219000</v>
      </c>
      <c r="U316" s="7">
        <v>219000</v>
      </c>
      <c r="V316" s="7"/>
      <c r="W316" s="7"/>
      <c r="X316" s="7">
        <f t="shared" si="27"/>
        <v>0</v>
      </c>
      <c r="Y316" s="5">
        <f t="shared" si="30"/>
        <v>0</v>
      </c>
      <c r="Z316" s="35"/>
      <c r="AA316" s="29">
        <f>SUMPRODUCT((BIdetails!$J$5:$J$3000=M316)*(BIdetails!$K$5:$K$3000=N316)*(BIdetails!$M$5:$M$3000))</f>
        <v>0</v>
      </c>
      <c r="AB316" s="30">
        <f t="shared" si="28"/>
        <v>0</v>
      </c>
      <c r="AC316" s="27" t="s">
        <v>3099</v>
      </c>
      <c r="AD316" s="27" t="s">
        <v>3100</v>
      </c>
      <c r="AE316" s="27" t="s">
        <v>3101</v>
      </c>
      <c r="AF316" s="27"/>
    </row>
    <row r="317" spans="1:32" hidden="1" x14ac:dyDescent="0.25">
      <c r="A317" t="s">
        <v>3094</v>
      </c>
      <c r="B317" t="str">
        <f t="shared" si="26"/>
        <v>No Change</v>
      </c>
      <c r="C317" t="s">
        <v>3591</v>
      </c>
      <c r="D317" t="s">
        <v>3569</v>
      </c>
      <c r="E317">
        <v>68427709</v>
      </c>
      <c r="F317" s="97" t="s">
        <v>57</v>
      </c>
      <c r="G317" s="22" t="s">
        <v>58</v>
      </c>
      <c r="H317" t="s">
        <v>46</v>
      </c>
      <c r="I317" t="s">
        <v>3096</v>
      </c>
      <c r="J317" t="s">
        <v>3128</v>
      </c>
      <c r="K317">
        <v>117570</v>
      </c>
      <c r="L317" s="22" t="s">
        <v>633</v>
      </c>
      <c r="M317" s="25">
        <v>5401082136</v>
      </c>
      <c r="N317" s="24">
        <v>210</v>
      </c>
      <c r="O317" s="22" t="s">
        <v>2870</v>
      </c>
      <c r="P317" s="22" t="s">
        <v>2870</v>
      </c>
      <c r="Q317" t="s">
        <v>3104</v>
      </c>
      <c r="R317" s="92" t="s">
        <v>3098</v>
      </c>
      <c r="S317" s="7">
        <v>18700</v>
      </c>
      <c r="T317" s="7">
        <v>18700</v>
      </c>
      <c r="U317" s="7">
        <v>18700</v>
      </c>
      <c r="V317" s="7"/>
      <c r="W317" s="7"/>
      <c r="X317" s="7">
        <f t="shared" si="27"/>
        <v>0</v>
      </c>
      <c r="Y317" s="5">
        <f t="shared" si="30"/>
        <v>0</v>
      </c>
      <c r="Z317" s="35"/>
      <c r="AA317" s="29">
        <f>SUMPRODUCT((BIdetails!$J$5:$J$3000=M317)*(BIdetails!$K$5:$K$3000=N317)*(BIdetails!$M$5:$M$3000))</f>
        <v>0</v>
      </c>
      <c r="AB317" s="30">
        <f t="shared" si="28"/>
        <v>0</v>
      </c>
      <c r="AC317" s="27" t="s">
        <v>3099</v>
      </c>
      <c r="AD317" s="27" t="s">
        <v>3108</v>
      </c>
      <c r="AE317" s="27" t="s">
        <v>3101</v>
      </c>
      <c r="AF317" s="27"/>
    </row>
    <row r="318" spans="1:32" hidden="1" x14ac:dyDescent="0.25">
      <c r="A318" t="s">
        <v>3094</v>
      </c>
      <c r="B318" t="str">
        <f t="shared" si="26"/>
        <v>No Change</v>
      </c>
      <c r="C318" s="22" t="s">
        <v>3592</v>
      </c>
      <c r="D318" t="s">
        <v>3569</v>
      </c>
      <c r="E318">
        <v>68427709</v>
      </c>
      <c r="F318" s="97" t="s">
        <v>57</v>
      </c>
      <c r="G318" s="22" t="s">
        <v>58</v>
      </c>
      <c r="H318" s="22" t="s">
        <v>46</v>
      </c>
      <c r="I318" t="s">
        <v>3096</v>
      </c>
      <c r="J318" t="s">
        <v>3369</v>
      </c>
      <c r="K318" s="22">
        <v>117570</v>
      </c>
      <c r="L318" s="22" t="s">
        <v>633</v>
      </c>
      <c r="M318" s="25">
        <v>5401082136</v>
      </c>
      <c r="N318" s="24">
        <v>30</v>
      </c>
      <c r="O318" s="22" t="s">
        <v>2870</v>
      </c>
      <c r="P318" s="22" t="s">
        <v>2870</v>
      </c>
      <c r="Q318" s="22" t="s">
        <v>3104</v>
      </c>
      <c r="R318" s="92" t="s">
        <v>3098</v>
      </c>
      <c r="S318" s="7">
        <v>65148</v>
      </c>
      <c r="T318" s="7">
        <v>65148</v>
      </c>
      <c r="U318" s="7">
        <v>65148</v>
      </c>
      <c r="V318" s="7"/>
      <c r="W318" s="7"/>
      <c r="X318" s="7">
        <f t="shared" si="27"/>
        <v>0</v>
      </c>
      <c r="Y318" s="5">
        <f t="shared" si="30"/>
        <v>0</v>
      </c>
      <c r="Z318" s="35"/>
      <c r="AA318" s="29">
        <f>SUMPRODUCT((BIdetails!$J$5:$J$3000=M318)*(BIdetails!$K$5:$K$3000=N318)*(BIdetails!$M$5:$M$3000))</f>
        <v>0</v>
      </c>
      <c r="AB318" s="30">
        <f t="shared" si="28"/>
        <v>0</v>
      </c>
      <c r="AC318" s="27" t="s">
        <v>3099</v>
      </c>
      <c r="AD318" s="27" t="s">
        <v>3108</v>
      </c>
      <c r="AE318" s="27" t="s">
        <v>3101</v>
      </c>
      <c r="AF318" s="27"/>
    </row>
    <row r="319" spans="1:32" hidden="1" x14ac:dyDescent="0.25">
      <c r="A319" t="s">
        <v>3094</v>
      </c>
      <c r="B319" t="str">
        <f t="shared" si="26"/>
        <v>No Change</v>
      </c>
      <c r="C319" s="22" t="s">
        <v>3593</v>
      </c>
      <c r="D319" t="s">
        <v>3569</v>
      </c>
      <c r="E319">
        <v>68427709</v>
      </c>
      <c r="F319" s="97" t="s">
        <v>57</v>
      </c>
      <c r="G319" s="22" t="s">
        <v>58</v>
      </c>
      <c r="H319" s="22" t="s">
        <v>46</v>
      </c>
      <c r="I319" t="s">
        <v>3096</v>
      </c>
      <c r="J319" t="s">
        <v>3214</v>
      </c>
      <c r="K319" s="22">
        <v>117570</v>
      </c>
      <c r="L319" s="22" t="s">
        <v>633</v>
      </c>
      <c r="M319" s="25">
        <v>5401082136</v>
      </c>
      <c r="N319" s="24">
        <v>40</v>
      </c>
      <c r="O319" s="22" t="s">
        <v>2870</v>
      </c>
      <c r="P319" s="22" t="s">
        <v>2870</v>
      </c>
      <c r="Q319" s="22" t="s">
        <v>3104</v>
      </c>
      <c r="R319" s="92" t="s">
        <v>3098</v>
      </c>
      <c r="S319" s="7">
        <v>125272</v>
      </c>
      <c r="T319" s="7">
        <v>125272</v>
      </c>
      <c r="U319" s="7">
        <v>125272</v>
      </c>
      <c r="V319" s="7"/>
      <c r="W319" s="7"/>
      <c r="X319" s="7">
        <f t="shared" si="27"/>
        <v>0</v>
      </c>
      <c r="Y319" s="5">
        <f t="shared" si="30"/>
        <v>0</v>
      </c>
      <c r="Z319" s="21"/>
      <c r="AA319" s="29">
        <f>SUMPRODUCT((BIdetails!$J$5:$J$3000=M319)*(BIdetails!$K$5:$K$3000=N319)*(BIdetails!$M$5:$M$3000))</f>
        <v>0</v>
      </c>
      <c r="AB319" s="30">
        <f t="shared" si="28"/>
        <v>0</v>
      </c>
      <c r="AC319" s="27" t="s">
        <v>3099</v>
      </c>
      <c r="AD319" s="27" t="s">
        <v>3108</v>
      </c>
      <c r="AE319" s="27" t="s">
        <v>3101</v>
      </c>
      <c r="AF319" s="27"/>
    </row>
    <row r="320" spans="1:32" hidden="1" x14ac:dyDescent="0.25">
      <c r="A320" t="s">
        <v>3094</v>
      </c>
      <c r="B320" t="str">
        <f t="shared" si="26"/>
        <v>No Change</v>
      </c>
      <c r="C320" s="22" t="s">
        <v>3594</v>
      </c>
      <c r="D320" t="s">
        <v>3569</v>
      </c>
      <c r="E320">
        <v>68427709</v>
      </c>
      <c r="F320" s="97" t="s">
        <v>57</v>
      </c>
      <c r="G320" s="22" t="s">
        <v>58</v>
      </c>
      <c r="H320" s="22" t="s">
        <v>46</v>
      </c>
      <c r="I320" t="s">
        <v>3096</v>
      </c>
      <c r="J320" s="22" t="s">
        <v>3595</v>
      </c>
      <c r="K320" s="22">
        <v>117570</v>
      </c>
      <c r="L320" s="22" t="s">
        <v>633</v>
      </c>
      <c r="M320" s="25">
        <v>5401082136</v>
      </c>
      <c r="N320" s="24">
        <v>50</v>
      </c>
      <c r="O320" s="22" t="s">
        <v>2870</v>
      </c>
      <c r="P320" s="22" t="s">
        <v>2870</v>
      </c>
      <c r="Q320" s="22" t="s">
        <v>3104</v>
      </c>
      <c r="R320" s="92" t="s">
        <v>3098</v>
      </c>
      <c r="S320" s="7">
        <v>61486</v>
      </c>
      <c r="T320" s="7">
        <v>61486</v>
      </c>
      <c r="U320" s="7">
        <v>61486</v>
      </c>
      <c r="V320" s="7"/>
      <c r="W320" s="7"/>
      <c r="X320" s="7">
        <f t="shared" si="27"/>
        <v>0</v>
      </c>
      <c r="Y320" s="5">
        <f t="shared" si="30"/>
        <v>0</v>
      </c>
      <c r="Z320" s="35"/>
      <c r="AA320" s="29">
        <f>SUMPRODUCT((BIdetails!$J$5:$J$3000=M320)*(BIdetails!$K$5:$K$3000=N320)*(BIdetails!$M$5:$M$3000))</f>
        <v>0</v>
      </c>
      <c r="AB320" s="30">
        <f t="shared" si="28"/>
        <v>0</v>
      </c>
      <c r="AC320" s="27" t="s">
        <v>3099</v>
      </c>
      <c r="AD320" s="27" t="s">
        <v>3108</v>
      </c>
      <c r="AE320" s="27" t="s">
        <v>3101</v>
      </c>
      <c r="AF320" s="27"/>
    </row>
    <row r="321" spans="1:32" hidden="1" x14ac:dyDescent="0.25">
      <c r="A321" t="s">
        <v>3094</v>
      </c>
      <c r="B321" t="str">
        <f t="shared" si="26"/>
        <v>No Change</v>
      </c>
      <c r="C321" s="22" t="s">
        <v>3596</v>
      </c>
      <c r="D321" t="s">
        <v>3569</v>
      </c>
      <c r="E321">
        <v>68427709</v>
      </c>
      <c r="F321" s="97" t="s">
        <v>57</v>
      </c>
      <c r="G321" s="22" t="s">
        <v>58</v>
      </c>
      <c r="H321" s="22" t="s">
        <v>46</v>
      </c>
      <c r="I321" t="s">
        <v>3096</v>
      </c>
      <c r="J321" t="s">
        <v>3128</v>
      </c>
      <c r="K321" s="22">
        <v>117570</v>
      </c>
      <c r="L321" s="22" t="s">
        <v>633</v>
      </c>
      <c r="M321" s="25">
        <v>5401082136</v>
      </c>
      <c r="N321" s="24">
        <v>60</v>
      </c>
      <c r="O321" s="22" t="s">
        <v>2870</v>
      </c>
      <c r="P321" s="22" t="s">
        <v>2870</v>
      </c>
      <c r="Q321" s="22" t="s">
        <v>3104</v>
      </c>
      <c r="R321" s="92" t="s">
        <v>3098</v>
      </c>
      <c r="S321" s="7">
        <v>145587</v>
      </c>
      <c r="T321" s="7">
        <v>145587</v>
      </c>
      <c r="U321" s="7">
        <v>145587</v>
      </c>
      <c r="V321" s="7"/>
      <c r="W321" s="7"/>
      <c r="X321" s="7">
        <f t="shared" si="27"/>
        <v>0</v>
      </c>
      <c r="Y321" s="5">
        <f t="shared" si="30"/>
        <v>0</v>
      </c>
      <c r="Z321" s="35"/>
      <c r="AA321" s="29">
        <f>SUMPRODUCT((BIdetails!$J$5:$J$3000=M321)*(BIdetails!$K$5:$K$3000=N321)*(BIdetails!$M$5:$M$3000))</f>
        <v>0</v>
      </c>
      <c r="AB321" s="30">
        <f t="shared" si="28"/>
        <v>0</v>
      </c>
      <c r="AC321" s="27" t="s">
        <v>3099</v>
      </c>
      <c r="AD321" s="27" t="s">
        <v>3108</v>
      </c>
      <c r="AE321" s="27" t="s">
        <v>3101</v>
      </c>
      <c r="AF321" s="27"/>
    </row>
    <row r="322" spans="1:32" hidden="1" x14ac:dyDescent="0.25">
      <c r="A322" t="s">
        <v>3094</v>
      </c>
      <c r="B322" t="str">
        <f t="shared" ref="B322:B385" si="33">IF(T322=U322,"No Change",IF(AND(U322&lt;&gt;0,U322&lt;T322),"Decrease",IF(AND(U322&lt;&gt;0,T322=0),"New",IF(AND(T322&lt;&gt;0,U322=0),"Decommissioned","Increase"))))</f>
        <v>No Change</v>
      </c>
      <c r="C322" s="22" t="s">
        <v>3597</v>
      </c>
      <c r="D322" t="s">
        <v>3569</v>
      </c>
      <c r="E322">
        <v>68427709</v>
      </c>
      <c r="F322" s="97" t="s">
        <v>57</v>
      </c>
      <c r="G322" s="22" t="s">
        <v>58</v>
      </c>
      <c r="H322" s="22" t="s">
        <v>46</v>
      </c>
      <c r="I322" t="s">
        <v>3096</v>
      </c>
      <c r="J322" t="s">
        <v>3128</v>
      </c>
      <c r="K322" s="22">
        <v>117570</v>
      </c>
      <c r="L322" s="22" t="s">
        <v>633</v>
      </c>
      <c r="M322" s="25">
        <v>5401082136</v>
      </c>
      <c r="N322" s="24">
        <v>70</v>
      </c>
      <c r="O322" s="22" t="s">
        <v>2870</v>
      </c>
      <c r="P322" s="22" t="s">
        <v>2870</v>
      </c>
      <c r="Q322" s="22" t="s">
        <v>3104</v>
      </c>
      <c r="R322" s="92" t="s">
        <v>3098</v>
      </c>
      <c r="S322" s="7">
        <v>1253</v>
      </c>
      <c r="T322" s="7">
        <v>1253</v>
      </c>
      <c r="U322" s="7">
        <v>1253</v>
      </c>
      <c r="V322" s="7"/>
      <c r="W322" s="7"/>
      <c r="X322" s="7">
        <f t="shared" ref="X322:X385" si="34">U322-T322</f>
        <v>0</v>
      </c>
      <c r="Y322" s="5">
        <f t="shared" si="30"/>
        <v>0</v>
      </c>
      <c r="Z322" s="35"/>
      <c r="AA322" s="29">
        <f>SUMPRODUCT((BIdetails!$J$5:$J$3000=M322)*(BIdetails!$K$5:$K$3000=N322)*(BIdetails!$M$5:$M$3000))</f>
        <v>0</v>
      </c>
      <c r="AB322" s="30">
        <f t="shared" ref="AB322:AB385" si="35">IF(U322=0,"",(AA322/U322))</f>
        <v>0</v>
      </c>
      <c r="AC322" s="27" t="s">
        <v>3099</v>
      </c>
      <c r="AD322" s="27" t="s">
        <v>3100</v>
      </c>
      <c r="AE322" s="27" t="s">
        <v>3163</v>
      </c>
      <c r="AF322" s="27"/>
    </row>
    <row r="323" spans="1:32" hidden="1" x14ac:dyDescent="0.25">
      <c r="A323" t="s">
        <v>3094</v>
      </c>
      <c r="B323" t="str">
        <f t="shared" si="33"/>
        <v>No Change</v>
      </c>
      <c r="C323" s="22" t="s">
        <v>3598</v>
      </c>
      <c r="D323" t="s">
        <v>3569</v>
      </c>
      <c r="E323">
        <v>68427709</v>
      </c>
      <c r="F323" s="97" t="s">
        <v>57</v>
      </c>
      <c r="G323" s="22" t="s">
        <v>58</v>
      </c>
      <c r="H323" s="22" t="s">
        <v>46</v>
      </c>
      <c r="I323" t="s">
        <v>3096</v>
      </c>
      <c r="J323" t="s">
        <v>3128</v>
      </c>
      <c r="K323" s="22">
        <v>117570</v>
      </c>
      <c r="L323" s="22" t="s">
        <v>633</v>
      </c>
      <c r="M323" s="25">
        <v>5401082136</v>
      </c>
      <c r="N323" s="24">
        <v>80</v>
      </c>
      <c r="O323" s="22" t="s">
        <v>2870</v>
      </c>
      <c r="P323" s="22" t="s">
        <v>2870</v>
      </c>
      <c r="Q323" s="22" t="s">
        <v>3104</v>
      </c>
      <c r="R323" s="92" t="s">
        <v>3098</v>
      </c>
      <c r="S323" s="7">
        <v>18273</v>
      </c>
      <c r="T323" s="7">
        <v>18273</v>
      </c>
      <c r="U323" s="7">
        <v>18273</v>
      </c>
      <c r="V323" s="7"/>
      <c r="W323" s="7"/>
      <c r="X323" s="7">
        <f t="shared" si="34"/>
        <v>0</v>
      </c>
      <c r="Y323" s="5">
        <f t="shared" si="30"/>
        <v>0</v>
      </c>
      <c r="Z323" s="35"/>
      <c r="AA323" s="29">
        <f>SUMPRODUCT((BIdetails!$J$5:$J$3000=M323)*(BIdetails!$K$5:$K$3000=N323)*(BIdetails!$M$5:$M$3000))</f>
        <v>0</v>
      </c>
      <c r="AB323" s="30">
        <f t="shared" si="35"/>
        <v>0</v>
      </c>
      <c r="AC323" s="27" t="s">
        <v>3099</v>
      </c>
      <c r="AD323" s="27" t="s">
        <v>3108</v>
      </c>
      <c r="AE323" s="27" t="s">
        <v>3101</v>
      </c>
      <c r="AF323" s="27"/>
    </row>
    <row r="324" spans="1:32" hidden="1" x14ac:dyDescent="0.25">
      <c r="A324" t="s">
        <v>3094</v>
      </c>
      <c r="B324" t="str">
        <f t="shared" si="33"/>
        <v>No Change</v>
      </c>
      <c r="C324" s="22" t="s">
        <v>3599</v>
      </c>
      <c r="D324" t="s">
        <v>3569</v>
      </c>
      <c r="E324">
        <v>68427709</v>
      </c>
      <c r="F324" s="97" t="s">
        <v>57</v>
      </c>
      <c r="G324" s="22" t="s">
        <v>58</v>
      </c>
      <c r="H324" s="22" t="s">
        <v>46</v>
      </c>
      <c r="I324" t="s">
        <v>3096</v>
      </c>
      <c r="J324" t="s">
        <v>3128</v>
      </c>
      <c r="K324" s="22">
        <v>117570</v>
      </c>
      <c r="L324" s="22" t="s">
        <v>633</v>
      </c>
      <c r="M324" s="25">
        <v>5401082136</v>
      </c>
      <c r="N324" s="24">
        <v>90</v>
      </c>
      <c r="O324" s="22" t="s">
        <v>2870</v>
      </c>
      <c r="P324" s="22" t="s">
        <v>2870</v>
      </c>
      <c r="Q324" s="22" t="s">
        <v>3104</v>
      </c>
      <c r="R324" s="92" t="s">
        <v>3098</v>
      </c>
      <c r="S324" s="7">
        <v>26059</v>
      </c>
      <c r="T324" s="7">
        <v>26059</v>
      </c>
      <c r="U324" s="7">
        <v>26059</v>
      </c>
      <c r="V324" s="7"/>
      <c r="W324" s="7"/>
      <c r="X324" s="7">
        <f t="shared" si="34"/>
        <v>0</v>
      </c>
      <c r="Y324" s="5">
        <f t="shared" si="30"/>
        <v>0</v>
      </c>
      <c r="Z324" s="35"/>
      <c r="AA324" s="29">
        <f>SUMPRODUCT((BIdetails!$J$5:$J$3000=M324)*(BIdetails!$K$5:$K$3000=N324)*(BIdetails!$M$5:$M$3000))</f>
        <v>0</v>
      </c>
      <c r="AB324" s="30">
        <f t="shared" si="35"/>
        <v>0</v>
      </c>
      <c r="AC324" s="27" t="s">
        <v>845</v>
      </c>
      <c r="AD324" s="27" t="s">
        <v>3100</v>
      </c>
      <c r="AE324" s="27" t="s">
        <v>3118</v>
      </c>
      <c r="AF324" s="27"/>
    </row>
    <row r="325" spans="1:32" hidden="1" x14ac:dyDescent="0.25">
      <c r="A325" t="s">
        <v>3094</v>
      </c>
      <c r="B325" t="str">
        <f t="shared" si="33"/>
        <v>New</v>
      </c>
      <c r="C325" s="22" t="s">
        <v>2971</v>
      </c>
      <c r="D325" t="s">
        <v>3422</v>
      </c>
      <c r="E325">
        <v>68427709</v>
      </c>
      <c r="F325" s="91" t="s">
        <v>59</v>
      </c>
      <c r="G325" t="s">
        <v>60</v>
      </c>
      <c r="H325" t="s">
        <v>46</v>
      </c>
      <c r="I325" t="s">
        <v>2445</v>
      </c>
      <c r="J325" t="s">
        <v>3116</v>
      </c>
      <c r="K325">
        <v>3000994</v>
      </c>
      <c r="L325" s="22" t="s">
        <v>3600</v>
      </c>
      <c r="M325" s="277" t="s">
        <v>3601</v>
      </c>
      <c r="O325" s="92" t="s">
        <v>2410</v>
      </c>
      <c r="P325" s="22" t="s">
        <v>2870</v>
      </c>
      <c r="Q325" s="92" t="s">
        <v>3104</v>
      </c>
      <c r="R325" t="s">
        <v>3133</v>
      </c>
      <c r="S325" s="7"/>
      <c r="T325" s="7"/>
      <c r="U325" s="7">
        <v>350000</v>
      </c>
      <c r="V325" s="7"/>
      <c r="W325" s="7"/>
      <c r="X325" s="7">
        <f t="shared" si="34"/>
        <v>350000</v>
      </c>
      <c r="Y325" s="5">
        <f t="shared" si="30"/>
        <v>1</v>
      </c>
      <c r="Z325" s="21" t="s">
        <v>2973</v>
      </c>
      <c r="AA325" s="29">
        <f>SUMPRODUCT((BIdetails!$J$5:$J$3000=M325)*(BIdetails!$K$5:$K$3000=N325)*(BIdetails!$M$5:$M$3000))</f>
        <v>0</v>
      </c>
      <c r="AB325" s="30">
        <f t="shared" si="35"/>
        <v>0</v>
      </c>
      <c r="AC325" s="27"/>
      <c r="AD325" s="27"/>
      <c r="AE325" s="27"/>
      <c r="AF325" s="27"/>
    </row>
    <row r="326" spans="1:32" hidden="1" x14ac:dyDescent="0.25">
      <c r="A326" t="s">
        <v>3094</v>
      </c>
      <c r="B326" t="str">
        <f t="shared" si="33"/>
        <v>No Change</v>
      </c>
      <c r="C326" t="s">
        <v>3602</v>
      </c>
      <c r="E326">
        <v>68427709</v>
      </c>
      <c r="F326" s="91" t="s">
        <v>44</v>
      </c>
      <c r="G326" t="s">
        <v>75</v>
      </c>
      <c r="H326" t="s">
        <v>46</v>
      </c>
      <c r="I326" t="s">
        <v>3096</v>
      </c>
      <c r="J326" t="s">
        <v>3128</v>
      </c>
      <c r="K326">
        <v>187516</v>
      </c>
      <c r="L326" s="92" t="s">
        <v>3117</v>
      </c>
      <c r="M326" s="203"/>
      <c r="O326" s="22" t="s">
        <v>2870</v>
      </c>
      <c r="P326" s="22" t="s">
        <v>2870</v>
      </c>
      <c r="Q326" s="22" t="s">
        <v>3104</v>
      </c>
      <c r="R326" t="s">
        <v>3098</v>
      </c>
      <c r="S326" s="7">
        <v>100000</v>
      </c>
      <c r="T326" s="7">
        <v>100000</v>
      </c>
      <c r="U326" s="7">
        <v>100000</v>
      </c>
      <c r="V326" s="7"/>
      <c r="W326" s="7"/>
      <c r="X326" s="7">
        <f t="shared" si="34"/>
        <v>0</v>
      </c>
      <c r="Y326" s="5">
        <f t="shared" si="30"/>
        <v>0</v>
      </c>
      <c r="Z326" s="35"/>
      <c r="AA326" s="29">
        <f>SUMPRODUCT((BIdetails!$J$5:$J$3000=M326)*(BIdetails!$K$5:$K$3000=N326)*(BIdetails!$M$5:$M$3000))</f>
        <v>0</v>
      </c>
      <c r="AB326" s="30">
        <f t="shared" si="35"/>
        <v>0</v>
      </c>
      <c r="AC326" s="27"/>
      <c r="AD326" s="27"/>
      <c r="AE326" s="27"/>
      <c r="AF326" s="27"/>
    </row>
    <row r="327" spans="1:32" ht="14.1" hidden="1" customHeight="1" x14ac:dyDescent="0.25">
      <c r="A327" t="s">
        <v>3094</v>
      </c>
      <c r="B327" t="str">
        <f t="shared" si="33"/>
        <v>No Change</v>
      </c>
      <c r="C327" s="92" t="s">
        <v>474</v>
      </c>
      <c r="D327" t="s">
        <v>3176</v>
      </c>
      <c r="E327">
        <v>68427709</v>
      </c>
      <c r="F327" s="91" t="s">
        <v>31</v>
      </c>
      <c r="G327" t="s">
        <v>32</v>
      </c>
      <c r="H327" s="92" t="s">
        <v>33</v>
      </c>
      <c r="I327" t="s">
        <v>3603</v>
      </c>
      <c r="J327" t="s">
        <v>3604</v>
      </c>
      <c r="K327" s="92">
        <v>120252</v>
      </c>
      <c r="L327" s="170" t="s">
        <v>3179</v>
      </c>
      <c r="M327">
        <v>5401087891</v>
      </c>
      <c r="N327" s="32">
        <v>10</v>
      </c>
      <c r="O327" s="92" t="s">
        <v>2870</v>
      </c>
      <c r="P327" s="92" t="s">
        <v>2870</v>
      </c>
      <c r="Q327" s="92" t="s">
        <v>3104</v>
      </c>
      <c r="R327" s="92" t="s">
        <v>3098</v>
      </c>
      <c r="S327" s="7">
        <v>60000</v>
      </c>
      <c r="T327" s="7">
        <v>60000</v>
      </c>
      <c r="U327" s="7">
        <v>60000</v>
      </c>
      <c r="V327" s="7"/>
      <c r="W327" s="7"/>
      <c r="X327" s="7">
        <f t="shared" si="34"/>
        <v>0</v>
      </c>
      <c r="Y327" s="5">
        <f t="shared" si="30"/>
        <v>0</v>
      </c>
      <c r="Z327" s="35"/>
      <c r="AA327" s="29">
        <f>SUMPRODUCT((BIdetails!$J$5:$J$3000=M327)*(BIdetails!$K$5:$K$3000=N327)*(BIdetails!$M$5:$M$3000))</f>
        <v>0</v>
      </c>
      <c r="AB327" s="30">
        <f t="shared" si="35"/>
        <v>0</v>
      </c>
      <c r="AC327" s="27"/>
      <c r="AD327" s="27"/>
      <c r="AE327" s="27"/>
      <c r="AF327" s="27"/>
    </row>
    <row r="328" spans="1:32" x14ac:dyDescent="0.25">
      <c r="A328" t="s">
        <v>3094</v>
      </c>
      <c r="B328" t="str">
        <f t="shared" si="33"/>
        <v>No Change</v>
      </c>
      <c r="C328" s="92" t="s">
        <v>3605</v>
      </c>
      <c r="D328" t="s">
        <v>3606</v>
      </c>
      <c r="E328">
        <v>68427709</v>
      </c>
      <c r="F328" s="91" t="s">
        <v>44</v>
      </c>
      <c r="G328" s="92" t="s">
        <v>75</v>
      </c>
      <c r="H328" s="92" t="s">
        <v>46</v>
      </c>
      <c r="J328" t="s">
        <v>3388</v>
      </c>
      <c r="K328">
        <v>187516</v>
      </c>
      <c r="L328" s="92" t="s">
        <v>3117</v>
      </c>
      <c r="M328" s="205">
        <v>5401001779</v>
      </c>
      <c r="N328" s="93">
        <v>10</v>
      </c>
      <c r="O328" t="s">
        <v>2843</v>
      </c>
      <c r="P328" s="92" t="s">
        <v>2843</v>
      </c>
      <c r="Q328" t="s">
        <v>3114</v>
      </c>
      <c r="R328" s="92" t="s">
        <v>42</v>
      </c>
      <c r="S328" s="7">
        <v>130000</v>
      </c>
      <c r="T328" s="7">
        <v>130000</v>
      </c>
      <c r="U328" s="7">
        <v>130000</v>
      </c>
      <c r="V328" s="7"/>
      <c r="W328" s="308">
        <v>110000</v>
      </c>
      <c r="X328" s="7">
        <f t="shared" ref="X328" si="36">W328-U328</f>
        <v>-20000</v>
      </c>
      <c r="Y328" s="5">
        <f t="shared" si="30"/>
        <v>-0.15384615384615385</v>
      </c>
      <c r="Z328" s="35"/>
      <c r="AA328" s="29">
        <f>SUMPRODUCT((BIdetails!$J$5:$J$3000=M328)*(BIdetails!$K$5:$K$3000=N328)*(BIdetails!$M$5:$M$3000))</f>
        <v>0</v>
      </c>
      <c r="AB328" s="30">
        <f t="shared" si="35"/>
        <v>0</v>
      </c>
      <c r="AC328" s="27"/>
      <c r="AD328" s="27"/>
      <c r="AE328" s="27"/>
      <c r="AF328" s="27"/>
    </row>
    <row r="329" spans="1:32" hidden="1" x14ac:dyDescent="0.25">
      <c r="A329" t="s">
        <v>3094</v>
      </c>
      <c r="B329" t="str">
        <f t="shared" si="33"/>
        <v>Increase</v>
      </c>
      <c r="C329" t="s">
        <v>835</v>
      </c>
      <c r="D329" t="s">
        <v>3318</v>
      </c>
      <c r="E329">
        <v>68427709</v>
      </c>
      <c r="F329" s="91" t="s">
        <v>22</v>
      </c>
      <c r="G329" t="s">
        <v>100</v>
      </c>
      <c r="H329" t="s">
        <v>24</v>
      </c>
      <c r="I329" t="s">
        <v>2448</v>
      </c>
      <c r="J329" t="s">
        <v>3189</v>
      </c>
      <c r="K329" s="22">
        <v>196653</v>
      </c>
      <c r="L329" t="s">
        <v>102</v>
      </c>
      <c r="M329">
        <v>5401087924</v>
      </c>
      <c r="N329" s="20">
        <v>10</v>
      </c>
      <c r="O329" t="s">
        <v>2410</v>
      </c>
      <c r="P329" t="s">
        <v>2410</v>
      </c>
      <c r="Q329" s="201" t="s">
        <v>3124</v>
      </c>
      <c r="R329" t="s">
        <v>3133</v>
      </c>
      <c r="S329" s="7">
        <v>130000</v>
      </c>
      <c r="T329" s="7">
        <v>100000</v>
      </c>
      <c r="U329" s="7">
        <v>300000</v>
      </c>
      <c r="V329" s="7"/>
      <c r="W329" s="7"/>
      <c r="X329" s="7">
        <f t="shared" si="34"/>
        <v>200000</v>
      </c>
      <c r="Y329" s="5">
        <f t="shared" ref="Y329:Y392" si="37">IF(B329="New",1,IFERROR(X329/T329,0))</f>
        <v>2</v>
      </c>
      <c r="Z329" s="35"/>
      <c r="AA329" s="29">
        <f>SUMPRODUCT((BIdetails!$J$5:$J$3000=M329)*(BIdetails!$K$5:$K$3000=N329)*(BIdetails!$M$5:$M$3000))</f>
        <v>0</v>
      </c>
      <c r="AB329" s="30">
        <f t="shared" si="35"/>
        <v>0</v>
      </c>
      <c r="AC329" s="27" t="s">
        <v>845</v>
      </c>
      <c r="AD329" s="27" t="s">
        <v>3100</v>
      </c>
      <c r="AE329" s="27"/>
      <c r="AF329" s="27"/>
    </row>
    <row r="330" spans="1:32" hidden="1" x14ac:dyDescent="0.25">
      <c r="A330" t="s">
        <v>3094</v>
      </c>
      <c r="B330" t="str">
        <f t="shared" si="33"/>
        <v>Decrease</v>
      </c>
      <c r="C330" t="s">
        <v>2941</v>
      </c>
      <c r="D330" t="s">
        <v>3607</v>
      </c>
      <c r="E330">
        <v>68427709</v>
      </c>
      <c r="F330" s="91" t="s">
        <v>22</v>
      </c>
      <c r="G330" t="s">
        <v>100</v>
      </c>
      <c r="H330" t="s">
        <v>24</v>
      </c>
      <c r="I330" t="s">
        <v>2445</v>
      </c>
      <c r="J330" t="s">
        <v>3608</v>
      </c>
      <c r="K330" s="22">
        <v>196653</v>
      </c>
      <c r="L330" t="s">
        <v>102</v>
      </c>
      <c r="M330" t="s">
        <v>3609</v>
      </c>
      <c r="N330" s="20">
        <v>10</v>
      </c>
      <c r="O330" t="s">
        <v>2410</v>
      </c>
      <c r="P330" t="s">
        <v>2410</v>
      </c>
      <c r="Q330" t="s">
        <v>3114</v>
      </c>
      <c r="R330" t="s">
        <v>3133</v>
      </c>
      <c r="S330" s="7">
        <v>790000</v>
      </c>
      <c r="T330" s="7">
        <v>805000</v>
      </c>
      <c r="U330" s="7">
        <v>697500</v>
      </c>
      <c r="V330" s="7"/>
      <c r="W330" s="7"/>
      <c r="X330" s="7">
        <f t="shared" si="34"/>
        <v>-107500</v>
      </c>
      <c r="Y330" s="5">
        <f t="shared" si="37"/>
        <v>-0.13354037267080746</v>
      </c>
      <c r="Z330" s="35"/>
      <c r="AA330" s="29">
        <f>SUMPRODUCT((BIdetails!$J$5:$J$3000=M330)*(BIdetails!$K$5:$K$3000=N330)*(BIdetails!$M$5:$M$3000))</f>
        <v>0</v>
      </c>
      <c r="AB330" s="30">
        <f t="shared" si="35"/>
        <v>0</v>
      </c>
      <c r="AC330" s="27"/>
      <c r="AD330" s="27"/>
      <c r="AE330" s="27"/>
      <c r="AF330" s="27"/>
    </row>
    <row r="331" spans="1:32" hidden="1" x14ac:dyDescent="0.25">
      <c r="A331" t="s">
        <v>3094</v>
      </c>
      <c r="B331" t="str">
        <f t="shared" si="33"/>
        <v>Decrease</v>
      </c>
      <c r="C331" t="s">
        <v>1416</v>
      </c>
      <c r="D331" t="s">
        <v>3318</v>
      </c>
      <c r="E331">
        <v>68427709</v>
      </c>
      <c r="F331" s="91" t="s">
        <v>22</v>
      </c>
      <c r="G331" t="s">
        <v>100</v>
      </c>
      <c r="H331" t="s">
        <v>24</v>
      </c>
      <c r="I331" t="s">
        <v>2445</v>
      </c>
      <c r="J331" t="s">
        <v>3116</v>
      </c>
      <c r="K331" s="22">
        <v>196653</v>
      </c>
      <c r="L331" t="s">
        <v>102</v>
      </c>
      <c r="M331">
        <v>5401087929</v>
      </c>
      <c r="N331" s="20">
        <v>10</v>
      </c>
      <c r="O331" t="s">
        <v>2410</v>
      </c>
      <c r="P331" t="s">
        <v>2410</v>
      </c>
      <c r="Q331" t="s">
        <v>3114</v>
      </c>
      <c r="R331" t="s">
        <v>3133</v>
      </c>
      <c r="S331" s="7">
        <v>45000</v>
      </c>
      <c r="T331" s="7">
        <v>46000</v>
      </c>
      <c r="U331" s="7">
        <v>25000</v>
      </c>
      <c r="V331" s="7"/>
      <c r="W331" s="7"/>
      <c r="X331" s="7">
        <f t="shared" si="34"/>
        <v>-21000</v>
      </c>
      <c r="Y331" s="5">
        <f t="shared" si="37"/>
        <v>-0.45652173913043476</v>
      </c>
      <c r="Z331" s="35"/>
      <c r="AA331" s="29">
        <f>SUMPRODUCT((BIdetails!$J$5:$J$3000=M331)*(BIdetails!$K$5:$K$3000=N331)*(BIdetails!$M$5:$M$3000))</f>
        <v>0</v>
      </c>
      <c r="AB331" s="30">
        <f t="shared" si="35"/>
        <v>0</v>
      </c>
      <c r="AC331" s="27"/>
      <c r="AD331" s="27"/>
      <c r="AE331" s="27"/>
      <c r="AF331" s="27"/>
    </row>
    <row r="332" spans="1:32" hidden="1" x14ac:dyDescent="0.25">
      <c r="A332" t="s">
        <v>3094</v>
      </c>
      <c r="B332" t="str">
        <f t="shared" si="33"/>
        <v>Increase</v>
      </c>
      <c r="C332" s="92" t="s">
        <v>3610</v>
      </c>
      <c r="D332" t="s">
        <v>3611</v>
      </c>
      <c r="E332">
        <v>68427709</v>
      </c>
      <c r="F332" s="96" t="s">
        <v>57</v>
      </c>
      <c r="G332" s="92" t="s">
        <v>58</v>
      </c>
      <c r="H332" s="92" t="s">
        <v>46</v>
      </c>
      <c r="J332" t="s">
        <v>3612</v>
      </c>
      <c r="K332" s="92">
        <v>3000043</v>
      </c>
      <c r="L332" s="92" t="s">
        <v>198</v>
      </c>
      <c r="M332" s="93">
        <v>5401081737</v>
      </c>
      <c r="N332" s="93">
        <v>10</v>
      </c>
      <c r="O332" s="92" t="s">
        <v>2870</v>
      </c>
      <c r="P332" s="92" t="s">
        <v>1984</v>
      </c>
      <c r="Q332" s="92" t="s">
        <v>3104</v>
      </c>
      <c r="R332" s="92" t="s">
        <v>3284</v>
      </c>
      <c r="S332" s="7">
        <v>120000</v>
      </c>
      <c r="T332" s="7">
        <v>120000</v>
      </c>
      <c r="U332" s="7">
        <v>160000</v>
      </c>
      <c r="V332" s="7"/>
      <c r="W332" s="7"/>
      <c r="X332" s="7">
        <f t="shared" si="34"/>
        <v>40000</v>
      </c>
      <c r="Y332" s="5">
        <f t="shared" si="37"/>
        <v>0.33333333333333331</v>
      </c>
      <c r="Z332" s="21"/>
      <c r="AA332" s="29">
        <f>SUMPRODUCT((BIdetails!$J$5:$J$3000=M332)*(BIdetails!$K$5:$K$3000=N332)*(BIdetails!$M$5:$M$3000))</f>
        <v>0</v>
      </c>
      <c r="AB332" s="30">
        <f t="shared" si="35"/>
        <v>0</v>
      </c>
      <c r="AC332" s="27" t="s">
        <v>3099</v>
      </c>
      <c r="AD332" s="27" t="s">
        <v>3108</v>
      </c>
      <c r="AE332" s="27" t="s">
        <v>3101</v>
      </c>
      <c r="AF332" s="27"/>
    </row>
    <row r="333" spans="1:32" hidden="1" x14ac:dyDescent="0.25">
      <c r="A333" t="s">
        <v>3094</v>
      </c>
      <c r="B333" t="str">
        <f t="shared" si="33"/>
        <v>No Change</v>
      </c>
      <c r="C333" s="92" t="s">
        <v>1449</v>
      </c>
      <c r="D333" t="s">
        <v>3611</v>
      </c>
      <c r="E333">
        <v>68427709</v>
      </c>
      <c r="F333" s="96" t="s">
        <v>57</v>
      </c>
      <c r="G333" s="92" t="s">
        <v>58</v>
      </c>
      <c r="H333" s="92" t="s">
        <v>46</v>
      </c>
      <c r="J333" t="s">
        <v>3612</v>
      </c>
      <c r="K333" s="92">
        <v>151290</v>
      </c>
      <c r="L333" s="92" t="s">
        <v>190</v>
      </c>
      <c r="M333" s="93">
        <v>5401087947</v>
      </c>
      <c r="N333" s="93">
        <v>10</v>
      </c>
      <c r="O333" s="92" t="s">
        <v>2870</v>
      </c>
      <c r="P333" s="92" t="s">
        <v>1984</v>
      </c>
      <c r="Q333" s="92" t="s">
        <v>3104</v>
      </c>
      <c r="R333" s="92" t="s">
        <v>3284</v>
      </c>
      <c r="S333" s="7">
        <v>125000</v>
      </c>
      <c r="T333" s="7">
        <v>224000</v>
      </c>
      <c r="U333" s="7">
        <v>224000</v>
      </c>
      <c r="V333" s="7"/>
      <c r="W333" s="7"/>
      <c r="X333" s="7">
        <f t="shared" si="34"/>
        <v>0</v>
      </c>
      <c r="Y333" s="5">
        <f t="shared" si="37"/>
        <v>0</v>
      </c>
      <c r="Z333" s="21"/>
      <c r="AA333" s="29">
        <f>SUMPRODUCT((BIdetails!$J$5:$J$3000=M333)*(BIdetails!$K$5:$K$3000=N333)*(BIdetails!$M$5:$M$3000))</f>
        <v>0</v>
      </c>
      <c r="AB333" s="30">
        <f t="shared" si="35"/>
        <v>0</v>
      </c>
      <c r="AC333" s="27" t="s">
        <v>3099</v>
      </c>
      <c r="AD333" s="27" t="s">
        <v>3108</v>
      </c>
      <c r="AE333" s="27" t="s">
        <v>3101</v>
      </c>
      <c r="AF333" s="27"/>
    </row>
    <row r="334" spans="1:32" hidden="1" x14ac:dyDescent="0.25">
      <c r="A334" t="s">
        <v>3094</v>
      </c>
      <c r="B334" t="str">
        <f t="shared" si="33"/>
        <v>No Change</v>
      </c>
      <c r="C334" s="22" t="s">
        <v>3613</v>
      </c>
      <c r="D334" t="s">
        <v>3450</v>
      </c>
      <c r="E334">
        <v>68427709</v>
      </c>
      <c r="F334" s="91" t="s">
        <v>59</v>
      </c>
      <c r="G334" t="s">
        <v>60</v>
      </c>
      <c r="H334" s="92" t="s">
        <v>46</v>
      </c>
      <c r="J334" t="s">
        <v>3614</v>
      </c>
      <c r="K334" s="22">
        <v>166304</v>
      </c>
      <c r="L334" s="92" t="s">
        <v>97</v>
      </c>
      <c r="M334">
        <v>5401060725</v>
      </c>
      <c r="N334" s="20">
        <v>10</v>
      </c>
      <c r="O334" s="22" t="s">
        <v>2410</v>
      </c>
      <c r="P334" s="22" t="s">
        <v>2410</v>
      </c>
      <c r="Q334" t="s">
        <v>3114</v>
      </c>
      <c r="R334" t="s">
        <v>3133</v>
      </c>
      <c r="S334" s="7">
        <v>7000</v>
      </c>
      <c r="T334" s="7">
        <v>7000</v>
      </c>
      <c r="U334" s="7">
        <v>7000</v>
      </c>
      <c r="V334" s="7"/>
      <c r="W334" s="7"/>
      <c r="X334" s="7">
        <f t="shared" si="34"/>
        <v>0</v>
      </c>
      <c r="Y334" s="5">
        <f t="shared" si="37"/>
        <v>0</v>
      </c>
      <c r="Z334" s="21"/>
      <c r="AA334" s="29">
        <f>SUMPRODUCT((BIdetails!$J$5:$J$3000=M334)*(BIdetails!$K$5:$K$3000=N334)*(BIdetails!$M$5:$M$3000))</f>
        <v>0</v>
      </c>
      <c r="AB334" s="30">
        <f t="shared" si="35"/>
        <v>0</v>
      </c>
      <c r="AC334" s="27"/>
      <c r="AD334" s="27"/>
      <c r="AE334" s="27"/>
      <c r="AF334" s="27"/>
    </row>
    <row r="335" spans="1:32" hidden="1" x14ac:dyDescent="0.25">
      <c r="A335" t="s">
        <v>3094</v>
      </c>
      <c r="B335" t="str">
        <f t="shared" si="33"/>
        <v>No Change</v>
      </c>
      <c r="C335" s="92" t="s">
        <v>3615</v>
      </c>
      <c r="D335" t="s">
        <v>3151</v>
      </c>
      <c r="E335">
        <v>68427709</v>
      </c>
      <c r="F335" s="91" t="s">
        <v>44</v>
      </c>
      <c r="G335" s="92" t="s">
        <v>75</v>
      </c>
      <c r="H335" s="92" t="s">
        <v>46</v>
      </c>
      <c r="I335" t="s">
        <v>3096</v>
      </c>
      <c r="J335" t="s">
        <v>3128</v>
      </c>
      <c r="K335">
        <v>187516</v>
      </c>
      <c r="L335" s="92" t="s">
        <v>3117</v>
      </c>
      <c r="M335" s="25">
        <v>5401088459</v>
      </c>
      <c r="N335" s="93">
        <v>120</v>
      </c>
      <c r="O335" s="92" t="s">
        <v>2870</v>
      </c>
      <c r="P335" s="92" t="s">
        <v>3026</v>
      </c>
      <c r="Q335" s="92" t="s">
        <v>3104</v>
      </c>
      <c r="R335" s="92" t="s">
        <v>3098</v>
      </c>
      <c r="S335" s="7">
        <v>69000</v>
      </c>
      <c r="T335" s="7">
        <v>69000</v>
      </c>
      <c r="U335" s="7">
        <v>69000</v>
      </c>
      <c r="V335" s="7"/>
      <c r="W335" s="7"/>
      <c r="X335" s="7">
        <f t="shared" si="34"/>
        <v>0</v>
      </c>
      <c r="Y335" s="5">
        <f t="shared" si="37"/>
        <v>0</v>
      </c>
      <c r="Z335" s="35"/>
      <c r="AA335" s="29">
        <f>SUMPRODUCT((BIdetails!$J$5:$J$3000=M335)*(BIdetails!$K$5:$K$3000=N335)*(BIdetails!$M$5:$M$3000))</f>
        <v>0</v>
      </c>
      <c r="AB335" s="30">
        <f t="shared" si="35"/>
        <v>0</v>
      </c>
      <c r="AC335" s="27" t="s">
        <v>845</v>
      </c>
      <c r="AD335" s="27" t="s">
        <v>3100</v>
      </c>
      <c r="AE335" s="27" t="s">
        <v>3118</v>
      </c>
      <c r="AF335" s="27"/>
    </row>
    <row r="336" spans="1:32" hidden="1" x14ac:dyDescent="0.25">
      <c r="A336" t="s">
        <v>3094</v>
      </c>
      <c r="B336" t="str">
        <f t="shared" si="33"/>
        <v>No Change</v>
      </c>
      <c r="C336" t="s">
        <v>3616</v>
      </c>
      <c r="D336" t="s">
        <v>3151</v>
      </c>
      <c r="E336">
        <v>68427709</v>
      </c>
      <c r="F336" s="91" t="s">
        <v>44</v>
      </c>
      <c r="G336" s="92" t="s">
        <v>75</v>
      </c>
      <c r="H336" s="92" t="s">
        <v>46</v>
      </c>
      <c r="I336" t="s">
        <v>3096</v>
      </c>
      <c r="J336" t="s">
        <v>3128</v>
      </c>
      <c r="K336">
        <v>187516</v>
      </c>
      <c r="L336" s="92" t="s">
        <v>3117</v>
      </c>
      <c r="M336" s="25">
        <v>5401088459</v>
      </c>
      <c r="N336" s="20">
        <v>130</v>
      </c>
      <c r="O336" s="22" t="s">
        <v>2870</v>
      </c>
      <c r="P336" s="22" t="s">
        <v>2870</v>
      </c>
      <c r="Q336" s="22" t="s">
        <v>3104</v>
      </c>
      <c r="R336" t="s">
        <v>3098</v>
      </c>
      <c r="S336" s="7">
        <v>305000</v>
      </c>
      <c r="T336" s="7">
        <v>305000</v>
      </c>
      <c r="U336" s="7">
        <v>305000</v>
      </c>
      <c r="V336" s="7"/>
      <c r="W336" s="7"/>
      <c r="X336" s="7">
        <f t="shared" si="34"/>
        <v>0</v>
      </c>
      <c r="Y336" s="5">
        <f t="shared" si="37"/>
        <v>0</v>
      </c>
      <c r="Z336" s="21"/>
      <c r="AA336" s="29">
        <f>SUMPRODUCT((BIdetails!$J$5:$J$3000=M336)*(BIdetails!$K$5:$K$3000=N336)*(BIdetails!$M$5:$M$3000))</f>
        <v>0</v>
      </c>
      <c r="AB336" s="30">
        <f t="shared" si="35"/>
        <v>0</v>
      </c>
      <c r="AC336" s="27"/>
      <c r="AD336" s="27"/>
      <c r="AE336" s="27"/>
      <c r="AF336" s="27"/>
    </row>
    <row r="337" spans="1:32" hidden="1" x14ac:dyDescent="0.25">
      <c r="A337" t="s">
        <v>3094</v>
      </c>
      <c r="B337" t="str">
        <f t="shared" si="33"/>
        <v>No Change</v>
      </c>
      <c r="C337" t="s">
        <v>949</v>
      </c>
      <c r="D337" t="s">
        <v>3617</v>
      </c>
      <c r="E337">
        <v>68427709</v>
      </c>
      <c r="F337" s="91" t="s">
        <v>59</v>
      </c>
      <c r="G337" t="s">
        <v>60</v>
      </c>
      <c r="H337" t="s">
        <v>46</v>
      </c>
      <c r="I337" t="s">
        <v>3144</v>
      </c>
      <c r="J337" t="s">
        <v>3254</v>
      </c>
      <c r="K337">
        <v>187876</v>
      </c>
      <c r="L337" t="s">
        <v>3618</v>
      </c>
      <c r="M337" s="20">
        <v>5400941303</v>
      </c>
      <c r="N337" s="20">
        <v>30</v>
      </c>
      <c r="O337" t="s">
        <v>1930</v>
      </c>
      <c r="P337" s="22" t="s">
        <v>1930</v>
      </c>
      <c r="Q337" t="s">
        <v>3114</v>
      </c>
      <c r="R337" t="s">
        <v>3098</v>
      </c>
      <c r="S337" s="7">
        <v>700000</v>
      </c>
      <c r="T337" s="7">
        <v>750000</v>
      </c>
      <c r="U337" s="7">
        <v>750000</v>
      </c>
      <c r="V337" s="7"/>
      <c r="W337" s="7"/>
      <c r="X337" s="7">
        <f t="shared" si="34"/>
        <v>0</v>
      </c>
      <c r="Y337" s="5">
        <f t="shared" si="37"/>
        <v>0</v>
      </c>
      <c r="Z337" s="21" t="s">
        <v>403</v>
      </c>
      <c r="AA337" s="29">
        <f>SUMPRODUCT((BIdetails!$J$5:$J$3000=M337)*(BIdetails!$K$5:$K$3000=N337)*(BIdetails!$M$5:$M$3000))</f>
        <v>0</v>
      </c>
      <c r="AB337" s="30">
        <f t="shared" si="35"/>
        <v>0</v>
      </c>
      <c r="AC337" s="27"/>
      <c r="AD337" s="27"/>
      <c r="AE337" s="27"/>
      <c r="AF337" s="27"/>
    </row>
    <row r="338" spans="1:32" hidden="1" x14ac:dyDescent="0.25">
      <c r="A338" t="s">
        <v>3094</v>
      </c>
      <c r="B338" t="str">
        <f t="shared" si="33"/>
        <v>Increase</v>
      </c>
      <c r="C338" t="s">
        <v>3063</v>
      </c>
      <c r="D338" t="s">
        <v>3307</v>
      </c>
      <c r="E338">
        <v>68427709</v>
      </c>
      <c r="F338" s="91" t="s">
        <v>44</v>
      </c>
      <c r="G338" s="92" t="s">
        <v>75</v>
      </c>
      <c r="H338" s="92" t="s">
        <v>46</v>
      </c>
      <c r="J338" t="s">
        <v>3254</v>
      </c>
      <c r="K338">
        <v>187516</v>
      </c>
      <c r="L338" s="92" t="s">
        <v>3117</v>
      </c>
      <c r="M338" s="20">
        <v>5400853128</v>
      </c>
      <c r="N338" s="20">
        <v>10</v>
      </c>
      <c r="O338" s="22" t="s">
        <v>1930</v>
      </c>
      <c r="P338" s="22" t="s">
        <v>1930</v>
      </c>
      <c r="Q338" t="s">
        <v>3114</v>
      </c>
      <c r="R338" t="s">
        <v>3098</v>
      </c>
      <c r="S338" s="7">
        <v>700000</v>
      </c>
      <c r="T338" s="7">
        <v>700000</v>
      </c>
      <c r="U338" s="7">
        <v>720000</v>
      </c>
      <c r="V338" s="7"/>
      <c r="W338" s="7"/>
      <c r="X338" s="7">
        <f t="shared" si="34"/>
        <v>20000</v>
      </c>
      <c r="Y338" s="5">
        <f t="shared" si="37"/>
        <v>2.8571428571428571E-2</v>
      </c>
      <c r="Z338" s="21"/>
      <c r="AA338" s="29">
        <f>SUMPRODUCT((BIdetails!$J$5:$J$3000=M338)*(BIdetails!$K$5:$K$3000=N338)*(BIdetails!$M$5:$M$3000))</f>
        <v>0</v>
      </c>
      <c r="AB338" s="30">
        <f t="shared" si="35"/>
        <v>0</v>
      </c>
      <c r="AC338" s="27" t="s">
        <v>3099</v>
      </c>
      <c r="AD338" s="27" t="s">
        <v>3100</v>
      </c>
      <c r="AE338" s="27" t="s">
        <v>3118</v>
      </c>
      <c r="AF338" s="27"/>
    </row>
    <row r="339" spans="1:32" hidden="1" x14ac:dyDescent="0.25">
      <c r="A339" t="s">
        <v>3094</v>
      </c>
      <c r="B339" t="str">
        <f t="shared" si="33"/>
        <v>No Change</v>
      </c>
      <c r="C339" t="s">
        <v>2563</v>
      </c>
      <c r="D339" t="s">
        <v>3619</v>
      </c>
      <c r="E339">
        <v>68427709</v>
      </c>
      <c r="F339" s="91" t="s">
        <v>59</v>
      </c>
      <c r="G339" t="s">
        <v>60</v>
      </c>
      <c r="H339" t="s">
        <v>46</v>
      </c>
      <c r="J339" t="s">
        <v>3620</v>
      </c>
      <c r="K339">
        <v>168847</v>
      </c>
      <c r="L339" t="s">
        <v>3621</v>
      </c>
      <c r="M339" s="20">
        <v>5400972348</v>
      </c>
      <c r="N339" s="20">
        <v>10</v>
      </c>
      <c r="O339" t="s">
        <v>2870</v>
      </c>
      <c r="P339" s="22" t="s">
        <v>3244</v>
      </c>
      <c r="Q339" t="s">
        <v>3114</v>
      </c>
      <c r="R339" s="22" t="s">
        <v>3136</v>
      </c>
      <c r="S339" s="7">
        <v>12100</v>
      </c>
      <c r="T339" s="7">
        <v>14300</v>
      </c>
      <c r="U339" s="7">
        <v>14300</v>
      </c>
      <c r="V339" s="7"/>
      <c r="W339" s="7"/>
      <c r="X339" s="7">
        <f t="shared" si="34"/>
        <v>0</v>
      </c>
      <c r="Y339" s="5">
        <f t="shared" si="37"/>
        <v>0</v>
      </c>
      <c r="Z339" s="35"/>
      <c r="AA339" s="29">
        <f>SUMPRODUCT((BIdetails!$J$5:$J$3000=M339)*(BIdetails!$K$5:$K$3000=N339)*(BIdetails!$M$5:$M$3000))</f>
        <v>0</v>
      </c>
      <c r="AB339" s="30">
        <f t="shared" si="35"/>
        <v>0</v>
      </c>
      <c r="AC339" s="27"/>
      <c r="AD339" s="27"/>
      <c r="AE339" s="27"/>
      <c r="AF339" s="27"/>
    </row>
    <row r="340" spans="1:32" hidden="1" x14ac:dyDescent="0.25">
      <c r="A340" t="s">
        <v>3094</v>
      </c>
      <c r="B340" t="str">
        <f t="shared" si="33"/>
        <v>New</v>
      </c>
      <c r="C340" s="22" t="s">
        <v>3622</v>
      </c>
      <c r="E340">
        <v>68427709</v>
      </c>
      <c r="F340" s="91" t="s">
        <v>19</v>
      </c>
      <c r="G340" t="s">
        <v>20</v>
      </c>
      <c r="H340" t="s">
        <v>16</v>
      </c>
      <c r="J340" t="s">
        <v>3623</v>
      </c>
      <c r="K340">
        <v>166304</v>
      </c>
      <c r="L340" s="92" t="s">
        <v>97</v>
      </c>
      <c r="M340" s="203"/>
      <c r="O340" s="92" t="s">
        <v>2410</v>
      </c>
      <c r="P340" s="22" t="s">
        <v>3244</v>
      </c>
      <c r="Q340" t="s">
        <v>3114</v>
      </c>
      <c r="R340" t="s">
        <v>3133</v>
      </c>
      <c r="S340" s="7"/>
      <c r="T340" s="7"/>
      <c r="U340" s="7">
        <v>36000</v>
      </c>
      <c r="V340" s="7"/>
      <c r="W340" s="7"/>
      <c r="X340" s="7">
        <f t="shared" si="34"/>
        <v>36000</v>
      </c>
      <c r="Y340" s="5">
        <f t="shared" si="37"/>
        <v>1</v>
      </c>
      <c r="Z340" s="21"/>
      <c r="AA340" s="29">
        <f>SUMPRODUCT((BIdetails!$J$5:$J$3000=M340)*(BIdetails!$K$5:$K$3000=N340)*(BIdetails!$M$5:$M$3000))</f>
        <v>0</v>
      </c>
      <c r="AB340" s="30">
        <f t="shared" si="35"/>
        <v>0</v>
      </c>
      <c r="AC340" s="27"/>
      <c r="AD340" s="27"/>
      <c r="AE340" s="27"/>
      <c r="AF340" s="27"/>
    </row>
    <row r="341" spans="1:32" hidden="1" x14ac:dyDescent="0.25">
      <c r="A341" t="s">
        <v>3106</v>
      </c>
      <c r="B341" t="str">
        <f t="shared" si="33"/>
        <v>Decommissioned</v>
      </c>
      <c r="C341" t="s">
        <v>1327</v>
      </c>
      <c r="D341" t="s">
        <v>3624</v>
      </c>
      <c r="E341">
        <v>68427719</v>
      </c>
      <c r="F341" s="91" t="s">
        <v>59</v>
      </c>
      <c r="G341" t="s">
        <v>60</v>
      </c>
      <c r="H341" t="s">
        <v>46</v>
      </c>
      <c r="J341" t="s">
        <v>3625</v>
      </c>
      <c r="K341">
        <v>201096</v>
      </c>
      <c r="L341" t="s">
        <v>1327</v>
      </c>
      <c r="M341"/>
      <c r="O341" s="22" t="s">
        <v>2870</v>
      </c>
      <c r="P341" s="22" t="s">
        <v>2356</v>
      </c>
      <c r="Q341" t="s">
        <v>3114</v>
      </c>
      <c r="R341" t="s">
        <v>3207</v>
      </c>
      <c r="S341" s="7">
        <v>24000</v>
      </c>
      <c r="T341" s="7">
        <v>24000</v>
      </c>
      <c r="U341" s="7">
        <v>0</v>
      </c>
      <c r="V341" s="7"/>
      <c r="W341" s="7"/>
      <c r="X341" s="7">
        <f t="shared" si="34"/>
        <v>-24000</v>
      </c>
      <c r="Y341" s="5">
        <f t="shared" si="37"/>
        <v>-1</v>
      </c>
      <c r="Z341" s="35"/>
      <c r="AA341" s="29">
        <f>SUMPRODUCT((BIdetails!$J$5:$J$3000=M341)*(BIdetails!$K$5:$K$3000=N341)*(BIdetails!$M$5:$M$3000))</f>
        <v>0</v>
      </c>
      <c r="AB341" s="30" t="str">
        <f t="shared" si="35"/>
        <v/>
      </c>
      <c r="AC341" s="27"/>
      <c r="AD341" s="27"/>
      <c r="AE341" s="27"/>
      <c r="AF341" s="27"/>
    </row>
    <row r="342" spans="1:32" hidden="1" x14ac:dyDescent="0.25">
      <c r="A342" t="s">
        <v>3094</v>
      </c>
      <c r="B342" t="str">
        <f t="shared" si="33"/>
        <v>Increase</v>
      </c>
      <c r="C342" t="s">
        <v>2178</v>
      </c>
      <c r="D342" t="s">
        <v>3626</v>
      </c>
      <c r="E342">
        <v>68427709</v>
      </c>
      <c r="F342" s="91" t="s">
        <v>59</v>
      </c>
      <c r="G342" t="s">
        <v>60</v>
      </c>
      <c r="H342" t="s">
        <v>46</v>
      </c>
      <c r="J342" t="s">
        <v>3627</v>
      </c>
      <c r="K342" s="22">
        <v>208280</v>
      </c>
      <c r="L342" t="s">
        <v>3628</v>
      </c>
      <c r="M342" s="20">
        <v>5401056511</v>
      </c>
      <c r="N342" s="20">
        <v>10</v>
      </c>
      <c r="O342" t="s">
        <v>2870</v>
      </c>
      <c r="P342" s="92" t="s">
        <v>2500</v>
      </c>
      <c r="Q342" s="201" t="s">
        <v>3184</v>
      </c>
      <c r="R342" t="s">
        <v>3175</v>
      </c>
      <c r="S342" s="7">
        <v>290000</v>
      </c>
      <c r="T342" s="7">
        <v>290000</v>
      </c>
      <c r="U342" s="7">
        <v>316000</v>
      </c>
      <c r="V342" s="7"/>
      <c r="W342" s="7"/>
      <c r="X342" s="7">
        <f t="shared" si="34"/>
        <v>26000</v>
      </c>
      <c r="Y342" s="5">
        <f t="shared" si="37"/>
        <v>8.9655172413793102E-2</v>
      </c>
      <c r="Z342" s="35"/>
      <c r="AA342" s="29">
        <f>SUMPRODUCT((BIdetails!$J$5:$J$3000=M342)*(BIdetails!$K$5:$K$3000=N342)*(BIdetails!$M$5:$M$3000))</f>
        <v>0</v>
      </c>
      <c r="AB342" s="30">
        <f t="shared" si="35"/>
        <v>0</v>
      </c>
      <c r="AC342" s="27"/>
      <c r="AD342" s="27"/>
      <c r="AE342" s="27"/>
      <c r="AF342" s="27"/>
    </row>
    <row r="343" spans="1:32" hidden="1" x14ac:dyDescent="0.25">
      <c r="A343" t="s">
        <v>3094</v>
      </c>
      <c r="B343" t="str">
        <f t="shared" si="33"/>
        <v>Decrease</v>
      </c>
      <c r="C343" t="s">
        <v>2821</v>
      </c>
      <c r="E343">
        <v>68427709</v>
      </c>
      <c r="F343" s="91" t="s">
        <v>54</v>
      </c>
      <c r="G343" t="s">
        <v>55</v>
      </c>
      <c r="H343" t="s">
        <v>46</v>
      </c>
      <c r="J343" t="s">
        <v>3627</v>
      </c>
      <c r="K343">
        <v>187516</v>
      </c>
      <c r="L343" s="92" t="s">
        <v>3629</v>
      </c>
      <c r="O343" t="s">
        <v>2870</v>
      </c>
      <c r="P343" s="92" t="s">
        <v>2500</v>
      </c>
      <c r="Q343" t="s">
        <v>3114</v>
      </c>
      <c r="R343" t="s">
        <v>3175</v>
      </c>
      <c r="S343" s="7">
        <v>432000</v>
      </c>
      <c r="T343" s="7">
        <v>432000</v>
      </c>
      <c r="U343" s="7">
        <v>125000</v>
      </c>
      <c r="V343" s="7"/>
      <c r="W343" s="7"/>
      <c r="X343" s="7">
        <f t="shared" si="34"/>
        <v>-307000</v>
      </c>
      <c r="Y343" s="5">
        <f t="shared" si="37"/>
        <v>-0.71064814814814814</v>
      </c>
      <c r="Z343" s="35"/>
      <c r="AA343" s="29">
        <f>SUMPRODUCT((BIdetails!$J$5:$J$3000=M343)*(BIdetails!$K$5:$K$3000=N343)*(BIdetails!$M$5:$M$3000))</f>
        <v>0</v>
      </c>
      <c r="AB343" s="30">
        <f t="shared" si="35"/>
        <v>0</v>
      </c>
      <c r="AC343" s="27"/>
      <c r="AD343" s="27"/>
      <c r="AE343" s="27"/>
      <c r="AF343" s="27"/>
    </row>
    <row r="344" spans="1:32" hidden="1" x14ac:dyDescent="0.25">
      <c r="A344" t="s">
        <v>3094</v>
      </c>
      <c r="B344" t="str">
        <f t="shared" si="33"/>
        <v>No Change</v>
      </c>
      <c r="C344" s="92" t="s">
        <v>3630</v>
      </c>
      <c r="D344" t="s">
        <v>3307</v>
      </c>
      <c r="E344">
        <v>68427709</v>
      </c>
      <c r="F344" s="91" t="s">
        <v>44</v>
      </c>
      <c r="G344" s="92" t="s">
        <v>75</v>
      </c>
      <c r="H344" s="92" t="s">
        <v>46</v>
      </c>
      <c r="I344" t="s">
        <v>3096</v>
      </c>
      <c r="J344" t="s">
        <v>3128</v>
      </c>
      <c r="K344">
        <v>187516</v>
      </c>
      <c r="L344" s="92" t="s">
        <v>3117</v>
      </c>
      <c r="M344" s="93">
        <v>5401087931</v>
      </c>
      <c r="N344" s="93">
        <v>10</v>
      </c>
      <c r="O344" s="92" t="s">
        <v>2870</v>
      </c>
      <c r="P344" s="22" t="s">
        <v>2870</v>
      </c>
      <c r="Q344" s="22" t="s">
        <v>3104</v>
      </c>
      <c r="R344" t="s">
        <v>3098</v>
      </c>
      <c r="S344" s="7">
        <v>128000</v>
      </c>
      <c r="T344" s="7">
        <v>128000</v>
      </c>
      <c r="U344" s="7">
        <v>128000</v>
      </c>
      <c r="V344" s="7"/>
      <c r="W344" s="7"/>
      <c r="X344" s="7">
        <f t="shared" si="34"/>
        <v>0</v>
      </c>
      <c r="Y344" s="5">
        <f t="shared" si="37"/>
        <v>0</v>
      </c>
      <c r="Z344" s="35"/>
      <c r="AA344" s="29">
        <f>SUMPRODUCT((BIdetails!$J$5:$J$3000=M344)*(BIdetails!$K$5:$K$3000=N344)*(BIdetails!$M$5:$M$3000))</f>
        <v>0</v>
      </c>
      <c r="AB344" s="30">
        <f t="shared" si="35"/>
        <v>0</v>
      </c>
      <c r="AC344" s="27" t="s">
        <v>3099</v>
      </c>
      <c r="AD344" s="27" t="s">
        <v>3100</v>
      </c>
      <c r="AE344" s="27"/>
      <c r="AF344" s="27"/>
    </row>
    <row r="345" spans="1:32" hidden="1" x14ac:dyDescent="0.25">
      <c r="A345" t="s">
        <v>3094</v>
      </c>
      <c r="B345" t="str">
        <f t="shared" si="33"/>
        <v>No Change</v>
      </c>
      <c r="C345" s="22" t="s">
        <v>3631</v>
      </c>
      <c r="D345" t="s">
        <v>3632</v>
      </c>
      <c r="E345">
        <v>68427709</v>
      </c>
      <c r="F345" s="91" t="s">
        <v>59</v>
      </c>
      <c r="G345" t="s">
        <v>60</v>
      </c>
      <c r="H345" t="s">
        <v>46</v>
      </c>
      <c r="J345" t="s">
        <v>3633</v>
      </c>
      <c r="K345" s="22">
        <v>197078</v>
      </c>
      <c r="L345" s="22" t="s">
        <v>3631</v>
      </c>
      <c r="M345" s="20">
        <v>5401056435</v>
      </c>
      <c r="N345" s="20">
        <v>10</v>
      </c>
      <c r="O345" s="22" t="s">
        <v>2870</v>
      </c>
      <c r="P345" s="22" t="s">
        <v>2781</v>
      </c>
      <c r="Q345" t="s">
        <v>3114</v>
      </c>
      <c r="R345" t="s">
        <v>3136</v>
      </c>
      <c r="S345" s="7">
        <v>135000</v>
      </c>
      <c r="T345" s="7">
        <v>135000</v>
      </c>
      <c r="U345" s="7">
        <v>135000</v>
      </c>
      <c r="V345" s="7"/>
      <c r="W345" s="7"/>
      <c r="X345" s="7">
        <f t="shared" si="34"/>
        <v>0</v>
      </c>
      <c r="Y345" s="5">
        <f t="shared" si="37"/>
        <v>0</v>
      </c>
      <c r="Z345" s="35"/>
      <c r="AA345" s="29">
        <f>SUMPRODUCT((BIdetails!$J$5:$J$3000=M345)*(BIdetails!$K$5:$K$3000=N345)*(BIdetails!$M$5:$M$3000))</f>
        <v>0</v>
      </c>
      <c r="AB345" s="30">
        <f t="shared" si="35"/>
        <v>0</v>
      </c>
      <c r="AC345" s="27"/>
      <c r="AD345" s="27"/>
      <c r="AE345" s="27"/>
      <c r="AF345" s="27"/>
    </row>
    <row r="346" spans="1:32" hidden="1" x14ac:dyDescent="0.25">
      <c r="A346" t="s">
        <v>3094</v>
      </c>
      <c r="B346" t="str">
        <f t="shared" si="33"/>
        <v>Increase</v>
      </c>
      <c r="C346" t="s">
        <v>3634</v>
      </c>
      <c r="D346" t="s">
        <v>3635</v>
      </c>
      <c r="E346">
        <v>68427709</v>
      </c>
      <c r="F346" s="91" t="s">
        <v>59</v>
      </c>
      <c r="G346" t="s">
        <v>60</v>
      </c>
      <c r="H346" t="s">
        <v>46</v>
      </c>
      <c r="I346" t="s">
        <v>3144</v>
      </c>
      <c r="J346" t="s">
        <v>2270</v>
      </c>
      <c r="K346">
        <v>189203</v>
      </c>
      <c r="L346" t="s">
        <v>153</v>
      </c>
      <c r="M346" s="20">
        <v>5400904915</v>
      </c>
      <c r="N346" s="20">
        <v>60</v>
      </c>
      <c r="O346" t="s">
        <v>2994</v>
      </c>
      <c r="P346" s="22" t="s">
        <v>2843</v>
      </c>
      <c r="Q346" t="s">
        <v>3114</v>
      </c>
      <c r="R346" t="s">
        <v>42</v>
      </c>
      <c r="S346" s="7">
        <v>82000</v>
      </c>
      <c r="T346" s="7">
        <v>82000</v>
      </c>
      <c r="U346" s="7">
        <v>98400</v>
      </c>
      <c r="V346" s="7"/>
      <c r="W346" s="7"/>
      <c r="X346" s="7">
        <f t="shared" si="34"/>
        <v>16400</v>
      </c>
      <c r="Y346" s="5">
        <f t="shared" si="37"/>
        <v>0.2</v>
      </c>
      <c r="Z346" s="35"/>
      <c r="AA346" s="29">
        <f>SUMPRODUCT((BIdetails!$J$5:$J$3000=M346)*(BIdetails!$K$5:$K$3000=N346)*(BIdetails!$M$5:$M$3000))</f>
        <v>0</v>
      </c>
      <c r="AB346" s="30">
        <f t="shared" si="35"/>
        <v>0</v>
      </c>
      <c r="AC346" s="27"/>
      <c r="AD346" s="27"/>
      <c r="AE346" s="27"/>
      <c r="AF346" s="27"/>
    </row>
    <row r="347" spans="1:32" hidden="1" x14ac:dyDescent="0.25">
      <c r="A347" t="s">
        <v>3094</v>
      </c>
      <c r="B347" t="str">
        <f t="shared" si="33"/>
        <v>Increase</v>
      </c>
      <c r="C347" t="s">
        <v>1168</v>
      </c>
      <c r="D347" t="s">
        <v>3635</v>
      </c>
      <c r="E347">
        <v>68427709</v>
      </c>
      <c r="F347" s="91" t="s">
        <v>54</v>
      </c>
      <c r="G347" t="s">
        <v>55</v>
      </c>
      <c r="H347" t="s">
        <v>46</v>
      </c>
      <c r="J347" t="s">
        <v>2270</v>
      </c>
      <c r="K347">
        <v>189203</v>
      </c>
      <c r="L347" t="s">
        <v>153</v>
      </c>
      <c r="M347" s="20" t="s">
        <v>3636</v>
      </c>
      <c r="N347" s="20">
        <v>10</v>
      </c>
      <c r="O347" t="s">
        <v>2994</v>
      </c>
      <c r="P347" s="22" t="s">
        <v>2843</v>
      </c>
      <c r="Q347" t="s">
        <v>3114</v>
      </c>
      <c r="R347" t="s">
        <v>42</v>
      </c>
      <c r="S347" s="7">
        <v>310000</v>
      </c>
      <c r="T347" s="7">
        <v>310000</v>
      </c>
      <c r="U347" s="7">
        <v>356500</v>
      </c>
      <c r="V347" s="7"/>
      <c r="W347" s="7"/>
      <c r="X347" s="7">
        <f t="shared" si="34"/>
        <v>46500</v>
      </c>
      <c r="Y347" s="5">
        <f t="shared" si="37"/>
        <v>0.15</v>
      </c>
      <c r="Z347" s="35"/>
      <c r="AA347" s="29">
        <f>SUMPRODUCT((BIdetails!$J$5:$J$3000=M347)*(BIdetails!$K$5:$K$3000=N347)*(BIdetails!$M$5:$M$3000))</f>
        <v>0</v>
      </c>
      <c r="AB347" s="30">
        <f t="shared" si="35"/>
        <v>0</v>
      </c>
      <c r="AC347" s="27" t="s">
        <v>3099</v>
      </c>
      <c r="AD347" s="27" t="s">
        <v>3100</v>
      </c>
      <c r="AE347" s="27" t="s">
        <v>3101</v>
      </c>
      <c r="AF347" s="27"/>
    </row>
    <row r="348" spans="1:32" hidden="1" x14ac:dyDescent="0.25">
      <c r="A348" t="s">
        <v>3094</v>
      </c>
      <c r="B348" t="str">
        <f t="shared" si="33"/>
        <v>No Change</v>
      </c>
      <c r="C348" s="22" t="s">
        <v>2687</v>
      </c>
      <c r="E348">
        <v>68427709</v>
      </c>
      <c r="F348" s="91" t="s">
        <v>38</v>
      </c>
      <c r="G348" t="s">
        <v>39</v>
      </c>
      <c r="H348" s="92" t="s">
        <v>33</v>
      </c>
      <c r="I348" t="s">
        <v>2448</v>
      </c>
      <c r="J348" t="s">
        <v>3189</v>
      </c>
      <c r="K348">
        <v>187516</v>
      </c>
      <c r="L348" s="92" t="s">
        <v>3117</v>
      </c>
      <c r="M348" s="203"/>
      <c r="O348" s="92" t="s">
        <v>2410</v>
      </c>
      <c r="P348" s="22" t="s">
        <v>2410</v>
      </c>
      <c r="Q348" s="201" t="s">
        <v>3124</v>
      </c>
      <c r="R348" t="s">
        <v>3133</v>
      </c>
      <c r="S348" s="7"/>
      <c r="T348" s="7">
        <v>12500</v>
      </c>
      <c r="U348" s="7">
        <v>12500</v>
      </c>
      <c r="V348" s="7"/>
      <c r="W348" s="7"/>
      <c r="X348" s="7">
        <f t="shared" si="34"/>
        <v>0</v>
      </c>
      <c r="Y348" s="5">
        <f t="shared" si="37"/>
        <v>0</v>
      </c>
      <c r="Z348" s="21"/>
      <c r="AA348" s="29">
        <f>SUMPRODUCT((BIdetails!$J$5:$J$3000=M348)*(BIdetails!$K$5:$K$3000=N348)*(BIdetails!$M$5:$M$3000))</f>
        <v>0</v>
      </c>
      <c r="AB348" s="30">
        <f t="shared" si="35"/>
        <v>0</v>
      </c>
      <c r="AC348" s="27"/>
      <c r="AD348" s="27"/>
      <c r="AE348" s="27"/>
      <c r="AF348" s="27"/>
    </row>
    <row r="349" spans="1:32" hidden="1" x14ac:dyDescent="0.25">
      <c r="A349" t="s">
        <v>3094</v>
      </c>
      <c r="B349" t="str">
        <f t="shared" si="33"/>
        <v>No Change</v>
      </c>
      <c r="C349" t="s">
        <v>1574</v>
      </c>
      <c r="E349">
        <v>68427709</v>
      </c>
      <c r="F349" s="91" t="s">
        <v>38</v>
      </c>
      <c r="G349" t="s">
        <v>39</v>
      </c>
      <c r="H349" t="s">
        <v>33</v>
      </c>
      <c r="I349" t="s">
        <v>2445</v>
      </c>
      <c r="J349" t="s">
        <v>3116</v>
      </c>
      <c r="L349" t="s">
        <v>1575</v>
      </c>
      <c r="M349" s="20" t="s">
        <v>3475</v>
      </c>
      <c r="O349" s="22" t="s">
        <v>2410</v>
      </c>
      <c r="P349" s="22" t="s">
        <v>2410</v>
      </c>
      <c r="Q349" t="s">
        <v>3114</v>
      </c>
      <c r="R349" t="s">
        <v>3133</v>
      </c>
      <c r="S349" s="7">
        <v>25000</v>
      </c>
      <c r="T349" s="7">
        <v>25000</v>
      </c>
      <c r="U349" s="7">
        <v>25000</v>
      </c>
      <c r="V349" s="7"/>
      <c r="W349" s="7"/>
      <c r="X349" s="7">
        <f t="shared" si="34"/>
        <v>0</v>
      </c>
      <c r="Y349" s="5">
        <f t="shared" si="37"/>
        <v>0</v>
      </c>
      <c r="Z349" s="35"/>
      <c r="AA349" s="29">
        <f>SUMPRODUCT((BIdetails!$J$5:$J$3000=M349)*(BIdetails!$K$5:$K$3000=N349)*(BIdetails!$M$5:$M$3000))</f>
        <v>0</v>
      </c>
      <c r="AB349" s="30">
        <f t="shared" si="35"/>
        <v>0</v>
      </c>
      <c r="AC349" s="27" t="s">
        <v>845</v>
      </c>
      <c r="AD349" s="27" t="s">
        <v>3100</v>
      </c>
      <c r="AE349" s="27" t="s">
        <v>3118</v>
      </c>
      <c r="AF349" s="27"/>
    </row>
    <row r="350" spans="1:32" x14ac:dyDescent="0.25">
      <c r="A350" t="s">
        <v>3094</v>
      </c>
      <c r="B350" t="str">
        <f t="shared" si="33"/>
        <v>New</v>
      </c>
      <c r="C350" s="306" t="s">
        <v>2986</v>
      </c>
      <c r="E350">
        <v>68427709</v>
      </c>
      <c r="F350" s="91" t="s">
        <v>40</v>
      </c>
      <c r="G350" t="s">
        <v>42</v>
      </c>
      <c r="H350" t="s">
        <v>42</v>
      </c>
      <c r="I350" t="s">
        <v>2448</v>
      </c>
      <c r="J350" t="s">
        <v>3189</v>
      </c>
      <c r="L350" s="22"/>
      <c r="M350" s="203"/>
      <c r="O350" s="92" t="s">
        <v>2843</v>
      </c>
      <c r="P350" s="22"/>
      <c r="Q350" t="s">
        <v>3124</v>
      </c>
      <c r="R350" t="s">
        <v>2903</v>
      </c>
      <c r="S350" s="7"/>
      <c r="T350" s="7"/>
      <c r="U350" s="7">
        <v>87000</v>
      </c>
      <c r="V350" s="7"/>
      <c r="W350" s="304">
        <v>87000</v>
      </c>
      <c r="X350" s="7">
        <f t="shared" ref="X350" si="38">W350-U350</f>
        <v>0</v>
      </c>
      <c r="Y350" s="5">
        <f t="shared" si="37"/>
        <v>1</v>
      </c>
      <c r="Z350" s="21"/>
      <c r="AA350" s="29">
        <f>SUMPRODUCT((BIdetails!$J$5:$J$3000=M350)*(BIdetails!$K$5:$K$3000=N350)*(BIdetails!$M$5:$M$3000))</f>
        <v>0</v>
      </c>
      <c r="AB350" s="30">
        <f t="shared" si="35"/>
        <v>0</v>
      </c>
      <c r="AC350" s="27"/>
      <c r="AD350" s="27"/>
      <c r="AE350" s="27"/>
      <c r="AF350" s="27"/>
    </row>
    <row r="351" spans="1:32" hidden="1" x14ac:dyDescent="0.25">
      <c r="A351" t="s">
        <v>3094</v>
      </c>
      <c r="B351" t="str">
        <f t="shared" si="33"/>
        <v>No Change</v>
      </c>
      <c r="C351" s="22" t="s">
        <v>1991</v>
      </c>
      <c r="D351" t="s">
        <v>3637</v>
      </c>
      <c r="E351">
        <v>68427709</v>
      </c>
      <c r="F351" s="91" t="s">
        <v>59</v>
      </c>
      <c r="G351" t="s">
        <v>60</v>
      </c>
      <c r="H351" s="92" t="s">
        <v>46</v>
      </c>
      <c r="J351" t="s">
        <v>3638</v>
      </c>
      <c r="K351" s="22">
        <v>209478</v>
      </c>
      <c r="L351" s="22" t="s">
        <v>3283</v>
      </c>
      <c r="M351" s="20">
        <v>5400917805</v>
      </c>
      <c r="N351" s="20">
        <v>40</v>
      </c>
      <c r="O351" s="22" t="s">
        <v>2870</v>
      </c>
      <c r="P351" s="22" t="s">
        <v>1984</v>
      </c>
      <c r="Q351" t="s">
        <v>3114</v>
      </c>
      <c r="R351" t="s">
        <v>3284</v>
      </c>
      <c r="S351" s="7">
        <v>160000</v>
      </c>
      <c r="T351" s="7">
        <v>160000</v>
      </c>
      <c r="U351" s="7">
        <v>160000</v>
      </c>
      <c r="V351" s="7"/>
      <c r="W351" s="7"/>
      <c r="X351" s="7">
        <f t="shared" si="34"/>
        <v>0</v>
      </c>
      <c r="Y351" s="5">
        <f t="shared" si="37"/>
        <v>0</v>
      </c>
      <c r="Z351" s="21"/>
      <c r="AA351" s="29">
        <f>SUMPRODUCT((BIdetails!$J$5:$J$3000=M351)*(BIdetails!$K$5:$K$3000=N351)*(BIdetails!$M$5:$M$3000))</f>
        <v>0</v>
      </c>
      <c r="AB351" s="30">
        <f t="shared" si="35"/>
        <v>0</v>
      </c>
      <c r="AC351" s="27"/>
      <c r="AD351" s="27"/>
      <c r="AE351" s="27"/>
      <c r="AF351" s="27"/>
    </row>
    <row r="352" spans="1:32" hidden="1" x14ac:dyDescent="0.25">
      <c r="A352" t="s">
        <v>3094</v>
      </c>
      <c r="B352" t="str">
        <f t="shared" si="33"/>
        <v>No Change</v>
      </c>
      <c r="C352" t="s">
        <v>3639</v>
      </c>
      <c r="D352" t="s">
        <v>3640</v>
      </c>
      <c r="E352">
        <v>68427709</v>
      </c>
      <c r="F352" s="283" t="s">
        <v>22</v>
      </c>
      <c r="G352" s="161" t="s">
        <v>100</v>
      </c>
      <c r="H352" s="161" t="s">
        <v>24</v>
      </c>
      <c r="J352" t="s">
        <v>3641</v>
      </c>
      <c r="K352">
        <v>165943</v>
      </c>
      <c r="L352" t="s">
        <v>205</v>
      </c>
      <c r="M352" s="20">
        <v>5401091693</v>
      </c>
      <c r="N352" s="20">
        <v>10</v>
      </c>
      <c r="O352" t="s">
        <v>2410</v>
      </c>
      <c r="P352" s="22" t="s">
        <v>2410</v>
      </c>
      <c r="Q352" t="s">
        <v>3114</v>
      </c>
      <c r="R352" t="s">
        <v>3133</v>
      </c>
      <c r="S352" s="7">
        <v>20000</v>
      </c>
      <c r="T352" s="7">
        <v>20000</v>
      </c>
      <c r="U352" s="7">
        <v>20000</v>
      </c>
      <c r="V352" s="7"/>
      <c r="W352" s="7"/>
      <c r="X352" s="7">
        <f t="shared" si="34"/>
        <v>0</v>
      </c>
      <c r="Y352" s="5">
        <f t="shared" si="37"/>
        <v>0</v>
      </c>
      <c r="Z352" s="35"/>
      <c r="AA352" s="29">
        <f>SUMPRODUCT((BIdetails!$J$5:$J$3000=M352)*(BIdetails!$K$5:$K$3000=N352)*(BIdetails!$M$5:$M$3000))</f>
        <v>0</v>
      </c>
      <c r="AB352" s="30">
        <f t="shared" si="35"/>
        <v>0</v>
      </c>
      <c r="AC352" s="27"/>
      <c r="AD352" s="27"/>
      <c r="AE352" s="27"/>
      <c r="AF352" s="27"/>
    </row>
    <row r="353" spans="1:32" hidden="1" x14ac:dyDescent="0.25">
      <c r="A353" t="s">
        <v>3094</v>
      </c>
      <c r="B353" t="str">
        <f t="shared" si="33"/>
        <v>No Change</v>
      </c>
      <c r="C353" s="22" t="s">
        <v>3642</v>
      </c>
      <c r="D353" t="s">
        <v>3643</v>
      </c>
      <c r="E353">
        <v>68427709</v>
      </c>
      <c r="F353" s="91" t="s">
        <v>44</v>
      </c>
      <c r="G353" s="92" t="s">
        <v>75</v>
      </c>
      <c r="H353" s="92" t="s">
        <v>46</v>
      </c>
      <c r="J353" t="s">
        <v>3644</v>
      </c>
      <c r="K353">
        <v>187516</v>
      </c>
      <c r="L353" s="92" t="s">
        <v>3117</v>
      </c>
      <c r="M353" s="20">
        <v>5401037899</v>
      </c>
      <c r="N353" s="20">
        <v>10</v>
      </c>
      <c r="O353" s="22" t="s">
        <v>2870</v>
      </c>
      <c r="P353" s="22" t="s">
        <v>2870</v>
      </c>
      <c r="Q353" t="s">
        <v>3114</v>
      </c>
      <c r="R353" t="s">
        <v>3098</v>
      </c>
      <c r="S353" s="7">
        <v>25000</v>
      </c>
      <c r="T353" s="7">
        <v>25000</v>
      </c>
      <c r="U353" s="7">
        <v>25000</v>
      </c>
      <c r="V353" s="7"/>
      <c r="W353" s="7"/>
      <c r="X353" s="7">
        <f t="shared" si="34"/>
        <v>0</v>
      </c>
      <c r="Y353" s="5">
        <f t="shared" si="37"/>
        <v>0</v>
      </c>
      <c r="Z353" s="21"/>
      <c r="AA353" s="29">
        <f>SUMPRODUCT((BIdetails!$J$5:$J$3000=M353)*(BIdetails!$K$5:$K$3000=N353)*(BIdetails!$M$5:$M$3000))</f>
        <v>0</v>
      </c>
      <c r="AB353" s="30">
        <f t="shared" si="35"/>
        <v>0</v>
      </c>
      <c r="AC353" s="27" t="s">
        <v>3099</v>
      </c>
      <c r="AD353" s="27" t="s">
        <v>3100</v>
      </c>
      <c r="AE353" s="27" t="s">
        <v>3163</v>
      </c>
      <c r="AF353" s="27"/>
    </row>
    <row r="354" spans="1:32" hidden="1" x14ac:dyDescent="0.25">
      <c r="A354" t="s">
        <v>3094</v>
      </c>
      <c r="B354" t="str">
        <f t="shared" si="33"/>
        <v>No Change</v>
      </c>
      <c r="C354" t="s">
        <v>3645</v>
      </c>
      <c r="D354" t="s">
        <v>3646</v>
      </c>
      <c r="E354">
        <v>68427709</v>
      </c>
      <c r="F354" s="91" t="s">
        <v>59</v>
      </c>
      <c r="G354" t="s">
        <v>60</v>
      </c>
      <c r="H354" t="s">
        <v>46</v>
      </c>
      <c r="J354" t="s">
        <v>3647</v>
      </c>
      <c r="K354">
        <v>209546</v>
      </c>
      <c r="L354" t="s">
        <v>263</v>
      </c>
      <c r="M354">
        <v>5401099785</v>
      </c>
      <c r="N354" s="20">
        <v>10</v>
      </c>
      <c r="O354" t="s">
        <v>2870</v>
      </c>
      <c r="P354" s="22" t="s">
        <v>2731</v>
      </c>
      <c r="Q354" s="22" t="s">
        <v>3104</v>
      </c>
      <c r="R354" t="s">
        <v>3333</v>
      </c>
      <c r="S354" s="7">
        <v>10000</v>
      </c>
      <c r="T354" s="7">
        <v>10000</v>
      </c>
      <c r="U354" s="7">
        <v>10000</v>
      </c>
      <c r="V354" s="7"/>
      <c r="W354" s="7"/>
      <c r="X354" s="7">
        <f t="shared" si="34"/>
        <v>0</v>
      </c>
      <c r="Y354" s="5">
        <f t="shared" si="37"/>
        <v>0</v>
      </c>
      <c r="Z354" s="35"/>
      <c r="AA354" s="29">
        <f>SUMPRODUCT((BIdetails!$J$5:$J$3000=M354)*(BIdetails!$K$5:$K$3000=N354)*(BIdetails!$M$5:$M$3000))</f>
        <v>0</v>
      </c>
      <c r="AB354" s="30">
        <f t="shared" si="35"/>
        <v>0</v>
      </c>
      <c r="AC354" s="27" t="s">
        <v>3099</v>
      </c>
      <c r="AD354" s="27" t="s">
        <v>3100</v>
      </c>
      <c r="AE354" s="27" t="s">
        <v>3101</v>
      </c>
      <c r="AF354" s="27"/>
    </row>
    <row r="355" spans="1:32" hidden="1" x14ac:dyDescent="0.25">
      <c r="A355" t="s">
        <v>3094</v>
      </c>
      <c r="B355" t="str">
        <f t="shared" si="33"/>
        <v>New</v>
      </c>
      <c r="C355" s="22" t="s">
        <v>2818</v>
      </c>
      <c r="D355" t="s">
        <v>3648</v>
      </c>
      <c r="E355">
        <v>68427709</v>
      </c>
      <c r="F355" s="91" t="s">
        <v>59</v>
      </c>
      <c r="G355" t="s">
        <v>60</v>
      </c>
      <c r="H355" t="s">
        <v>46</v>
      </c>
      <c r="J355" t="s">
        <v>3649</v>
      </c>
      <c r="K355" s="22">
        <v>3000477</v>
      </c>
      <c r="L355" s="22" t="s">
        <v>285</v>
      </c>
      <c r="M355" s="203">
        <v>5401039684</v>
      </c>
      <c r="N355" s="20">
        <v>20</v>
      </c>
      <c r="O355" s="92" t="s">
        <v>2870</v>
      </c>
      <c r="P355" s="22" t="s">
        <v>2500</v>
      </c>
      <c r="Q355" t="s">
        <v>3114</v>
      </c>
      <c r="R355" s="22" t="s">
        <v>3175</v>
      </c>
      <c r="S355" s="7"/>
      <c r="T355" s="7"/>
      <c r="U355" s="7">
        <v>300000</v>
      </c>
      <c r="V355" s="7"/>
      <c r="W355" s="7"/>
      <c r="X355" s="7">
        <f t="shared" si="34"/>
        <v>300000</v>
      </c>
      <c r="Y355" s="5">
        <f t="shared" si="37"/>
        <v>1</v>
      </c>
      <c r="Z355" s="21"/>
      <c r="AA355" s="29">
        <f>SUMPRODUCT((BIdetails!$J$5:$J$3000=M355)*(BIdetails!$K$5:$K$3000=N355)*(BIdetails!$M$5:$M$3000))</f>
        <v>0</v>
      </c>
      <c r="AB355" s="30">
        <f t="shared" si="35"/>
        <v>0</v>
      </c>
      <c r="AC355" s="27"/>
      <c r="AD355" s="27"/>
      <c r="AE355" s="27"/>
      <c r="AF355" s="27"/>
    </row>
    <row r="356" spans="1:32" hidden="1" x14ac:dyDescent="0.25">
      <c r="A356" t="s">
        <v>3094</v>
      </c>
      <c r="B356" t="str">
        <f t="shared" si="33"/>
        <v>No Change</v>
      </c>
      <c r="C356" s="22" t="s">
        <v>3065</v>
      </c>
      <c r="E356">
        <v>68427709</v>
      </c>
      <c r="F356" s="91" t="s">
        <v>44</v>
      </c>
      <c r="G356" s="92" t="s">
        <v>75</v>
      </c>
      <c r="H356" s="92" t="s">
        <v>46</v>
      </c>
      <c r="I356" t="s">
        <v>3096</v>
      </c>
      <c r="J356" t="s">
        <v>3128</v>
      </c>
      <c r="K356">
        <v>187516</v>
      </c>
      <c r="L356" s="92" t="s">
        <v>3117</v>
      </c>
      <c r="O356" s="22" t="s">
        <v>2870</v>
      </c>
      <c r="P356" s="22" t="s">
        <v>3015</v>
      </c>
      <c r="Q356" t="s">
        <v>3104</v>
      </c>
      <c r="R356" t="s">
        <v>3098</v>
      </c>
      <c r="S356" s="7">
        <v>110000</v>
      </c>
      <c r="T356" s="7">
        <v>110000</v>
      </c>
      <c r="U356" s="7">
        <v>110000</v>
      </c>
      <c r="V356" s="7"/>
      <c r="W356" s="7"/>
      <c r="X356" s="7">
        <f t="shared" si="34"/>
        <v>0</v>
      </c>
      <c r="Y356" s="5">
        <f t="shared" si="37"/>
        <v>0</v>
      </c>
      <c r="Z356" s="21"/>
      <c r="AA356" s="29">
        <f>SUMPRODUCT((BIdetails!$J$5:$J$3000=M356)*(BIdetails!$K$5:$K$3000=N356)*(BIdetails!$M$5:$M$3000))</f>
        <v>0</v>
      </c>
      <c r="AB356" s="30">
        <f t="shared" si="35"/>
        <v>0</v>
      </c>
      <c r="AC356" s="27" t="s">
        <v>845</v>
      </c>
      <c r="AD356" s="27" t="s">
        <v>3100</v>
      </c>
      <c r="AE356" s="27" t="s">
        <v>3163</v>
      </c>
      <c r="AF356" s="27"/>
    </row>
    <row r="357" spans="1:32" hidden="1" x14ac:dyDescent="0.25">
      <c r="A357" t="s">
        <v>3094</v>
      </c>
      <c r="B357" t="str">
        <f t="shared" si="33"/>
        <v>No Change</v>
      </c>
      <c r="C357" s="92" t="s">
        <v>3067</v>
      </c>
      <c r="D357" t="s">
        <v>3176</v>
      </c>
      <c r="E357">
        <v>68427709</v>
      </c>
      <c r="F357" s="91" t="s">
        <v>31</v>
      </c>
      <c r="G357" t="s">
        <v>32</v>
      </c>
      <c r="H357" s="92" t="s">
        <v>33</v>
      </c>
      <c r="I357" t="s">
        <v>3096</v>
      </c>
      <c r="J357" t="s">
        <v>3152</v>
      </c>
      <c r="K357" s="92">
        <v>120252</v>
      </c>
      <c r="L357" s="92" t="s">
        <v>3179</v>
      </c>
      <c r="M357" s="20">
        <v>5401087887</v>
      </c>
      <c r="N357" s="20">
        <v>10</v>
      </c>
      <c r="O357" s="22" t="s">
        <v>2870</v>
      </c>
      <c r="P357" s="22" t="s">
        <v>3015</v>
      </c>
      <c r="Q357" t="s">
        <v>3104</v>
      </c>
      <c r="R357" s="92" t="s">
        <v>3098</v>
      </c>
      <c r="S357" s="7">
        <v>100000</v>
      </c>
      <c r="T357" s="7">
        <v>100000</v>
      </c>
      <c r="U357" s="7">
        <v>100000</v>
      </c>
      <c r="V357" s="7"/>
      <c r="W357" s="7"/>
      <c r="X357" s="7">
        <f t="shared" si="34"/>
        <v>0</v>
      </c>
      <c r="Y357" s="5">
        <f t="shared" si="37"/>
        <v>0</v>
      </c>
      <c r="Z357" s="21"/>
      <c r="AA357" s="29">
        <f>SUMPRODUCT((BIdetails!$J$5:$J$3000=M357)*(BIdetails!$K$5:$K$3000=N357)*(BIdetails!$M$5:$M$3000))</f>
        <v>0</v>
      </c>
      <c r="AB357" s="30">
        <f t="shared" si="35"/>
        <v>0</v>
      </c>
      <c r="AC357" s="27"/>
      <c r="AD357" s="27"/>
      <c r="AE357" s="27"/>
      <c r="AF357" s="27"/>
    </row>
    <row r="358" spans="1:32" hidden="1" x14ac:dyDescent="0.25">
      <c r="A358" t="s">
        <v>3094</v>
      </c>
      <c r="B358" t="str">
        <f t="shared" si="33"/>
        <v>No Change</v>
      </c>
      <c r="C358" s="22" t="s">
        <v>3650</v>
      </c>
      <c r="D358" t="s">
        <v>3651</v>
      </c>
      <c r="E358">
        <v>68427709</v>
      </c>
      <c r="F358" s="97" t="s">
        <v>57</v>
      </c>
      <c r="G358" s="22" t="s">
        <v>58</v>
      </c>
      <c r="H358" s="22" t="s">
        <v>46</v>
      </c>
      <c r="J358" t="s">
        <v>3652</v>
      </c>
      <c r="K358" s="22">
        <v>166350</v>
      </c>
      <c r="L358" s="22" t="s">
        <v>3653</v>
      </c>
      <c r="M358" s="24">
        <v>5401072993</v>
      </c>
      <c r="N358" s="24">
        <v>10</v>
      </c>
      <c r="O358" s="22" t="s">
        <v>2870</v>
      </c>
      <c r="P358" s="22" t="s">
        <v>2731</v>
      </c>
      <c r="Q358" s="22" t="s">
        <v>3104</v>
      </c>
      <c r="R358" s="92" t="s">
        <v>3098</v>
      </c>
      <c r="S358" s="7">
        <v>175000</v>
      </c>
      <c r="T358" s="7">
        <v>175000</v>
      </c>
      <c r="U358" s="7">
        <v>175000</v>
      </c>
      <c r="V358" s="7"/>
      <c r="W358" s="7"/>
      <c r="X358" s="7">
        <f t="shared" si="34"/>
        <v>0</v>
      </c>
      <c r="Y358" s="5">
        <f t="shared" si="37"/>
        <v>0</v>
      </c>
      <c r="Z358" s="35"/>
      <c r="AA358" s="29">
        <f>SUMPRODUCT((BIdetails!$J$5:$J$3000=M358)*(BIdetails!$K$5:$K$3000=N358)*(BIdetails!$M$5:$M$3000))</f>
        <v>0</v>
      </c>
      <c r="AB358" s="30">
        <f t="shared" si="35"/>
        <v>0</v>
      </c>
      <c r="AC358" s="27" t="s">
        <v>845</v>
      </c>
      <c r="AD358" s="27" t="s">
        <v>3100</v>
      </c>
      <c r="AE358" s="27"/>
      <c r="AF358" s="27"/>
    </row>
    <row r="359" spans="1:32" hidden="1" x14ac:dyDescent="0.25">
      <c r="A359" t="s">
        <v>3094</v>
      </c>
      <c r="B359" t="str">
        <f t="shared" si="33"/>
        <v>Decrease</v>
      </c>
      <c r="C359" s="22" t="s">
        <v>815</v>
      </c>
      <c r="D359" t="s">
        <v>3654</v>
      </c>
      <c r="E359">
        <v>68427709</v>
      </c>
      <c r="F359" s="91" t="s">
        <v>59</v>
      </c>
      <c r="G359" t="s">
        <v>60</v>
      </c>
      <c r="H359" t="s">
        <v>46</v>
      </c>
      <c r="J359" t="s">
        <v>3655</v>
      </c>
      <c r="K359" s="145">
        <v>197617</v>
      </c>
      <c r="L359" s="22" t="s">
        <v>3656</v>
      </c>
      <c r="M359" s="20">
        <v>5401050600</v>
      </c>
      <c r="N359" s="20">
        <v>10</v>
      </c>
      <c r="O359" s="22" t="s">
        <v>2870</v>
      </c>
      <c r="P359" s="22" t="s">
        <v>3183</v>
      </c>
      <c r="Q359" t="s">
        <v>3170</v>
      </c>
      <c r="R359" t="s">
        <v>3120</v>
      </c>
      <c r="S359" s="7">
        <v>55000</v>
      </c>
      <c r="T359" s="7">
        <v>67000</v>
      </c>
      <c r="U359" s="7">
        <v>66000</v>
      </c>
      <c r="V359" s="7"/>
      <c r="W359" s="7"/>
      <c r="X359" s="7">
        <f t="shared" si="34"/>
        <v>-1000</v>
      </c>
      <c r="Y359" s="5">
        <f t="shared" si="37"/>
        <v>-1.4925373134328358E-2</v>
      </c>
      <c r="Z359" s="35"/>
      <c r="AA359" s="29">
        <f>SUMPRODUCT((BIdetails!$J$5:$J$3000=M359)*(BIdetails!$K$5:$K$3000=N359)*(BIdetails!$M$5:$M$3000))</f>
        <v>0</v>
      </c>
      <c r="AB359" s="30">
        <f t="shared" si="35"/>
        <v>0</v>
      </c>
      <c r="AC359" s="27"/>
      <c r="AD359" s="27"/>
      <c r="AE359" s="27"/>
      <c r="AF359" s="27"/>
    </row>
    <row r="360" spans="1:32" hidden="1" x14ac:dyDescent="0.25">
      <c r="A360" t="s">
        <v>3094</v>
      </c>
      <c r="B360" t="str">
        <f t="shared" si="33"/>
        <v>Increase</v>
      </c>
      <c r="C360" t="s">
        <v>3657</v>
      </c>
      <c r="D360" t="s">
        <v>3658</v>
      </c>
      <c r="E360">
        <v>68427709</v>
      </c>
      <c r="F360" s="91" t="s">
        <v>59</v>
      </c>
      <c r="G360" t="s">
        <v>60</v>
      </c>
      <c r="H360" t="s">
        <v>46</v>
      </c>
      <c r="J360" t="s">
        <v>3659</v>
      </c>
      <c r="K360">
        <v>117570</v>
      </c>
      <c r="L360" t="s">
        <v>633</v>
      </c>
      <c r="M360" s="20">
        <v>5401106550</v>
      </c>
      <c r="N360" s="20">
        <v>10</v>
      </c>
      <c r="O360" t="s">
        <v>2870</v>
      </c>
      <c r="P360" s="22" t="s">
        <v>2870</v>
      </c>
      <c r="Q360" s="22" t="s">
        <v>3114</v>
      </c>
      <c r="R360" t="s">
        <v>3136</v>
      </c>
      <c r="S360" s="7">
        <v>462000</v>
      </c>
      <c r="T360" s="7">
        <v>562000</v>
      </c>
      <c r="U360" s="7">
        <v>606000</v>
      </c>
      <c r="V360" s="7"/>
      <c r="W360" s="7"/>
      <c r="X360" s="7">
        <f t="shared" si="34"/>
        <v>44000</v>
      </c>
      <c r="Y360" s="5">
        <f t="shared" si="37"/>
        <v>7.8291814946619215E-2</v>
      </c>
      <c r="Z360" s="35"/>
      <c r="AA360" s="29">
        <f>SUMPRODUCT((BIdetails!$J$5:$J$3000=M360)*(BIdetails!$K$5:$K$3000=N360)*(BIdetails!$M$5:$M$3000))</f>
        <v>0</v>
      </c>
      <c r="AB360" s="30">
        <f t="shared" si="35"/>
        <v>0</v>
      </c>
      <c r="AC360" s="27"/>
      <c r="AD360" s="27"/>
      <c r="AE360" s="27"/>
      <c r="AF360" s="27"/>
    </row>
    <row r="361" spans="1:32" hidden="1" x14ac:dyDescent="0.25">
      <c r="A361" t="s">
        <v>3094</v>
      </c>
      <c r="B361" t="str">
        <f t="shared" si="33"/>
        <v>No Change</v>
      </c>
      <c r="C361" t="s">
        <v>3660</v>
      </c>
      <c r="D361" t="s">
        <v>3151</v>
      </c>
      <c r="E361">
        <v>68427709</v>
      </c>
      <c r="F361" s="91" t="s">
        <v>44</v>
      </c>
      <c r="G361" t="s">
        <v>75</v>
      </c>
      <c r="H361" t="s">
        <v>46</v>
      </c>
      <c r="J361" t="s">
        <v>3659</v>
      </c>
      <c r="K361">
        <v>187516</v>
      </c>
      <c r="L361" s="92" t="s">
        <v>3117</v>
      </c>
      <c r="M361" s="25">
        <v>5401088459</v>
      </c>
      <c r="O361" s="22" t="s">
        <v>2870</v>
      </c>
      <c r="P361" s="22" t="s">
        <v>3026</v>
      </c>
      <c r="Q361" s="201" t="s">
        <v>3114</v>
      </c>
      <c r="R361" t="s">
        <v>3098</v>
      </c>
      <c r="S361" s="7">
        <v>100000</v>
      </c>
      <c r="T361" s="7">
        <v>140000</v>
      </c>
      <c r="U361" s="7">
        <v>140000</v>
      </c>
      <c r="V361" s="7"/>
      <c r="W361" s="7"/>
      <c r="X361" s="7">
        <f t="shared" si="34"/>
        <v>0</v>
      </c>
      <c r="Y361" s="5">
        <f t="shared" si="37"/>
        <v>0</v>
      </c>
      <c r="Z361" s="35"/>
      <c r="AA361" s="29">
        <f>SUMPRODUCT((BIdetails!$J$5:$J$3000=M361)*(BIdetails!$K$5:$K$3000=N361)*(BIdetails!$M$5:$M$3000))</f>
        <v>0</v>
      </c>
      <c r="AB361" s="30">
        <f t="shared" si="35"/>
        <v>0</v>
      </c>
      <c r="AC361" s="27" t="s">
        <v>3099</v>
      </c>
      <c r="AD361" s="27" t="s">
        <v>3100</v>
      </c>
      <c r="AE361" s="27" t="s">
        <v>3163</v>
      </c>
      <c r="AF361" s="27"/>
    </row>
    <row r="362" spans="1:32" hidden="1" x14ac:dyDescent="0.25">
      <c r="A362" t="s">
        <v>3094</v>
      </c>
      <c r="B362" t="str">
        <f t="shared" si="33"/>
        <v>No Change</v>
      </c>
      <c r="C362" s="22" t="s">
        <v>2469</v>
      </c>
      <c r="D362" t="s">
        <v>3661</v>
      </c>
      <c r="E362">
        <v>68427709</v>
      </c>
      <c r="F362" s="91" t="s">
        <v>59</v>
      </c>
      <c r="G362" s="22" t="s">
        <v>60</v>
      </c>
      <c r="H362" s="22" t="s">
        <v>46</v>
      </c>
      <c r="J362" t="s">
        <v>3662</v>
      </c>
      <c r="K362" s="22">
        <v>127376</v>
      </c>
      <c r="L362" s="22" t="s">
        <v>3663</v>
      </c>
      <c r="M362" s="24">
        <v>5401085090</v>
      </c>
      <c r="N362" s="24">
        <v>10</v>
      </c>
      <c r="O362" s="22" t="s">
        <v>2870</v>
      </c>
      <c r="P362" s="22" t="s">
        <v>1479</v>
      </c>
      <c r="Q362" s="22" t="s">
        <v>3104</v>
      </c>
      <c r="R362" s="22" t="s">
        <v>3125</v>
      </c>
      <c r="S362" s="7">
        <v>126000</v>
      </c>
      <c r="T362" s="7">
        <v>126000</v>
      </c>
      <c r="U362" s="7">
        <v>126000</v>
      </c>
      <c r="V362" s="7"/>
      <c r="W362" s="7"/>
      <c r="X362" s="7">
        <f t="shared" si="34"/>
        <v>0</v>
      </c>
      <c r="Y362" s="5">
        <f t="shared" si="37"/>
        <v>0</v>
      </c>
      <c r="Z362" s="35"/>
      <c r="AA362" s="29">
        <f>SUMPRODUCT((BIdetails!$J$5:$J$3000=M362)*(BIdetails!$K$5:$K$3000=N362)*(BIdetails!$M$5:$M$3000))</f>
        <v>0</v>
      </c>
      <c r="AB362" s="30">
        <f t="shared" si="35"/>
        <v>0</v>
      </c>
      <c r="AC362" s="27"/>
      <c r="AD362" s="27"/>
      <c r="AE362" s="27"/>
      <c r="AF362" s="27"/>
    </row>
    <row r="363" spans="1:32" hidden="1" x14ac:dyDescent="0.25">
      <c r="A363" t="s">
        <v>3094</v>
      </c>
      <c r="B363" t="str">
        <f t="shared" si="33"/>
        <v>No Change</v>
      </c>
      <c r="C363" s="22" t="s">
        <v>3664</v>
      </c>
      <c r="D363" t="s">
        <v>3661</v>
      </c>
      <c r="E363">
        <v>68427709</v>
      </c>
      <c r="F363" s="91" t="s">
        <v>59</v>
      </c>
      <c r="G363" s="22" t="s">
        <v>60</v>
      </c>
      <c r="H363" s="22" t="s">
        <v>46</v>
      </c>
      <c r="J363" t="s">
        <v>3662</v>
      </c>
      <c r="K363" s="22">
        <v>127376</v>
      </c>
      <c r="L363" s="22" t="s">
        <v>3663</v>
      </c>
      <c r="M363" s="24">
        <v>5401085090</v>
      </c>
      <c r="N363" s="24">
        <v>10</v>
      </c>
      <c r="O363" s="22" t="s">
        <v>2870</v>
      </c>
      <c r="P363" s="22" t="s">
        <v>1479</v>
      </c>
      <c r="Q363" s="22" t="s">
        <v>3104</v>
      </c>
      <c r="R363" s="22" t="s">
        <v>3230</v>
      </c>
      <c r="S363" s="7">
        <v>36000</v>
      </c>
      <c r="T363" s="7">
        <v>36000</v>
      </c>
      <c r="U363" s="7">
        <v>36000</v>
      </c>
      <c r="V363" s="7"/>
      <c r="W363" s="7"/>
      <c r="X363" s="7">
        <f t="shared" si="34"/>
        <v>0</v>
      </c>
      <c r="Y363" s="5">
        <f t="shared" si="37"/>
        <v>0</v>
      </c>
      <c r="Z363" s="35"/>
      <c r="AA363" s="29">
        <f>SUMPRODUCT((BIdetails!$J$5:$J$3000=M363)*(BIdetails!$K$5:$K$3000=N363)*(BIdetails!$M$5:$M$3000))</f>
        <v>0</v>
      </c>
      <c r="AB363" s="30">
        <f t="shared" si="35"/>
        <v>0</v>
      </c>
      <c r="AC363" s="27" t="s">
        <v>3172</v>
      </c>
      <c r="AD363" s="27" t="s">
        <v>3100</v>
      </c>
      <c r="AE363" s="27" t="s">
        <v>3118</v>
      </c>
      <c r="AF363" s="27"/>
    </row>
    <row r="364" spans="1:32" hidden="1" x14ac:dyDescent="0.25">
      <c r="A364" t="s">
        <v>3106</v>
      </c>
      <c r="B364" t="str">
        <f t="shared" si="33"/>
        <v>No Change</v>
      </c>
      <c r="C364" t="s">
        <v>3665</v>
      </c>
      <c r="D364" t="s">
        <v>3666</v>
      </c>
      <c r="E364">
        <v>68427709</v>
      </c>
      <c r="F364" s="91" t="s">
        <v>54</v>
      </c>
      <c r="G364" t="s">
        <v>55</v>
      </c>
      <c r="H364" s="92" t="s">
        <v>46</v>
      </c>
      <c r="J364" t="s">
        <v>3264</v>
      </c>
      <c r="K364" s="147">
        <v>198740</v>
      </c>
      <c r="L364" s="92" t="s">
        <v>3667</v>
      </c>
      <c r="M364" s="93"/>
      <c r="N364" s="93"/>
      <c r="O364" t="s">
        <v>2870</v>
      </c>
      <c r="P364" t="s">
        <v>2781</v>
      </c>
      <c r="Q364" t="s">
        <v>3114</v>
      </c>
      <c r="R364" s="92" t="s">
        <v>3136</v>
      </c>
      <c r="S364" s="7">
        <v>28000</v>
      </c>
      <c r="T364" s="7">
        <v>0</v>
      </c>
      <c r="U364" s="7">
        <v>0</v>
      </c>
      <c r="V364" s="7"/>
      <c r="W364" s="7"/>
      <c r="X364" s="7">
        <f t="shared" si="34"/>
        <v>0</v>
      </c>
      <c r="Y364" s="5">
        <f t="shared" si="37"/>
        <v>0</v>
      </c>
      <c r="Z364" s="35"/>
      <c r="AA364" s="29">
        <f>SUMPRODUCT((BIdetails!$J$5:$J$3000=M364)*(BIdetails!$K$5:$K$3000=N364)*(BIdetails!$M$5:$M$3000))</f>
        <v>0</v>
      </c>
      <c r="AB364" s="30" t="str">
        <f t="shared" si="35"/>
        <v/>
      </c>
      <c r="AC364" s="27" t="s">
        <v>3099</v>
      </c>
      <c r="AD364" s="27" t="s">
        <v>3100</v>
      </c>
      <c r="AE364" s="27" t="s">
        <v>3101</v>
      </c>
      <c r="AF364" s="27"/>
    </row>
    <row r="365" spans="1:32" x14ac:dyDescent="0.25">
      <c r="A365" t="s">
        <v>3094</v>
      </c>
      <c r="B365" t="str">
        <f t="shared" si="33"/>
        <v>No Change</v>
      </c>
      <c r="C365" s="309" t="s">
        <v>1964</v>
      </c>
      <c r="D365" t="s">
        <v>3668</v>
      </c>
      <c r="E365">
        <v>68427709</v>
      </c>
      <c r="F365" s="91" t="s">
        <v>40</v>
      </c>
      <c r="G365" t="s">
        <v>42</v>
      </c>
      <c r="H365" t="s">
        <v>42</v>
      </c>
      <c r="J365" t="s">
        <v>3669</v>
      </c>
      <c r="K365" s="22">
        <v>152539</v>
      </c>
      <c r="L365" s="22" t="s">
        <v>125</v>
      </c>
      <c r="M365" s="20">
        <v>5401103113</v>
      </c>
      <c r="N365" s="20">
        <v>30</v>
      </c>
      <c r="O365" t="s">
        <v>2843</v>
      </c>
      <c r="P365" t="s">
        <v>2843</v>
      </c>
      <c r="Q365" t="s">
        <v>3114</v>
      </c>
      <c r="R365" t="s">
        <v>42</v>
      </c>
      <c r="S365" s="7">
        <v>45000</v>
      </c>
      <c r="T365" s="7">
        <v>45000</v>
      </c>
      <c r="U365" s="7">
        <v>45000</v>
      </c>
      <c r="V365" s="7"/>
      <c r="W365" s="304">
        <v>20832</v>
      </c>
      <c r="X365" s="7">
        <f t="shared" ref="X365" si="39">W365-U365</f>
        <v>-24168</v>
      </c>
      <c r="Y365" s="5">
        <f t="shared" si="37"/>
        <v>-0.53706666666666669</v>
      </c>
      <c r="Z365" s="35"/>
      <c r="AA365" s="29">
        <f>SUMPRODUCT((BIdetails!$J$5:$J$3000=M365)*(BIdetails!$K$5:$K$3000=N365)*(BIdetails!$M$5:$M$3000))</f>
        <v>0</v>
      </c>
      <c r="AB365" s="30">
        <f t="shared" si="35"/>
        <v>0</v>
      </c>
      <c r="AC365" s="27" t="s">
        <v>845</v>
      </c>
      <c r="AD365" s="27" t="s">
        <v>3100</v>
      </c>
      <c r="AE365" s="27" t="s">
        <v>3118</v>
      </c>
      <c r="AF365" s="27"/>
    </row>
    <row r="366" spans="1:32" hidden="1" x14ac:dyDescent="0.25">
      <c r="A366" t="s">
        <v>3094</v>
      </c>
      <c r="B366" t="str">
        <f t="shared" si="33"/>
        <v>No Change</v>
      </c>
      <c r="C366" s="22" t="s">
        <v>2470</v>
      </c>
      <c r="D366" t="s">
        <v>3670</v>
      </c>
      <c r="E366">
        <v>68427709</v>
      </c>
      <c r="F366" s="96" t="s">
        <v>54</v>
      </c>
      <c r="G366" s="92" t="s">
        <v>55</v>
      </c>
      <c r="H366" s="22" t="s">
        <v>46</v>
      </c>
      <c r="J366" t="s">
        <v>3492</v>
      </c>
      <c r="K366" s="145">
        <v>192202</v>
      </c>
      <c r="L366" s="22" t="s">
        <v>159</v>
      </c>
      <c r="M366" s="203">
        <v>5401107545</v>
      </c>
      <c r="N366" s="20">
        <v>10</v>
      </c>
      <c r="O366" s="22" t="s">
        <v>2870</v>
      </c>
      <c r="P366" s="22" t="s">
        <v>3183</v>
      </c>
      <c r="Q366" t="s">
        <v>3114</v>
      </c>
      <c r="R366" t="s">
        <v>3120</v>
      </c>
      <c r="S366" s="7">
        <v>155000</v>
      </c>
      <c r="T366" s="7">
        <v>165000</v>
      </c>
      <c r="U366" s="7">
        <v>165000</v>
      </c>
      <c r="V366" s="7"/>
      <c r="W366" s="7"/>
      <c r="X366" s="7">
        <f t="shared" si="34"/>
        <v>0</v>
      </c>
      <c r="Y366" s="5">
        <f t="shared" si="37"/>
        <v>0</v>
      </c>
      <c r="Z366" s="21"/>
      <c r="AA366" s="29">
        <f>SUMPRODUCT((BIdetails!$J$5:$J$3000=M366)*(BIdetails!$K$5:$K$3000=N366)*(BIdetails!$M$5:$M$3000))</f>
        <v>0</v>
      </c>
      <c r="AB366" s="30">
        <f t="shared" si="35"/>
        <v>0</v>
      </c>
      <c r="AC366" s="27" t="s">
        <v>3099</v>
      </c>
      <c r="AD366" s="27" t="s">
        <v>3108</v>
      </c>
      <c r="AE366" s="27" t="s">
        <v>3101</v>
      </c>
      <c r="AF366" s="27"/>
    </row>
    <row r="367" spans="1:32" hidden="1" x14ac:dyDescent="0.25">
      <c r="B367" t="str">
        <f t="shared" si="33"/>
        <v>Decrease</v>
      </c>
      <c r="C367" t="s">
        <v>2438</v>
      </c>
      <c r="D367" t="s">
        <v>3307</v>
      </c>
      <c r="E367">
        <v>68427709</v>
      </c>
      <c r="F367" s="91" t="s">
        <v>36</v>
      </c>
      <c r="G367" t="s">
        <v>37</v>
      </c>
      <c r="H367" t="s">
        <v>33</v>
      </c>
      <c r="I367" t="s">
        <v>2445</v>
      </c>
      <c r="J367" t="s">
        <v>3116</v>
      </c>
      <c r="K367">
        <v>187516</v>
      </c>
      <c r="L367" s="92" t="s">
        <v>3117</v>
      </c>
      <c r="O367" s="22" t="s">
        <v>2410</v>
      </c>
      <c r="P367" s="22" t="s">
        <v>2410</v>
      </c>
      <c r="Q367" t="s">
        <v>3114</v>
      </c>
      <c r="R367" t="s">
        <v>3133</v>
      </c>
      <c r="S367" s="7">
        <v>50000</v>
      </c>
      <c r="T367" s="7">
        <v>50000</v>
      </c>
      <c r="U367" s="7">
        <v>25000</v>
      </c>
      <c r="V367" s="7"/>
      <c r="W367" s="7"/>
      <c r="X367" s="7">
        <f t="shared" si="34"/>
        <v>-25000</v>
      </c>
      <c r="Y367" s="5">
        <f t="shared" si="37"/>
        <v>-0.5</v>
      </c>
      <c r="Z367" s="35"/>
      <c r="AA367" s="29">
        <f>SUMPRODUCT((BIdetails!$J$5:$J$3000=M367)*(BIdetails!$K$5:$K$3000=N367)*(BIdetails!$M$5:$M$3000))</f>
        <v>0</v>
      </c>
      <c r="AB367" s="30">
        <f t="shared" si="35"/>
        <v>0</v>
      </c>
      <c r="AC367" s="27" t="s">
        <v>845</v>
      </c>
      <c r="AD367" s="27" t="s">
        <v>3100</v>
      </c>
      <c r="AE367" s="27" t="s">
        <v>3118</v>
      </c>
      <c r="AF367" s="27"/>
    </row>
    <row r="368" spans="1:32" hidden="1" x14ac:dyDescent="0.25">
      <c r="A368" t="s">
        <v>3094</v>
      </c>
      <c r="B368" t="str">
        <f t="shared" si="33"/>
        <v>Decrease</v>
      </c>
      <c r="C368" t="s">
        <v>2927</v>
      </c>
      <c r="D368" t="s">
        <v>3307</v>
      </c>
      <c r="E368">
        <v>68427709</v>
      </c>
      <c r="F368" s="91" t="s">
        <v>38</v>
      </c>
      <c r="G368" t="s">
        <v>39</v>
      </c>
      <c r="H368" t="s">
        <v>33</v>
      </c>
      <c r="I368" t="s">
        <v>2445</v>
      </c>
      <c r="J368" t="s">
        <v>3116</v>
      </c>
      <c r="K368">
        <v>187516</v>
      </c>
      <c r="L368" s="92" t="s">
        <v>3117</v>
      </c>
      <c r="O368" s="22" t="s">
        <v>2410</v>
      </c>
      <c r="P368" s="22" t="s">
        <v>2410</v>
      </c>
      <c r="Q368" t="s">
        <v>3114</v>
      </c>
      <c r="R368" t="s">
        <v>3133</v>
      </c>
      <c r="S368" s="7">
        <v>28000</v>
      </c>
      <c r="T368" s="7">
        <v>50000</v>
      </c>
      <c r="U368" s="7">
        <v>25000</v>
      </c>
      <c r="V368" s="7"/>
      <c r="W368" s="7"/>
      <c r="X368" s="7">
        <f t="shared" si="34"/>
        <v>-25000</v>
      </c>
      <c r="Y368" s="5">
        <f t="shared" si="37"/>
        <v>-0.5</v>
      </c>
      <c r="Z368" s="287"/>
      <c r="AA368" s="29">
        <f>SUMPRODUCT((BIdetails!$J$5:$J$3000=M368)*(BIdetails!$K$5:$K$3000=N368)*(BIdetails!$M$5:$M$3000))</f>
        <v>0</v>
      </c>
      <c r="AB368" s="30">
        <f t="shared" si="35"/>
        <v>0</v>
      </c>
      <c r="AC368" s="27" t="s">
        <v>845</v>
      </c>
      <c r="AD368" s="27" t="s">
        <v>3100</v>
      </c>
      <c r="AE368" s="27" t="s">
        <v>3118</v>
      </c>
      <c r="AF368" s="27"/>
    </row>
    <row r="369" spans="1:32" hidden="1" x14ac:dyDescent="0.25">
      <c r="A369" t="s">
        <v>3094</v>
      </c>
      <c r="B369" t="str">
        <f t="shared" si="33"/>
        <v>Decrease</v>
      </c>
      <c r="C369" t="s">
        <v>2928</v>
      </c>
      <c r="D369" t="s">
        <v>3307</v>
      </c>
      <c r="E369">
        <v>68427709</v>
      </c>
      <c r="F369" s="91" t="s">
        <v>38</v>
      </c>
      <c r="G369" t="s">
        <v>39</v>
      </c>
      <c r="H369" t="s">
        <v>33</v>
      </c>
      <c r="I369" t="s">
        <v>2445</v>
      </c>
      <c r="J369" t="s">
        <v>3116</v>
      </c>
      <c r="K369">
        <v>187516</v>
      </c>
      <c r="L369" s="92" t="s">
        <v>3117</v>
      </c>
      <c r="O369" s="22" t="s">
        <v>2410</v>
      </c>
      <c r="P369" s="22" t="s">
        <v>2410</v>
      </c>
      <c r="Q369" t="s">
        <v>3114</v>
      </c>
      <c r="R369" t="s">
        <v>3133</v>
      </c>
      <c r="S369" s="7">
        <v>49920</v>
      </c>
      <c r="T369" s="7">
        <v>49920</v>
      </c>
      <c r="U369" s="7">
        <v>25000</v>
      </c>
      <c r="V369" s="7"/>
      <c r="W369" s="7"/>
      <c r="X369" s="7">
        <f t="shared" si="34"/>
        <v>-24920</v>
      </c>
      <c r="Y369" s="5">
        <f t="shared" si="37"/>
        <v>-0.49919871794871795</v>
      </c>
      <c r="Z369" s="35"/>
      <c r="AA369" s="29">
        <f>SUMPRODUCT((BIdetails!$J$5:$J$3000=M369)*(BIdetails!$K$5:$K$3000=N369)*(BIdetails!$M$5:$M$3000))</f>
        <v>0</v>
      </c>
      <c r="AB369" s="30">
        <f t="shared" si="35"/>
        <v>0</v>
      </c>
      <c r="AC369" s="27" t="s">
        <v>845</v>
      </c>
      <c r="AD369" s="27" t="s">
        <v>3100</v>
      </c>
      <c r="AE369" s="27" t="s">
        <v>3118</v>
      </c>
      <c r="AF369" s="27"/>
    </row>
    <row r="370" spans="1:32" hidden="1" x14ac:dyDescent="0.25">
      <c r="A370" t="s">
        <v>3094</v>
      </c>
      <c r="B370" t="str">
        <f t="shared" si="33"/>
        <v>Decrease</v>
      </c>
      <c r="C370" t="s">
        <v>1179</v>
      </c>
      <c r="D370" t="s">
        <v>3307</v>
      </c>
      <c r="E370">
        <v>68427709</v>
      </c>
      <c r="F370" s="91" t="s">
        <v>14</v>
      </c>
      <c r="G370" t="s">
        <v>15</v>
      </c>
      <c r="H370" t="s">
        <v>16</v>
      </c>
      <c r="I370" t="s">
        <v>2445</v>
      </c>
      <c r="J370" t="s">
        <v>3116</v>
      </c>
      <c r="K370">
        <v>187516</v>
      </c>
      <c r="L370" s="92" t="s">
        <v>3117</v>
      </c>
      <c r="M370" s="20">
        <v>5401087933</v>
      </c>
      <c r="N370" s="20">
        <v>20</v>
      </c>
      <c r="O370" t="s">
        <v>2410</v>
      </c>
      <c r="P370" t="s">
        <v>3132</v>
      </c>
      <c r="Q370" t="s">
        <v>3114</v>
      </c>
      <c r="R370" t="s">
        <v>3133</v>
      </c>
      <c r="S370" s="7">
        <v>100000</v>
      </c>
      <c r="T370" s="7">
        <v>100000</v>
      </c>
      <c r="U370" s="7">
        <v>50000</v>
      </c>
      <c r="V370" s="7"/>
      <c r="W370" s="7"/>
      <c r="X370" s="7">
        <f t="shared" si="34"/>
        <v>-50000</v>
      </c>
      <c r="Y370" s="5">
        <f t="shared" si="37"/>
        <v>-0.5</v>
      </c>
      <c r="Z370" s="35"/>
      <c r="AA370" s="29">
        <f>SUMPRODUCT((BIdetails!$J$5:$J$3000=M370)*(BIdetails!$K$5:$K$3000=N370)*(BIdetails!$M$5:$M$3000))</f>
        <v>0</v>
      </c>
      <c r="AB370" s="30">
        <f t="shared" si="35"/>
        <v>0</v>
      </c>
      <c r="AC370" s="27" t="s">
        <v>845</v>
      </c>
      <c r="AD370" s="27" t="s">
        <v>3100</v>
      </c>
      <c r="AE370" s="27" t="s">
        <v>3118</v>
      </c>
      <c r="AF370" s="27"/>
    </row>
    <row r="371" spans="1:32" hidden="1" x14ac:dyDescent="0.25">
      <c r="A371" t="s">
        <v>3094</v>
      </c>
      <c r="B371" t="str">
        <f t="shared" si="33"/>
        <v>No Change</v>
      </c>
      <c r="C371" t="s">
        <v>2434</v>
      </c>
      <c r="D371" t="s">
        <v>3671</v>
      </c>
      <c r="E371">
        <v>68427709</v>
      </c>
      <c r="F371" s="91" t="s">
        <v>28</v>
      </c>
      <c r="G371" t="s">
        <v>29</v>
      </c>
      <c r="H371" t="s">
        <v>30</v>
      </c>
      <c r="I371" t="s">
        <v>3308</v>
      </c>
      <c r="J371" t="s">
        <v>3672</v>
      </c>
      <c r="K371">
        <v>129450</v>
      </c>
      <c r="L371" t="s">
        <v>768</v>
      </c>
      <c r="M371" s="20">
        <v>5401058431</v>
      </c>
      <c r="N371" s="20">
        <v>10</v>
      </c>
      <c r="O371" s="22" t="s">
        <v>2410</v>
      </c>
      <c r="P371" s="22" t="s">
        <v>2410</v>
      </c>
      <c r="Q371" t="s">
        <v>3114</v>
      </c>
      <c r="R371" t="s">
        <v>3133</v>
      </c>
      <c r="S371" s="7">
        <v>200000</v>
      </c>
      <c r="T371" s="7">
        <v>200000</v>
      </c>
      <c r="U371" s="7">
        <v>200000</v>
      </c>
      <c r="V371" s="7"/>
      <c r="W371" s="7"/>
      <c r="X371" s="7">
        <f t="shared" si="34"/>
        <v>0</v>
      </c>
      <c r="Y371" s="5">
        <f t="shared" si="37"/>
        <v>0</v>
      </c>
      <c r="Z371" s="35"/>
      <c r="AA371" s="29">
        <f>SUMPRODUCT((BIdetails!$J$5:$J$3000=M371)*(BIdetails!$K$5:$K$3000=N371)*(BIdetails!$M$5:$M$3000))</f>
        <v>0</v>
      </c>
      <c r="AB371" s="30">
        <f t="shared" si="35"/>
        <v>0</v>
      </c>
      <c r="AC371" s="27"/>
      <c r="AD371" s="27"/>
      <c r="AE371" s="27"/>
      <c r="AF371" s="27"/>
    </row>
    <row r="372" spans="1:32" hidden="1" x14ac:dyDescent="0.25">
      <c r="A372" t="s">
        <v>3094</v>
      </c>
      <c r="B372" t="str">
        <f t="shared" si="33"/>
        <v>No Change</v>
      </c>
      <c r="C372" t="s">
        <v>3673</v>
      </c>
      <c r="D372" t="s">
        <v>3671</v>
      </c>
      <c r="E372">
        <v>68427709</v>
      </c>
      <c r="F372" s="91" t="s">
        <v>28</v>
      </c>
      <c r="G372" t="s">
        <v>29</v>
      </c>
      <c r="H372" t="s">
        <v>30</v>
      </c>
      <c r="I372" t="s">
        <v>3308</v>
      </c>
      <c r="J372" t="s">
        <v>3672</v>
      </c>
      <c r="K372">
        <v>129450</v>
      </c>
      <c r="L372" t="s">
        <v>768</v>
      </c>
      <c r="M372">
        <v>5401058431</v>
      </c>
      <c r="N372" s="20">
        <v>10</v>
      </c>
      <c r="O372" s="22" t="s">
        <v>2410</v>
      </c>
      <c r="P372" s="22" t="s">
        <v>2410</v>
      </c>
      <c r="Q372" t="s">
        <v>3114</v>
      </c>
      <c r="R372" t="s">
        <v>3133</v>
      </c>
      <c r="S372" s="7">
        <v>24960</v>
      </c>
      <c r="T372" s="7">
        <v>24960</v>
      </c>
      <c r="U372" s="7">
        <v>24960</v>
      </c>
      <c r="V372" s="7"/>
      <c r="W372" s="7"/>
      <c r="X372" s="7">
        <f t="shared" si="34"/>
        <v>0</v>
      </c>
      <c r="Y372" s="5">
        <f t="shared" si="37"/>
        <v>0</v>
      </c>
      <c r="Z372" s="35"/>
      <c r="AA372" s="29">
        <f>SUMPRODUCT((BIdetails!$J$5:$J$3000=M372)*(BIdetails!$K$5:$K$3000=N372)*(BIdetails!$M$5:$M$3000))</f>
        <v>0</v>
      </c>
      <c r="AB372" s="30">
        <f t="shared" si="35"/>
        <v>0</v>
      </c>
      <c r="AC372" s="27" t="s">
        <v>845</v>
      </c>
      <c r="AD372" s="27" t="s">
        <v>3100</v>
      </c>
      <c r="AE372" s="27" t="s">
        <v>3118</v>
      </c>
      <c r="AF372" s="27"/>
    </row>
    <row r="373" spans="1:32" hidden="1" x14ac:dyDescent="0.25">
      <c r="A373" t="s">
        <v>3106</v>
      </c>
      <c r="B373" t="str">
        <f t="shared" si="33"/>
        <v>Decommissioned</v>
      </c>
      <c r="C373" t="s">
        <v>2673</v>
      </c>
      <c r="D373" t="s">
        <v>3674</v>
      </c>
      <c r="E373">
        <v>68427709</v>
      </c>
      <c r="F373" s="91" t="s">
        <v>28</v>
      </c>
      <c r="G373" t="s">
        <v>29</v>
      </c>
      <c r="H373" t="s">
        <v>30</v>
      </c>
      <c r="I373" t="s">
        <v>3308</v>
      </c>
      <c r="J373" s="228" t="s">
        <v>3675</v>
      </c>
      <c r="K373">
        <v>168422</v>
      </c>
      <c r="L373" t="s">
        <v>114</v>
      </c>
      <c r="M373" s="20">
        <v>5400960037</v>
      </c>
      <c r="N373" s="20">
        <v>10</v>
      </c>
      <c r="O373" s="22" t="s">
        <v>2410</v>
      </c>
      <c r="P373" s="22" t="s">
        <v>2410</v>
      </c>
      <c r="Q373" t="s">
        <v>3114</v>
      </c>
      <c r="R373" t="s">
        <v>3133</v>
      </c>
      <c r="S373" s="7">
        <v>70000</v>
      </c>
      <c r="T373" s="7">
        <v>35000</v>
      </c>
      <c r="U373" s="7">
        <v>0</v>
      </c>
      <c r="V373" s="7"/>
      <c r="W373" s="7"/>
      <c r="X373" s="7">
        <f t="shared" si="34"/>
        <v>-35000</v>
      </c>
      <c r="Y373" s="5">
        <f t="shared" si="37"/>
        <v>-1</v>
      </c>
      <c r="Z373" s="35"/>
      <c r="AA373" s="29">
        <f>SUMPRODUCT((BIdetails!$J$5:$J$3000=M373)*(BIdetails!$K$5:$K$3000=N373)*(BIdetails!$M$5:$M$3000))</f>
        <v>0</v>
      </c>
      <c r="AB373" s="30" t="str">
        <f t="shared" si="35"/>
        <v/>
      </c>
      <c r="AC373" s="27"/>
      <c r="AD373" s="27"/>
      <c r="AE373" s="27"/>
      <c r="AF373" s="27"/>
    </row>
    <row r="374" spans="1:32" hidden="1" x14ac:dyDescent="0.25">
      <c r="A374" t="s">
        <v>3094</v>
      </c>
      <c r="B374" t="str">
        <f t="shared" si="33"/>
        <v>New</v>
      </c>
      <c r="C374" s="22" t="s">
        <v>3676</v>
      </c>
      <c r="D374" t="s">
        <v>3677</v>
      </c>
      <c r="E374">
        <v>68427709</v>
      </c>
      <c r="F374" s="91" t="s">
        <v>59</v>
      </c>
      <c r="G374" t="s">
        <v>60</v>
      </c>
      <c r="H374" t="s">
        <v>46</v>
      </c>
      <c r="J374" t="s">
        <v>3678</v>
      </c>
      <c r="K374">
        <v>3000389</v>
      </c>
      <c r="L374" s="22" t="s">
        <v>283</v>
      </c>
      <c r="M374" s="203">
        <v>5401049687</v>
      </c>
      <c r="N374" s="20">
        <v>40</v>
      </c>
      <c r="O374" s="92" t="s">
        <v>2870</v>
      </c>
      <c r="P374" s="22" t="s">
        <v>2135</v>
      </c>
      <c r="Q374" t="s">
        <v>3114</v>
      </c>
      <c r="R374" s="92" t="s">
        <v>3574</v>
      </c>
      <c r="S374" s="7"/>
      <c r="T374" s="7"/>
      <c r="U374" s="7">
        <v>60000</v>
      </c>
      <c r="V374" s="7"/>
      <c r="W374" s="7"/>
      <c r="X374" s="7">
        <f t="shared" si="34"/>
        <v>60000</v>
      </c>
      <c r="Y374" s="5">
        <f t="shared" si="37"/>
        <v>1</v>
      </c>
      <c r="Z374" s="21" t="s">
        <v>3679</v>
      </c>
      <c r="AA374" s="29">
        <f>SUMPRODUCT((BIdetails!$J$5:$J$3000=M374)*(BIdetails!$K$5:$K$3000=N374)*(BIdetails!$M$5:$M$3000))</f>
        <v>0</v>
      </c>
      <c r="AB374" s="30">
        <f t="shared" si="35"/>
        <v>0</v>
      </c>
      <c r="AC374" s="27"/>
      <c r="AD374" s="27"/>
      <c r="AE374" s="27"/>
      <c r="AF374" s="27"/>
    </row>
    <row r="375" spans="1:32" hidden="1" x14ac:dyDescent="0.25">
      <c r="A375" t="s">
        <v>3094</v>
      </c>
      <c r="B375" t="str">
        <f t="shared" si="33"/>
        <v>No Change</v>
      </c>
      <c r="C375" s="92" t="s">
        <v>3680</v>
      </c>
      <c r="D375" t="s">
        <v>3151</v>
      </c>
      <c r="E375">
        <v>68427709</v>
      </c>
      <c r="F375" s="91" t="s">
        <v>44</v>
      </c>
      <c r="G375" s="92" t="s">
        <v>75</v>
      </c>
      <c r="H375" s="92" t="s">
        <v>46</v>
      </c>
      <c r="I375" t="s">
        <v>3096</v>
      </c>
      <c r="J375" t="s">
        <v>3128</v>
      </c>
      <c r="K375">
        <v>187516</v>
      </c>
      <c r="L375" s="92" t="s">
        <v>3117</v>
      </c>
      <c r="M375" s="25">
        <v>5401088459</v>
      </c>
      <c r="N375" s="20">
        <v>60</v>
      </c>
      <c r="O375" s="92" t="s">
        <v>2870</v>
      </c>
      <c r="P375" s="92" t="s">
        <v>2510</v>
      </c>
      <c r="Q375" s="92" t="s">
        <v>3104</v>
      </c>
      <c r="R375" s="92" t="s">
        <v>3098</v>
      </c>
      <c r="S375" s="7">
        <v>200000</v>
      </c>
      <c r="T375" s="7">
        <v>250000</v>
      </c>
      <c r="U375" s="7">
        <v>250000</v>
      </c>
      <c r="V375" s="7"/>
      <c r="W375" s="7"/>
      <c r="X375" s="7">
        <f t="shared" si="34"/>
        <v>0</v>
      </c>
      <c r="Y375" s="5">
        <f t="shared" si="37"/>
        <v>0</v>
      </c>
      <c r="Z375" s="35"/>
      <c r="AA375" s="29">
        <f>SUMPRODUCT((BIdetails!$J$5:$J$3000=M375)*(BIdetails!$K$5:$K$3000=N375)*(BIdetails!$M$5:$M$3000))</f>
        <v>0</v>
      </c>
      <c r="AB375" s="30">
        <f t="shared" si="35"/>
        <v>0</v>
      </c>
      <c r="AC375" s="27" t="s">
        <v>845</v>
      </c>
      <c r="AD375" s="27" t="s">
        <v>3100</v>
      </c>
      <c r="AE375" s="27" t="s">
        <v>3118</v>
      </c>
      <c r="AF375" s="27"/>
    </row>
    <row r="376" spans="1:32" hidden="1" x14ac:dyDescent="0.25">
      <c r="A376" t="s">
        <v>3094</v>
      </c>
      <c r="B376" t="str">
        <f t="shared" si="33"/>
        <v>Increase</v>
      </c>
      <c r="C376" t="s">
        <v>2467</v>
      </c>
      <c r="D376" t="s">
        <v>3371</v>
      </c>
      <c r="E376">
        <v>68427709</v>
      </c>
      <c r="F376" s="91" t="s">
        <v>59</v>
      </c>
      <c r="G376" t="s">
        <v>60</v>
      </c>
      <c r="H376" t="s">
        <v>46</v>
      </c>
      <c r="J376" t="s">
        <v>3681</v>
      </c>
      <c r="K376" s="22">
        <v>181857</v>
      </c>
      <c r="L376" t="s">
        <v>3682</v>
      </c>
      <c r="M376" s="20">
        <v>5401102224</v>
      </c>
      <c r="N376" s="20">
        <v>10</v>
      </c>
      <c r="O376" t="s">
        <v>2870</v>
      </c>
      <c r="P376" s="22" t="s">
        <v>423</v>
      </c>
      <c r="Q376" t="s">
        <v>3114</v>
      </c>
      <c r="R376" t="s">
        <v>3120</v>
      </c>
      <c r="S376" s="7">
        <v>64000</v>
      </c>
      <c r="T376" s="7">
        <v>104000</v>
      </c>
      <c r="U376" s="7">
        <v>115000</v>
      </c>
      <c r="V376" s="7"/>
      <c r="W376" s="7"/>
      <c r="X376" s="7">
        <f t="shared" si="34"/>
        <v>11000</v>
      </c>
      <c r="Y376" s="5">
        <f t="shared" si="37"/>
        <v>0.10576923076923077</v>
      </c>
      <c r="Z376" s="21"/>
      <c r="AA376" s="29">
        <f>SUMPRODUCT((BIdetails!$J$5:$J$3000=M376)*(BIdetails!$K$5:$K$3000=N376)*(BIdetails!$M$5:$M$3000))</f>
        <v>0</v>
      </c>
      <c r="AB376" s="30">
        <f t="shared" si="35"/>
        <v>0</v>
      </c>
      <c r="AC376" s="27"/>
      <c r="AD376" s="27"/>
      <c r="AE376" s="27"/>
      <c r="AF376" s="27"/>
    </row>
    <row r="377" spans="1:32" hidden="1" x14ac:dyDescent="0.25">
      <c r="A377" t="s">
        <v>3094</v>
      </c>
      <c r="B377" t="str">
        <f t="shared" si="33"/>
        <v>Decrease</v>
      </c>
      <c r="C377" t="s">
        <v>1548</v>
      </c>
      <c r="D377" t="s">
        <v>3151</v>
      </c>
      <c r="E377">
        <v>68427709</v>
      </c>
      <c r="F377" s="91" t="s">
        <v>22</v>
      </c>
      <c r="G377" t="s">
        <v>100</v>
      </c>
      <c r="H377" t="s">
        <v>24</v>
      </c>
      <c r="I377" t="s">
        <v>2448</v>
      </c>
      <c r="J377" t="s">
        <v>3189</v>
      </c>
      <c r="K377">
        <v>187516</v>
      </c>
      <c r="L377" s="92" t="s">
        <v>3117</v>
      </c>
      <c r="M377" s="20">
        <v>5401087930</v>
      </c>
      <c r="N377" s="20">
        <v>10</v>
      </c>
      <c r="O377" s="22" t="s">
        <v>2410</v>
      </c>
      <c r="P377" s="22" t="s">
        <v>2410</v>
      </c>
      <c r="Q377" s="201" t="s">
        <v>3124</v>
      </c>
      <c r="R377" t="s">
        <v>3133</v>
      </c>
      <c r="S377" s="7">
        <v>380000</v>
      </c>
      <c r="T377" s="7">
        <v>350000</v>
      </c>
      <c r="U377" s="7">
        <v>176400</v>
      </c>
      <c r="V377" s="7"/>
      <c r="W377" s="7"/>
      <c r="X377" s="7">
        <f t="shared" si="34"/>
        <v>-173600</v>
      </c>
      <c r="Y377" s="5">
        <f t="shared" si="37"/>
        <v>-0.496</v>
      </c>
      <c r="Z377" s="35"/>
      <c r="AA377" s="29">
        <f>SUMPRODUCT((BIdetails!$J$5:$J$3000=M377)*(BIdetails!$K$5:$K$3000=N377)*(BIdetails!$M$5:$M$3000))</f>
        <v>0</v>
      </c>
      <c r="AB377" s="30">
        <f t="shared" si="35"/>
        <v>0</v>
      </c>
      <c r="AC377" s="27" t="s">
        <v>845</v>
      </c>
      <c r="AD377" s="27" t="s">
        <v>3100</v>
      </c>
      <c r="AE377" s="27" t="s">
        <v>3118</v>
      </c>
      <c r="AF377" s="27"/>
    </row>
    <row r="378" spans="1:32" hidden="1" x14ac:dyDescent="0.25">
      <c r="A378" t="s">
        <v>3094</v>
      </c>
      <c r="B378" t="str">
        <f t="shared" si="33"/>
        <v>No Change</v>
      </c>
      <c r="C378" t="s">
        <v>3683</v>
      </c>
      <c r="D378" t="s">
        <v>3684</v>
      </c>
      <c r="E378">
        <v>68427709</v>
      </c>
      <c r="F378" s="91" t="s">
        <v>54</v>
      </c>
      <c r="G378" t="s">
        <v>55</v>
      </c>
      <c r="H378" t="s">
        <v>46</v>
      </c>
      <c r="J378" t="s">
        <v>3685</v>
      </c>
      <c r="K378">
        <v>169089</v>
      </c>
      <c r="L378" t="s">
        <v>3686</v>
      </c>
      <c r="M378">
        <v>5401112877</v>
      </c>
      <c r="N378" s="204">
        <v>10</v>
      </c>
      <c r="O378" t="s">
        <v>2870</v>
      </c>
      <c r="P378" t="s">
        <v>423</v>
      </c>
      <c r="Q378" s="201" t="s">
        <v>3124</v>
      </c>
      <c r="R378" s="92" t="s">
        <v>3125</v>
      </c>
      <c r="S378" s="7">
        <v>37000</v>
      </c>
      <c r="T378" s="7">
        <v>37000</v>
      </c>
      <c r="U378" s="7">
        <v>37000</v>
      </c>
      <c r="V378" s="7"/>
      <c r="W378" s="7"/>
      <c r="X378" s="7">
        <f t="shared" si="34"/>
        <v>0</v>
      </c>
      <c r="Y378" s="5">
        <f t="shared" si="37"/>
        <v>0</v>
      </c>
      <c r="Z378" s="35"/>
      <c r="AA378" s="29">
        <f>SUMPRODUCT((BIdetails!$J$5:$J$3000=M378)*(BIdetails!$K$5:$K$3000=N378)*(BIdetails!$M$5:$M$3000))</f>
        <v>0</v>
      </c>
      <c r="AB378" s="30">
        <f t="shared" si="35"/>
        <v>0</v>
      </c>
      <c r="AC378" s="27" t="s">
        <v>3099</v>
      </c>
      <c r="AD378" s="27" t="s">
        <v>3108</v>
      </c>
      <c r="AE378" s="27" t="s">
        <v>3101</v>
      </c>
      <c r="AF378" s="27"/>
    </row>
    <row r="379" spans="1:32" hidden="1" x14ac:dyDescent="0.25">
      <c r="A379" t="s">
        <v>3094</v>
      </c>
      <c r="B379" t="str">
        <f t="shared" si="33"/>
        <v>Increase</v>
      </c>
      <c r="C379" t="s">
        <v>1978</v>
      </c>
      <c r="D379" t="s">
        <v>3687</v>
      </c>
      <c r="E379">
        <v>68427709</v>
      </c>
      <c r="F379" s="91" t="s">
        <v>59</v>
      </c>
      <c r="G379" t="s">
        <v>60</v>
      </c>
      <c r="H379" t="s">
        <v>46</v>
      </c>
      <c r="I379" t="s">
        <v>3144</v>
      </c>
      <c r="J379" t="s">
        <v>3688</v>
      </c>
      <c r="K379" s="91">
        <v>210312</v>
      </c>
      <c r="L379" s="92" t="s">
        <v>1508</v>
      </c>
      <c r="M379">
        <v>5401074856</v>
      </c>
      <c r="N379" s="20">
        <v>10</v>
      </c>
      <c r="O379" s="22" t="s">
        <v>2870</v>
      </c>
      <c r="P379" s="22" t="s">
        <v>2510</v>
      </c>
      <c r="Q379" t="s">
        <v>3114</v>
      </c>
      <c r="R379" t="s">
        <v>3098</v>
      </c>
      <c r="S379" s="7">
        <v>100000</v>
      </c>
      <c r="T379" s="7">
        <v>100000</v>
      </c>
      <c r="U379" s="7">
        <v>470000</v>
      </c>
      <c r="V379" s="7"/>
      <c r="W379" s="7"/>
      <c r="X379" s="7">
        <f t="shared" si="34"/>
        <v>370000</v>
      </c>
      <c r="Y379" s="5">
        <f t="shared" si="37"/>
        <v>3.7</v>
      </c>
      <c r="Z379" s="35"/>
      <c r="AA379" s="29">
        <f>SUMPRODUCT((BIdetails!$J$5:$J$3000=M379)*(BIdetails!$K$5:$K$3000=N379)*(BIdetails!$M$5:$M$3000))</f>
        <v>0</v>
      </c>
      <c r="AB379" s="30">
        <f t="shared" si="35"/>
        <v>0</v>
      </c>
      <c r="AC379" s="27" t="s">
        <v>3099</v>
      </c>
      <c r="AD379" s="27"/>
      <c r="AE379" s="27"/>
      <c r="AF379" s="27"/>
    </row>
    <row r="380" spans="1:32" hidden="1" x14ac:dyDescent="0.25">
      <c r="A380" t="s">
        <v>3094</v>
      </c>
      <c r="B380" t="str">
        <f t="shared" si="33"/>
        <v>Decrease</v>
      </c>
      <c r="C380" s="92" t="s">
        <v>2596</v>
      </c>
      <c r="D380" t="s">
        <v>3689</v>
      </c>
      <c r="E380">
        <v>68427709</v>
      </c>
      <c r="F380" s="91" t="s">
        <v>54</v>
      </c>
      <c r="G380" s="92" t="s">
        <v>55</v>
      </c>
      <c r="H380" s="92" t="s">
        <v>46</v>
      </c>
      <c r="J380" t="s">
        <v>3296</v>
      </c>
      <c r="K380" s="22">
        <v>196742</v>
      </c>
      <c r="L380" s="92" t="s">
        <v>1616</v>
      </c>
      <c r="M380" s="93">
        <v>5401076975</v>
      </c>
      <c r="N380" s="93">
        <v>10</v>
      </c>
      <c r="O380" s="92" t="s">
        <v>2870</v>
      </c>
      <c r="P380" s="22" t="s">
        <v>2500</v>
      </c>
      <c r="Q380" s="92" t="s">
        <v>3170</v>
      </c>
      <c r="R380" s="92" t="s">
        <v>517</v>
      </c>
      <c r="S380" s="7">
        <v>25000</v>
      </c>
      <c r="T380" s="7">
        <v>48600</v>
      </c>
      <c r="U380" s="7">
        <v>20500</v>
      </c>
      <c r="V380" s="7"/>
      <c r="W380" s="7"/>
      <c r="X380" s="7">
        <f t="shared" si="34"/>
        <v>-28100</v>
      </c>
      <c r="Y380" s="5">
        <f t="shared" si="37"/>
        <v>-0.57818930041152261</v>
      </c>
      <c r="Z380" s="35"/>
      <c r="AA380" s="29">
        <f>SUMPRODUCT((BIdetails!$J$5:$J$3000=M380)*(BIdetails!$K$5:$K$3000=N380)*(BIdetails!$M$5:$M$3000))</f>
        <v>0</v>
      </c>
      <c r="AB380" s="30">
        <f t="shared" si="35"/>
        <v>0</v>
      </c>
      <c r="AC380" s="27" t="s">
        <v>3099</v>
      </c>
      <c r="AD380" s="27" t="s">
        <v>3108</v>
      </c>
      <c r="AE380" s="27" t="s">
        <v>3101</v>
      </c>
      <c r="AF380" s="27"/>
    </row>
    <row r="381" spans="1:32" hidden="1" x14ac:dyDescent="0.25">
      <c r="A381" t="s">
        <v>3094</v>
      </c>
      <c r="B381" t="str">
        <f t="shared" si="33"/>
        <v>No Change</v>
      </c>
      <c r="C381" s="22" t="s">
        <v>2967</v>
      </c>
      <c r="E381">
        <v>68427709</v>
      </c>
      <c r="F381" s="91" t="s">
        <v>59</v>
      </c>
      <c r="G381" t="s">
        <v>60</v>
      </c>
      <c r="H381" t="s">
        <v>46</v>
      </c>
      <c r="I381" t="s">
        <v>2448</v>
      </c>
      <c r="J381" t="s">
        <v>3189</v>
      </c>
      <c r="K381">
        <v>211753</v>
      </c>
      <c r="L381" s="22" t="s">
        <v>267</v>
      </c>
      <c r="M381" s="203"/>
      <c r="O381" s="92" t="s">
        <v>2410</v>
      </c>
      <c r="P381" s="22"/>
      <c r="Q381" t="s">
        <v>3124</v>
      </c>
      <c r="R381" t="s">
        <v>2903</v>
      </c>
      <c r="S381" s="7"/>
      <c r="T381" s="7"/>
      <c r="U381" s="7">
        <v>0</v>
      </c>
      <c r="V381" s="7"/>
      <c r="W381" s="7"/>
      <c r="X381" s="7">
        <f t="shared" si="34"/>
        <v>0</v>
      </c>
      <c r="Y381" s="5">
        <f t="shared" si="37"/>
        <v>0</v>
      </c>
      <c r="Z381" s="21"/>
      <c r="AA381" s="29">
        <f>SUMPRODUCT((BIdetails!$J$5:$J$3000=M381)*(BIdetails!$K$5:$K$3000=N381)*(BIdetails!$M$5:$M$3000))</f>
        <v>0</v>
      </c>
      <c r="AB381" s="30" t="str">
        <f t="shared" si="35"/>
        <v/>
      </c>
      <c r="AC381" s="27"/>
      <c r="AD381" s="27"/>
      <c r="AE381" s="27"/>
      <c r="AF381" s="27"/>
    </row>
    <row r="382" spans="1:32" hidden="1" x14ac:dyDescent="0.25">
      <c r="A382" t="s">
        <v>3094</v>
      </c>
      <c r="B382" t="str">
        <f t="shared" si="33"/>
        <v>Increase</v>
      </c>
      <c r="C382" s="92" t="s">
        <v>3690</v>
      </c>
      <c r="D382" t="s">
        <v>3691</v>
      </c>
      <c r="E382">
        <v>68427709</v>
      </c>
      <c r="F382" s="91" t="s">
        <v>59</v>
      </c>
      <c r="G382" t="s">
        <v>60</v>
      </c>
      <c r="H382" t="s">
        <v>46</v>
      </c>
      <c r="J382" t="s">
        <v>3692</v>
      </c>
      <c r="K382">
        <v>211572</v>
      </c>
      <c r="L382" t="s">
        <v>265</v>
      </c>
      <c r="M382">
        <v>5400975278</v>
      </c>
      <c r="N382" s="20">
        <v>50</v>
      </c>
      <c r="O382" s="22" t="s">
        <v>2870</v>
      </c>
      <c r="P382" s="22" t="s">
        <v>2781</v>
      </c>
      <c r="Q382" t="s">
        <v>3114</v>
      </c>
      <c r="R382" t="s">
        <v>3136</v>
      </c>
      <c r="S382" s="7"/>
      <c r="T382" s="7">
        <v>155000</v>
      </c>
      <c r="U382" s="7">
        <v>168000</v>
      </c>
      <c r="V382" s="7"/>
      <c r="W382" s="7"/>
      <c r="X382" s="7">
        <f t="shared" si="34"/>
        <v>13000</v>
      </c>
      <c r="Y382" s="5">
        <f t="shared" si="37"/>
        <v>8.387096774193549E-2</v>
      </c>
      <c r="Z382" s="21"/>
      <c r="AA382" s="29">
        <f>SUMPRODUCT((BIdetails!$J$5:$J$3000=M382)*(BIdetails!$K$5:$K$3000=N382)*(BIdetails!$M$5:$M$3000))</f>
        <v>0</v>
      </c>
      <c r="AB382" s="30">
        <f t="shared" si="35"/>
        <v>0</v>
      </c>
      <c r="AC382" s="27"/>
      <c r="AD382" s="27"/>
      <c r="AE382" s="27"/>
      <c r="AF382" s="27"/>
    </row>
    <row r="383" spans="1:32" hidden="1" x14ac:dyDescent="0.25">
      <c r="A383" t="s">
        <v>3094</v>
      </c>
      <c r="B383" t="str">
        <f t="shared" si="33"/>
        <v>New</v>
      </c>
      <c r="C383" s="22" t="s">
        <v>2970</v>
      </c>
      <c r="E383">
        <v>68427709</v>
      </c>
      <c r="F383" s="91" t="s">
        <v>59</v>
      </c>
      <c r="G383" t="s">
        <v>60</v>
      </c>
      <c r="H383" t="s">
        <v>46</v>
      </c>
      <c r="I383" t="s">
        <v>2448</v>
      </c>
      <c r="J383" t="s">
        <v>3189</v>
      </c>
      <c r="L383" s="22"/>
      <c r="M383" s="203"/>
      <c r="O383" s="92" t="s">
        <v>2410</v>
      </c>
      <c r="P383" s="22"/>
      <c r="Q383" t="s">
        <v>3124</v>
      </c>
      <c r="R383" t="s">
        <v>2903</v>
      </c>
      <c r="S383" s="7"/>
      <c r="T383" s="7"/>
      <c r="U383" s="7">
        <v>20000</v>
      </c>
      <c r="V383" s="7"/>
      <c r="W383" s="7"/>
      <c r="X383" s="7">
        <f t="shared" si="34"/>
        <v>20000</v>
      </c>
      <c r="Y383" s="5">
        <f t="shared" si="37"/>
        <v>1</v>
      </c>
      <c r="Z383" s="21"/>
      <c r="AA383" s="29">
        <f>SUMPRODUCT((BIdetails!$J$5:$J$3000=M383)*(BIdetails!$K$5:$K$3000=N383)*(BIdetails!$M$5:$M$3000))</f>
        <v>0</v>
      </c>
      <c r="AB383" s="30">
        <f t="shared" si="35"/>
        <v>0</v>
      </c>
      <c r="AC383" s="27"/>
      <c r="AD383" s="27"/>
      <c r="AE383" s="27"/>
      <c r="AF383" s="27"/>
    </row>
    <row r="384" spans="1:32" hidden="1" x14ac:dyDescent="0.25">
      <c r="A384" t="s">
        <v>3094</v>
      </c>
      <c r="B384" t="str">
        <f t="shared" si="33"/>
        <v>Increase</v>
      </c>
      <c r="C384" s="22" t="s">
        <v>2368</v>
      </c>
      <c r="D384" t="s">
        <v>3693</v>
      </c>
      <c r="E384">
        <v>68427719</v>
      </c>
      <c r="F384" s="91" t="s">
        <v>59</v>
      </c>
      <c r="G384" t="s">
        <v>60</v>
      </c>
      <c r="H384" t="s">
        <v>46</v>
      </c>
      <c r="J384" t="s">
        <v>3694</v>
      </c>
      <c r="K384" s="22">
        <v>208282</v>
      </c>
      <c r="L384" s="22" t="s">
        <v>251</v>
      </c>
      <c r="M384" s="20">
        <v>5401071920</v>
      </c>
      <c r="N384" s="20">
        <v>10</v>
      </c>
      <c r="O384" s="92" t="s">
        <v>2800</v>
      </c>
      <c r="P384" s="22" t="s">
        <v>3695</v>
      </c>
      <c r="Q384" t="s">
        <v>3114</v>
      </c>
      <c r="R384" t="s">
        <v>3207</v>
      </c>
      <c r="S384" s="7">
        <v>92500</v>
      </c>
      <c r="T384" s="7">
        <v>145000</v>
      </c>
      <c r="U384" s="7">
        <v>362000</v>
      </c>
      <c r="V384" s="7"/>
      <c r="W384" s="7"/>
      <c r="X384" s="7">
        <f t="shared" si="34"/>
        <v>217000</v>
      </c>
      <c r="Y384" s="5">
        <f t="shared" si="37"/>
        <v>1.4965517241379311</v>
      </c>
      <c r="Z384" s="21"/>
      <c r="AA384" s="29">
        <f>SUMPRODUCT((BIdetails!$J$5:$J$3000=M384)*(BIdetails!$K$5:$K$3000=N384)*(BIdetails!$M$5:$M$3000))</f>
        <v>0</v>
      </c>
      <c r="AB384" s="30">
        <f t="shared" si="35"/>
        <v>0</v>
      </c>
      <c r="AC384" s="27"/>
      <c r="AD384" s="27"/>
      <c r="AE384" s="27"/>
      <c r="AF384" s="27"/>
    </row>
    <row r="385" spans="1:32" x14ac:dyDescent="0.25">
      <c r="A385" t="s">
        <v>3106</v>
      </c>
      <c r="B385" t="str">
        <f t="shared" si="33"/>
        <v>No Change</v>
      </c>
      <c r="C385" t="s">
        <v>3696</v>
      </c>
      <c r="E385">
        <v>68427709</v>
      </c>
      <c r="F385" s="91" t="s">
        <v>40</v>
      </c>
      <c r="G385" t="s">
        <v>42</v>
      </c>
      <c r="H385" t="s">
        <v>42</v>
      </c>
      <c r="J385" t="s">
        <v>3254</v>
      </c>
      <c r="K385" s="22"/>
      <c r="L385" s="22"/>
      <c r="M385" s="203"/>
      <c r="O385" t="s">
        <v>2843</v>
      </c>
      <c r="P385" t="s">
        <v>2843</v>
      </c>
      <c r="Q385" t="s">
        <v>3114</v>
      </c>
      <c r="R385" t="s">
        <v>42</v>
      </c>
      <c r="S385" s="7">
        <v>140000</v>
      </c>
      <c r="T385" s="7">
        <v>0</v>
      </c>
      <c r="U385" s="7">
        <v>0</v>
      </c>
      <c r="V385" s="7"/>
      <c r="W385" s="7" t="s">
        <v>6797</v>
      </c>
      <c r="X385" s="7">
        <f t="shared" si="34"/>
        <v>0</v>
      </c>
      <c r="Y385" s="5">
        <f t="shared" si="37"/>
        <v>0</v>
      </c>
      <c r="Z385" s="35"/>
      <c r="AA385" s="29">
        <f>SUMPRODUCT((BIdetails!$J$5:$J$3000=M385)*(BIdetails!$K$5:$K$3000=N385)*(BIdetails!$M$5:$M$3000))</f>
        <v>0</v>
      </c>
      <c r="AB385" s="30" t="str">
        <f t="shared" si="35"/>
        <v/>
      </c>
      <c r="AC385" s="27" t="s">
        <v>845</v>
      </c>
      <c r="AD385" s="27" t="s">
        <v>3100</v>
      </c>
      <c r="AE385" s="27" t="s">
        <v>3118</v>
      </c>
      <c r="AF385" s="27"/>
    </row>
    <row r="386" spans="1:32" hidden="1" x14ac:dyDescent="0.25">
      <c r="A386" t="s">
        <v>3094</v>
      </c>
      <c r="B386" t="str">
        <f t="shared" ref="B386:B394" si="40">IF(T386=U386,"No Change",IF(AND(U386&lt;&gt;0,U386&lt;T386),"Decrease",IF(AND(U386&lt;&gt;0,T386=0),"New",IF(AND(T386&lt;&gt;0,U386=0),"Decommissioned","Increase"))))</f>
        <v>Decrease</v>
      </c>
      <c r="C386" t="s">
        <v>2427</v>
      </c>
      <c r="D386" t="s">
        <v>3318</v>
      </c>
      <c r="E386">
        <v>68427709</v>
      </c>
      <c r="F386" s="91" t="s">
        <v>22</v>
      </c>
      <c r="G386" t="s">
        <v>100</v>
      </c>
      <c r="H386" t="s">
        <v>24</v>
      </c>
      <c r="I386" t="s">
        <v>2445</v>
      </c>
      <c r="J386" t="s">
        <v>3116</v>
      </c>
      <c r="K386" s="22">
        <v>196653</v>
      </c>
      <c r="L386" t="s">
        <v>102</v>
      </c>
      <c r="M386" s="20">
        <v>5401087922</v>
      </c>
      <c r="N386" s="20">
        <v>10</v>
      </c>
      <c r="O386" s="22" t="s">
        <v>2410</v>
      </c>
      <c r="P386" s="22" t="s">
        <v>2410</v>
      </c>
      <c r="Q386" t="s">
        <v>3114</v>
      </c>
      <c r="R386" t="s">
        <v>3133</v>
      </c>
      <c r="S386" s="7">
        <v>3972000</v>
      </c>
      <c r="T386" s="7">
        <v>4334000</v>
      </c>
      <c r="U386" s="7">
        <v>4300000</v>
      </c>
      <c r="V386" s="7"/>
      <c r="W386" s="7"/>
      <c r="X386" s="7">
        <f t="shared" ref="X386:X404" si="41">U386-T386</f>
        <v>-34000</v>
      </c>
      <c r="Y386" s="5">
        <f t="shared" si="37"/>
        <v>-7.8449469312413481E-3</v>
      </c>
      <c r="Z386" s="21"/>
      <c r="AA386" s="29">
        <f>SUMPRODUCT((BIdetails!$J$5:$J$3000=M386)*(BIdetails!$K$5:$K$3000=N386)*(BIdetails!$M$5:$M$3000))</f>
        <v>0</v>
      </c>
      <c r="AB386" s="30">
        <f t="shared" ref="AB386:AB394" si="42">IF(U386=0,"",(AA386/U386))</f>
        <v>0</v>
      </c>
      <c r="AC386" s="27"/>
      <c r="AD386" s="27"/>
      <c r="AE386" s="27"/>
      <c r="AF386" s="27"/>
    </row>
    <row r="387" spans="1:32" hidden="1" x14ac:dyDescent="0.25">
      <c r="A387" t="s">
        <v>3106</v>
      </c>
      <c r="B387" t="str">
        <f t="shared" si="40"/>
        <v>Decommissioned</v>
      </c>
      <c r="C387" s="22" t="s">
        <v>2607</v>
      </c>
      <c r="D387" t="s">
        <v>3697</v>
      </c>
      <c r="E387">
        <v>68427709</v>
      </c>
      <c r="F387" s="91" t="s">
        <v>59</v>
      </c>
      <c r="G387" t="s">
        <v>60</v>
      </c>
      <c r="H387" t="s">
        <v>46</v>
      </c>
      <c r="J387" t="s">
        <v>3698</v>
      </c>
      <c r="K387" s="22">
        <v>209836</v>
      </c>
      <c r="L387" s="22" t="s">
        <v>3699</v>
      </c>
      <c r="M387" s="203"/>
      <c r="O387" s="22" t="s">
        <v>2870</v>
      </c>
      <c r="P387" s="22" t="s">
        <v>2500</v>
      </c>
      <c r="Q387" t="s">
        <v>3114</v>
      </c>
      <c r="R387" t="s">
        <v>517</v>
      </c>
      <c r="S387" s="7">
        <v>115000</v>
      </c>
      <c r="T387" s="7">
        <v>70000</v>
      </c>
      <c r="U387" s="7">
        <v>0</v>
      </c>
      <c r="V387" s="7"/>
      <c r="W387" s="7"/>
      <c r="X387" s="7">
        <f t="shared" si="41"/>
        <v>-70000</v>
      </c>
      <c r="Y387" s="5">
        <f t="shared" si="37"/>
        <v>-1</v>
      </c>
      <c r="Z387" s="21"/>
      <c r="AA387" s="29">
        <f>SUMPRODUCT((BIdetails!$J$5:$J$3000=M387)*(BIdetails!$K$5:$K$3000=N387)*(BIdetails!$M$5:$M$3000))</f>
        <v>0</v>
      </c>
      <c r="AB387" s="30" t="str">
        <f t="shared" si="42"/>
        <v/>
      </c>
      <c r="AC387" s="27"/>
      <c r="AD387" s="27"/>
      <c r="AE387" s="27"/>
      <c r="AF387" s="27"/>
    </row>
    <row r="388" spans="1:32" hidden="1" x14ac:dyDescent="0.25">
      <c r="A388" t="s">
        <v>3094</v>
      </c>
      <c r="B388" t="str">
        <f t="shared" si="40"/>
        <v>No Change</v>
      </c>
      <c r="C388" s="22" t="s">
        <v>3700</v>
      </c>
      <c r="D388" t="s">
        <v>3701</v>
      </c>
      <c r="E388">
        <v>68427709</v>
      </c>
      <c r="F388" s="91" t="s">
        <v>54</v>
      </c>
      <c r="G388" t="s">
        <v>55</v>
      </c>
      <c r="H388" s="22" t="s">
        <v>46</v>
      </c>
      <c r="J388" t="s">
        <v>2266</v>
      </c>
      <c r="K388" s="22">
        <v>189205</v>
      </c>
      <c r="L388" s="22" t="s">
        <v>155</v>
      </c>
      <c r="M388" s="24">
        <v>5401065401</v>
      </c>
      <c r="N388" s="24">
        <v>10</v>
      </c>
      <c r="O388" s="22" t="s">
        <v>2870</v>
      </c>
      <c r="P388" s="22" t="s">
        <v>1421</v>
      </c>
      <c r="Q388" s="22" t="s">
        <v>3104</v>
      </c>
      <c r="R388" s="22" t="s">
        <v>3141</v>
      </c>
      <c r="S388" s="7">
        <v>60000</v>
      </c>
      <c r="T388" s="7">
        <v>60000</v>
      </c>
      <c r="U388" s="7">
        <v>60000</v>
      </c>
      <c r="V388" s="7"/>
      <c r="W388" s="7"/>
      <c r="X388" s="7">
        <f t="shared" si="41"/>
        <v>0</v>
      </c>
      <c r="Y388" s="5">
        <f t="shared" si="37"/>
        <v>0</v>
      </c>
      <c r="Z388" s="35"/>
      <c r="AA388" s="29">
        <f>SUMPRODUCT((BIdetails!$J$5:$J$3000=M388)*(BIdetails!$K$5:$K$3000=N388)*(BIdetails!$M$5:$M$3000))</f>
        <v>0</v>
      </c>
      <c r="AB388" s="30">
        <f t="shared" si="42"/>
        <v>0</v>
      </c>
      <c r="AC388" s="27" t="s">
        <v>3099</v>
      </c>
      <c r="AD388" s="27" t="s">
        <v>3100</v>
      </c>
      <c r="AE388" s="27" t="s">
        <v>3101</v>
      </c>
      <c r="AF388" s="27"/>
    </row>
    <row r="389" spans="1:32" hidden="1" x14ac:dyDescent="0.25">
      <c r="A389" t="s">
        <v>3094</v>
      </c>
      <c r="B389" t="str">
        <f t="shared" si="40"/>
        <v>New</v>
      </c>
      <c r="C389" s="22" t="s">
        <v>2953</v>
      </c>
      <c r="E389">
        <v>68427709</v>
      </c>
      <c r="F389" s="283" t="s">
        <v>22</v>
      </c>
      <c r="G389" s="161" t="s">
        <v>100</v>
      </c>
      <c r="H389" s="161" t="s">
        <v>24</v>
      </c>
      <c r="I389" t="s">
        <v>2448</v>
      </c>
      <c r="J389" t="s">
        <v>3189</v>
      </c>
      <c r="K389" s="161">
        <v>196653</v>
      </c>
      <c r="L389" s="161" t="s">
        <v>102</v>
      </c>
      <c r="M389" s="203"/>
      <c r="O389" s="92" t="s">
        <v>2410</v>
      </c>
      <c r="P389" s="22"/>
      <c r="Q389" t="s">
        <v>3124</v>
      </c>
      <c r="R389" t="s">
        <v>2903</v>
      </c>
      <c r="S389" s="7"/>
      <c r="T389" s="7"/>
      <c r="U389" s="7">
        <v>2500</v>
      </c>
      <c r="V389" s="7"/>
      <c r="W389" s="7"/>
      <c r="X389" s="7">
        <f t="shared" si="41"/>
        <v>2500</v>
      </c>
      <c r="Y389" s="5">
        <f t="shared" si="37"/>
        <v>1</v>
      </c>
      <c r="Z389" s="21"/>
      <c r="AA389" s="29">
        <f>SUMPRODUCT((BIdetails!$J$5:$J$3000=M389)*(BIdetails!$K$5:$K$3000=N389)*(BIdetails!$M$5:$M$3000))</f>
        <v>0</v>
      </c>
      <c r="AB389" s="30">
        <f t="shared" si="42"/>
        <v>0</v>
      </c>
      <c r="AC389" s="27"/>
      <c r="AD389" s="27"/>
      <c r="AE389" s="27"/>
      <c r="AF389" s="27"/>
    </row>
    <row r="390" spans="1:32" hidden="1" x14ac:dyDescent="0.25">
      <c r="A390" t="s">
        <v>3094</v>
      </c>
      <c r="B390" t="str">
        <f t="shared" si="40"/>
        <v>Decrease</v>
      </c>
      <c r="C390" s="22" t="s">
        <v>808</v>
      </c>
      <c r="D390" t="s">
        <v>3702</v>
      </c>
      <c r="E390">
        <v>68427709</v>
      </c>
      <c r="F390" s="91" t="s">
        <v>59</v>
      </c>
      <c r="G390" t="s">
        <v>60</v>
      </c>
      <c r="H390" t="s">
        <v>46</v>
      </c>
      <c r="J390" t="s">
        <v>3703</v>
      </c>
      <c r="K390" s="22">
        <v>197331</v>
      </c>
      <c r="L390" s="22" t="s">
        <v>810</v>
      </c>
      <c r="M390" s="203">
        <v>5401018982</v>
      </c>
      <c r="N390" s="20">
        <v>20</v>
      </c>
      <c r="O390" s="22" t="s">
        <v>2870</v>
      </c>
      <c r="P390" s="22" t="s">
        <v>3244</v>
      </c>
      <c r="Q390" t="s">
        <v>3114</v>
      </c>
      <c r="R390" t="s">
        <v>3136</v>
      </c>
      <c r="S390" s="7">
        <v>225000</v>
      </c>
      <c r="T390" s="7">
        <v>240000</v>
      </c>
      <c r="U390" s="7">
        <v>40000</v>
      </c>
      <c r="V390" s="7"/>
      <c r="W390" s="7"/>
      <c r="X390" s="7">
        <f t="shared" si="41"/>
        <v>-200000</v>
      </c>
      <c r="Y390" s="5">
        <f t="shared" si="37"/>
        <v>-0.83333333333333337</v>
      </c>
      <c r="Z390" s="35"/>
      <c r="AA390" s="29">
        <f>SUMPRODUCT((BIdetails!$J$5:$J$3000=M390)*(BIdetails!$K$5:$K$3000=N390)*(BIdetails!$M$5:$M$3000))</f>
        <v>0</v>
      </c>
      <c r="AB390" s="30">
        <f t="shared" si="42"/>
        <v>0</v>
      </c>
      <c r="AC390" s="27"/>
      <c r="AD390" s="27"/>
      <c r="AE390" s="27"/>
      <c r="AF390" s="27"/>
    </row>
    <row r="391" spans="1:32" hidden="1" x14ac:dyDescent="0.25">
      <c r="A391" t="s">
        <v>3094</v>
      </c>
      <c r="B391" t="str">
        <f t="shared" si="40"/>
        <v>Increase</v>
      </c>
      <c r="C391" t="s">
        <v>2708</v>
      </c>
      <c r="D391" t="s">
        <v>3704</v>
      </c>
      <c r="E391">
        <v>68427709</v>
      </c>
      <c r="F391" s="91" t="s">
        <v>54</v>
      </c>
      <c r="G391" t="s">
        <v>55</v>
      </c>
      <c r="H391" t="s">
        <v>46</v>
      </c>
      <c r="J391" t="s">
        <v>2274</v>
      </c>
      <c r="K391">
        <v>191793</v>
      </c>
      <c r="L391" t="s">
        <v>3705</v>
      </c>
      <c r="M391">
        <v>5401023517</v>
      </c>
      <c r="N391" s="20">
        <v>10</v>
      </c>
      <c r="O391" t="s">
        <v>2870</v>
      </c>
      <c r="P391" t="s">
        <v>2135</v>
      </c>
      <c r="Q391" t="s">
        <v>3097</v>
      </c>
      <c r="R391" t="s">
        <v>3574</v>
      </c>
      <c r="S391" s="7">
        <v>280000</v>
      </c>
      <c r="T391" s="7">
        <v>308000</v>
      </c>
      <c r="U391" s="7">
        <v>438000</v>
      </c>
      <c r="V391" s="7"/>
      <c r="W391" s="7"/>
      <c r="X391" s="7">
        <f t="shared" si="41"/>
        <v>130000</v>
      </c>
      <c r="Y391" s="5">
        <f t="shared" si="37"/>
        <v>0.42207792207792205</v>
      </c>
      <c r="Z391" s="35"/>
      <c r="AA391" s="29">
        <f>SUMPRODUCT((BIdetails!$J$5:$J$3000=M391)*(BIdetails!$K$5:$K$3000=N391)*(BIdetails!$M$5:$M$3000))</f>
        <v>0</v>
      </c>
      <c r="AB391" s="30">
        <f t="shared" si="42"/>
        <v>0</v>
      </c>
      <c r="AC391" s="27"/>
      <c r="AD391" s="27"/>
      <c r="AE391" s="27"/>
      <c r="AF391" s="27"/>
    </row>
    <row r="392" spans="1:32" hidden="1" x14ac:dyDescent="0.25">
      <c r="A392" t="s">
        <v>3094</v>
      </c>
      <c r="B392" t="str">
        <f t="shared" si="40"/>
        <v>No Change</v>
      </c>
      <c r="C392" t="s">
        <v>2709</v>
      </c>
      <c r="D392" t="s">
        <v>3704</v>
      </c>
      <c r="E392">
        <v>68427709</v>
      </c>
      <c r="F392" s="91" t="s">
        <v>54</v>
      </c>
      <c r="G392" t="s">
        <v>55</v>
      </c>
      <c r="H392" t="s">
        <v>46</v>
      </c>
      <c r="J392" t="s">
        <v>2274</v>
      </c>
      <c r="K392">
        <v>191793</v>
      </c>
      <c r="L392" t="s">
        <v>3705</v>
      </c>
      <c r="M392" s="20">
        <v>5401023517</v>
      </c>
      <c r="N392" s="20">
        <v>10</v>
      </c>
      <c r="O392" t="s">
        <v>2870</v>
      </c>
      <c r="P392" t="s">
        <v>2135</v>
      </c>
      <c r="Q392" t="s">
        <v>3097</v>
      </c>
      <c r="R392" t="s">
        <v>3574</v>
      </c>
      <c r="S392" s="7">
        <v>100000</v>
      </c>
      <c r="T392" s="7">
        <v>60000</v>
      </c>
      <c r="U392" s="7">
        <v>60000</v>
      </c>
      <c r="V392" s="7"/>
      <c r="W392" s="7"/>
      <c r="X392" s="7">
        <f t="shared" si="41"/>
        <v>0</v>
      </c>
      <c r="Y392" s="5">
        <f t="shared" si="37"/>
        <v>0</v>
      </c>
      <c r="Z392" s="35"/>
      <c r="AA392" s="29">
        <f>SUMPRODUCT((BIdetails!$J$5:$J$3000=M392)*(BIdetails!$K$5:$K$3000=N392)*(BIdetails!$M$5:$M$3000))</f>
        <v>0</v>
      </c>
      <c r="AB392" s="30">
        <f t="shared" si="42"/>
        <v>0</v>
      </c>
      <c r="AC392" s="27" t="s">
        <v>845</v>
      </c>
      <c r="AD392" s="27" t="s">
        <v>3100</v>
      </c>
      <c r="AE392" s="27" t="s">
        <v>3118</v>
      </c>
      <c r="AF392" s="27"/>
    </row>
    <row r="393" spans="1:32" hidden="1" x14ac:dyDescent="0.25">
      <c r="A393" t="s">
        <v>3094</v>
      </c>
      <c r="B393" t="str">
        <f t="shared" si="40"/>
        <v>Decrease</v>
      </c>
      <c r="C393" t="s">
        <v>2710</v>
      </c>
      <c r="D393" t="s">
        <v>3706</v>
      </c>
      <c r="E393">
        <v>68427709</v>
      </c>
      <c r="F393" s="96" t="s">
        <v>54</v>
      </c>
      <c r="G393" s="92" t="s">
        <v>55</v>
      </c>
      <c r="H393" s="22" t="s">
        <v>46</v>
      </c>
      <c r="J393" t="s">
        <v>2274</v>
      </c>
      <c r="K393">
        <v>191793</v>
      </c>
      <c r="L393" t="s">
        <v>3705</v>
      </c>
      <c r="M393">
        <v>5401087935</v>
      </c>
      <c r="N393" s="20">
        <v>30</v>
      </c>
      <c r="O393" t="s">
        <v>2870</v>
      </c>
      <c r="P393" s="22" t="s">
        <v>2135</v>
      </c>
      <c r="Q393" t="s">
        <v>3097</v>
      </c>
      <c r="R393" s="92" t="s">
        <v>3574</v>
      </c>
      <c r="S393" s="7">
        <v>152000</v>
      </c>
      <c r="T393" s="7">
        <v>302000</v>
      </c>
      <c r="U393" s="7">
        <v>152000</v>
      </c>
      <c r="V393" s="7"/>
      <c r="W393" s="7"/>
      <c r="X393" s="7">
        <f t="shared" si="41"/>
        <v>-150000</v>
      </c>
      <c r="Y393" s="5">
        <f t="shared" ref="Y393:Y404" si="43">IF(B393="New",1,IFERROR(X393/T393,0))</f>
        <v>-0.49668874172185429</v>
      </c>
      <c r="Z393" s="35"/>
      <c r="AA393" s="29">
        <f>SUMPRODUCT((BIdetails!$J$5:$J$3000=M393)*(BIdetails!$K$5:$K$3000=N393)*(BIdetails!$M$5:$M$3000))</f>
        <v>0</v>
      </c>
      <c r="AB393" s="30">
        <f t="shared" si="42"/>
        <v>0</v>
      </c>
      <c r="AC393" s="27"/>
      <c r="AD393" s="27"/>
      <c r="AE393" s="27"/>
      <c r="AF393" s="27"/>
    </row>
    <row r="394" spans="1:32" hidden="1" x14ac:dyDescent="0.25">
      <c r="A394" t="s">
        <v>3094</v>
      </c>
      <c r="B394" t="str">
        <f t="shared" si="40"/>
        <v>No Change</v>
      </c>
      <c r="C394" t="s">
        <v>1481</v>
      </c>
      <c r="D394" t="s">
        <v>3707</v>
      </c>
      <c r="E394">
        <v>68427709</v>
      </c>
      <c r="F394" s="91" t="s">
        <v>59</v>
      </c>
      <c r="G394" t="s">
        <v>60</v>
      </c>
      <c r="H394" t="s">
        <v>46</v>
      </c>
      <c r="J394" t="s">
        <v>3708</v>
      </c>
      <c r="K394">
        <v>212788</v>
      </c>
      <c r="L394" t="s">
        <v>3709</v>
      </c>
      <c r="M394" s="20">
        <v>5401063687</v>
      </c>
      <c r="N394" s="20">
        <v>10</v>
      </c>
      <c r="O394" s="22" t="s">
        <v>2870</v>
      </c>
      <c r="P394" s="22" t="s">
        <v>2500</v>
      </c>
      <c r="Q394" t="s">
        <v>3114</v>
      </c>
      <c r="R394" t="s">
        <v>3175</v>
      </c>
      <c r="S394" s="7">
        <v>23000</v>
      </c>
      <c r="T394" s="7">
        <v>25000</v>
      </c>
      <c r="U394" s="7">
        <v>25000</v>
      </c>
      <c r="V394" s="7"/>
      <c r="W394" s="7"/>
      <c r="X394" s="7">
        <f t="shared" si="41"/>
        <v>0</v>
      </c>
      <c r="Y394" s="5">
        <f t="shared" si="43"/>
        <v>0</v>
      </c>
      <c r="Z394" s="35"/>
      <c r="AA394" s="29">
        <f>SUMPRODUCT((BIdetails!$J$5:$J$3000=M394)*(BIdetails!$K$5:$K$3000=N394)*(BIdetails!$M$5:$M$3000))</f>
        <v>0</v>
      </c>
      <c r="AB394" s="30">
        <f t="shared" si="42"/>
        <v>0</v>
      </c>
      <c r="AC394" s="27"/>
      <c r="AD394" s="27"/>
      <c r="AE394" s="27"/>
      <c r="AF394" s="27"/>
    </row>
    <row r="395" spans="1:32" hidden="1" x14ac:dyDescent="0.25">
      <c r="C395" s="22"/>
      <c r="F395" s="91"/>
      <c r="H395" s="92"/>
      <c r="L395" s="22"/>
      <c r="M395" s="203"/>
      <c r="O395" s="92"/>
      <c r="P395" s="22"/>
      <c r="S395" s="7"/>
      <c r="T395" s="7"/>
      <c r="U395" s="7"/>
      <c r="V395" s="7"/>
      <c r="W395" s="7"/>
      <c r="X395" s="7">
        <f t="shared" si="41"/>
        <v>0</v>
      </c>
      <c r="Y395" s="5">
        <f t="shared" si="43"/>
        <v>0</v>
      </c>
      <c r="Z395" s="21"/>
      <c r="AA395" s="29"/>
      <c r="AB395" s="30"/>
      <c r="AC395" s="27"/>
      <c r="AD395" s="27"/>
      <c r="AE395" s="27"/>
      <c r="AF395" s="27"/>
    </row>
    <row r="396" spans="1:32" hidden="1" x14ac:dyDescent="0.25">
      <c r="C396" s="22"/>
      <c r="F396" s="91"/>
      <c r="H396" s="92"/>
      <c r="L396" s="22"/>
      <c r="M396" s="203"/>
      <c r="O396" s="92"/>
      <c r="P396" s="22"/>
      <c r="S396" s="7"/>
      <c r="T396" s="7"/>
      <c r="U396" s="7"/>
      <c r="V396" s="7"/>
      <c r="W396" s="7"/>
      <c r="X396" s="7">
        <f t="shared" si="41"/>
        <v>0</v>
      </c>
      <c r="Y396" s="5">
        <f t="shared" si="43"/>
        <v>0</v>
      </c>
      <c r="Z396" s="21"/>
      <c r="AA396" s="29"/>
      <c r="AB396" s="30"/>
      <c r="AC396" s="27"/>
      <c r="AD396" s="27"/>
      <c r="AE396" s="27"/>
      <c r="AF396" s="27"/>
    </row>
    <row r="397" spans="1:32" hidden="1" x14ac:dyDescent="0.25">
      <c r="C397" s="22"/>
      <c r="F397" s="91"/>
      <c r="H397" s="92"/>
      <c r="L397" s="22"/>
      <c r="M397" s="203"/>
      <c r="O397" s="92"/>
      <c r="P397" s="22"/>
      <c r="S397" s="7"/>
      <c r="T397" s="7"/>
      <c r="U397" s="7"/>
      <c r="V397" s="7"/>
      <c r="W397" s="7"/>
      <c r="X397" s="7">
        <f t="shared" si="41"/>
        <v>0</v>
      </c>
      <c r="Y397" s="5">
        <f t="shared" si="43"/>
        <v>0</v>
      </c>
      <c r="Z397" s="21"/>
      <c r="AA397" s="29"/>
      <c r="AB397" s="30"/>
      <c r="AC397" s="27"/>
      <c r="AD397" s="27"/>
      <c r="AE397" s="27"/>
      <c r="AF397" s="27"/>
    </row>
    <row r="398" spans="1:32" hidden="1" x14ac:dyDescent="0.25">
      <c r="C398" s="22"/>
      <c r="F398" s="91"/>
      <c r="H398" s="92"/>
      <c r="L398" s="22"/>
      <c r="M398" s="203"/>
      <c r="O398" s="92"/>
      <c r="P398" s="22"/>
      <c r="S398" s="7"/>
      <c r="T398" s="7"/>
      <c r="U398" s="7"/>
      <c r="V398" s="7"/>
      <c r="W398" s="7"/>
      <c r="X398" s="7">
        <f t="shared" si="41"/>
        <v>0</v>
      </c>
      <c r="Y398" s="5">
        <f t="shared" si="43"/>
        <v>0</v>
      </c>
      <c r="Z398" s="21"/>
      <c r="AA398" s="29"/>
      <c r="AB398" s="30"/>
      <c r="AC398" s="27"/>
      <c r="AD398" s="27"/>
      <c r="AE398" s="27"/>
      <c r="AF398" s="27"/>
    </row>
    <row r="399" spans="1:32" hidden="1" x14ac:dyDescent="0.25">
      <c r="C399" s="22"/>
      <c r="F399" s="91"/>
      <c r="H399" s="92"/>
      <c r="L399" s="22"/>
      <c r="M399" s="203"/>
      <c r="O399" s="92"/>
      <c r="P399" s="22"/>
      <c r="S399" s="7"/>
      <c r="T399" s="7"/>
      <c r="U399" s="7"/>
      <c r="V399" s="7"/>
      <c r="W399" s="7"/>
      <c r="X399" s="7">
        <f t="shared" si="41"/>
        <v>0</v>
      </c>
      <c r="Y399" s="5">
        <f t="shared" si="43"/>
        <v>0</v>
      </c>
      <c r="Z399" s="21"/>
      <c r="AA399" s="29"/>
      <c r="AB399" s="30"/>
      <c r="AC399" s="27"/>
      <c r="AD399" s="27"/>
      <c r="AE399" s="27"/>
      <c r="AF399" s="27"/>
    </row>
    <row r="400" spans="1:32" hidden="1" x14ac:dyDescent="0.25">
      <c r="C400" s="230"/>
      <c r="F400" s="91"/>
      <c r="H400" s="92"/>
      <c r="L400" s="22"/>
      <c r="M400" s="203"/>
      <c r="O400" s="92"/>
      <c r="P400" s="22"/>
      <c r="S400" s="7"/>
      <c r="T400" s="7"/>
      <c r="U400" s="7"/>
      <c r="V400" s="7"/>
      <c r="W400" s="7"/>
      <c r="X400" s="7">
        <f t="shared" si="41"/>
        <v>0</v>
      </c>
      <c r="Y400" s="5">
        <f t="shared" si="43"/>
        <v>0</v>
      </c>
      <c r="Z400" s="21"/>
      <c r="AA400" s="29"/>
      <c r="AB400" s="30"/>
      <c r="AC400" s="27"/>
      <c r="AD400" s="27"/>
      <c r="AE400" s="27"/>
      <c r="AF400" s="27"/>
    </row>
    <row r="401" spans="1:32" hidden="1" x14ac:dyDescent="0.25">
      <c r="C401" s="22"/>
      <c r="F401" s="91"/>
      <c r="H401" s="92"/>
      <c r="L401" s="22"/>
      <c r="M401" s="203"/>
      <c r="O401" s="92"/>
      <c r="P401" s="22"/>
      <c r="S401" s="7"/>
      <c r="T401" s="7"/>
      <c r="U401" s="7"/>
      <c r="V401" s="7"/>
      <c r="W401" s="7"/>
      <c r="X401" s="7">
        <f t="shared" si="41"/>
        <v>0</v>
      </c>
      <c r="Y401" s="5">
        <f t="shared" si="43"/>
        <v>0</v>
      </c>
      <c r="Z401" s="21"/>
      <c r="AA401" s="29"/>
      <c r="AB401" s="30"/>
      <c r="AC401" s="27"/>
      <c r="AD401" s="27"/>
      <c r="AE401" s="27"/>
      <c r="AF401" s="27"/>
    </row>
    <row r="402" spans="1:32" hidden="1" x14ac:dyDescent="0.25">
      <c r="C402" s="22"/>
      <c r="F402" s="91"/>
      <c r="H402" s="92"/>
      <c r="L402" s="22"/>
      <c r="M402" s="203"/>
      <c r="O402" s="92"/>
      <c r="P402" s="22"/>
      <c r="R402" s="27"/>
      <c r="S402" s="7"/>
      <c r="T402" s="7"/>
      <c r="U402" s="7"/>
      <c r="V402" s="7"/>
      <c r="W402" s="7"/>
      <c r="X402" s="7">
        <f t="shared" si="41"/>
        <v>0</v>
      </c>
      <c r="Y402" s="5">
        <f t="shared" si="43"/>
        <v>0</v>
      </c>
      <c r="Z402" s="21"/>
      <c r="AA402" s="29"/>
      <c r="AB402" s="30" t="str">
        <f>IF(U402=0,"",(AA402/U402))</f>
        <v/>
      </c>
      <c r="AC402" s="27"/>
      <c r="AD402" s="27"/>
      <c r="AE402" s="27"/>
      <c r="AF402" s="27"/>
    </row>
    <row r="403" spans="1:32" hidden="1" x14ac:dyDescent="0.25">
      <c r="C403" s="22"/>
      <c r="F403" s="91"/>
      <c r="H403" s="92"/>
      <c r="L403" s="22"/>
      <c r="M403" s="203"/>
      <c r="O403" s="92"/>
      <c r="P403" s="22"/>
      <c r="R403" s="27"/>
      <c r="S403" s="7"/>
      <c r="T403" s="7"/>
      <c r="U403" s="7"/>
      <c r="V403" s="7"/>
      <c r="W403" s="7"/>
      <c r="X403" s="7">
        <f t="shared" si="41"/>
        <v>0</v>
      </c>
      <c r="Y403" s="5">
        <f t="shared" si="43"/>
        <v>0</v>
      </c>
      <c r="Z403" s="21"/>
      <c r="AA403" s="29"/>
      <c r="AB403" s="30" t="str">
        <f>IF(U403=0,"",(AA403/U403))</f>
        <v/>
      </c>
      <c r="AC403" s="27"/>
      <c r="AD403" s="27"/>
      <c r="AE403" s="27"/>
      <c r="AF403" s="27"/>
    </row>
    <row r="404" spans="1:32" s="8" customFormat="1" hidden="1" x14ac:dyDescent="0.25">
      <c r="A404"/>
      <c r="B404"/>
      <c r="C404" s="22"/>
      <c r="D404"/>
      <c r="E404"/>
      <c r="F404" s="91"/>
      <c r="G404"/>
      <c r="H404" s="92"/>
      <c r="I404"/>
      <c r="J404"/>
      <c r="K404"/>
      <c r="L404" s="22"/>
      <c r="M404" s="203"/>
      <c r="N404" s="20"/>
      <c r="O404" s="92"/>
      <c r="P404" s="22"/>
      <c r="Q404"/>
      <c r="R404" s="27"/>
      <c r="S404" s="235"/>
      <c r="T404" s="235"/>
      <c r="U404" s="235"/>
      <c r="V404" s="235"/>
      <c r="W404" s="235"/>
      <c r="X404" s="235">
        <f t="shared" si="41"/>
        <v>0</v>
      </c>
      <c r="Y404" s="236">
        <f t="shared" si="43"/>
        <v>0</v>
      </c>
      <c r="Z404"/>
      <c r="AA404" s="237"/>
      <c r="AB404" s="30" t="str">
        <f>IF(U404=0,"",(AA404/U404))</f>
        <v/>
      </c>
      <c r="AC404" s="27"/>
      <c r="AD404" s="27"/>
      <c r="AE404" s="27"/>
      <c r="AF404" s="27"/>
    </row>
    <row r="405" spans="1:32" x14ac:dyDescent="0.25">
      <c r="C405" s="22"/>
      <c r="I405" s="22"/>
      <c r="J405" s="22"/>
      <c r="K405" s="23"/>
      <c r="L405" s="22"/>
      <c r="M405" s="24"/>
      <c r="N405" s="24"/>
      <c r="U405" s="1">
        <f>SUBTOTAL(109, U2:U394)</f>
        <v>2708500</v>
      </c>
      <c r="W405" s="1">
        <f>SUBTOTAL(109, W2:W394)</f>
        <v>2853072</v>
      </c>
      <c r="X405" s="1">
        <f>SUBTOTAL(109, X2:X394)</f>
        <v>144572</v>
      </c>
      <c r="AA405" s="36"/>
    </row>
    <row r="406" spans="1:32" x14ac:dyDescent="0.25">
      <c r="C406" s="23"/>
      <c r="I406" s="23"/>
      <c r="J406" s="23"/>
      <c r="K406" s="23"/>
      <c r="L406" s="23"/>
      <c r="M406" s="205"/>
      <c r="N406" s="205"/>
      <c r="S406"/>
      <c r="T406"/>
      <c r="U406"/>
      <c r="V406"/>
      <c r="W406"/>
    </row>
    <row r="407" spans="1:32" x14ac:dyDescent="0.25">
      <c r="C407" s="23"/>
      <c r="I407" s="23"/>
      <c r="J407" s="23"/>
      <c r="K407" s="23"/>
      <c r="L407" s="23"/>
      <c r="M407" s="205"/>
      <c r="N407" s="205"/>
      <c r="S407"/>
      <c r="T407"/>
      <c r="U407"/>
      <c r="V407"/>
      <c r="W407"/>
      <c r="Z407" s="200"/>
    </row>
    <row r="408" spans="1:32" x14ac:dyDescent="0.25">
      <c r="C408" s="25" t="s">
        <v>3711</v>
      </c>
      <c r="I408" s="25"/>
      <c r="J408" s="25"/>
      <c r="S408"/>
      <c r="T408"/>
      <c r="U408"/>
      <c r="V408"/>
      <c r="W408"/>
      <c r="Y408" s="1"/>
    </row>
  </sheetData>
  <autoFilter ref="A1:AF404" xr:uid="{00000000-0001-0000-0500-000000000000}">
    <filterColumn colId="14">
      <filters>
        <filter val="Diego"/>
      </filters>
    </filterColumn>
  </autoFilter>
  <sortState xmlns:xlrd2="http://schemas.microsoft.com/office/spreadsheetml/2017/richdata2" ref="A2:Z303">
    <sortCondition ref="F2:F303"/>
  </sortState>
  <phoneticPr fontId="23" type="noConversion"/>
  <dataValidations disablePrompts="1" count="4">
    <dataValidation type="list" allowBlank="1" showInputMessage="1" showErrorMessage="1" sqref="AP191 BF191 BV191 CL191 DB191 DR191 EH191 EX191 FN191 GD191 GT191 HJ191 HZ191 IP191 JF191 JV191 KL191 LB191 LR191 MH191 MX191 NN191 OD191 OT191 PJ191 PZ191 QP191 RF191 RV191 SL191 TB191 TR191 UH191 UX191 VN191 WD191 WT191 XJ191 XZ191 YP191 ZF191 ZV191 AAL191 ABB191 ABR191 ACH191 ACX191 ADN191 AED191 AET191 AFJ191 AFZ191 AGP191 AHF191 AHV191 AIL191 AJB191 AJR191 AKH191 AKX191 ALN191 AMD191 AMT191 ANJ191 ANZ191 AOP191 APF191 APV191 AQL191 ARB191 ARR191 ASH191 ASX191 ATN191 AUD191 AUT191 AVJ191 AVZ191 AWP191 AXF191 AXV191 AYL191 AZB191 AZR191 BAH191 BAX191 BBN191 BCD191 BCT191 BDJ191 BDZ191 BEP191 BFF191 BFV191 BGL191 BHB191 BHR191 BIH191 BIX191 BJN191 BKD191 BKT191 BLJ191 BLZ191 BMP191 BNF191 BNV191 BOL191 BPB191 BPR191 BQH191 BQX191 BRN191 BSD191 BST191 BTJ191 BTZ191 BUP191 BVF191 BVV191 BWL191 BXB191 BXR191 BYH191 BYX191 BZN191 CAD191 CAT191 CBJ191 CBZ191 CCP191 CDF191 CDV191 CEL191 CFB191 CFR191 CGH191 CGX191 CHN191 CID191 CIT191 CJJ191 CJZ191 CKP191 CLF191 CLV191 CML191 CNB191 CNR191 COH191 COX191 CPN191 CQD191 CQT191 CRJ191 CRZ191 CSP191 CTF191 CTV191 CUL191 CVB191 CVR191 CWH191 CWX191 CXN191 CYD191 CYT191 CZJ191 CZZ191 DAP191 DBF191 DBV191 DCL191 DDB191 DDR191 DEH191 DEX191 DFN191 DGD191 DGT191 DHJ191 DHZ191 DIP191 DJF191 DJV191 DKL191 DLB191 DLR191 DMH191 DMX191 DNN191 DOD191 DOT191 DPJ191 DPZ191 DQP191 DRF191 DRV191 DSL191 DTB191 DTR191 DUH191 DUX191 DVN191 DWD191 DWT191 DXJ191 DXZ191 DYP191 DZF191 DZV191 EAL191 EBB191 EBR191 ECH191 ECX191 EDN191 EED191 EET191 EFJ191 EFZ191 EGP191 EHF191 EHV191 EIL191 EJB191 EJR191 EKH191 EKX191 ELN191 EMD191 EMT191 ENJ191 ENZ191 EOP191 EPF191 EPV191 EQL191 ERB191 ERR191 ESH191 ESX191 ETN191 EUD191 EUT191 EVJ191 EVZ191 EWP191 EXF191 EXV191 EYL191 EZB191 EZR191 FAH191 FAX191 FBN191 FCD191 FCT191 FDJ191 FDZ191 FEP191 FFF191 FFV191 FGL191 FHB191 FHR191 FIH191 FIX191 FJN191 FKD191 FKT191 FLJ191 FLZ191 FMP191 FNF191 FNV191 FOL191 FPB191 FPR191 FQH191 FQX191 FRN191 FSD191 FST191 FTJ191 FTZ191 FUP191 FVF191 FVV191 FWL191 FXB191 FXR191 FYH191 FYX191 FZN191 GAD191 GAT191 GBJ191 GBZ191 GCP191 GDF191 GDV191 GEL191 GFB191 GFR191 GGH191 GGX191 GHN191 GID191 GIT191 GJJ191 GJZ191 GKP191 GLF191 GLV191 GML191 GNB191 GNR191 GOH191 GOX191 GPN191 GQD191 GQT191 GRJ191 GRZ191 GSP191 GTF191 GTV191 GUL191 GVB191 GVR191 GWH191 GWX191 GXN191 GYD191 GYT191 GZJ191 GZZ191 HAP191 HBF191 HBV191 HCL191 HDB191 HDR191 HEH191 HEX191 HFN191 HGD191 HGT191 HHJ191 HHZ191 HIP191 HJF191 HJV191 HKL191 HLB191 HLR191 HMH191 HMX191 HNN191 HOD191 HOT191 HPJ191 HPZ191 HQP191 HRF191 HRV191 HSL191 HTB191 HTR191 HUH191 HUX191 HVN191 HWD191 HWT191 HXJ191 HXZ191 HYP191 HZF191 HZV191 IAL191 IBB191 IBR191 ICH191 ICX191 IDN191 IED191 IET191 IFJ191 IFZ191 IGP191 IHF191 IHV191 IIL191 IJB191 IJR191 IKH191 IKX191 ILN191 IMD191 IMT191 INJ191 INZ191 IOP191 IPF191 IPV191 IQL191 IRB191 IRR191 ISH191 ISX191 ITN191 IUD191 IUT191 IVJ191 IVZ191 IWP191 IXF191 IXV191 IYL191 IZB191 IZR191 JAH191 JAX191 JBN191 JCD191 JCT191 JDJ191 JDZ191 JEP191 JFF191 JFV191 JGL191 JHB191 JHR191 JIH191 JIX191 JJN191 JKD191 JKT191 JLJ191 JLZ191 JMP191 JNF191 JNV191 JOL191 JPB191 JPR191 JQH191 JQX191 JRN191 JSD191 JST191 JTJ191 JTZ191 JUP191 JVF191 JVV191 JWL191 JXB191 JXR191 JYH191 JYX191 JZN191 KAD191 KAT191 KBJ191 KBZ191 KCP191 KDF191 KDV191 KEL191 KFB191 KFR191 KGH191 KGX191 KHN191 KID191 KIT191 KJJ191 KJZ191 KKP191 KLF191 KLV191 KML191 KNB191 KNR191 KOH191 KOX191 KPN191 KQD191 KQT191 KRJ191 KRZ191 KSP191 KTF191 KTV191 KUL191 KVB191 KVR191 KWH191 KWX191 KXN191 KYD191 KYT191 KZJ191 KZZ191 LAP191 LBF191 LBV191 LCL191 LDB191 LDR191 LEH191 LEX191 LFN191 LGD191 LGT191 LHJ191 LHZ191 LIP191 LJF191 LJV191 LKL191 LLB191 LLR191 LMH191 LMX191 LNN191 LOD191 LOT191 LPJ191 LPZ191 LQP191 LRF191 LRV191 LSL191 LTB191 LTR191 LUH191 LUX191 LVN191 LWD191 LWT191 LXJ191 LXZ191 LYP191 LZF191 LZV191 MAL191 MBB191 MBR191 MCH191 MCX191 MDN191 MED191 MET191 MFJ191 MFZ191 MGP191 MHF191 MHV191 MIL191 MJB191 MJR191 MKH191 MKX191 MLN191 MMD191 MMT191 MNJ191 MNZ191 MOP191 MPF191 MPV191 MQL191 MRB191 MRR191 MSH191 MSX191 MTN191 MUD191 MUT191 MVJ191 MVZ191 MWP191 MXF191 MXV191 MYL191 MZB191 MZR191 NAH191 NAX191 NBN191 NCD191 NCT191 NDJ191 NDZ191 NEP191 NFF191 NFV191 NGL191 NHB191 NHR191 NIH191 NIX191 NJN191 NKD191 NKT191 NLJ191 NLZ191 NMP191 NNF191 NNV191 NOL191 NPB191 NPR191 NQH191 NQX191 NRN191 NSD191 NST191 NTJ191 NTZ191 NUP191 NVF191 NVV191 NWL191 NXB191 NXR191 NYH191 NYX191 NZN191 OAD191 OAT191 OBJ191 OBZ191 OCP191 ODF191 ODV191 OEL191 OFB191 OFR191 OGH191 OGX191 OHN191 OID191 OIT191 OJJ191 OJZ191 OKP191 OLF191 OLV191 OML191 ONB191 ONR191 OOH191 OOX191 OPN191 OQD191 OQT191 ORJ191 ORZ191 OSP191 OTF191 OTV191 OUL191 OVB191 OVR191 OWH191 OWX191 OXN191 OYD191 OYT191 OZJ191 OZZ191 PAP191 PBF191 PBV191 PCL191 PDB191 PDR191 PEH191 PEX191 PFN191 PGD191 PGT191 PHJ191 PHZ191 PIP191 PJF191 PJV191 PKL191 PLB191 PLR191 PMH191 PMX191 PNN191 POD191 POT191 PPJ191 PPZ191 PQP191 PRF191 PRV191 PSL191 PTB191 PTR191 PUH191 PUX191 PVN191 PWD191 PWT191 PXJ191 PXZ191 PYP191 PZF191 PZV191 QAL191 QBB191 QBR191 QCH191 QCX191 QDN191 QED191 QET191 QFJ191 QFZ191 QGP191 QHF191 QHV191 QIL191 QJB191 QJR191 QKH191 QKX191 QLN191 QMD191 QMT191 QNJ191 QNZ191 QOP191 QPF191 QPV191 QQL191 QRB191 QRR191 QSH191 QSX191 QTN191 QUD191 QUT191 QVJ191 QVZ191 QWP191 QXF191 QXV191 QYL191 QZB191 QZR191 RAH191 RAX191 RBN191 RCD191 RCT191 RDJ191 RDZ191 REP191 RFF191 RFV191 RGL191 RHB191 RHR191 RIH191 RIX191 RJN191 RKD191 RKT191 RLJ191 RLZ191 RMP191 RNF191 RNV191 ROL191 RPB191 RPR191 RQH191 RQX191 RRN191 RSD191 RST191 RTJ191 RTZ191 RUP191 RVF191 RVV191 RWL191 RXB191 RXR191 RYH191 RYX191 RZN191 SAD191 SAT191 SBJ191 SBZ191 SCP191 SDF191 SDV191 SEL191 SFB191 SFR191 SGH191 SGX191 SHN191 SID191 SIT191 SJJ191 SJZ191 SKP191 SLF191 SLV191 SML191 SNB191 SNR191 SOH191 SOX191 SPN191 SQD191 SQT191 SRJ191 SRZ191 SSP191 STF191 STV191 SUL191 SVB191 SVR191 SWH191 SWX191 SXN191 SYD191 SYT191 SZJ191 SZZ191 TAP191 TBF191 TBV191 TCL191 TDB191 TDR191 TEH191 TEX191 TFN191 TGD191 TGT191 THJ191 THZ191 TIP191 TJF191 TJV191 TKL191 TLB191 TLR191 TMH191 TMX191 TNN191 TOD191 TOT191 TPJ191 TPZ191 TQP191 TRF191 TRV191 TSL191 TTB191 TTR191 TUH191 TUX191 TVN191 TWD191 TWT191 TXJ191 TXZ191 TYP191 TZF191 TZV191 UAL191 UBB191 UBR191 UCH191 UCX191 UDN191 UED191 UET191 UFJ191 UFZ191 UGP191 UHF191 UHV191 UIL191 UJB191 UJR191 UKH191 UKX191 ULN191 UMD191 UMT191 UNJ191 UNZ191 UOP191 UPF191 UPV191 UQL191 URB191 URR191 USH191 USX191 UTN191 UUD191 UUT191 UVJ191 UVZ191 UWP191 UXF191 UXV191 UYL191 UZB191 UZR191 VAH191 VAX191 VBN191 VCD191 VCT191 VDJ191 VDZ191 VEP191 VFF191 VFV191 VGL191 VHB191 VHR191 VIH191 VIX191 VJN191 VKD191 VKT191 VLJ191 VLZ191 VMP191 VNF191 VNV191 VOL191 VPB191 VPR191 VQH191 VQX191 VRN191 VSD191 VST191 VTJ191 VTZ191 VUP191 VVF191 VVV191 VWL191 VXB191 VXR191 VYH191 VYX191 VZN191 WAD191 WAT191 WBJ191 WBZ191 WCP191 WDF191 WDV191 WEL191 WFB191 WFR191 WGH191 WGX191 WHN191 WID191 WIT191 WJJ191 WJZ191 WKP191 WLF191 WLV191 WML191 WNB191 WNR191 WOH191 WOX191 WPN191 WQD191 WQT191 WRJ191 WRZ191 WSP191 WTF191 WTV191 WUL191 WVB191 WVR191 WWH191 WWX191 WXN191 WYD191 WYT191 WZJ191 WZZ191 XAP191 XBF191 XBV191 XCL191 XDB191 XDR191 XEH191 XEX191" xr:uid="{00000000-0002-0000-0500-000000000000}">
      <formula1>INv_SCHEDULE</formula1>
    </dataValidation>
    <dataValidation type="list" allowBlank="1" showInputMessage="1" showErrorMessage="1" sqref="AC2:AC403" xr:uid="{4D371A4A-D91B-4BD6-9F81-21D2C78287D9}">
      <formula1>"Monthly,Quarterly,Half-Year,Yearly,2-Year,3-Year"</formula1>
    </dataValidation>
    <dataValidation type="list" allowBlank="1" showInputMessage="1" showErrorMessage="1" sqref="AE2:AE403" xr:uid="{48EDF670-C37C-4A8B-8F26-37896D979EE4}">
      <formula1>"Post,Pre,Spot"</formula1>
    </dataValidation>
    <dataValidation type="list" allowBlank="1" showInputMessage="1" showErrorMessage="1" sqref="AD2:AD403" xr:uid="{D8159216-16BA-4EAD-94A5-B1459D7645E9}">
      <formula1>"GR,GR Without Invoice,Pre paid"</formula1>
    </dataValidation>
  </dataValidations>
  <hyperlinks>
    <hyperlink ref="J60" r:id="rId1" display="https://eur03.safelinks.protection.outlook.com/?url=https%3A%2F%2Fjde.service-now.com%2Fcmdb_ci_appl.do%3Fsys_id%3D76ba32c3db53dbc0c83f81cc0b9619e4%26sysparm_record_target%3Dcmdb_ci_appl%26sysparm_record_row%3D1%26sysparm_record_rows%3D48%26sysparm_record_list%3Dsys_class_name%253Dcmdb_ci_appl%255Ename%253E%253Dwebs%255EORDERBYname&amp;data=04%7C01%7CLieke.Koers%40JDEcoffee.com%7Ca721be8a6c204b32a5c208d950fcc16d%7C22d30701ec5e4bdcba4fb9234053b0a9%7C1%7C0%7C637629868765051768%7CUnknown%7CTWFpbGZsb3d8eyJWIjoiMC4wLjAwMDAiLCJQIjoiV2luMzIiLCJBTiI6Ik1haWwiLCJXVCI6Mn0%3D%7C1000&amp;sdata=LcgCp0NdvQSxiuC%2FKSc%2FfT%2Blwm%2FXH2izP40%2FJLxubyk%3D&amp;reserved=0" xr:uid="{55E873DD-FFC0-49BE-98FC-FF2690C48724}"/>
  </hyperlinks>
  <pageMargins left="0.7" right="0.7" top="0.75" bottom="0.75" header="0.3" footer="0.3"/>
  <pageSetup paperSize="9" orientation="portrait" r:id="rId2"/>
  <customProperties>
    <customPr name="_pios_id" r:id="rId3"/>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30"/>
  <sheetViews>
    <sheetView workbookViewId="0">
      <selection activeCell="M6" sqref="M6"/>
    </sheetView>
  </sheetViews>
  <sheetFormatPr defaultColWidth="8.85546875" defaultRowHeight="15" x14ac:dyDescent="0.25"/>
  <cols>
    <col min="1" max="1" width="14.42578125" bestFit="1" customWidth="1"/>
    <col min="3" max="3" width="16.42578125" customWidth="1"/>
    <col min="6" max="6" width="15.42578125" customWidth="1"/>
    <col min="11" max="11" width="13.42578125" bestFit="1" customWidth="1"/>
    <col min="12" max="12" width="15.42578125" bestFit="1" customWidth="1"/>
    <col min="14" max="14" width="13.42578125" customWidth="1"/>
  </cols>
  <sheetData>
    <row r="1" spans="1:14" ht="30.75" thickBot="1" x14ac:dyDescent="0.3">
      <c r="A1" s="17" t="s">
        <v>3090</v>
      </c>
      <c r="B1" s="18" t="s">
        <v>3092</v>
      </c>
      <c r="C1" s="19" t="s">
        <v>3712</v>
      </c>
      <c r="F1" s="34" t="s">
        <v>3713</v>
      </c>
      <c r="G1" s="34" t="s">
        <v>3714</v>
      </c>
      <c r="H1" s="34" t="s">
        <v>3715</v>
      </c>
      <c r="K1" s="34" t="s">
        <v>3079</v>
      </c>
      <c r="L1" s="34" t="s">
        <v>3716</v>
      </c>
      <c r="N1" s="34" t="s">
        <v>3716</v>
      </c>
    </row>
    <row r="2" spans="1:14" x14ac:dyDescent="0.25">
      <c r="A2" s="9" t="s">
        <v>3099</v>
      </c>
      <c r="B2" s="10" t="s">
        <v>3101</v>
      </c>
      <c r="C2" s="11" t="s">
        <v>3100</v>
      </c>
      <c r="F2" t="s">
        <v>3717</v>
      </c>
      <c r="G2" t="s">
        <v>3718</v>
      </c>
      <c r="H2" t="s">
        <v>3719</v>
      </c>
      <c r="K2" t="s">
        <v>2410</v>
      </c>
      <c r="L2" t="s">
        <v>3720</v>
      </c>
      <c r="N2" t="s">
        <v>3720</v>
      </c>
    </row>
    <row r="3" spans="1:14" x14ac:dyDescent="0.25">
      <c r="A3" s="12" t="s">
        <v>845</v>
      </c>
      <c r="B3" t="s">
        <v>3163</v>
      </c>
      <c r="C3" s="13" t="s">
        <v>3108</v>
      </c>
      <c r="K3" t="s">
        <v>3721</v>
      </c>
      <c r="L3" t="s">
        <v>42</v>
      </c>
      <c r="N3" t="s">
        <v>42</v>
      </c>
    </row>
    <row r="4" spans="1:14" x14ac:dyDescent="0.25">
      <c r="A4" s="12" t="s">
        <v>3110</v>
      </c>
      <c r="B4" t="s">
        <v>3118</v>
      </c>
      <c r="C4" s="13" t="s">
        <v>3722</v>
      </c>
      <c r="K4" t="s">
        <v>3132</v>
      </c>
      <c r="L4" t="s">
        <v>3720</v>
      </c>
      <c r="N4" t="s">
        <v>1046</v>
      </c>
    </row>
    <row r="5" spans="1:14" x14ac:dyDescent="0.25">
      <c r="A5" s="12" t="s">
        <v>3317</v>
      </c>
      <c r="C5" s="13" t="s">
        <v>3162</v>
      </c>
      <c r="K5" t="s">
        <v>3149</v>
      </c>
      <c r="L5" t="s">
        <v>1046</v>
      </c>
      <c r="N5" t="s">
        <v>3098</v>
      </c>
    </row>
    <row r="6" spans="1:14" ht="15.75" thickBot="1" x14ac:dyDescent="0.3">
      <c r="A6" s="14"/>
      <c r="B6" s="15"/>
      <c r="C6" s="16"/>
      <c r="K6" t="s">
        <v>2870</v>
      </c>
      <c r="L6" t="s">
        <v>3098</v>
      </c>
      <c r="N6" t="s">
        <v>3723</v>
      </c>
    </row>
    <row r="7" spans="1:14" x14ac:dyDescent="0.25">
      <c r="K7" t="s">
        <v>3724</v>
      </c>
      <c r="L7" t="s">
        <v>3098</v>
      </c>
      <c r="N7" t="s">
        <v>3284</v>
      </c>
    </row>
    <row r="8" spans="1:14" x14ac:dyDescent="0.25">
      <c r="K8" t="s">
        <v>2356</v>
      </c>
      <c r="L8" t="s">
        <v>3723</v>
      </c>
      <c r="N8" t="s">
        <v>3725</v>
      </c>
    </row>
    <row r="9" spans="1:14" x14ac:dyDescent="0.25">
      <c r="K9" t="s">
        <v>1984</v>
      </c>
      <c r="L9" t="s">
        <v>3284</v>
      </c>
      <c r="N9" t="s">
        <v>3726</v>
      </c>
    </row>
    <row r="10" spans="1:14" x14ac:dyDescent="0.25">
      <c r="K10" t="s">
        <v>3195</v>
      </c>
      <c r="L10" t="s">
        <v>3725</v>
      </c>
      <c r="N10" t="s">
        <v>3141</v>
      </c>
    </row>
    <row r="11" spans="1:14" x14ac:dyDescent="0.25">
      <c r="K11" t="s">
        <v>3727</v>
      </c>
      <c r="L11" t="s">
        <v>3726</v>
      </c>
      <c r="N11" t="s">
        <v>3728</v>
      </c>
    </row>
    <row r="12" spans="1:14" x14ac:dyDescent="0.25">
      <c r="K12" t="s">
        <v>1930</v>
      </c>
      <c r="L12" t="s">
        <v>3098</v>
      </c>
      <c r="N12" t="s">
        <v>3729</v>
      </c>
    </row>
    <row r="13" spans="1:14" x14ac:dyDescent="0.25">
      <c r="K13" t="s">
        <v>375</v>
      </c>
      <c r="L13" t="s">
        <v>3141</v>
      </c>
      <c r="N13" t="s">
        <v>3574</v>
      </c>
    </row>
    <row r="14" spans="1:14" x14ac:dyDescent="0.25">
      <c r="K14" t="s">
        <v>3730</v>
      </c>
      <c r="L14" t="s">
        <v>3728</v>
      </c>
      <c r="N14" t="s">
        <v>3333</v>
      </c>
    </row>
    <row r="15" spans="1:14" x14ac:dyDescent="0.25">
      <c r="K15" t="s">
        <v>3015</v>
      </c>
      <c r="L15" t="s">
        <v>3098</v>
      </c>
    </row>
    <row r="16" spans="1:14" x14ac:dyDescent="0.25">
      <c r="K16" t="s">
        <v>1819</v>
      </c>
      <c r="L16" t="s">
        <v>3725</v>
      </c>
    </row>
    <row r="17" spans="11:12" x14ac:dyDescent="0.25">
      <c r="K17" t="s">
        <v>1479</v>
      </c>
      <c r="L17" t="s">
        <v>3729</v>
      </c>
    </row>
    <row r="18" spans="11:12" x14ac:dyDescent="0.25">
      <c r="K18" t="s">
        <v>2135</v>
      </c>
      <c r="L18" t="s">
        <v>3574</v>
      </c>
    </row>
    <row r="19" spans="11:12" x14ac:dyDescent="0.25">
      <c r="K19" t="s">
        <v>3731</v>
      </c>
      <c r="L19" t="s">
        <v>3728</v>
      </c>
    </row>
    <row r="20" spans="11:12" x14ac:dyDescent="0.25">
      <c r="K20" t="s">
        <v>423</v>
      </c>
      <c r="L20" t="s">
        <v>3725</v>
      </c>
    </row>
    <row r="21" spans="11:12" x14ac:dyDescent="0.25">
      <c r="K21" t="s">
        <v>3732</v>
      </c>
      <c r="L21" t="s">
        <v>3725</v>
      </c>
    </row>
    <row r="22" spans="11:12" x14ac:dyDescent="0.25">
      <c r="K22" t="s">
        <v>3161</v>
      </c>
      <c r="L22" t="s">
        <v>3141</v>
      </c>
    </row>
    <row r="23" spans="11:12" x14ac:dyDescent="0.25">
      <c r="K23" t="s">
        <v>2071</v>
      </c>
      <c r="L23" t="s">
        <v>3333</v>
      </c>
    </row>
    <row r="24" spans="11:12" x14ac:dyDescent="0.25">
      <c r="K24" t="s">
        <v>3733</v>
      </c>
      <c r="L24" t="s">
        <v>3098</v>
      </c>
    </row>
    <row r="25" spans="11:12" x14ac:dyDescent="0.25">
      <c r="K25" t="s">
        <v>2500</v>
      </c>
      <c r="L25" t="s">
        <v>3726</v>
      </c>
    </row>
    <row r="26" spans="11:12" x14ac:dyDescent="0.25">
      <c r="K26" t="s">
        <v>3734</v>
      </c>
      <c r="L26" t="s">
        <v>3726</v>
      </c>
    </row>
    <row r="27" spans="11:12" x14ac:dyDescent="0.25">
      <c r="K27" t="s">
        <v>341</v>
      </c>
      <c r="L27" t="s">
        <v>3098</v>
      </c>
    </row>
    <row r="28" spans="11:12" x14ac:dyDescent="0.25">
      <c r="K28" t="s">
        <v>2994</v>
      </c>
      <c r="L28" t="s">
        <v>3098</v>
      </c>
    </row>
    <row r="29" spans="11:12" x14ac:dyDescent="0.25">
      <c r="K29" t="s">
        <v>3735</v>
      </c>
      <c r="L29" t="s">
        <v>3098</v>
      </c>
    </row>
    <row r="30" spans="11:12" x14ac:dyDescent="0.25">
      <c r="K30" t="s">
        <v>2344</v>
      </c>
      <c r="L30" t="s">
        <v>3098</v>
      </c>
    </row>
  </sheetData>
  <pageMargins left="0.7" right="0.7" top="0.75" bottom="0.75" header="0.3" footer="0.3"/>
  <pageSetup paperSize="9" orientation="portrait" r:id="rId1"/>
  <customProperties>
    <customPr name="_pios_id" r:id="rId2"/>
  </customPropertie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T1450"/>
  <sheetViews>
    <sheetView topLeftCell="L1" zoomScale="80" zoomScaleNormal="80" workbookViewId="0">
      <selection activeCell="O650" sqref="O650"/>
    </sheetView>
  </sheetViews>
  <sheetFormatPr defaultColWidth="8.85546875" defaultRowHeight="15" x14ac:dyDescent="0.25"/>
  <cols>
    <col min="1" max="1" width="13.85546875" bestFit="1" customWidth="1"/>
    <col min="2" max="2" width="6.85546875" bestFit="1" customWidth="1"/>
    <col min="3" max="3" width="12.140625" bestFit="1" customWidth="1"/>
    <col min="4" max="4" width="16.28515625" bestFit="1" customWidth="1"/>
    <col min="5" max="5" width="11.7109375" bestFit="1" customWidth="1"/>
    <col min="6" max="6" width="30.85546875" bestFit="1" customWidth="1"/>
    <col min="7" max="7" width="8" bestFit="1" customWidth="1"/>
    <col min="8" max="8" width="30.85546875" bestFit="1" customWidth="1"/>
    <col min="9" max="9" width="20" bestFit="1" customWidth="1"/>
    <col min="10" max="10" width="16.42578125" bestFit="1" customWidth="1"/>
    <col min="11" max="11" width="19.140625" bestFit="1" customWidth="1"/>
    <col min="12" max="12" width="49" bestFit="1" customWidth="1"/>
    <col min="13" max="13" width="19.7109375" bestFit="1" customWidth="1"/>
    <col min="14" max="20" width="16.42578125" bestFit="1" customWidth="1"/>
    <col min="21" max="21" width="12" bestFit="1" customWidth="1"/>
    <col min="22" max="22" width="14.42578125" bestFit="1" customWidth="1"/>
    <col min="23" max="26" width="12" bestFit="1" customWidth="1"/>
    <col min="27" max="27" width="18.42578125" bestFit="1" customWidth="1"/>
    <col min="28" max="28" width="16.42578125" bestFit="1" customWidth="1"/>
    <col min="29" max="29" width="12.42578125" bestFit="1" customWidth="1"/>
    <col min="30" max="30" width="13.42578125" bestFit="1" customWidth="1"/>
    <col min="31" max="31" width="16.42578125" bestFit="1" customWidth="1"/>
    <col min="32" max="32" width="12.42578125" bestFit="1" customWidth="1"/>
    <col min="33" max="33" width="13.42578125" bestFit="1" customWidth="1"/>
    <col min="34" max="34" width="12" bestFit="1" customWidth="1"/>
    <col min="35" max="35" width="14.42578125" bestFit="1" customWidth="1"/>
    <col min="36" max="39" width="12" bestFit="1" customWidth="1"/>
    <col min="40" max="40" width="18.42578125" bestFit="1" customWidth="1"/>
    <col min="41" max="41" width="16.42578125" bestFit="1" customWidth="1"/>
    <col min="42" max="42" width="12.42578125" bestFit="1" customWidth="1"/>
    <col min="43" max="43" width="13.42578125" bestFit="1" customWidth="1"/>
    <col min="44" max="44" width="16.42578125" bestFit="1" customWidth="1"/>
    <col min="45" max="45" width="14.42578125" bestFit="1" customWidth="1"/>
    <col min="46" max="46" width="13.42578125" bestFit="1" customWidth="1"/>
    <col min="47" max="47" width="12" bestFit="1" customWidth="1"/>
    <col min="48" max="48" width="14.42578125" bestFit="1" customWidth="1"/>
    <col min="49" max="52" width="12" bestFit="1" customWidth="1"/>
    <col min="53" max="53" width="18.42578125" bestFit="1" customWidth="1"/>
    <col min="54" max="54" width="16.42578125" bestFit="1" customWidth="1"/>
    <col min="55" max="55" width="12.42578125" bestFit="1" customWidth="1"/>
    <col min="56" max="56" width="13.42578125" bestFit="1" customWidth="1"/>
    <col min="57" max="57" width="16.42578125" bestFit="1" customWidth="1"/>
    <col min="58" max="59" width="13.42578125" bestFit="1" customWidth="1"/>
  </cols>
  <sheetData>
    <row r="1" spans="1:20" x14ac:dyDescent="0.25">
      <c r="A1" s="273" t="s">
        <v>76</v>
      </c>
      <c r="B1" s="273" t="s">
        <v>76</v>
      </c>
      <c r="C1" s="273" t="s">
        <v>76</v>
      </c>
      <c r="D1" s="273" t="s">
        <v>76</v>
      </c>
      <c r="E1" s="273" t="s">
        <v>76</v>
      </c>
      <c r="F1" s="273" t="s">
        <v>76</v>
      </c>
      <c r="G1" s="273" t="s">
        <v>76</v>
      </c>
      <c r="H1" s="273" t="s">
        <v>76</v>
      </c>
      <c r="I1" s="273" t="s">
        <v>76</v>
      </c>
      <c r="J1" s="273" t="s">
        <v>76</v>
      </c>
      <c r="K1" s="273" t="s">
        <v>76</v>
      </c>
      <c r="L1" s="273" t="s">
        <v>80</v>
      </c>
      <c r="M1" s="300" t="s">
        <v>92</v>
      </c>
      <c r="N1" s="274" t="s">
        <v>82</v>
      </c>
      <c r="O1" s="274" t="s">
        <v>83</v>
      </c>
      <c r="P1" s="274" t="s">
        <v>84</v>
      </c>
      <c r="Q1" s="274" t="s">
        <v>85</v>
      </c>
      <c r="R1" s="274" t="s">
        <v>86</v>
      </c>
      <c r="S1" s="274" t="s">
        <v>87</v>
      </c>
      <c r="T1" s="274" t="s">
        <v>6504</v>
      </c>
    </row>
    <row r="2" spans="1:20" x14ac:dyDescent="0.25">
      <c r="A2" s="273" t="s">
        <v>76</v>
      </c>
      <c r="B2" s="273" t="s">
        <v>76</v>
      </c>
      <c r="C2" s="273" t="s">
        <v>76</v>
      </c>
      <c r="D2" s="273" t="s">
        <v>76</v>
      </c>
      <c r="E2" s="273" t="s">
        <v>76</v>
      </c>
      <c r="F2" s="273" t="s">
        <v>76</v>
      </c>
      <c r="G2" s="273" t="s">
        <v>76</v>
      </c>
      <c r="H2" s="273" t="s">
        <v>76</v>
      </c>
      <c r="I2" s="273" t="s">
        <v>76</v>
      </c>
      <c r="J2" s="273" t="s">
        <v>76</v>
      </c>
      <c r="K2" s="273" t="s">
        <v>76</v>
      </c>
      <c r="L2" s="273" t="s">
        <v>76</v>
      </c>
      <c r="M2" s="279" t="s">
        <v>88</v>
      </c>
      <c r="N2" s="274" t="s">
        <v>88</v>
      </c>
      <c r="O2" s="274" t="s">
        <v>88</v>
      </c>
      <c r="P2" s="274" t="s">
        <v>88</v>
      </c>
      <c r="Q2" s="274" t="s">
        <v>88</v>
      </c>
      <c r="R2" s="274" t="s">
        <v>88</v>
      </c>
      <c r="S2" s="274" t="s">
        <v>88</v>
      </c>
      <c r="T2" s="274" t="s">
        <v>88</v>
      </c>
    </row>
    <row r="3" spans="1:20" x14ac:dyDescent="0.25">
      <c r="A3" s="273" t="s">
        <v>77</v>
      </c>
      <c r="B3" s="293"/>
      <c r="C3" s="273" t="s">
        <v>3736</v>
      </c>
      <c r="D3" s="293"/>
      <c r="E3" s="273" t="s">
        <v>89</v>
      </c>
      <c r="F3" s="293"/>
      <c r="G3" s="273" t="s">
        <v>90</v>
      </c>
      <c r="H3" s="293"/>
      <c r="I3" s="273" t="s">
        <v>3737</v>
      </c>
      <c r="J3" s="273" t="s">
        <v>3738</v>
      </c>
      <c r="K3" s="273" t="s">
        <v>3739</v>
      </c>
      <c r="L3" s="273" t="s">
        <v>3740</v>
      </c>
      <c r="M3" s="301" t="s">
        <v>91</v>
      </c>
      <c r="N3" s="302" t="s">
        <v>91</v>
      </c>
      <c r="O3" s="302" t="s">
        <v>91</v>
      </c>
      <c r="P3" s="302" t="s">
        <v>91</v>
      </c>
      <c r="Q3" s="302" t="s">
        <v>91</v>
      </c>
      <c r="R3" s="302" t="s">
        <v>91</v>
      </c>
      <c r="S3" s="302" t="s">
        <v>91</v>
      </c>
      <c r="T3" s="302" t="s">
        <v>91</v>
      </c>
    </row>
    <row r="4" spans="1:20" x14ac:dyDescent="0.25">
      <c r="A4" s="274" t="s">
        <v>78</v>
      </c>
      <c r="B4" s="274" t="s">
        <v>79</v>
      </c>
      <c r="C4" s="274" t="s">
        <v>3741</v>
      </c>
      <c r="D4" s="274" t="s">
        <v>3742</v>
      </c>
      <c r="E4" s="279" t="s">
        <v>81</v>
      </c>
      <c r="F4" s="272"/>
      <c r="G4" s="272"/>
      <c r="H4" s="272"/>
      <c r="I4" s="272"/>
      <c r="J4" s="272"/>
      <c r="K4" s="272"/>
      <c r="L4" s="299"/>
      <c r="M4" s="281">
        <v>25958541.920000002</v>
      </c>
      <c r="N4" s="281">
        <v>4493785.62</v>
      </c>
      <c r="O4" s="281">
        <v>4420984.66</v>
      </c>
      <c r="P4" s="281">
        <v>3957769.91</v>
      </c>
      <c r="Q4" s="281">
        <v>4263894.9000000004</v>
      </c>
      <c r="R4" s="281">
        <v>4228926.1500000004</v>
      </c>
      <c r="S4" s="281">
        <v>4575385.8</v>
      </c>
      <c r="T4" s="296">
        <v>17794.88</v>
      </c>
    </row>
    <row r="5" spans="1:20" x14ac:dyDescent="0.25">
      <c r="A5" s="274" t="s">
        <v>78</v>
      </c>
      <c r="B5" s="274" t="s">
        <v>79</v>
      </c>
      <c r="C5" s="274" t="s">
        <v>3741</v>
      </c>
      <c r="D5" s="274" t="s">
        <v>3742</v>
      </c>
      <c r="E5" s="274" t="s">
        <v>14</v>
      </c>
      <c r="F5" s="274" t="s">
        <v>15</v>
      </c>
      <c r="G5" s="274" t="s">
        <v>93</v>
      </c>
      <c r="H5" s="274" t="s">
        <v>94</v>
      </c>
      <c r="I5" s="274" t="s">
        <v>3743</v>
      </c>
      <c r="J5" s="274" t="s">
        <v>6505</v>
      </c>
      <c r="K5" s="274" t="s">
        <v>6506</v>
      </c>
      <c r="L5" s="274" t="s">
        <v>3744</v>
      </c>
      <c r="M5" s="281">
        <v>4004</v>
      </c>
      <c r="N5" s="280">
        <v>4004</v>
      </c>
      <c r="O5" s="280"/>
      <c r="P5" s="280"/>
      <c r="Q5" s="280"/>
      <c r="R5" s="280"/>
      <c r="S5" s="280"/>
      <c r="T5" s="297"/>
    </row>
    <row r="6" spans="1:20" x14ac:dyDescent="0.25">
      <c r="A6" s="274" t="s">
        <v>78</v>
      </c>
      <c r="B6" s="274" t="s">
        <v>79</v>
      </c>
      <c r="C6" s="274" t="s">
        <v>3741</v>
      </c>
      <c r="D6" s="274" t="s">
        <v>3742</v>
      </c>
      <c r="E6" s="274" t="s">
        <v>14</v>
      </c>
      <c r="F6" s="274" t="s">
        <v>15</v>
      </c>
      <c r="G6" s="274" t="s">
        <v>93</v>
      </c>
      <c r="H6" s="274" t="s">
        <v>94</v>
      </c>
      <c r="I6" s="274" t="s">
        <v>3745</v>
      </c>
      <c r="J6" s="274" t="s">
        <v>6507</v>
      </c>
      <c r="K6" s="274" t="s">
        <v>3746</v>
      </c>
      <c r="L6" s="274" t="s">
        <v>3747</v>
      </c>
      <c r="M6" s="281">
        <v>4659.8</v>
      </c>
      <c r="N6" s="280">
        <v>4659.8</v>
      </c>
      <c r="O6" s="280"/>
      <c r="P6" s="280"/>
      <c r="Q6" s="280"/>
      <c r="R6" s="280"/>
      <c r="S6" s="280"/>
      <c r="T6" s="297"/>
    </row>
    <row r="7" spans="1:20" x14ac:dyDescent="0.25">
      <c r="A7" s="274" t="s">
        <v>78</v>
      </c>
      <c r="B7" s="274" t="s">
        <v>79</v>
      </c>
      <c r="C7" s="274" t="s">
        <v>3741</v>
      </c>
      <c r="D7" s="274" t="s">
        <v>3742</v>
      </c>
      <c r="E7" s="274" t="s">
        <v>14</v>
      </c>
      <c r="F7" s="274" t="s">
        <v>15</v>
      </c>
      <c r="G7" s="274" t="s">
        <v>93</v>
      </c>
      <c r="H7" s="274" t="s">
        <v>94</v>
      </c>
      <c r="I7" s="274" t="s">
        <v>3748</v>
      </c>
      <c r="J7" s="274" t="s">
        <v>6508</v>
      </c>
      <c r="K7" s="274" t="s">
        <v>6506</v>
      </c>
      <c r="L7" s="274" t="s">
        <v>3749</v>
      </c>
      <c r="M7" s="281">
        <v>-11000</v>
      </c>
      <c r="N7" s="280">
        <v>-11000</v>
      </c>
      <c r="O7" s="280"/>
      <c r="P7" s="280"/>
      <c r="Q7" s="280"/>
      <c r="R7" s="280"/>
      <c r="S7" s="280"/>
      <c r="T7" s="297"/>
    </row>
    <row r="8" spans="1:20" x14ac:dyDescent="0.25">
      <c r="A8" s="274" t="s">
        <v>78</v>
      </c>
      <c r="B8" s="274" t="s">
        <v>79</v>
      </c>
      <c r="C8" s="274" t="s">
        <v>3741</v>
      </c>
      <c r="D8" s="274" t="s">
        <v>3742</v>
      </c>
      <c r="E8" s="274" t="s">
        <v>14</v>
      </c>
      <c r="F8" s="274" t="s">
        <v>15</v>
      </c>
      <c r="G8" s="274" t="s">
        <v>93</v>
      </c>
      <c r="H8" s="274" t="s">
        <v>94</v>
      </c>
      <c r="I8" s="274" t="s">
        <v>3750</v>
      </c>
      <c r="J8" s="274" t="s">
        <v>6508</v>
      </c>
      <c r="K8" s="274" t="s">
        <v>6506</v>
      </c>
      <c r="L8" s="274" t="s">
        <v>3749</v>
      </c>
      <c r="M8" s="281">
        <v>10372.5</v>
      </c>
      <c r="N8" s="280">
        <v>10372.5</v>
      </c>
      <c r="O8" s="280"/>
      <c r="P8" s="280"/>
      <c r="Q8" s="280"/>
      <c r="R8" s="280"/>
      <c r="S8" s="280"/>
      <c r="T8" s="297"/>
    </row>
    <row r="9" spans="1:20" x14ac:dyDescent="0.25">
      <c r="A9" s="274" t="s">
        <v>78</v>
      </c>
      <c r="B9" s="274" t="s">
        <v>79</v>
      </c>
      <c r="C9" s="274" t="s">
        <v>3741</v>
      </c>
      <c r="D9" s="274" t="s">
        <v>3742</v>
      </c>
      <c r="E9" s="274" t="s">
        <v>14</v>
      </c>
      <c r="F9" s="274" t="s">
        <v>15</v>
      </c>
      <c r="G9" s="274" t="s">
        <v>93</v>
      </c>
      <c r="H9" s="274" t="s">
        <v>94</v>
      </c>
      <c r="I9" s="274" t="s">
        <v>3751</v>
      </c>
      <c r="J9" s="274" t="s">
        <v>6505</v>
      </c>
      <c r="K9" s="274" t="s">
        <v>6506</v>
      </c>
      <c r="L9" s="274" t="s">
        <v>3752</v>
      </c>
      <c r="M9" s="281">
        <v>4004</v>
      </c>
      <c r="N9" s="280"/>
      <c r="O9" s="280">
        <v>4004</v>
      </c>
      <c r="P9" s="280"/>
      <c r="Q9" s="280"/>
      <c r="R9" s="280"/>
      <c r="S9" s="280"/>
      <c r="T9" s="297"/>
    </row>
    <row r="10" spans="1:20" x14ac:dyDescent="0.25">
      <c r="A10" s="274" t="s">
        <v>78</v>
      </c>
      <c r="B10" s="274" t="s">
        <v>79</v>
      </c>
      <c r="C10" s="274" t="s">
        <v>3741</v>
      </c>
      <c r="D10" s="274" t="s">
        <v>3742</v>
      </c>
      <c r="E10" s="274" t="s">
        <v>14</v>
      </c>
      <c r="F10" s="274" t="s">
        <v>15</v>
      </c>
      <c r="G10" s="274" t="s">
        <v>93</v>
      </c>
      <c r="H10" s="274" t="s">
        <v>94</v>
      </c>
      <c r="I10" s="274" t="s">
        <v>3753</v>
      </c>
      <c r="J10" s="274" t="s">
        <v>6507</v>
      </c>
      <c r="K10" s="274" t="s">
        <v>3746</v>
      </c>
      <c r="L10" s="274" t="s">
        <v>3754</v>
      </c>
      <c r="M10" s="281">
        <v>4671.33</v>
      </c>
      <c r="N10" s="280"/>
      <c r="O10" s="280">
        <v>4671.33</v>
      </c>
      <c r="P10" s="280"/>
      <c r="Q10" s="280"/>
      <c r="R10" s="280"/>
      <c r="S10" s="280"/>
      <c r="T10" s="297"/>
    </row>
    <row r="11" spans="1:20" x14ac:dyDescent="0.25">
      <c r="A11" s="274" t="s">
        <v>78</v>
      </c>
      <c r="B11" s="274" t="s">
        <v>79</v>
      </c>
      <c r="C11" s="274" t="s">
        <v>3741</v>
      </c>
      <c r="D11" s="274" t="s">
        <v>3742</v>
      </c>
      <c r="E11" s="274" t="s">
        <v>14</v>
      </c>
      <c r="F11" s="274" t="s">
        <v>15</v>
      </c>
      <c r="G11" s="274" t="s">
        <v>93</v>
      </c>
      <c r="H11" s="274" t="s">
        <v>94</v>
      </c>
      <c r="I11" s="274" t="s">
        <v>3755</v>
      </c>
      <c r="J11" s="274" t="s">
        <v>6509</v>
      </c>
      <c r="K11" s="274" t="s">
        <v>3746</v>
      </c>
      <c r="L11" s="274" t="s">
        <v>3756</v>
      </c>
      <c r="M11" s="281">
        <v>12000</v>
      </c>
      <c r="N11" s="280"/>
      <c r="O11" s="280">
        <v>12000</v>
      </c>
      <c r="P11" s="280"/>
      <c r="Q11" s="280"/>
      <c r="R11" s="280"/>
      <c r="S11" s="280"/>
      <c r="T11" s="297"/>
    </row>
    <row r="12" spans="1:20" x14ac:dyDescent="0.25">
      <c r="A12" s="274" t="s">
        <v>78</v>
      </c>
      <c r="B12" s="274" t="s">
        <v>79</v>
      </c>
      <c r="C12" s="274" t="s">
        <v>3741</v>
      </c>
      <c r="D12" s="274" t="s">
        <v>3742</v>
      </c>
      <c r="E12" s="274" t="s">
        <v>14</v>
      </c>
      <c r="F12" s="274" t="s">
        <v>15</v>
      </c>
      <c r="G12" s="274" t="s">
        <v>93</v>
      </c>
      <c r="H12" s="274" t="s">
        <v>94</v>
      </c>
      <c r="I12" s="274" t="s">
        <v>3757</v>
      </c>
      <c r="J12" s="274" t="s">
        <v>6505</v>
      </c>
      <c r="K12" s="274" t="s">
        <v>6506</v>
      </c>
      <c r="L12" s="274" t="s">
        <v>3758</v>
      </c>
      <c r="M12" s="281">
        <v>4004</v>
      </c>
      <c r="N12" s="280"/>
      <c r="O12" s="280"/>
      <c r="P12" s="280">
        <v>4004</v>
      </c>
      <c r="Q12" s="280"/>
      <c r="R12" s="280"/>
      <c r="S12" s="280"/>
      <c r="T12" s="297"/>
    </row>
    <row r="13" spans="1:20" x14ac:dyDescent="0.25">
      <c r="A13" s="274" t="s">
        <v>78</v>
      </c>
      <c r="B13" s="274" t="s">
        <v>79</v>
      </c>
      <c r="C13" s="274" t="s">
        <v>3741</v>
      </c>
      <c r="D13" s="274" t="s">
        <v>3742</v>
      </c>
      <c r="E13" s="274" t="s">
        <v>14</v>
      </c>
      <c r="F13" s="274" t="s">
        <v>15</v>
      </c>
      <c r="G13" s="274" t="s">
        <v>93</v>
      </c>
      <c r="H13" s="274" t="s">
        <v>94</v>
      </c>
      <c r="I13" s="274" t="s">
        <v>3759</v>
      </c>
      <c r="J13" s="274" t="s">
        <v>6507</v>
      </c>
      <c r="K13" s="274" t="s">
        <v>3746</v>
      </c>
      <c r="L13" s="274" t="s">
        <v>3760</v>
      </c>
      <c r="M13" s="281">
        <v>4682.87</v>
      </c>
      <c r="N13" s="280"/>
      <c r="O13" s="280"/>
      <c r="P13" s="280">
        <v>4682.87</v>
      </c>
      <c r="Q13" s="280"/>
      <c r="R13" s="280"/>
      <c r="S13" s="280"/>
      <c r="T13" s="297"/>
    </row>
    <row r="14" spans="1:20" x14ac:dyDescent="0.25">
      <c r="A14" s="274" t="s">
        <v>78</v>
      </c>
      <c r="B14" s="274" t="s">
        <v>79</v>
      </c>
      <c r="C14" s="274" t="s">
        <v>3741</v>
      </c>
      <c r="D14" s="274" t="s">
        <v>3742</v>
      </c>
      <c r="E14" s="274" t="s">
        <v>14</v>
      </c>
      <c r="F14" s="274" t="s">
        <v>15</v>
      </c>
      <c r="G14" s="274" t="s">
        <v>93</v>
      </c>
      <c r="H14" s="274" t="s">
        <v>94</v>
      </c>
      <c r="I14" s="274" t="s">
        <v>3761</v>
      </c>
      <c r="J14" s="274" t="s">
        <v>6510</v>
      </c>
      <c r="K14" s="274" t="s">
        <v>3746</v>
      </c>
      <c r="L14" s="274" t="s">
        <v>3762</v>
      </c>
      <c r="M14" s="281">
        <v>-2500</v>
      </c>
      <c r="N14" s="280"/>
      <c r="O14" s="280"/>
      <c r="P14" s="280"/>
      <c r="Q14" s="280">
        <v>-2500</v>
      </c>
      <c r="R14" s="280"/>
      <c r="S14" s="280"/>
      <c r="T14" s="297"/>
    </row>
    <row r="15" spans="1:20" x14ac:dyDescent="0.25">
      <c r="A15" s="274" t="s">
        <v>78</v>
      </c>
      <c r="B15" s="274" t="s">
        <v>79</v>
      </c>
      <c r="C15" s="274" t="s">
        <v>3741</v>
      </c>
      <c r="D15" s="274" t="s">
        <v>3742</v>
      </c>
      <c r="E15" s="274" t="s">
        <v>14</v>
      </c>
      <c r="F15" s="274" t="s">
        <v>15</v>
      </c>
      <c r="G15" s="274" t="s">
        <v>93</v>
      </c>
      <c r="H15" s="274" t="s">
        <v>94</v>
      </c>
      <c r="I15" s="274" t="s">
        <v>3763</v>
      </c>
      <c r="J15" s="274" t="s">
        <v>6510</v>
      </c>
      <c r="K15" s="274" t="s">
        <v>3746</v>
      </c>
      <c r="L15" s="274" t="s">
        <v>3764</v>
      </c>
      <c r="M15" s="281">
        <v>-2500</v>
      </c>
      <c r="N15" s="280"/>
      <c r="O15" s="280"/>
      <c r="P15" s="280"/>
      <c r="Q15" s="280">
        <v>-2500</v>
      </c>
      <c r="R15" s="280"/>
      <c r="S15" s="280"/>
      <c r="T15" s="297"/>
    </row>
    <row r="16" spans="1:20" x14ac:dyDescent="0.25">
      <c r="A16" s="274" t="s">
        <v>78</v>
      </c>
      <c r="B16" s="274" t="s">
        <v>79</v>
      </c>
      <c r="C16" s="274" t="s">
        <v>3741</v>
      </c>
      <c r="D16" s="274" t="s">
        <v>3742</v>
      </c>
      <c r="E16" s="274" t="s">
        <v>14</v>
      </c>
      <c r="F16" s="274" t="s">
        <v>15</v>
      </c>
      <c r="G16" s="274" t="s">
        <v>93</v>
      </c>
      <c r="H16" s="274" t="s">
        <v>94</v>
      </c>
      <c r="I16" s="274" t="s">
        <v>3765</v>
      </c>
      <c r="J16" s="274" t="s">
        <v>6510</v>
      </c>
      <c r="K16" s="274" t="s">
        <v>3746</v>
      </c>
      <c r="L16" s="274" t="s">
        <v>3766</v>
      </c>
      <c r="M16" s="281">
        <v>-2500</v>
      </c>
      <c r="N16" s="280"/>
      <c r="O16" s="280"/>
      <c r="P16" s="280"/>
      <c r="Q16" s="280">
        <v>-2500</v>
      </c>
      <c r="R16" s="280"/>
      <c r="S16" s="280"/>
      <c r="T16" s="297"/>
    </row>
    <row r="17" spans="1:20" x14ac:dyDescent="0.25">
      <c r="A17" s="274" t="s">
        <v>78</v>
      </c>
      <c r="B17" s="274" t="s">
        <v>79</v>
      </c>
      <c r="C17" s="274" t="s">
        <v>3741</v>
      </c>
      <c r="D17" s="274" t="s">
        <v>3742</v>
      </c>
      <c r="E17" s="274" t="s">
        <v>14</v>
      </c>
      <c r="F17" s="274" t="s">
        <v>15</v>
      </c>
      <c r="G17" s="274" t="s">
        <v>93</v>
      </c>
      <c r="H17" s="274" t="s">
        <v>94</v>
      </c>
      <c r="I17" s="274" t="s">
        <v>3767</v>
      </c>
      <c r="J17" s="274" t="s">
        <v>6507</v>
      </c>
      <c r="K17" s="274" t="s">
        <v>3746</v>
      </c>
      <c r="L17" s="274" t="s">
        <v>3768</v>
      </c>
      <c r="M17" s="281">
        <v>4671.33</v>
      </c>
      <c r="N17" s="280"/>
      <c r="O17" s="280"/>
      <c r="P17" s="280"/>
      <c r="Q17" s="280"/>
      <c r="R17" s="280">
        <v>4671.33</v>
      </c>
      <c r="S17" s="280"/>
      <c r="T17" s="297"/>
    </row>
    <row r="18" spans="1:20" x14ac:dyDescent="0.25">
      <c r="A18" s="274" t="s">
        <v>78</v>
      </c>
      <c r="B18" s="274" t="s">
        <v>79</v>
      </c>
      <c r="C18" s="274" t="s">
        <v>3741</v>
      </c>
      <c r="D18" s="274" t="s">
        <v>3742</v>
      </c>
      <c r="E18" s="274" t="s">
        <v>14</v>
      </c>
      <c r="F18" s="274" t="s">
        <v>15</v>
      </c>
      <c r="G18" s="274" t="s">
        <v>93</v>
      </c>
      <c r="H18" s="274" t="s">
        <v>94</v>
      </c>
      <c r="I18" s="274" t="s">
        <v>3769</v>
      </c>
      <c r="J18" s="274" t="s">
        <v>6505</v>
      </c>
      <c r="K18" s="274" t="s">
        <v>6506</v>
      </c>
      <c r="L18" s="274" t="s">
        <v>3770</v>
      </c>
      <c r="M18" s="281">
        <v>4004</v>
      </c>
      <c r="N18" s="280"/>
      <c r="O18" s="280"/>
      <c r="P18" s="280"/>
      <c r="Q18" s="280"/>
      <c r="R18" s="280">
        <v>4004</v>
      </c>
      <c r="S18" s="280"/>
      <c r="T18" s="297"/>
    </row>
    <row r="19" spans="1:20" x14ac:dyDescent="0.25">
      <c r="A19" s="274" t="s">
        <v>78</v>
      </c>
      <c r="B19" s="274" t="s">
        <v>79</v>
      </c>
      <c r="C19" s="274" t="s">
        <v>3741</v>
      </c>
      <c r="D19" s="274" t="s">
        <v>3742</v>
      </c>
      <c r="E19" s="274" t="s">
        <v>14</v>
      </c>
      <c r="F19" s="274" t="s">
        <v>15</v>
      </c>
      <c r="G19" s="274" t="s">
        <v>93</v>
      </c>
      <c r="H19" s="274" t="s">
        <v>94</v>
      </c>
      <c r="I19" s="274" t="s">
        <v>3771</v>
      </c>
      <c r="J19" s="274" t="s">
        <v>6505</v>
      </c>
      <c r="K19" s="274" t="s">
        <v>6506</v>
      </c>
      <c r="L19" s="274" t="s">
        <v>3772</v>
      </c>
      <c r="M19" s="281">
        <v>4004</v>
      </c>
      <c r="N19" s="280"/>
      <c r="O19" s="280"/>
      <c r="P19" s="280"/>
      <c r="Q19" s="280"/>
      <c r="R19" s="280">
        <v>4004</v>
      </c>
      <c r="S19" s="280"/>
      <c r="T19" s="297"/>
    </row>
    <row r="20" spans="1:20" x14ac:dyDescent="0.25">
      <c r="A20" s="274" t="s">
        <v>78</v>
      </c>
      <c r="B20" s="274" t="s">
        <v>79</v>
      </c>
      <c r="C20" s="274" t="s">
        <v>3741</v>
      </c>
      <c r="D20" s="274" t="s">
        <v>3742</v>
      </c>
      <c r="E20" s="274" t="s">
        <v>14</v>
      </c>
      <c r="F20" s="274" t="s">
        <v>15</v>
      </c>
      <c r="G20" s="274" t="s">
        <v>93</v>
      </c>
      <c r="H20" s="274" t="s">
        <v>94</v>
      </c>
      <c r="I20" s="274" t="s">
        <v>3773</v>
      </c>
      <c r="J20" s="274" t="s">
        <v>6507</v>
      </c>
      <c r="K20" s="274" t="s">
        <v>3746</v>
      </c>
      <c r="L20" s="274" t="s">
        <v>3774</v>
      </c>
      <c r="M20" s="281">
        <v>4682.87</v>
      </c>
      <c r="N20" s="280"/>
      <c r="O20" s="280"/>
      <c r="P20" s="280"/>
      <c r="Q20" s="280"/>
      <c r="R20" s="280">
        <v>4682.87</v>
      </c>
      <c r="S20" s="280"/>
      <c r="T20" s="297"/>
    </row>
    <row r="21" spans="1:20" x14ac:dyDescent="0.25">
      <c r="A21" s="274" t="s">
        <v>78</v>
      </c>
      <c r="B21" s="274" t="s">
        <v>79</v>
      </c>
      <c r="C21" s="274" t="s">
        <v>3741</v>
      </c>
      <c r="D21" s="274" t="s">
        <v>3742</v>
      </c>
      <c r="E21" s="274" t="s">
        <v>14</v>
      </c>
      <c r="F21" s="274" t="s">
        <v>15</v>
      </c>
      <c r="G21" s="274" t="s">
        <v>93</v>
      </c>
      <c r="H21" s="274" t="s">
        <v>94</v>
      </c>
      <c r="I21" s="274" t="s">
        <v>6166</v>
      </c>
      <c r="J21" s="274" t="s">
        <v>6505</v>
      </c>
      <c r="K21" s="274" t="s">
        <v>6506</v>
      </c>
      <c r="L21" s="274" t="s">
        <v>6167</v>
      </c>
      <c r="M21" s="281">
        <v>4004</v>
      </c>
      <c r="N21" s="280"/>
      <c r="O21" s="280"/>
      <c r="P21" s="280"/>
      <c r="Q21" s="280"/>
      <c r="R21" s="280"/>
      <c r="S21" s="280">
        <v>4004</v>
      </c>
      <c r="T21" s="297"/>
    </row>
    <row r="22" spans="1:20" x14ac:dyDescent="0.25">
      <c r="A22" s="274" t="s">
        <v>78</v>
      </c>
      <c r="B22" s="274" t="s">
        <v>79</v>
      </c>
      <c r="C22" s="274" t="s">
        <v>3741</v>
      </c>
      <c r="D22" s="274" t="s">
        <v>3742</v>
      </c>
      <c r="E22" s="274" t="s">
        <v>14</v>
      </c>
      <c r="F22" s="274" t="s">
        <v>15</v>
      </c>
      <c r="G22" s="274" t="s">
        <v>93</v>
      </c>
      <c r="H22" s="274" t="s">
        <v>94</v>
      </c>
      <c r="I22" s="274" t="s">
        <v>6168</v>
      </c>
      <c r="J22" s="274" t="s">
        <v>6507</v>
      </c>
      <c r="K22" s="274" t="s">
        <v>3746</v>
      </c>
      <c r="L22" s="274" t="s">
        <v>6169</v>
      </c>
      <c r="M22" s="281">
        <v>4671.33</v>
      </c>
      <c r="N22" s="280"/>
      <c r="O22" s="280"/>
      <c r="P22" s="280"/>
      <c r="Q22" s="280"/>
      <c r="R22" s="280"/>
      <c r="S22" s="280">
        <v>4671.33</v>
      </c>
      <c r="T22" s="297"/>
    </row>
    <row r="23" spans="1:20" x14ac:dyDescent="0.25">
      <c r="A23" s="274" t="s">
        <v>78</v>
      </c>
      <c r="B23" s="274" t="s">
        <v>79</v>
      </c>
      <c r="C23" s="274" t="s">
        <v>3741</v>
      </c>
      <c r="D23" s="274" t="s">
        <v>3742</v>
      </c>
      <c r="E23" s="274" t="s">
        <v>19</v>
      </c>
      <c r="F23" s="274" t="s">
        <v>95</v>
      </c>
      <c r="G23" s="274" t="s">
        <v>96</v>
      </c>
      <c r="H23" s="274" t="s">
        <v>97</v>
      </c>
      <c r="I23" s="274" t="s">
        <v>3775</v>
      </c>
      <c r="J23" s="274" t="s">
        <v>6511</v>
      </c>
      <c r="K23" s="274" t="s">
        <v>3746</v>
      </c>
      <c r="L23" s="274" t="s">
        <v>3776</v>
      </c>
      <c r="M23" s="281">
        <v>-80000</v>
      </c>
      <c r="N23" s="280">
        <v>-80000</v>
      </c>
      <c r="O23" s="280"/>
      <c r="P23" s="280"/>
      <c r="Q23" s="280"/>
      <c r="R23" s="280"/>
      <c r="S23" s="280"/>
      <c r="T23" s="297"/>
    </row>
    <row r="24" spans="1:20" x14ac:dyDescent="0.25">
      <c r="A24" s="274" t="s">
        <v>78</v>
      </c>
      <c r="B24" s="274" t="s">
        <v>79</v>
      </c>
      <c r="C24" s="274" t="s">
        <v>3741</v>
      </c>
      <c r="D24" s="274" t="s">
        <v>3742</v>
      </c>
      <c r="E24" s="274" t="s">
        <v>19</v>
      </c>
      <c r="F24" s="274" t="s">
        <v>95</v>
      </c>
      <c r="G24" s="274" t="s">
        <v>96</v>
      </c>
      <c r="H24" s="274" t="s">
        <v>97</v>
      </c>
      <c r="I24" s="274" t="s">
        <v>3777</v>
      </c>
      <c r="J24" s="274" t="s">
        <v>6511</v>
      </c>
      <c r="K24" s="274" t="s">
        <v>3746</v>
      </c>
      <c r="L24" s="274" t="s">
        <v>3776</v>
      </c>
      <c r="M24" s="281">
        <v>70256.100000000006</v>
      </c>
      <c r="N24" s="280">
        <v>70256.100000000006</v>
      </c>
      <c r="O24" s="280"/>
      <c r="P24" s="280"/>
      <c r="Q24" s="280"/>
      <c r="R24" s="280"/>
      <c r="S24" s="280"/>
      <c r="T24" s="297"/>
    </row>
    <row r="25" spans="1:20" x14ac:dyDescent="0.25">
      <c r="A25" s="274" t="s">
        <v>78</v>
      </c>
      <c r="B25" s="274" t="s">
        <v>79</v>
      </c>
      <c r="C25" s="274" t="s">
        <v>3741</v>
      </c>
      <c r="D25" s="274" t="s">
        <v>3742</v>
      </c>
      <c r="E25" s="274" t="s">
        <v>19</v>
      </c>
      <c r="F25" s="274" t="s">
        <v>95</v>
      </c>
      <c r="G25" s="274" t="s">
        <v>96</v>
      </c>
      <c r="H25" s="274" t="s">
        <v>97</v>
      </c>
      <c r="I25" s="274" t="s">
        <v>3778</v>
      </c>
      <c r="J25" s="274" t="s">
        <v>6511</v>
      </c>
      <c r="K25" s="274" t="s">
        <v>3746</v>
      </c>
      <c r="L25" s="274" t="s">
        <v>3779</v>
      </c>
      <c r="M25" s="281">
        <v>80000</v>
      </c>
      <c r="N25" s="280">
        <v>80000</v>
      </c>
      <c r="O25" s="280"/>
      <c r="P25" s="280"/>
      <c r="Q25" s="280"/>
      <c r="R25" s="280"/>
      <c r="S25" s="280"/>
      <c r="T25" s="297"/>
    </row>
    <row r="26" spans="1:20" x14ac:dyDescent="0.25">
      <c r="A26" s="274" t="s">
        <v>78</v>
      </c>
      <c r="B26" s="274" t="s">
        <v>79</v>
      </c>
      <c r="C26" s="274" t="s">
        <v>3741</v>
      </c>
      <c r="D26" s="274" t="s">
        <v>3742</v>
      </c>
      <c r="E26" s="274" t="s">
        <v>19</v>
      </c>
      <c r="F26" s="274" t="s">
        <v>95</v>
      </c>
      <c r="G26" s="274" t="s">
        <v>96</v>
      </c>
      <c r="H26" s="274" t="s">
        <v>97</v>
      </c>
      <c r="I26" s="274" t="s">
        <v>3780</v>
      </c>
      <c r="J26" s="274" t="s">
        <v>6512</v>
      </c>
      <c r="K26" s="274" t="s">
        <v>3746</v>
      </c>
      <c r="L26" s="274" t="s">
        <v>3781</v>
      </c>
      <c r="M26" s="281">
        <v>-25000</v>
      </c>
      <c r="N26" s="280">
        <v>-25000</v>
      </c>
      <c r="O26" s="280"/>
      <c r="P26" s="280"/>
      <c r="Q26" s="280"/>
      <c r="R26" s="280"/>
      <c r="S26" s="280"/>
      <c r="T26" s="297"/>
    </row>
    <row r="27" spans="1:20" x14ac:dyDescent="0.25">
      <c r="A27" s="274" t="s">
        <v>78</v>
      </c>
      <c r="B27" s="274" t="s">
        <v>79</v>
      </c>
      <c r="C27" s="274" t="s">
        <v>3741</v>
      </c>
      <c r="D27" s="274" t="s">
        <v>3742</v>
      </c>
      <c r="E27" s="274" t="s">
        <v>19</v>
      </c>
      <c r="F27" s="274" t="s">
        <v>95</v>
      </c>
      <c r="G27" s="274" t="s">
        <v>96</v>
      </c>
      <c r="H27" s="274" t="s">
        <v>97</v>
      </c>
      <c r="I27" s="274" t="s">
        <v>3782</v>
      </c>
      <c r="J27" s="274" t="s">
        <v>6512</v>
      </c>
      <c r="K27" s="274" t="s">
        <v>3746</v>
      </c>
      <c r="L27" s="274" t="s">
        <v>3781</v>
      </c>
      <c r="M27" s="281">
        <v>26318.16</v>
      </c>
      <c r="N27" s="280">
        <v>26318.16</v>
      </c>
      <c r="O27" s="280"/>
      <c r="P27" s="280"/>
      <c r="Q27" s="280"/>
      <c r="R27" s="280"/>
      <c r="S27" s="280"/>
      <c r="T27" s="297"/>
    </row>
    <row r="28" spans="1:20" x14ac:dyDescent="0.25">
      <c r="A28" s="274" t="s">
        <v>78</v>
      </c>
      <c r="B28" s="274" t="s">
        <v>79</v>
      </c>
      <c r="C28" s="274" t="s">
        <v>3741</v>
      </c>
      <c r="D28" s="274" t="s">
        <v>3742</v>
      </c>
      <c r="E28" s="274" t="s">
        <v>19</v>
      </c>
      <c r="F28" s="274" t="s">
        <v>95</v>
      </c>
      <c r="G28" s="274" t="s">
        <v>96</v>
      </c>
      <c r="H28" s="274" t="s">
        <v>97</v>
      </c>
      <c r="I28" s="274" t="s">
        <v>3783</v>
      </c>
      <c r="J28" s="274" t="s">
        <v>6512</v>
      </c>
      <c r="K28" s="274" t="s">
        <v>3746</v>
      </c>
      <c r="L28" s="274" t="s">
        <v>3784</v>
      </c>
      <c r="M28" s="281">
        <v>28000</v>
      </c>
      <c r="N28" s="280">
        <v>28000</v>
      </c>
      <c r="O28" s="280"/>
      <c r="P28" s="280"/>
      <c r="Q28" s="280"/>
      <c r="R28" s="280"/>
      <c r="S28" s="280"/>
      <c r="T28" s="297"/>
    </row>
    <row r="29" spans="1:20" x14ac:dyDescent="0.25">
      <c r="A29" s="274" t="s">
        <v>78</v>
      </c>
      <c r="B29" s="274" t="s">
        <v>79</v>
      </c>
      <c r="C29" s="274" t="s">
        <v>3741</v>
      </c>
      <c r="D29" s="274" t="s">
        <v>3742</v>
      </c>
      <c r="E29" s="274" t="s">
        <v>19</v>
      </c>
      <c r="F29" s="274" t="s">
        <v>95</v>
      </c>
      <c r="G29" s="274" t="s">
        <v>96</v>
      </c>
      <c r="H29" s="274" t="s">
        <v>97</v>
      </c>
      <c r="I29" s="274" t="s">
        <v>3785</v>
      </c>
      <c r="J29" s="274" t="s">
        <v>6513</v>
      </c>
      <c r="K29" s="274" t="s">
        <v>3746</v>
      </c>
      <c r="L29" s="274" t="s">
        <v>3786</v>
      </c>
      <c r="M29" s="281">
        <v>-285000</v>
      </c>
      <c r="N29" s="280">
        <v>-285000</v>
      </c>
      <c r="O29" s="280"/>
      <c r="P29" s="280"/>
      <c r="Q29" s="280"/>
      <c r="R29" s="280"/>
      <c r="S29" s="280"/>
      <c r="T29" s="297"/>
    </row>
    <row r="30" spans="1:20" x14ac:dyDescent="0.25">
      <c r="A30" s="274" t="s">
        <v>78</v>
      </c>
      <c r="B30" s="274" t="s">
        <v>79</v>
      </c>
      <c r="C30" s="274" t="s">
        <v>3741</v>
      </c>
      <c r="D30" s="274" t="s">
        <v>3742</v>
      </c>
      <c r="E30" s="274" t="s">
        <v>19</v>
      </c>
      <c r="F30" s="274" t="s">
        <v>95</v>
      </c>
      <c r="G30" s="274" t="s">
        <v>96</v>
      </c>
      <c r="H30" s="274" t="s">
        <v>97</v>
      </c>
      <c r="I30" s="274" t="s">
        <v>3787</v>
      </c>
      <c r="J30" s="274" t="s">
        <v>6513</v>
      </c>
      <c r="K30" s="274" t="s">
        <v>3746</v>
      </c>
      <c r="L30" s="274" t="s">
        <v>3786</v>
      </c>
      <c r="M30" s="281">
        <v>288038.03000000003</v>
      </c>
      <c r="N30" s="280">
        <v>288038.03000000003</v>
      </c>
      <c r="O30" s="280"/>
      <c r="P30" s="280"/>
      <c r="Q30" s="280"/>
      <c r="R30" s="280"/>
      <c r="S30" s="280"/>
      <c r="T30" s="297"/>
    </row>
    <row r="31" spans="1:20" x14ac:dyDescent="0.25">
      <c r="A31" s="274" t="s">
        <v>78</v>
      </c>
      <c r="B31" s="274" t="s">
        <v>79</v>
      </c>
      <c r="C31" s="274" t="s">
        <v>3741</v>
      </c>
      <c r="D31" s="274" t="s">
        <v>3742</v>
      </c>
      <c r="E31" s="274" t="s">
        <v>19</v>
      </c>
      <c r="F31" s="274" t="s">
        <v>95</v>
      </c>
      <c r="G31" s="274" t="s">
        <v>96</v>
      </c>
      <c r="H31" s="274" t="s">
        <v>97</v>
      </c>
      <c r="I31" s="274" t="s">
        <v>3788</v>
      </c>
      <c r="J31" s="274" t="s">
        <v>6513</v>
      </c>
      <c r="K31" s="274" t="s">
        <v>3746</v>
      </c>
      <c r="L31" s="274" t="s">
        <v>3789</v>
      </c>
      <c r="M31" s="281">
        <v>290000</v>
      </c>
      <c r="N31" s="280">
        <v>290000</v>
      </c>
      <c r="O31" s="280"/>
      <c r="P31" s="280"/>
      <c r="Q31" s="280"/>
      <c r="R31" s="280"/>
      <c r="S31" s="280"/>
      <c r="T31" s="297"/>
    </row>
    <row r="32" spans="1:20" x14ac:dyDescent="0.25">
      <c r="A32" s="274" t="s">
        <v>78</v>
      </c>
      <c r="B32" s="274" t="s">
        <v>79</v>
      </c>
      <c r="C32" s="274" t="s">
        <v>3741</v>
      </c>
      <c r="D32" s="274" t="s">
        <v>3742</v>
      </c>
      <c r="E32" s="274" t="s">
        <v>19</v>
      </c>
      <c r="F32" s="274" t="s">
        <v>95</v>
      </c>
      <c r="G32" s="274" t="s">
        <v>96</v>
      </c>
      <c r="H32" s="274" t="s">
        <v>97</v>
      </c>
      <c r="I32" s="274" t="s">
        <v>3790</v>
      </c>
      <c r="J32" s="274" t="s">
        <v>6514</v>
      </c>
      <c r="K32" s="274" t="s">
        <v>3746</v>
      </c>
      <c r="L32" s="274" t="s">
        <v>3791</v>
      </c>
      <c r="M32" s="281">
        <v>4492.8</v>
      </c>
      <c r="N32" s="280"/>
      <c r="O32" s="280">
        <v>4492.8</v>
      </c>
      <c r="P32" s="280"/>
      <c r="Q32" s="280"/>
      <c r="R32" s="280"/>
      <c r="S32" s="280"/>
      <c r="T32" s="297"/>
    </row>
    <row r="33" spans="1:20" x14ac:dyDescent="0.25">
      <c r="A33" s="274" t="s">
        <v>78</v>
      </c>
      <c r="B33" s="274" t="s">
        <v>79</v>
      </c>
      <c r="C33" s="274" t="s">
        <v>3741</v>
      </c>
      <c r="D33" s="274" t="s">
        <v>3742</v>
      </c>
      <c r="E33" s="274" t="s">
        <v>19</v>
      </c>
      <c r="F33" s="274" t="s">
        <v>95</v>
      </c>
      <c r="G33" s="274" t="s">
        <v>96</v>
      </c>
      <c r="H33" s="274" t="s">
        <v>97</v>
      </c>
      <c r="I33" s="274" t="s">
        <v>3792</v>
      </c>
      <c r="J33" s="274" t="s">
        <v>6512</v>
      </c>
      <c r="K33" s="274" t="s">
        <v>3746</v>
      </c>
      <c r="L33" s="274" t="s">
        <v>3793</v>
      </c>
      <c r="M33" s="281">
        <v>80000</v>
      </c>
      <c r="N33" s="280"/>
      <c r="O33" s="280">
        <v>80000</v>
      </c>
      <c r="P33" s="280"/>
      <c r="Q33" s="280"/>
      <c r="R33" s="280"/>
      <c r="S33" s="280"/>
      <c r="T33" s="297"/>
    </row>
    <row r="34" spans="1:20" x14ac:dyDescent="0.25">
      <c r="A34" s="274" t="s">
        <v>78</v>
      </c>
      <c r="B34" s="274" t="s">
        <v>79</v>
      </c>
      <c r="C34" s="274" t="s">
        <v>3741</v>
      </c>
      <c r="D34" s="274" t="s">
        <v>3742</v>
      </c>
      <c r="E34" s="274" t="s">
        <v>19</v>
      </c>
      <c r="F34" s="274" t="s">
        <v>95</v>
      </c>
      <c r="G34" s="274" t="s">
        <v>96</v>
      </c>
      <c r="H34" s="274" t="s">
        <v>97</v>
      </c>
      <c r="I34" s="274" t="s">
        <v>3794</v>
      </c>
      <c r="J34" s="274" t="s">
        <v>6512</v>
      </c>
      <c r="K34" s="274" t="s">
        <v>3746</v>
      </c>
      <c r="L34" s="274" t="s">
        <v>3793</v>
      </c>
      <c r="M34" s="281">
        <v>-80000</v>
      </c>
      <c r="N34" s="280"/>
      <c r="O34" s="280">
        <v>-80000</v>
      </c>
      <c r="P34" s="280"/>
      <c r="Q34" s="280"/>
      <c r="R34" s="280"/>
      <c r="S34" s="280"/>
      <c r="T34" s="297"/>
    </row>
    <row r="35" spans="1:20" x14ac:dyDescent="0.25">
      <c r="A35" s="274" t="s">
        <v>78</v>
      </c>
      <c r="B35" s="274" t="s">
        <v>79</v>
      </c>
      <c r="C35" s="274" t="s">
        <v>3741</v>
      </c>
      <c r="D35" s="274" t="s">
        <v>3742</v>
      </c>
      <c r="E35" s="274" t="s">
        <v>19</v>
      </c>
      <c r="F35" s="274" t="s">
        <v>95</v>
      </c>
      <c r="G35" s="274" t="s">
        <v>96</v>
      </c>
      <c r="H35" s="274" t="s">
        <v>97</v>
      </c>
      <c r="I35" s="274" t="s">
        <v>3795</v>
      </c>
      <c r="J35" s="274" t="s">
        <v>6512</v>
      </c>
      <c r="K35" s="274" t="s">
        <v>3746</v>
      </c>
      <c r="L35" s="274" t="s">
        <v>3793</v>
      </c>
      <c r="M35" s="281">
        <v>28000</v>
      </c>
      <c r="N35" s="280"/>
      <c r="O35" s="280">
        <v>28000</v>
      </c>
      <c r="P35" s="280"/>
      <c r="Q35" s="280"/>
      <c r="R35" s="280"/>
      <c r="S35" s="280"/>
      <c r="T35" s="297"/>
    </row>
    <row r="36" spans="1:20" x14ac:dyDescent="0.25">
      <c r="A36" s="274" t="s">
        <v>78</v>
      </c>
      <c r="B36" s="274" t="s">
        <v>79</v>
      </c>
      <c r="C36" s="274" t="s">
        <v>3741</v>
      </c>
      <c r="D36" s="274" t="s">
        <v>3742</v>
      </c>
      <c r="E36" s="274" t="s">
        <v>19</v>
      </c>
      <c r="F36" s="274" t="s">
        <v>95</v>
      </c>
      <c r="G36" s="274" t="s">
        <v>96</v>
      </c>
      <c r="H36" s="274" t="s">
        <v>97</v>
      </c>
      <c r="I36" s="274" t="s">
        <v>3796</v>
      </c>
      <c r="J36" s="274" t="s">
        <v>6511</v>
      </c>
      <c r="K36" s="274" t="s">
        <v>3746</v>
      </c>
      <c r="L36" s="274" t="s">
        <v>3779</v>
      </c>
      <c r="M36" s="281">
        <v>-80000</v>
      </c>
      <c r="N36" s="280"/>
      <c r="O36" s="280">
        <v>-80000</v>
      </c>
      <c r="P36" s="280"/>
      <c r="Q36" s="280"/>
      <c r="R36" s="280"/>
      <c r="S36" s="280"/>
      <c r="T36" s="297"/>
    </row>
    <row r="37" spans="1:20" x14ac:dyDescent="0.25">
      <c r="A37" s="274" t="s">
        <v>78</v>
      </c>
      <c r="B37" s="274" t="s">
        <v>79</v>
      </c>
      <c r="C37" s="274" t="s">
        <v>3741</v>
      </c>
      <c r="D37" s="274" t="s">
        <v>3742</v>
      </c>
      <c r="E37" s="274" t="s">
        <v>19</v>
      </c>
      <c r="F37" s="274" t="s">
        <v>95</v>
      </c>
      <c r="G37" s="274" t="s">
        <v>96</v>
      </c>
      <c r="H37" s="274" t="s">
        <v>97</v>
      </c>
      <c r="I37" s="274" t="s">
        <v>3797</v>
      </c>
      <c r="J37" s="274" t="s">
        <v>6511</v>
      </c>
      <c r="K37" s="274" t="s">
        <v>3746</v>
      </c>
      <c r="L37" s="274" t="s">
        <v>3779</v>
      </c>
      <c r="M37" s="281">
        <v>70528.08</v>
      </c>
      <c r="N37" s="280"/>
      <c r="O37" s="280">
        <v>70528.08</v>
      </c>
      <c r="P37" s="280"/>
      <c r="Q37" s="280"/>
      <c r="R37" s="280"/>
      <c r="S37" s="280"/>
      <c r="T37" s="297"/>
    </row>
    <row r="38" spans="1:20" x14ac:dyDescent="0.25">
      <c r="A38" s="274" t="s">
        <v>78</v>
      </c>
      <c r="B38" s="274" t="s">
        <v>79</v>
      </c>
      <c r="C38" s="274" t="s">
        <v>3741</v>
      </c>
      <c r="D38" s="274" t="s">
        <v>3742</v>
      </c>
      <c r="E38" s="274" t="s">
        <v>19</v>
      </c>
      <c r="F38" s="274" t="s">
        <v>95</v>
      </c>
      <c r="G38" s="274" t="s">
        <v>96</v>
      </c>
      <c r="H38" s="274" t="s">
        <v>97</v>
      </c>
      <c r="I38" s="274" t="s">
        <v>3798</v>
      </c>
      <c r="J38" s="274" t="s">
        <v>6511</v>
      </c>
      <c r="K38" s="274" t="s">
        <v>3746</v>
      </c>
      <c r="L38" s="274" t="s">
        <v>3799</v>
      </c>
      <c r="M38" s="281">
        <v>80000</v>
      </c>
      <c r="N38" s="280"/>
      <c r="O38" s="280">
        <v>80000</v>
      </c>
      <c r="P38" s="280"/>
      <c r="Q38" s="280"/>
      <c r="R38" s="280"/>
      <c r="S38" s="280"/>
      <c r="T38" s="297"/>
    </row>
    <row r="39" spans="1:20" x14ac:dyDescent="0.25">
      <c r="A39" s="274" t="s">
        <v>78</v>
      </c>
      <c r="B39" s="274" t="s">
        <v>79</v>
      </c>
      <c r="C39" s="274" t="s">
        <v>3741</v>
      </c>
      <c r="D39" s="274" t="s">
        <v>3742</v>
      </c>
      <c r="E39" s="274" t="s">
        <v>19</v>
      </c>
      <c r="F39" s="274" t="s">
        <v>95</v>
      </c>
      <c r="G39" s="274" t="s">
        <v>96</v>
      </c>
      <c r="H39" s="274" t="s">
        <v>97</v>
      </c>
      <c r="I39" s="274" t="s">
        <v>3800</v>
      </c>
      <c r="J39" s="274" t="s">
        <v>6512</v>
      </c>
      <c r="K39" s="274" t="s">
        <v>3746</v>
      </c>
      <c r="L39" s="274" t="s">
        <v>3784</v>
      </c>
      <c r="M39" s="281">
        <v>-28000</v>
      </c>
      <c r="N39" s="280"/>
      <c r="O39" s="280">
        <v>-28000</v>
      </c>
      <c r="P39" s="280"/>
      <c r="Q39" s="280"/>
      <c r="R39" s="280"/>
      <c r="S39" s="280"/>
      <c r="T39" s="297"/>
    </row>
    <row r="40" spans="1:20" x14ac:dyDescent="0.25">
      <c r="A40" s="274" t="s">
        <v>78</v>
      </c>
      <c r="B40" s="274" t="s">
        <v>79</v>
      </c>
      <c r="C40" s="274" t="s">
        <v>3741</v>
      </c>
      <c r="D40" s="274" t="s">
        <v>3742</v>
      </c>
      <c r="E40" s="274" t="s">
        <v>19</v>
      </c>
      <c r="F40" s="274" t="s">
        <v>95</v>
      </c>
      <c r="G40" s="274" t="s">
        <v>96</v>
      </c>
      <c r="H40" s="274" t="s">
        <v>97</v>
      </c>
      <c r="I40" s="274" t="s">
        <v>3801</v>
      </c>
      <c r="J40" s="274" t="s">
        <v>6512</v>
      </c>
      <c r="K40" s="274" t="s">
        <v>3746</v>
      </c>
      <c r="L40" s="274" t="s">
        <v>3784</v>
      </c>
      <c r="M40" s="281">
        <v>25841.14</v>
      </c>
      <c r="N40" s="280"/>
      <c r="O40" s="280">
        <v>25841.14</v>
      </c>
      <c r="P40" s="280"/>
      <c r="Q40" s="280"/>
      <c r="R40" s="280"/>
      <c r="S40" s="280"/>
      <c r="T40" s="297"/>
    </row>
    <row r="41" spans="1:20" x14ac:dyDescent="0.25">
      <c r="A41" s="274" t="s">
        <v>78</v>
      </c>
      <c r="B41" s="274" t="s">
        <v>79</v>
      </c>
      <c r="C41" s="274" t="s">
        <v>3741</v>
      </c>
      <c r="D41" s="274" t="s">
        <v>3742</v>
      </c>
      <c r="E41" s="274" t="s">
        <v>19</v>
      </c>
      <c r="F41" s="274" t="s">
        <v>95</v>
      </c>
      <c r="G41" s="274" t="s">
        <v>96</v>
      </c>
      <c r="H41" s="274" t="s">
        <v>97</v>
      </c>
      <c r="I41" s="274" t="s">
        <v>3802</v>
      </c>
      <c r="J41" s="274" t="s">
        <v>6513</v>
      </c>
      <c r="K41" s="274" t="s">
        <v>3746</v>
      </c>
      <c r="L41" s="274" t="s">
        <v>3789</v>
      </c>
      <c r="M41" s="281">
        <v>-290000</v>
      </c>
      <c r="N41" s="280"/>
      <c r="O41" s="280">
        <v>-290000</v>
      </c>
      <c r="P41" s="280"/>
      <c r="Q41" s="280"/>
      <c r="R41" s="280"/>
      <c r="S41" s="280"/>
      <c r="T41" s="297"/>
    </row>
    <row r="42" spans="1:20" x14ac:dyDescent="0.25">
      <c r="A42" s="274" t="s">
        <v>78</v>
      </c>
      <c r="B42" s="274" t="s">
        <v>79</v>
      </c>
      <c r="C42" s="274" t="s">
        <v>3741</v>
      </c>
      <c r="D42" s="274" t="s">
        <v>3742</v>
      </c>
      <c r="E42" s="274" t="s">
        <v>19</v>
      </c>
      <c r="F42" s="274" t="s">
        <v>95</v>
      </c>
      <c r="G42" s="274" t="s">
        <v>96</v>
      </c>
      <c r="H42" s="274" t="s">
        <v>97</v>
      </c>
      <c r="I42" s="274" t="s">
        <v>3803</v>
      </c>
      <c r="J42" s="274" t="s">
        <v>6513</v>
      </c>
      <c r="K42" s="274" t="s">
        <v>3746</v>
      </c>
      <c r="L42" s="274" t="s">
        <v>3789</v>
      </c>
      <c r="M42" s="281">
        <v>297368.27</v>
      </c>
      <c r="N42" s="280"/>
      <c r="O42" s="280">
        <v>297368.27</v>
      </c>
      <c r="P42" s="280"/>
      <c r="Q42" s="280"/>
      <c r="R42" s="280"/>
      <c r="S42" s="280"/>
      <c r="T42" s="297"/>
    </row>
    <row r="43" spans="1:20" x14ac:dyDescent="0.25">
      <c r="A43" s="274" t="s">
        <v>78</v>
      </c>
      <c r="B43" s="274" t="s">
        <v>79</v>
      </c>
      <c r="C43" s="274" t="s">
        <v>3741</v>
      </c>
      <c r="D43" s="274" t="s">
        <v>3742</v>
      </c>
      <c r="E43" s="274" t="s">
        <v>19</v>
      </c>
      <c r="F43" s="274" t="s">
        <v>95</v>
      </c>
      <c r="G43" s="274" t="s">
        <v>96</v>
      </c>
      <c r="H43" s="274" t="s">
        <v>97</v>
      </c>
      <c r="I43" s="274" t="s">
        <v>3804</v>
      </c>
      <c r="J43" s="274" t="s">
        <v>6513</v>
      </c>
      <c r="K43" s="274" t="s">
        <v>3746</v>
      </c>
      <c r="L43" s="274" t="s">
        <v>3805</v>
      </c>
      <c r="M43" s="281">
        <v>300000</v>
      </c>
      <c r="N43" s="280"/>
      <c r="O43" s="280">
        <v>300000</v>
      </c>
      <c r="P43" s="280"/>
      <c r="Q43" s="280"/>
      <c r="R43" s="280"/>
      <c r="S43" s="280"/>
      <c r="T43" s="297"/>
    </row>
    <row r="44" spans="1:20" x14ac:dyDescent="0.25">
      <c r="A44" s="274" t="s">
        <v>78</v>
      </c>
      <c r="B44" s="274" t="s">
        <v>79</v>
      </c>
      <c r="C44" s="274" t="s">
        <v>3741</v>
      </c>
      <c r="D44" s="274" t="s">
        <v>3742</v>
      </c>
      <c r="E44" s="274" t="s">
        <v>19</v>
      </c>
      <c r="F44" s="274" t="s">
        <v>95</v>
      </c>
      <c r="G44" s="274" t="s">
        <v>96</v>
      </c>
      <c r="H44" s="274" t="s">
        <v>97</v>
      </c>
      <c r="I44" s="274" t="s">
        <v>3806</v>
      </c>
      <c r="J44" s="274" t="s">
        <v>6511</v>
      </c>
      <c r="K44" s="274" t="s">
        <v>3746</v>
      </c>
      <c r="L44" s="274" t="s">
        <v>3799</v>
      </c>
      <c r="M44" s="281">
        <v>-80000</v>
      </c>
      <c r="N44" s="280"/>
      <c r="O44" s="280"/>
      <c r="P44" s="280">
        <v>-80000</v>
      </c>
      <c r="Q44" s="280"/>
      <c r="R44" s="280"/>
      <c r="S44" s="280"/>
      <c r="T44" s="297"/>
    </row>
    <row r="45" spans="1:20" x14ac:dyDescent="0.25">
      <c r="A45" s="274" t="s">
        <v>78</v>
      </c>
      <c r="B45" s="274" t="s">
        <v>79</v>
      </c>
      <c r="C45" s="274" t="s">
        <v>3741</v>
      </c>
      <c r="D45" s="274" t="s">
        <v>3742</v>
      </c>
      <c r="E45" s="274" t="s">
        <v>19</v>
      </c>
      <c r="F45" s="274" t="s">
        <v>95</v>
      </c>
      <c r="G45" s="274" t="s">
        <v>96</v>
      </c>
      <c r="H45" s="274" t="s">
        <v>97</v>
      </c>
      <c r="I45" s="274" t="s">
        <v>3807</v>
      </c>
      <c r="J45" s="274" t="s">
        <v>6511</v>
      </c>
      <c r="K45" s="274" t="s">
        <v>3746</v>
      </c>
      <c r="L45" s="274" t="s">
        <v>3799</v>
      </c>
      <c r="M45" s="281">
        <v>66387.06</v>
      </c>
      <c r="N45" s="280"/>
      <c r="O45" s="280"/>
      <c r="P45" s="280">
        <v>66387.06</v>
      </c>
      <c r="Q45" s="280"/>
      <c r="R45" s="280"/>
      <c r="S45" s="280"/>
      <c r="T45" s="297"/>
    </row>
    <row r="46" spans="1:20" x14ac:dyDescent="0.25">
      <c r="A46" s="274" t="s">
        <v>78</v>
      </c>
      <c r="B46" s="274" t="s">
        <v>79</v>
      </c>
      <c r="C46" s="274" t="s">
        <v>3741</v>
      </c>
      <c r="D46" s="274" t="s">
        <v>3742</v>
      </c>
      <c r="E46" s="274" t="s">
        <v>19</v>
      </c>
      <c r="F46" s="274" t="s">
        <v>95</v>
      </c>
      <c r="G46" s="274" t="s">
        <v>96</v>
      </c>
      <c r="H46" s="274" t="s">
        <v>97</v>
      </c>
      <c r="I46" s="274" t="s">
        <v>3808</v>
      </c>
      <c r="J46" s="274" t="s">
        <v>6511</v>
      </c>
      <c r="K46" s="274" t="s">
        <v>3746</v>
      </c>
      <c r="L46" s="274" t="s">
        <v>3809</v>
      </c>
      <c r="M46" s="281">
        <v>80000</v>
      </c>
      <c r="N46" s="280"/>
      <c r="O46" s="280"/>
      <c r="P46" s="280">
        <v>80000</v>
      </c>
      <c r="Q46" s="280"/>
      <c r="R46" s="280"/>
      <c r="S46" s="280"/>
      <c r="T46" s="297"/>
    </row>
    <row r="47" spans="1:20" x14ac:dyDescent="0.25">
      <c r="A47" s="274" t="s">
        <v>78</v>
      </c>
      <c r="B47" s="274" t="s">
        <v>79</v>
      </c>
      <c r="C47" s="274" t="s">
        <v>3741</v>
      </c>
      <c r="D47" s="274" t="s">
        <v>3742</v>
      </c>
      <c r="E47" s="274" t="s">
        <v>19</v>
      </c>
      <c r="F47" s="274" t="s">
        <v>95</v>
      </c>
      <c r="G47" s="274" t="s">
        <v>96</v>
      </c>
      <c r="H47" s="274" t="s">
        <v>97</v>
      </c>
      <c r="I47" s="274" t="s">
        <v>3810</v>
      </c>
      <c r="J47" s="274" t="s">
        <v>6512</v>
      </c>
      <c r="K47" s="274" t="s">
        <v>3746</v>
      </c>
      <c r="L47" s="274" t="s">
        <v>3793</v>
      </c>
      <c r="M47" s="281">
        <v>-28000</v>
      </c>
      <c r="N47" s="280"/>
      <c r="O47" s="280"/>
      <c r="P47" s="280">
        <v>-28000</v>
      </c>
      <c r="Q47" s="280"/>
      <c r="R47" s="280"/>
      <c r="S47" s="280"/>
      <c r="T47" s="297"/>
    </row>
    <row r="48" spans="1:20" x14ac:dyDescent="0.25">
      <c r="A48" s="274" t="s">
        <v>78</v>
      </c>
      <c r="B48" s="274" t="s">
        <v>79</v>
      </c>
      <c r="C48" s="274" t="s">
        <v>3741</v>
      </c>
      <c r="D48" s="274" t="s">
        <v>3742</v>
      </c>
      <c r="E48" s="274" t="s">
        <v>19</v>
      </c>
      <c r="F48" s="274" t="s">
        <v>95</v>
      </c>
      <c r="G48" s="274" t="s">
        <v>96</v>
      </c>
      <c r="H48" s="274" t="s">
        <v>97</v>
      </c>
      <c r="I48" s="274" t="s">
        <v>3811</v>
      </c>
      <c r="J48" s="274" t="s">
        <v>6512</v>
      </c>
      <c r="K48" s="274" t="s">
        <v>3746</v>
      </c>
      <c r="L48" s="274" t="s">
        <v>3793</v>
      </c>
      <c r="M48" s="281">
        <v>23683.55</v>
      </c>
      <c r="N48" s="280"/>
      <c r="O48" s="280"/>
      <c r="P48" s="280">
        <v>23683.55</v>
      </c>
      <c r="Q48" s="280"/>
      <c r="R48" s="280"/>
      <c r="S48" s="280"/>
      <c r="T48" s="297"/>
    </row>
    <row r="49" spans="1:20" x14ac:dyDescent="0.25">
      <c r="A49" s="274" t="s">
        <v>78</v>
      </c>
      <c r="B49" s="274" t="s">
        <v>79</v>
      </c>
      <c r="C49" s="274" t="s">
        <v>3741</v>
      </c>
      <c r="D49" s="274" t="s">
        <v>3742</v>
      </c>
      <c r="E49" s="274" t="s">
        <v>19</v>
      </c>
      <c r="F49" s="274" t="s">
        <v>95</v>
      </c>
      <c r="G49" s="274" t="s">
        <v>96</v>
      </c>
      <c r="H49" s="274" t="s">
        <v>97</v>
      </c>
      <c r="I49" s="274" t="s">
        <v>3812</v>
      </c>
      <c r="J49" s="274" t="s">
        <v>6512</v>
      </c>
      <c r="K49" s="274" t="s">
        <v>3746</v>
      </c>
      <c r="L49" s="274" t="s">
        <v>3813</v>
      </c>
      <c r="M49" s="281">
        <v>28000</v>
      </c>
      <c r="N49" s="280"/>
      <c r="O49" s="280"/>
      <c r="P49" s="280">
        <v>28000</v>
      </c>
      <c r="Q49" s="280"/>
      <c r="R49" s="280"/>
      <c r="S49" s="280"/>
      <c r="T49" s="297"/>
    </row>
    <row r="50" spans="1:20" x14ac:dyDescent="0.25">
      <c r="A50" s="274" t="s">
        <v>78</v>
      </c>
      <c r="B50" s="274" t="s">
        <v>79</v>
      </c>
      <c r="C50" s="274" t="s">
        <v>3741</v>
      </c>
      <c r="D50" s="274" t="s">
        <v>3742</v>
      </c>
      <c r="E50" s="274" t="s">
        <v>19</v>
      </c>
      <c r="F50" s="274" t="s">
        <v>95</v>
      </c>
      <c r="G50" s="274" t="s">
        <v>96</v>
      </c>
      <c r="H50" s="274" t="s">
        <v>97</v>
      </c>
      <c r="I50" s="274" t="s">
        <v>3814</v>
      </c>
      <c r="J50" s="274" t="s">
        <v>6513</v>
      </c>
      <c r="K50" s="274" t="s">
        <v>3746</v>
      </c>
      <c r="L50" s="274" t="s">
        <v>3805</v>
      </c>
      <c r="M50" s="281">
        <v>-300000</v>
      </c>
      <c r="N50" s="280"/>
      <c r="O50" s="280"/>
      <c r="P50" s="280">
        <v>-300000</v>
      </c>
      <c r="Q50" s="280"/>
      <c r="R50" s="280"/>
      <c r="S50" s="280"/>
      <c r="T50" s="297"/>
    </row>
    <row r="51" spans="1:20" x14ac:dyDescent="0.25">
      <c r="A51" s="274" t="s">
        <v>78</v>
      </c>
      <c r="B51" s="274" t="s">
        <v>79</v>
      </c>
      <c r="C51" s="274" t="s">
        <v>3741</v>
      </c>
      <c r="D51" s="274" t="s">
        <v>3742</v>
      </c>
      <c r="E51" s="274" t="s">
        <v>19</v>
      </c>
      <c r="F51" s="274" t="s">
        <v>95</v>
      </c>
      <c r="G51" s="274" t="s">
        <v>96</v>
      </c>
      <c r="H51" s="274" t="s">
        <v>97</v>
      </c>
      <c r="I51" s="274" t="s">
        <v>3815</v>
      </c>
      <c r="J51" s="274" t="s">
        <v>6513</v>
      </c>
      <c r="K51" s="274" t="s">
        <v>3746</v>
      </c>
      <c r="L51" s="274" t="s">
        <v>3805</v>
      </c>
      <c r="M51" s="281">
        <v>265976.51</v>
      </c>
      <c r="N51" s="280"/>
      <c r="O51" s="280"/>
      <c r="P51" s="280">
        <v>265976.51</v>
      </c>
      <c r="Q51" s="280"/>
      <c r="R51" s="280"/>
      <c r="S51" s="280"/>
      <c r="T51" s="297"/>
    </row>
    <row r="52" spans="1:20" x14ac:dyDescent="0.25">
      <c r="A52" s="274" t="s">
        <v>78</v>
      </c>
      <c r="B52" s="274" t="s">
        <v>79</v>
      </c>
      <c r="C52" s="274" t="s">
        <v>3741</v>
      </c>
      <c r="D52" s="274" t="s">
        <v>3742</v>
      </c>
      <c r="E52" s="274" t="s">
        <v>19</v>
      </c>
      <c r="F52" s="274" t="s">
        <v>95</v>
      </c>
      <c r="G52" s="274" t="s">
        <v>96</v>
      </c>
      <c r="H52" s="274" t="s">
        <v>97</v>
      </c>
      <c r="I52" s="274" t="s">
        <v>3816</v>
      </c>
      <c r="J52" s="274" t="s">
        <v>6513</v>
      </c>
      <c r="K52" s="274" t="s">
        <v>3746</v>
      </c>
      <c r="L52" s="274" t="s">
        <v>3805</v>
      </c>
      <c r="M52" s="281">
        <v>275000</v>
      </c>
      <c r="N52" s="280"/>
      <c r="O52" s="280"/>
      <c r="P52" s="280">
        <v>275000</v>
      </c>
      <c r="Q52" s="280"/>
      <c r="R52" s="280"/>
      <c r="S52" s="280"/>
      <c r="T52" s="297"/>
    </row>
    <row r="53" spans="1:20" x14ac:dyDescent="0.25">
      <c r="A53" s="274" t="s">
        <v>78</v>
      </c>
      <c r="B53" s="274" t="s">
        <v>79</v>
      </c>
      <c r="C53" s="274" t="s">
        <v>3741</v>
      </c>
      <c r="D53" s="274" t="s">
        <v>3742</v>
      </c>
      <c r="E53" s="274" t="s">
        <v>19</v>
      </c>
      <c r="F53" s="274" t="s">
        <v>95</v>
      </c>
      <c r="G53" s="274" t="s">
        <v>96</v>
      </c>
      <c r="H53" s="274" t="s">
        <v>97</v>
      </c>
      <c r="I53" s="274" t="s">
        <v>3817</v>
      </c>
      <c r="J53" s="274" t="s">
        <v>6513</v>
      </c>
      <c r="K53" s="274" t="s">
        <v>3746</v>
      </c>
      <c r="L53" s="274" t="s">
        <v>3805</v>
      </c>
      <c r="M53" s="281">
        <v>-275000</v>
      </c>
      <c r="N53" s="280"/>
      <c r="O53" s="280"/>
      <c r="P53" s="280">
        <v>-275000</v>
      </c>
      <c r="Q53" s="280"/>
      <c r="R53" s="280"/>
      <c r="S53" s="280"/>
      <c r="T53" s="297"/>
    </row>
    <row r="54" spans="1:20" x14ac:dyDescent="0.25">
      <c r="A54" s="274" t="s">
        <v>78</v>
      </c>
      <c r="B54" s="274" t="s">
        <v>79</v>
      </c>
      <c r="C54" s="274" t="s">
        <v>3741</v>
      </c>
      <c r="D54" s="274" t="s">
        <v>3742</v>
      </c>
      <c r="E54" s="274" t="s">
        <v>19</v>
      </c>
      <c r="F54" s="274" t="s">
        <v>95</v>
      </c>
      <c r="G54" s="274" t="s">
        <v>96</v>
      </c>
      <c r="H54" s="274" t="s">
        <v>97</v>
      </c>
      <c r="I54" s="274" t="s">
        <v>3818</v>
      </c>
      <c r="J54" s="274" t="s">
        <v>6513</v>
      </c>
      <c r="K54" s="274" t="s">
        <v>3746</v>
      </c>
      <c r="L54" s="274" t="s">
        <v>3819</v>
      </c>
      <c r="M54" s="281">
        <v>275000</v>
      </c>
      <c r="N54" s="280"/>
      <c r="O54" s="280"/>
      <c r="P54" s="280">
        <v>275000</v>
      </c>
      <c r="Q54" s="280"/>
      <c r="R54" s="280"/>
      <c r="S54" s="280"/>
      <c r="T54" s="297"/>
    </row>
    <row r="55" spans="1:20" x14ac:dyDescent="0.25">
      <c r="A55" s="274" t="s">
        <v>78</v>
      </c>
      <c r="B55" s="274" t="s">
        <v>79</v>
      </c>
      <c r="C55" s="274" t="s">
        <v>3741</v>
      </c>
      <c r="D55" s="274" t="s">
        <v>3742</v>
      </c>
      <c r="E55" s="274" t="s">
        <v>19</v>
      </c>
      <c r="F55" s="274" t="s">
        <v>95</v>
      </c>
      <c r="G55" s="274" t="s">
        <v>96</v>
      </c>
      <c r="H55" s="274" t="s">
        <v>97</v>
      </c>
      <c r="I55" s="274" t="s">
        <v>3820</v>
      </c>
      <c r="J55" s="274" t="s">
        <v>6513</v>
      </c>
      <c r="K55" s="274" t="s">
        <v>3746</v>
      </c>
      <c r="L55" s="274" t="s">
        <v>3805</v>
      </c>
      <c r="M55" s="281">
        <v>-265976.51</v>
      </c>
      <c r="N55" s="280"/>
      <c r="O55" s="280"/>
      <c r="P55" s="280">
        <v>-265976.51</v>
      </c>
      <c r="Q55" s="280"/>
      <c r="R55" s="280"/>
      <c r="S55" s="280"/>
      <c r="T55" s="297"/>
    </row>
    <row r="56" spans="1:20" x14ac:dyDescent="0.25">
      <c r="A56" s="274" t="s">
        <v>78</v>
      </c>
      <c r="B56" s="274" t="s">
        <v>79</v>
      </c>
      <c r="C56" s="274" t="s">
        <v>3741</v>
      </c>
      <c r="D56" s="274" t="s">
        <v>3742</v>
      </c>
      <c r="E56" s="274" t="s">
        <v>19</v>
      </c>
      <c r="F56" s="274" t="s">
        <v>95</v>
      </c>
      <c r="G56" s="274" t="s">
        <v>96</v>
      </c>
      <c r="H56" s="274" t="s">
        <v>97</v>
      </c>
      <c r="I56" s="274" t="s">
        <v>3821</v>
      </c>
      <c r="J56" s="274" t="s">
        <v>6513</v>
      </c>
      <c r="K56" s="274" t="s">
        <v>3746</v>
      </c>
      <c r="L56" s="274" t="s">
        <v>3805</v>
      </c>
      <c r="M56" s="281">
        <v>265968.08</v>
      </c>
      <c r="N56" s="280"/>
      <c r="O56" s="280"/>
      <c r="P56" s="280">
        <v>265968.08</v>
      </c>
      <c r="Q56" s="280"/>
      <c r="R56" s="280"/>
      <c r="S56" s="280"/>
      <c r="T56" s="297"/>
    </row>
    <row r="57" spans="1:20" x14ac:dyDescent="0.25">
      <c r="A57" s="274" t="s">
        <v>78</v>
      </c>
      <c r="B57" s="274" t="s">
        <v>79</v>
      </c>
      <c r="C57" s="274" t="s">
        <v>3741</v>
      </c>
      <c r="D57" s="274" t="s">
        <v>3742</v>
      </c>
      <c r="E57" s="274" t="s">
        <v>19</v>
      </c>
      <c r="F57" s="274" t="s">
        <v>95</v>
      </c>
      <c r="G57" s="274" t="s">
        <v>96</v>
      </c>
      <c r="H57" s="274" t="s">
        <v>97</v>
      </c>
      <c r="I57" s="274" t="s">
        <v>3822</v>
      </c>
      <c r="J57" s="274" t="s">
        <v>6511</v>
      </c>
      <c r="K57" s="274" t="s">
        <v>3746</v>
      </c>
      <c r="L57" s="274" t="s">
        <v>3809</v>
      </c>
      <c r="M57" s="281">
        <v>-80000</v>
      </c>
      <c r="N57" s="280"/>
      <c r="O57" s="280"/>
      <c r="P57" s="280">
        <v>-80000</v>
      </c>
      <c r="Q57" s="280"/>
      <c r="R57" s="280"/>
      <c r="S57" s="280"/>
      <c r="T57" s="297"/>
    </row>
    <row r="58" spans="1:20" x14ac:dyDescent="0.25">
      <c r="A58" s="274" t="s">
        <v>78</v>
      </c>
      <c r="B58" s="274" t="s">
        <v>79</v>
      </c>
      <c r="C58" s="274" t="s">
        <v>3741</v>
      </c>
      <c r="D58" s="274" t="s">
        <v>3742</v>
      </c>
      <c r="E58" s="274" t="s">
        <v>19</v>
      </c>
      <c r="F58" s="274" t="s">
        <v>95</v>
      </c>
      <c r="G58" s="274" t="s">
        <v>96</v>
      </c>
      <c r="H58" s="274" t="s">
        <v>97</v>
      </c>
      <c r="I58" s="274" t="s">
        <v>3823</v>
      </c>
      <c r="J58" s="274" t="s">
        <v>6512</v>
      </c>
      <c r="K58" s="274" t="s">
        <v>3746</v>
      </c>
      <c r="L58" s="274" t="s">
        <v>3813</v>
      </c>
      <c r="M58" s="281">
        <v>-28000</v>
      </c>
      <c r="N58" s="280"/>
      <c r="O58" s="280"/>
      <c r="P58" s="280"/>
      <c r="Q58" s="280">
        <v>-28000</v>
      </c>
      <c r="R58" s="280"/>
      <c r="S58" s="280"/>
      <c r="T58" s="297"/>
    </row>
    <row r="59" spans="1:20" x14ac:dyDescent="0.25">
      <c r="A59" s="274" t="s">
        <v>78</v>
      </c>
      <c r="B59" s="274" t="s">
        <v>79</v>
      </c>
      <c r="C59" s="274" t="s">
        <v>3741</v>
      </c>
      <c r="D59" s="274" t="s">
        <v>3742</v>
      </c>
      <c r="E59" s="274" t="s">
        <v>19</v>
      </c>
      <c r="F59" s="274" t="s">
        <v>95</v>
      </c>
      <c r="G59" s="274" t="s">
        <v>96</v>
      </c>
      <c r="H59" s="274" t="s">
        <v>97</v>
      </c>
      <c r="I59" s="274" t="s">
        <v>3824</v>
      </c>
      <c r="J59" s="274" t="s">
        <v>6512</v>
      </c>
      <c r="K59" s="274" t="s">
        <v>3746</v>
      </c>
      <c r="L59" s="274" t="s">
        <v>3813</v>
      </c>
      <c r="M59" s="281">
        <v>26071.37</v>
      </c>
      <c r="N59" s="280"/>
      <c r="O59" s="280"/>
      <c r="P59" s="280"/>
      <c r="Q59" s="280">
        <v>26071.37</v>
      </c>
      <c r="R59" s="280"/>
      <c r="S59" s="280"/>
      <c r="T59" s="297"/>
    </row>
    <row r="60" spans="1:20" x14ac:dyDescent="0.25">
      <c r="A60" s="274" t="s">
        <v>78</v>
      </c>
      <c r="B60" s="274" t="s">
        <v>79</v>
      </c>
      <c r="C60" s="274" t="s">
        <v>3741</v>
      </c>
      <c r="D60" s="274" t="s">
        <v>3742</v>
      </c>
      <c r="E60" s="274" t="s">
        <v>19</v>
      </c>
      <c r="F60" s="274" t="s">
        <v>95</v>
      </c>
      <c r="G60" s="274" t="s">
        <v>96</v>
      </c>
      <c r="H60" s="274" t="s">
        <v>97</v>
      </c>
      <c r="I60" s="274" t="s">
        <v>3825</v>
      </c>
      <c r="J60" s="274" t="s">
        <v>6512</v>
      </c>
      <c r="K60" s="274" t="s">
        <v>3746</v>
      </c>
      <c r="L60" s="274" t="s">
        <v>3826</v>
      </c>
      <c r="M60" s="281">
        <v>28000</v>
      </c>
      <c r="N60" s="280"/>
      <c r="O60" s="280"/>
      <c r="P60" s="280"/>
      <c r="Q60" s="280">
        <v>28000</v>
      </c>
      <c r="R60" s="280"/>
      <c r="S60" s="280"/>
      <c r="T60" s="297"/>
    </row>
    <row r="61" spans="1:20" x14ac:dyDescent="0.25">
      <c r="A61" s="274" t="s">
        <v>78</v>
      </c>
      <c r="B61" s="274" t="s">
        <v>79</v>
      </c>
      <c r="C61" s="274" t="s">
        <v>3741</v>
      </c>
      <c r="D61" s="274" t="s">
        <v>3742</v>
      </c>
      <c r="E61" s="274" t="s">
        <v>19</v>
      </c>
      <c r="F61" s="274" t="s">
        <v>95</v>
      </c>
      <c r="G61" s="274" t="s">
        <v>96</v>
      </c>
      <c r="H61" s="274" t="s">
        <v>97</v>
      </c>
      <c r="I61" s="274" t="s">
        <v>3827</v>
      </c>
      <c r="J61" s="274" t="s">
        <v>6513</v>
      </c>
      <c r="K61" s="274" t="s">
        <v>3746</v>
      </c>
      <c r="L61" s="274" t="s">
        <v>3819</v>
      </c>
      <c r="M61" s="281">
        <v>-275000</v>
      </c>
      <c r="N61" s="280"/>
      <c r="O61" s="280"/>
      <c r="P61" s="280"/>
      <c r="Q61" s="280">
        <v>-275000</v>
      </c>
      <c r="R61" s="280"/>
      <c r="S61" s="280"/>
      <c r="T61" s="297"/>
    </row>
    <row r="62" spans="1:20" x14ac:dyDescent="0.25">
      <c r="A62" s="274" t="s">
        <v>78</v>
      </c>
      <c r="B62" s="274" t="s">
        <v>79</v>
      </c>
      <c r="C62" s="274" t="s">
        <v>3741</v>
      </c>
      <c r="D62" s="274" t="s">
        <v>3742</v>
      </c>
      <c r="E62" s="274" t="s">
        <v>19</v>
      </c>
      <c r="F62" s="274" t="s">
        <v>95</v>
      </c>
      <c r="G62" s="274" t="s">
        <v>96</v>
      </c>
      <c r="H62" s="274" t="s">
        <v>97</v>
      </c>
      <c r="I62" s="274" t="s">
        <v>3828</v>
      </c>
      <c r="J62" s="274" t="s">
        <v>6513</v>
      </c>
      <c r="K62" s="274" t="s">
        <v>3746</v>
      </c>
      <c r="L62" s="274" t="s">
        <v>3819</v>
      </c>
      <c r="M62" s="281">
        <v>282450.39</v>
      </c>
      <c r="N62" s="280"/>
      <c r="O62" s="280"/>
      <c r="P62" s="280"/>
      <c r="Q62" s="280">
        <v>282450.39</v>
      </c>
      <c r="R62" s="280"/>
      <c r="S62" s="280"/>
      <c r="T62" s="297"/>
    </row>
    <row r="63" spans="1:20" x14ac:dyDescent="0.25">
      <c r="A63" s="274" t="s">
        <v>78</v>
      </c>
      <c r="B63" s="274" t="s">
        <v>79</v>
      </c>
      <c r="C63" s="274" t="s">
        <v>3741</v>
      </c>
      <c r="D63" s="274" t="s">
        <v>3742</v>
      </c>
      <c r="E63" s="274" t="s">
        <v>19</v>
      </c>
      <c r="F63" s="274" t="s">
        <v>95</v>
      </c>
      <c r="G63" s="274" t="s">
        <v>96</v>
      </c>
      <c r="H63" s="274" t="s">
        <v>97</v>
      </c>
      <c r="I63" s="274" t="s">
        <v>3829</v>
      </c>
      <c r="J63" s="274" t="s">
        <v>6513</v>
      </c>
      <c r="K63" s="274" t="s">
        <v>3746</v>
      </c>
      <c r="L63" s="274" t="s">
        <v>3830</v>
      </c>
      <c r="M63" s="281">
        <v>285000</v>
      </c>
      <c r="N63" s="280"/>
      <c r="O63" s="280"/>
      <c r="P63" s="280"/>
      <c r="Q63" s="280">
        <v>285000</v>
      </c>
      <c r="R63" s="280"/>
      <c r="S63" s="280"/>
      <c r="T63" s="297"/>
    </row>
    <row r="64" spans="1:20" x14ac:dyDescent="0.25">
      <c r="A64" s="274" t="s">
        <v>78</v>
      </c>
      <c r="B64" s="274" t="s">
        <v>79</v>
      </c>
      <c r="C64" s="274" t="s">
        <v>3741</v>
      </c>
      <c r="D64" s="274" t="s">
        <v>3742</v>
      </c>
      <c r="E64" s="274" t="s">
        <v>19</v>
      </c>
      <c r="F64" s="274" t="s">
        <v>95</v>
      </c>
      <c r="G64" s="274" t="s">
        <v>96</v>
      </c>
      <c r="H64" s="274" t="s">
        <v>97</v>
      </c>
      <c r="I64" s="274" t="s">
        <v>3831</v>
      </c>
      <c r="J64" s="274" t="s">
        <v>6515</v>
      </c>
      <c r="K64" s="274" t="s">
        <v>3746</v>
      </c>
      <c r="L64" s="274" t="s">
        <v>3832</v>
      </c>
      <c r="M64" s="281">
        <v>560</v>
      </c>
      <c r="N64" s="280"/>
      <c r="O64" s="280"/>
      <c r="P64" s="280"/>
      <c r="Q64" s="280">
        <v>560</v>
      </c>
      <c r="R64" s="280"/>
      <c r="S64" s="280"/>
      <c r="T64" s="297"/>
    </row>
    <row r="65" spans="1:20" x14ac:dyDescent="0.25">
      <c r="A65" s="274" t="s">
        <v>78</v>
      </c>
      <c r="B65" s="274" t="s">
        <v>79</v>
      </c>
      <c r="C65" s="274" t="s">
        <v>3741</v>
      </c>
      <c r="D65" s="274" t="s">
        <v>3742</v>
      </c>
      <c r="E65" s="274" t="s">
        <v>19</v>
      </c>
      <c r="F65" s="274" t="s">
        <v>95</v>
      </c>
      <c r="G65" s="274" t="s">
        <v>96</v>
      </c>
      <c r="H65" s="274" t="s">
        <v>97</v>
      </c>
      <c r="I65" s="274" t="s">
        <v>3833</v>
      </c>
      <c r="J65" s="274" t="s">
        <v>6516</v>
      </c>
      <c r="K65" s="274" t="s">
        <v>3746</v>
      </c>
      <c r="L65" s="274" t="s">
        <v>3834</v>
      </c>
      <c r="M65" s="281">
        <v>954.72</v>
      </c>
      <c r="N65" s="280"/>
      <c r="O65" s="280"/>
      <c r="P65" s="280"/>
      <c r="Q65" s="280">
        <v>954.72</v>
      </c>
      <c r="R65" s="280"/>
      <c r="S65" s="280"/>
      <c r="T65" s="297"/>
    </row>
    <row r="66" spans="1:20" x14ac:dyDescent="0.25">
      <c r="A66" s="274" t="s">
        <v>78</v>
      </c>
      <c r="B66" s="274" t="s">
        <v>79</v>
      </c>
      <c r="C66" s="274" t="s">
        <v>3741</v>
      </c>
      <c r="D66" s="274" t="s">
        <v>3742</v>
      </c>
      <c r="E66" s="274" t="s">
        <v>19</v>
      </c>
      <c r="F66" s="274" t="s">
        <v>95</v>
      </c>
      <c r="G66" s="274" t="s">
        <v>96</v>
      </c>
      <c r="H66" s="274" t="s">
        <v>97</v>
      </c>
      <c r="I66" s="274" t="s">
        <v>3835</v>
      </c>
      <c r="J66" s="274" t="s">
        <v>6517</v>
      </c>
      <c r="K66" s="274" t="s">
        <v>3746</v>
      </c>
      <c r="L66" s="274" t="s">
        <v>3836</v>
      </c>
      <c r="M66" s="281">
        <v>56</v>
      </c>
      <c r="N66" s="280"/>
      <c r="O66" s="280"/>
      <c r="P66" s="280"/>
      <c r="Q66" s="280">
        <v>56</v>
      </c>
      <c r="R66" s="280"/>
      <c r="S66" s="280"/>
      <c r="T66" s="297"/>
    </row>
    <row r="67" spans="1:20" x14ac:dyDescent="0.25">
      <c r="A67" s="274" t="s">
        <v>78</v>
      </c>
      <c r="B67" s="274" t="s">
        <v>79</v>
      </c>
      <c r="C67" s="274" t="s">
        <v>3741</v>
      </c>
      <c r="D67" s="274" t="s">
        <v>3742</v>
      </c>
      <c r="E67" s="274" t="s">
        <v>19</v>
      </c>
      <c r="F67" s="274" t="s">
        <v>95</v>
      </c>
      <c r="G67" s="274" t="s">
        <v>96</v>
      </c>
      <c r="H67" s="274" t="s">
        <v>97</v>
      </c>
      <c r="I67" s="274" t="s">
        <v>3837</v>
      </c>
      <c r="J67" s="274" t="s">
        <v>6512</v>
      </c>
      <c r="K67" s="274" t="s">
        <v>3746</v>
      </c>
      <c r="L67" s="274" t="s">
        <v>3826</v>
      </c>
      <c r="M67" s="281">
        <v>-28000</v>
      </c>
      <c r="N67" s="280"/>
      <c r="O67" s="280"/>
      <c r="P67" s="280"/>
      <c r="Q67" s="280"/>
      <c r="R67" s="280">
        <v>-28000</v>
      </c>
      <c r="S67" s="280"/>
      <c r="T67" s="297"/>
    </row>
    <row r="68" spans="1:20" x14ac:dyDescent="0.25">
      <c r="A68" s="274" t="s">
        <v>78</v>
      </c>
      <c r="B68" s="274" t="s">
        <v>79</v>
      </c>
      <c r="C68" s="274" t="s">
        <v>3741</v>
      </c>
      <c r="D68" s="274" t="s">
        <v>3742</v>
      </c>
      <c r="E68" s="274" t="s">
        <v>19</v>
      </c>
      <c r="F68" s="274" t="s">
        <v>95</v>
      </c>
      <c r="G68" s="274" t="s">
        <v>96</v>
      </c>
      <c r="H68" s="274" t="s">
        <v>97</v>
      </c>
      <c r="I68" s="274" t="s">
        <v>3838</v>
      </c>
      <c r="J68" s="274" t="s">
        <v>6512</v>
      </c>
      <c r="K68" s="274" t="s">
        <v>3746</v>
      </c>
      <c r="L68" s="274" t="s">
        <v>3826</v>
      </c>
      <c r="M68" s="281">
        <v>24790.09</v>
      </c>
      <c r="N68" s="280"/>
      <c r="O68" s="280"/>
      <c r="P68" s="280"/>
      <c r="Q68" s="280"/>
      <c r="R68" s="280">
        <v>24790.09</v>
      </c>
      <c r="S68" s="280"/>
      <c r="T68" s="297"/>
    </row>
    <row r="69" spans="1:20" x14ac:dyDescent="0.25">
      <c r="A69" s="274" t="s">
        <v>78</v>
      </c>
      <c r="B69" s="274" t="s">
        <v>79</v>
      </c>
      <c r="C69" s="274" t="s">
        <v>3741</v>
      </c>
      <c r="D69" s="274" t="s">
        <v>3742</v>
      </c>
      <c r="E69" s="274" t="s">
        <v>19</v>
      </c>
      <c r="F69" s="274" t="s">
        <v>95</v>
      </c>
      <c r="G69" s="274" t="s">
        <v>96</v>
      </c>
      <c r="H69" s="274" t="s">
        <v>97</v>
      </c>
      <c r="I69" s="274" t="s">
        <v>3839</v>
      </c>
      <c r="J69" s="274" t="s">
        <v>6513</v>
      </c>
      <c r="K69" s="274" t="s">
        <v>3746</v>
      </c>
      <c r="L69" s="274" t="s">
        <v>3830</v>
      </c>
      <c r="M69" s="281">
        <v>-285000</v>
      </c>
      <c r="N69" s="280"/>
      <c r="O69" s="280"/>
      <c r="P69" s="280"/>
      <c r="Q69" s="280"/>
      <c r="R69" s="280">
        <v>-285000</v>
      </c>
      <c r="S69" s="280"/>
      <c r="T69" s="297"/>
    </row>
    <row r="70" spans="1:20" x14ac:dyDescent="0.25">
      <c r="A70" s="274" t="s">
        <v>78</v>
      </c>
      <c r="B70" s="274" t="s">
        <v>79</v>
      </c>
      <c r="C70" s="274" t="s">
        <v>3741</v>
      </c>
      <c r="D70" s="274" t="s">
        <v>3742</v>
      </c>
      <c r="E70" s="274" t="s">
        <v>19</v>
      </c>
      <c r="F70" s="274" t="s">
        <v>95</v>
      </c>
      <c r="G70" s="274" t="s">
        <v>96</v>
      </c>
      <c r="H70" s="274" t="s">
        <v>97</v>
      </c>
      <c r="I70" s="274" t="s">
        <v>3840</v>
      </c>
      <c r="J70" s="274" t="s">
        <v>6513</v>
      </c>
      <c r="K70" s="274" t="s">
        <v>3746</v>
      </c>
      <c r="L70" s="274" t="s">
        <v>3830</v>
      </c>
      <c r="M70" s="281">
        <v>285309.17</v>
      </c>
      <c r="N70" s="280"/>
      <c r="O70" s="280"/>
      <c r="P70" s="280"/>
      <c r="Q70" s="280"/>
      <c r="R70" s="280">
        <v>285309.17</v>
      </c>
      <c r="S70" s="280"/>
      <c r="T70" s="297"/>
    </row>
    <row r="71" spans="1:20" x14ac:dyDescent="0.25">
      <c r="A71" s="274" t="s">
        <v>78</v>
      </c>
      <c r="B71" s="274" t="s">
        <v>79</v>
      </c>
      <c r="C71" s="274" t="s">
        <v>3741</v>
      </c>
      <c r="D71" s="274" t="s">
        <v>3742</v>
      </c>
      <c r="E71" s="274" t="s">
        <v>19</v>
      </c>
      <c r="F71" s="274" t="s">
        <v>95</v>
      </c>
      <c r="G71" s="274" t="s">
        <v>96</v>
      </c>
      <c r="H71" s="274" t="s">
        <v>97</v>
      </c>
      <c r="I71" s="274" t="s">
        <v>3841</v>
      </c>
      <c r="J71" s="274" t="s">
        <v>6513</v>
      </c>
      <c r="K71" s="274" t="s">
        <v>3746</v>
      </c>
      <c r="L71" s="274" t="s">
        <v>3842</v>
      </c>
      <c r="M71" s="281">
        <v>285000</v>
      </c>
      <c r="N71" s="280"/>
      <c r="O71" s="280"/>
      <c r="P71" s="280"/>
      <c r="Q71" s="280"/>
      <c r="R71" s="280">
        <v>285000</v>
      </c>
      <c r="S71" s="280"/>
      <c r="T71" s="297"/>
    </row>
    <row r="72" spans="1:20" x14ac:dyDescent="0.25">
      <c r="A72" s="274" t="s">
        <v>78</v>
      </c>
      <c r="B72" s="274" t="s">
        <v>79</v>
      </c>
      <c r="C72" s="274" t="s">
        <v>3741</v>
      </c>
      <c r="D72" s="274" t="s">
        <v>3742</v>
      </c>
      <c r="E72" s="274" t="s">
        <v>19</v>
      </c>
      <c r="F72" s="274" t="s">
        <v>95</v>
      </c>
      <c r="G72" s="274" t="s">
        <v>96</v>
      </c>
      <c r="H72" s="274" t="s">
        <v>97</v>
      </c>
      <c r="I72" s="274" t="s">
        <v>3843</v>
      </c>
      <c r="J72" s="274" t="s">
        <v>6512</v>
      </c>
      <c r="K72" s="274" t="s">
        <v>3746</v>
      </c>
      <c r="L72" s="274" t="s">
        <v>3844</v>
      </c>
      <c r="M72" s="281">
        <v>26000</v>
      </c>
      <c r="N72" s="280"/>
      <c r="O72" s="280"/>
      <c r="P72" s="280"/>
      <c r="Q72" s="280"/>
      <c r="R72" s="280">
        <v>26000</v>
      </c>
      <c r="S72" s="280"/>
      <c r="T72" s="297"/>
    </row>
    <row r="73" spans="1:20" x14ac:dyDescent="0.25">
      <c r="A73" s="274" t="s">
        <v>78</v>
      </c>
      <c r="B73" s="274" t="s">
        <v>79</v>
      </c>
      <c r="C73" s="274" t="s">
        <v>3741</v>
      </c>
      <c r="D73" s="274" t="s">
        <v>3742</v>
      </c>
      <c r="E73" s="274" t="s">
        <v>19</v>
      </c>
      <c r="F73" s="274" t="s">
        <v>95</v>
      </c>
      <c r="G73" s="274" t="s">
        <v>96</v>
      </c>
      <c r="H73" s="274" t="s">
        <v>97</v>
      </c>
      <c r="I73" s="274" t="s">
        <v>3845</v>
      </c>
      <c r="J73" s="274" t="s">
        <v>6513</v>
      </c>
      <c r="K73" s="274" t="s">
        <v>3746</v>
      </c>
      <c r="L73" s="274" t="s">
        <v>3830</v>
      </c>
      <c r="M73" s="281">
        <v>-285309.17</v>
      </c>
      <c r="N73" s="280"/>
      <c r="O73" s="280"/>
      <c r="P73" s="280"/>
      <c r="Q73" s="280"/>
      <c r="R73" s="280">
        <v>-285309.17</v>
      </c>
      <c r="S73" s="280"/>
      <c r="T73" s="297"/>
    </row>
    <row r="74" spans="1:20" x14ac:dyDescent="0.25">
      <c r="A74" s="274" t="s">
        <v>78</v>
      </c>
      <c r="B74" s="274" t="s">
        <v>79</v>
      </c>
      <c r="C74" s="274" t="s">
        <v>3741</v>
      </c>
      <c r="D74" s="274" t="s">
        <v>3742</v>
      </c>
      <c r="E74" s="274" t="s">
        <v>19</v>
      </c>
      <c r="F74" s="274" t="s">
        <v>95</v>
      </c>
      <c r="G74" s="274" t="s">
        <v>96</v>
      </c>
      <c r="H74" s="274" t="s">
        <v>97</v>
      </c>
      <c r="I74" s="274" t="s">
        <v>3846</v>
      </c>
      <c r="J74" s="274" t="s">
        <v>6513</v>
      </c>
      <c r="K74" s="274" t="s">
        <v>3746</v>
      </c>
      <c r="L74" s="274" t="s">
        <v>3830</v>
      </c>
      <c r="M74" s="281">
        <v>260519.08</v>
      </c>
      <c r="N74" s="280"/>
      <c r="O74" s="280"/>
      <c r="P74" s="280"/>
      <c r="Q74" s="280"/>
      <c r="R74" s="280">
        <v>260519.08</v>
      </c>
      <c r="S74" s="280"/>
      <c r="T74" s="297"/>
    </row>
    <row r="75" spans="1:20" x14ac:dyDescent="0.25">
      <c r="A75" s="274" t="s">
        <v>78</v>
      </c>
      <c r="B75" s="274" t="s">
        <v>79</v>
      </c>
      <c r="C75" s="274" t="s">
        <v>3741</v>
      </c>
      <c r="D75" s="274" t="s">
        <v>3742</v>
      </c>
      <c r="E75" s="274" t="s">
        <v>19</v>
      </c>
      <c r="F75" s="274" t="s">
        <v>95</v>
      </c>
      <c r="G75" s="274" t="s">
        <v>96</v>
      </c>
      <c r="H75" s="274" t="s">
        <v>97</v>
      </c>
      <c r="I75" s="274" t="s">
        <v>6170</v>
      </c>
      <c r="J75" s="274" t="s">
        <v>6512</v>
      </c>
      <c r="K75" s="274" t="s">
        <v>3746</v>
      </c>
      <c r="L75" s="274" t="s">
        <v>3844</v>
      </c>
      <c r="M75" s="281">
        <v>-26000</v>
      </c>
      <c r="N75" s="280"/>
      <c r="O75" s="280"/>
      <c r="P75" s="280"/>
      <c r="Q75" s="280"/>
      <c r="R75" s="280"/>
      <c r="S75" s="280">
        <v>-26000</v>
      </c>
      <c r="T75" s="297"/>
    </row>
    <row r="76" spans="1:20" x14ac:dyDescent="0.25">
      <c r="A76" s="274" t="s">
        <v>78</v>
      </c>
      <c r="B76" s="274" t="s">
        <v>79</v>
      </c>
      <c r="C76" s="274" t="s">
        <v>3741</v>
      </c>
      <c r="D76" s="274" t="s">
        <v>3742</v>
      </c>
      <c r="E76" s="274" t="s">
        <v>19</v>
      </c>
      <c r="F76" s="274" t="s">
        <v>95</v>
      </c>
      <c r="G76" s="274" t="s">
        <v>96</v>
      </c>
      <c r="H76" s="274" t="s">
        <v>97</v>
      </c>
      <c r="I76" s="274" t="s">
        <v>6171</v>
      </c>
      <c r="J76" s="274" t="s">
        <v>6512</v>
      </c>
      <c r="K76" s="274" t="s">
        <v>3746</v>
      </c>
      <c r="L76" s="274" t="s">
        <v>3844</v>
      </c>
      <c r="M76" s="281">
        <v>23345.360000000001</v>
      </c>
      <c r="N76" s="280"/>
      <c r="O76" s="280"/>
      <c r="P76" s="280"/>
      <c r="Q76" s="280"/>
      <c r="R76" s="280"/>
      <c r="S76" s="280">
        <v>23345.360000000001</v>
      </c>
      <c r="T76" s="297"/>
    </row>
    <row r="77" spans="1:20" x14ac:dyDescent="0.25">
      <c r="A77" s="274" t="s">
        <v>78</v>
      </c>
      <c r="B77" s="274" t="s">
        <v>79</v>
      </c>
      <c r="C77" s="274" t="s">
        <v>3741</v>
      </c>
      <c r="D77" s="274" t="s">
        <v>3742</v>
      </c>
      <c r="E77" s="274" t="s">
        <v>19</v>
      </c>
      <c r="F77" s="274" t="s">
        <v>95</v>
      </c>
      <c r="G77" s="274" t="s">
        <v>96</v>
      </c>
      <c r="H77" s="274" t="s">
        <v>97</v>
      </c>
      <c r="I77" s="274" t="s">
        <v>6172</v>
      </c>
      <c r="J77" s="274" t="s">
        <v>6512</v>
      </c>
      <c r="K77" s="274" t="s">
        <v>3746</v>
      </c>
      <c r="L77" s="274" t="s">
        <v>6173</v>
      </c>
      <c r="M77" s="281">
        <v>25000</v>
      </c>
      <c r="N77" s="280"/>
      <c r="O77" s="280"/>
      <c r="P77" s="280"/>
      <c r="Q77" s="280"/>
      <c r="R77" s="280"/>
      <c r="S77" s="280">
        <v>25000</v>
      </c>
      <c r="T77" s="297"/>
    </row>
    <row r="78" spans="1:20" x14ac:dyDescent="0.25">
      <c r="A78" s="274" t="s">
        <v>78</v>
      </c>
      <c r="B78" s="274" t="s">
        <v>79</v>
      </c>
      <c r="C78" s="274" t="s">
        <v>3741</v>
      </c>
      <c r="D78" s="274" t="s">
        <v>3742</v>
      </c>
      <c r="E78" s="274" t="s">
        <v>19</v>
      </c>
      <c r="F78" s="274" t="s">
        <v>95</v>
      </c>
      <c r="G78" s="274" t="s">
        <v>96</v>
      </c>
      <c r="H78" s="274" t="s">
        <v>97</v>
      </c>
      <c r="I78" s="274" t="s">
        <v>6174</v>
      </c>
      <c r="J78" s="274" t="s">
        <v>6513</v>
      </c>
      <c r="K78" s="274" t="s">
        <v>3746</v>
      </c>
      <c r="L78" s="274" t="s">
        <v>3842</v>
      </c>
      <c r="M78" s="281">
        <v>-285000</v>
      </c>
      <c r="N78" s="280"/>
      <c r="O78" s="280"/>
      <c r="P78" s="280"/>
      <c r="Q78" s="280"/>
      <c r="R78" s="280"/>
      <c r="S78" s="280">
        <v>-285000</v>
      </c>
      <c r="T78" s="297"/>
    </row>
    <row r="79" spans="1:20" x14ac:dyDescent="0.25">
      <c r="A79" s="274" t="s">
        <v>78</v>
      </c>
      <c r="B79" s="274" t="s">
        <v>79</v>
      </c>
      <c r="C79" s="274" t="s">
        <v>3741</v>
      </c>
      <c r="D79" s="274" t="s">
        <v>3742</v>
      </c>
      <c r="E79" s="274" t="s">
        <v>19</v>
      </c>
      <c r="F79" s="274" t="s">
        <v>95</v>
      </c>
      <c r="G79" s="274" t="s">
        <v>96</v>
      </c>
      <c r="H79" s="274" t="s">
        <v>97</v>
      </c>
      <c r="I79" s="274" t="s">
        <v>6175</v>
      </c>
      <c r="J79" s="274" t="s">
        <v>6513</v>
      </c>
      <c r="K79" s="274" t="s">
        <v>3746</v>
      </c>
      <c r="L79" s="274" t="s">
        <v>3842</v>
      </c>
      <c r="M79" s="281">
        <v>255518.85</v>
      </c>
      <c r="N79" s="280"/>
      <c r="O79" s="280"/>
      <c r="P79" s="280"/>
      <c r="Q79" s="280"/>
      <c r="R79" s="280"/>
      <c r="S79" s="280">
        <v>255518.85</v>
      </c>
      <c r="T79" s="297"/>
    </row>
    <row r="80" spans="1:20" x14ac:dyDescent="0.25">
      <c r="A80" s="274" t="s">
        <v>78</v>
      </c>
      <c r="B80" s="274" t="s">
        <v>79</v>
      </c>
      <c r="C80" s="274" t="s">
        <v>3741</v>
      </c>
      <c r="D80" s="274" t="s">
        <v>3742</v>
      </c>
      <c r="E80" s="274" t="s">
        <v>19</v>
      </c>
      <c r="F80" s="274" t="s">
        <v>95</v>
      </c>
      <c r="G80" s="274" t="s">
        <v>96</v>
      </c>
      <c r="H80" s="274" t="s">
        <v>97</v>
      </c>
      <c r="I80" s="274" t="s">
        <v>6176</v>
      </c>
      <c r="J80" s="274" t="s">
        <v>6513</v>
      </c>
      <c r="K80" s="274" t="s">
        <v>3746</v>
      </c>
      <c r="L80" s="274" t="s">
        <v>6177</v>
      </c>
      <c r="M80" s="281">
        <v>270000</v>
      </c>
      <c r="N80" s="280"/>
      <c r="O80" s="280"/>
      <c r="P80" s="280"/>
      <c r="Q80" s="280"/>
      <c r="R80" s="280"/>
      <c r="S80" s="280">
        <v>270000</v>
      </c>
      <c r="T80" s="297"/>
    </row>
    <row r="81" spans="1:20" x14ac:dyDescent="0.25">
      <c r="A81" s="274" t="s">
        <v>78</v>
      </c>
      <c r="B81" s="274" t="s">
        <v>79</v>
      </c>
      <c r="C81" s="274" t="s">
        <v>3741</v>
      </c>
      <c r="D81" s="274" t="s">
        <v>3742</v>
      </c>
      <c r="E81" s="274" t="s">
        <v>19</v>
      </c>
      <c r="F81" s="274" t="s">
        <v>95</v>
      </c>
      <c r="G81" s="274" t="s">
        <v>98</v>
      </c>
      <c r="H81" s="274" t="s">
        <v>99</v>
      </c>
      <c r="I81" s="274" t="s">
        <v>3847</v>
      </c>
      <c r="J81" s="274" t="s">
        <v>98</v>
      </c>
      <c r="K81" s="274" t="s">
        <v>98</v>
      </c>
      <c r="L81" s="274" t="s">
        <v>3848</v>
      </c>
      <c r="M81" s="281">
        <v>236111.25</v>
      </c>
      <c r="N81" s="280">
        <v>236111.25</v>
      </c>
      <c r="O81" s="280"/>
      <c r="P81" s="280"/>
      <c r="Q81" s="280"/>
      <c r="R81" s="280"/>
      <c r="S81" s="280"/>
      <c r="T81" s="297"/>
    </row>
    <row r="82" spans="1:20" x14ac:dyDescent="0.25">
      <c r="A82" s="274" t="s">
        <v>78</v>
      </c>
      <c r="B82" s="274" t="s">
        <v>79</v>
      </c>
      <c r="C82" s="274" t="s">
        <v>3741</v>
      </c>
      <c r="D82" s="274" t="s">
        <v>3742</v>
      </c>
      <c r="E82" s="274" t="s">
        <v>19</v>
      </c>
      <c r="F82" s="274" t="s">
        <v>95</v>
      </c>
      <c r="G82" s="274" t="s">
        <v>98</v>
      </c>
      <c r="H82" s="274" t="s">
        <v>99</v>
      </c>
      <c r="I82" s="274" t="s">
        <v>3847</v>
      </c>
      <c r="J82" s="274" t="s">
        <v>98</v>
      </c>
      <c r="K82" s="274" t="s">
        <v>98</v>
      </c>
      <c r="L82" s="274" t="s">
        <v>3849</v>
      </c>
      <c r="M82" s="281">
        <v>36000</v>
      </c>
      <c r="N82" s="280">
        <v>36000</v>
      </c>
      <c r="O82" s="280"/>
      <c r="P82" s="280"/>
      <c r="Q82" s="280"/>
      <c r="R82" s="280"/>
      <c r="S82" s="280"/>
      <c r="T82" s="297"/>
    </row>
    <row r="83" spans="1:20" x14ac:dyDescent="0.25">
      <c r="A83" s="274" t="s">
        <v>78</v>
      </c>
      <c r="B83" s="274" t="s">
        <v>79</v>
      </c>
      <c r="C83" s="274" t="s">
        <v>3741</v>
      </c>
      <c r="D83" s="274" t="s">
        <v>3742</v>
      </c>
      <c r="E83" s="274" t="s">
        <v>19</v>
      </c>
      <c r="F83" s="274" t="s">
        <v>95</v>
      </c>
      <c r="G83" s="274" t="s">
        <v>98</v>
      </c>
      <c r="H83" s="274" t="s">
        <v>99</v>
      </c>
      <c r="I83" s="274" t="s">
        <v>3847</v>
      </c>
      <c r="J83" s="274" t="s">
        <v>98</v>
      </c>
      <c r="K83" s="274" t="s">
        <v>98</v>
      </c>
      <c r="L83" s="274" t="s">
        <v>3850</v>
      </c>
      <c r="M83" s="281">
        <v>194891</v>
      </c>
      <c r="N83" s="280">
        <v>194891</v>
      </c>
      <c r="O83" s="280"/>
      <c r="P83" s="280"/>
      <c r="Q83" s="280"/>
      <c r="R83" s="280"/>
      <c r="S83" s="280"/>
      <c r="T83" s="297"/>
    </row>
    <row r="84" spans="1:20" x14ac:dyDescent="0.25">
      <c r="A84" s="274" t="s">
        <v>78</v>
      </c>
      <c r="B84" s="274" t="s">
        <v>79</v>
      </c>
      <c r="C84" s="274" t="s">
        <v>3741</v>
      </c>
      <c r="D84" s="274" t="s">
        <v>3742</v>
      </c>
      <c r="E84" s="274" t="s">
        <v>19</v>
      </c>
      <c r="F84" s="274" t="s">
        <v>95</v>
      </c>
      <c r="G84" s="274" t="s">
        <v>98</v>
      </c>
      <c r="H84" s="274" t="s">
        <v>99</v>
      </c>
      <c r="I84" s="274" t="s">
        <v>3847</v>
      </c>
      <c r="J84" s="274" t="s">
        <v>98</v>
      </c>
      <c r="K84" s="274" t="s">
        <v>98</v>
      </c>
      <c r="L84" s="274" t="s">
        <v>3851</v>
      </c>
      <c r="M84" s="281">
        <v>12447.94</v>
      </c>
      <c r="N84" s="280">
        <v>12447.94</v>
      </c>
      <c r="O84" s="280"/>
      <c r="P84" s="280"/>
      <c r="Q84" s="280"/>
      <c r="R84" s="280"/>
      <c r="S84" s="280"/>
      <c r="T84" s="297"/>
    </row>
    <row r="85" spans="1:20" x14ac:dyDescent="0.25">
      <c r="A85" s="274" t="s">
        <v>78</v>
      </c>
      <c r="B85" s="274" t="s">
        <v>79</v>
      </c>
      <c r="C85" s="274" t="s">
        <v>3741</v>
      </c>
      <c r="D85" s="274" t="s">
        <v>3742</v>
      </c>
      <c r="E85" s="274" t="s">
        <v>19</v>
      </c>
      <c r="F85" s="274" t="s">
        <v>95</v>
      </c>
      <c r="G85" s="274" t="s">
        <v>98</v>
      </c>
      <c r="H85" s="274" t="s">
        <v>99</v>
      </c>
      <c r="I85" s="274" t="s">
        <v>3847</v>
      </c>
      <c r="J85" s="274" t="s">
        <v>98</v>
      </c>
      <c r="K85" s="274" t="s">
        <v>98</v>
      </c>
      <c r="L85" s="274" t="s">
        <v>3852</v>
      </c>
      <c r="M85" s="281">
        <v>14795</v>
      </c>
      <c r="N85" s="280">
        <v>14795</v>
      </c>
      <c r="O85" s="280"/>
      <c r="P85" s="280"/>
      <c r="Q85" s="280"/>
      <c r="R85" s="280"/>
      <c r="S85" s="280"/>
      <c r="T85" s="297"/>
    </row>
    <row r="86" spans="1:20" x14ac:dyDescent="0.25">
      <c r="A86" s="274" t="s">
        <v>78</v>
      </c>
      <c r="B86" s="274" t="s">
        <v>79</v>
      </c>
      <c r="C86" s="274" t="s">
        <v>3741</v>
      </c>
      <c r="D86" s="274" t="s">
        <v>3742</v>
      </c>
      <c r="E86" s="274" t="s">
        <v>19</v>
      </c>
      <c r="F86" s="274" t="s">
        <v>95</v>
      </c>
      <c r="G86" s="274" t="s">
        <v>98</v>
      </c>
      <c r="H86" s="274" t="s">
        <v>99</v>
      </c>
      <c r="I86" s="274" t="s">
        <v>3853</v>
      </c>
      <c r="J86" s="274" t="s">
        <v>98</v>
      </c>
      <c r="K86" s="274" t="s">
        <v>98</v>
      </c>
      <c r="L86" s="274" t="s">
        <v>3791</v>
      </c>
      <c r="M86" s="281">
        <v>-4492.8</v>
      </c>
      <c r="N86" s="280"/>
      <c r="O86" s="280"/>
      <c r="P86" s="280">
        <v>-4492.8</v>
      </c>
      <c r="Q86" s="280"/>
      <c r="R86" s="280"/>
      <c r="S86" s="280"/>
      <c r="T86" s="297"/>
    </row>
    <row r="87" spans="1:20" x14ac:dyDescent="0.25">
      <c r="A87" s="274" t="s">
        <v>78</v>
      </c>
      <c r="B87" s="274" t="s">
        <v>79</v>
      </c>
      <c r="C87" s="274" t="s">
        <v>3741</v>
      </c>
      <c r="D87" s="274" t="s">
        <v>3742</v>
      </c>
      <c r="E87" s="274" t="s">
        <v>19</v>
      </c>
      <c r="F87" s="274" t="s">
        <v>95</v>
      </c>
      <c r="G87" s="274" t="s">
        <v>98</v>
      </c>
      <c r="H87" s="274" t="s">
        <v>99</v>
      </c>
      <c r="I87" s="274" t="s">
        <v>3854</v>
      </c>
      <c r="J87" s="274" t="s">
        <v>98</v>
      </c>
      <c r="K87" s="274" t="s">
        <v>98</v>
      </c>
      <c r="L87" s="274" t="s">
        <v>3855</v>
      </c>
      <c r="M87" s="281">
        <v>194892</v>
      </c>
      <c r="N87" s="280">
        <v>64964</v>
      </c>
      <c r="O87" s="280">
        <v>64964</v>
      </c>
      <c r="P87" s="280">
        <v>64964</v>
      </c>
      <c r="Q87" s="280"/>
      <c r="R87" s="280"/>
      <c r="S87" s="280"/>
      <c r="T87" s="297"/>
    </row>
    <row r="88" spans="1:20" x14ac:dyDescent="0.25">
      <c r="A88" s="274" t="s">
        <v>78</v>
      </c>
      <c r="B88" s="274" t="s">
        <v>79</v>
      </c>
      <c r="C88" s="274" t="s">
        <v>3741</v>
      </c>
      <c r="D88" s="274" t="s">
        <v>3742</v>
      </c>
      <c r="E88" s="274" t="s">
        <v>19</v>
      </c>
      <c r="F88" s="274" t="s">
        <v>95</v>
      </c>
      <c r="G88" s="274" t="s">
        <v>98</v>
      </c>
      <c r="H88" s="274" t="s">
        <v>99</v>
      </c>
      <c r="I88" s="274" t="s">
        <v>3854</v>
      </c>
      <c r="J88" s="274" t="s">
        <v>98</v>
      </c>
      <c r="K88" s="274" t="s">
        <v>98</v>
      </c>
      <c r="L88" s="274" t="s">
        <v>3856</v>
      </c>
      <c r="M88" s="281">
        <v>2567976</v>
      </c>
      <c r="N88" s="280">
        <v>427996</v>
      </c>
      <c r="O88" s="280">
        <v>427996</v>
      </c>
      <c r="P88" s="280">
        <v>427996</v>
      </c>
      <c r="Q88" s="280">
        <v>427996</v>
      </c>
      <c r="R88" s="280">
        <v>427996</v>
      </c>
      <c r="S88" s="280">
        <v>427996</v>
      </c>
      <c r="T88" s="297"/>
    </row>
    <row r="89" spans="1:20" x14ac:dyDescent="0.25">
      <c r="A89" s="274" t="s">
        <v>78</v>
      </c>
      <c r="B89" s="274" t="s">
        <v>79</v>
      </c>
      <c r="C89" s="274" t="s">
        <v>3741</v>
      </c>
      <c r="D89" s="274" t="s">
        <v>3742</v>
      </c>
      <c r="E89" s="274" t="s">
        <v>19</v>
      </c>
      <c r="F89" s="274" t="s">
        <v>95</v>
      </c>
      <c r="G89" s="274" t="s">
        <v>98</v>
      </c>
      <c r="H89" s="274" t="s">
        <v>99</v>
      </c>
      <c r="I89" s="274" t="s">
        <v>3854</v>
      </c>
      <c r="J89" s="274" t="s">
        <v>98</v>
      </c>
      <c r="K89" s="274" t="s">
        <v>98</v>
      </c>
      <c r="L89" s="274" t="s">
        <v>3857</v>
      </c>
      <c r="M89" s="281">
        <v>100830</v>
      </c>
      <c r="N89" s="280">
        <v>16805</v>
      </c>
      <c r="O89" s="280">
        <v>16805</v>
      </c>
      <c r="P89" s="280">
        <v>16805</v>
      </c>
      <c r="Q89" s="280">
        <v>16805</v>
      </c>
      <c r="R89" s="280">
        <v>16805</v>
      </c>
      <c r="S89" s="280">
        <v>16805</v>
      </c>
      <c r="T89" s="297"/>
    </row>
    <row r="90" spans="1:20" x14ac:dyDescent="0.25">
      <c r="A90" s="274" t="s">
        <v>78</v>
      </c>
      <c r="B90" s="274" t="s">
        <v>79</v>
      </c>
      <c r="C90" s="274" t="s">
        <v>3741</v>
      </c>
      <c r="D90" s="274" t="s">
        <v>3742</v>
      </c>
      <c r="E90" s="274" t="s">
        <v>19</v>
      </c>
      <c r="F90" s="274" t="s">
        <v>95</v>
      </c>
      <c r="G90" s="274" t="s">
        <v>98</v>
      </c>
      <c r="H90" s="274" t="s">
        <v>99</v>
      </c>
      <c r="I90" s="274" t="s">
        <v>3854</v>
      </c>
      <c r="J90" s="274" t="s">
        <v>98</v>
      </c>
      <c r="K90" s="274" t="s">
        <v>98</v>
      </c>
      <c r="L90" s="274" t="s">
        <v>3858</v>
      </c>
      <c r="M90" s="281">
        <v>14796</v>
      </c>
      <c r="N90" s="280">
        <v>4932</v>
      </c>
      <c r="O90" s="280">
        <v>4932</v>
      </c>
      <c r="P90" s="280">
        <v>4932</v>
      </c>
      <c r="Q90" s="280"/>
      <c r="R90" s="280"/>
      <c r="S90" s="280"/>
      <c r="T90" s="297"/>
    </row>
    <row r="91" spans="1:20" x14ac:dyDescent="0.25">
      <c r="A91" s="274" t="s">
        <v>78</v>
      </c>
      <c r="B91" s="274" t="s">
        <v>79</v>
      </c>
      <c r="C91" s="274" t="s">
        <v>3741</v>
      </c>
      <c r="D91" s="274" t="s">
        <v>3742</v>
      </c>
      <c r="E91" s="274" t="s">
        <v>19</v>
      </c>
      <c r="F91" s="274" t="s">
        <v>95</v>
      </c>
      <c r="G91" s="274" t="s">
        <v>98</v>
      </c>
      <c r="H91" s="274" t="s">
        <v>99</v>
      </c>
      <c r="I91" s="274" t="s">
        <v>3854</v>
      </c>
      <c r="J91" s="274" t="s">
        <v>98</v>
      </c>
      <c r="K91" s="274" t="s">
        <v>98</v>
      </c>
      <c r="L91" s="274" t="s">
        <v>3859</v>
      </c>
      <c r="M91" s="281">
        <v>252498</v>
      </c>
      <c r="N91" s="280">
        <v>42083</v>
      </c>
      <c r="O91" s="280">
        <v>42083</v>
      </c>
      <c r="P91" s="280">
        <v>42083</v>
      </c>
      <c r="Q91" s="280">
        <v>42083</v>
      </c>
      <c r="R91" s="280">
        <v>42083</v>
      </c>
      <c r="S91" s="280">
        <v>42083</v>
      </c>
      <c r="T91" s="297"/>
    </row>
    <row r="92" spans="1:20" x14ac:dyDescent="0.25">
      <c r="A92" s="274" t="s">
        <v>78</v>
      </c>
      <c r="B92" s="274" t="s">
        <v>79</v>
      </c>
      <c r="C92" s="274" t="s">
        <v>3741</v>
      </c>
      <c r="D92" s="274" t="s">
        <v>3742</v>
      </c>
      <c r="E92" s="274" t="s">
        <v>19</v>
      </c>
      <c r="F92" s="274" t="s">
        <v>95</v>
      </c>
      <c r="G92" s="274" t="s">
        <v>98</v>
      </c>
      <c r="H92" s="274" t="s">
        <v>99</v>
      </c>
      <c r="I92" s="274" t="s">
        <v>3854</v>
      </c>
      <c r="J92" s="274" t="s">
        <v>98</v>
      </c>
      <c r="K92" s="274" t="s">
        <v>98</v>
      </c>
      <c r="L92" s="274" t="s">
        <v>3860</v>
      </c>
      <c r="M92" s="281">
        <v>39102</v>
      </c>
      <c r="N92" s="280">
        <v>6517</v>
      </c>
      <c r="O92" s="280">
        <v>6517</v>
      </c>
      <c r="P92" s="280">
        <v>6517</v>
      </c>
      <c r="Q92" s="280">
        <v>6517</v>
      </c>
      <c r="R92" s="280">
        <v>6517</v>
      </c>
      <c r="S92" s="280">
        <v>6517</v>
      </c>
      <c r="T92" s="297"/>
    </row>
    <row r="93" spans="1:20" x14ac:dyDescent="0.25">
      <c r="A93" s="274" t="s">
        <v>78</v>
      </c>
      <c r="B93" s="274" t="s">
        <v>79</v>
      </c>
      <c r="C93" s="274" t="s">
        <v>3741</v>
      </c>
      <c r="D93" s="274" t="s">
        <v>3742</v>
      </c>
      <c r="E93" s="274" t="s">
        <v>19</v>
      </c>
      <c r="F93" s="274" t="s">
        <v>95</v>
      </c>
      <c r="G93" s="274" t="s">
        <v>98</v>
      </c>
      <c r="H93" s="274" t="s">
        <v>99</v>
      </c>
      <c r="I93" s="274" t="s">
        <v>3861</v>
      </c>
      <c r="J93" s="274" t="s">
        <v>98</v>
      </c>
      <c r="K93" s="274" t="s">
        <v>98</v>
      </c>
      <c r="L93" s="274" t="s">
        <v>3862</v>
      </c>
      <c r="M93" s="281">
        <v>13872</v>
      </c>
      <c r="N93" s="280">
        <v>4624</v>
      </c>
      <c r="O93" s="280">
        <v>4624</v>
      </c>
      <c r="P93" s="280">
        <v>4624</v>
      </c>
      <c r="Q93" s="280"/>
      <c r="R93" s="280"/>
      <c r="S93" s="280"/>
      <c r="T93" s="297"/>
    </row>
    <row r="94" spans="1:20" x14ac:dyDescent="0.25">
      <c r="A94" s="274" t="s">
        <v>78</v>
      </c>
      <c r="B94" s="274" t="s">
        <v>79</v>
      </c>
      <c r="C94" s="274" t="s">
        <v>3741</v>
      </c>
      <c r="D94" s="274" t="s">
        <v>3742</v>
      </c>
      <c r="E94" s="274" t="s">
        <v>19</v>
      </c>
      <c r="F94" s="274" t="s">
        <v>95</v>
      </c>
      <c r="G94" s="274" t="s">
        <v>98</v>
      </c>
      <c r="H94" s="274" t="s">
        <v>99</v>
      </c>
      <c r="I94" s="274" t="s">
        <v>3863</v>
      </c>
      <c r="J94" s="274" t="s">
        <v>98</v>
      </c>
      <c r="K94" s="274" t="s">
        <v>98</v>
      </c>
      <c r="L94" s="274" t="s">
        <v>3848</v>
      </c>
      <c r="M94" s="281">
        <v>-323631.03000000003</v>
      </c>
      <c r="N94" s="280">
        <v>-236111.25</v>
      </c>
      <c r="O94" s="280">
        <v>-87519.78</v>
      </c>
      <c r="P94" s="280"/>
      <c r="Q94" s="280"/>
      <c r="R94" s="280"/>
      <c r="S94" s="280"/>
      <c r="T94" s="297"/>
    </row>
    <row r="95" spans="1:20" x14ac:dyDescent="0.25">
      <c r="A95" s="274" t="s">
        <v>78</v>
      </c>
      <c r="B95" s="274" t="s">
        <v>79</v>
      </c>
      <c r="C95" s="274" t="s">
        <v>3741</v>
      </c>
      <c r="D95" s="274" t="s">
        <v>3742</v>
      </c>
      <c r="E95" s="274" t="s">
        <v>19</v>
      </c>
      <c r="F95" s="274" t="s">
        <v>95</v>
      </c>
      <c r="G95" s="274" t="s">
        <v>98</v>
      </c>
      <c r="H95" s="274" t="s">
        <v>99</v>
      </c>
      <c r="I95" s="274" t="s">
        <v>3863</v>
      </c>
      <c r="J95" s="274" t="s">
        <v>98</v>
      </c>
      <c r="K95" s="274" t="s">
        <v>98</v>
      </c>
      <c r="L95" s="274" t="s">
        <v>3849</v>
      </c>
      <c r="M95" s="281">
        <v>-36000</v>
      </c>
      <c r="N95" s="280">
        <v>-36000</v>
      </c>
      <c r="O95" s="280">
        <v>0</v>
      </c>
      <c r="P95" s="280"/>
      <c r="Q95" s="280"/>
      <c r="R95" s="280"/>
      <c r="S95" s="280"/>
      <c r="T95" s="297"/>
    </row>
    <row r="96" spans="1:20" x14ac:dyDescent="0.25">
      <c r="A96" s="274" t="s">
        <v>78</v>
      </c>
      <c r="B96" s="274" t="s">
        <v>79</v>
      </c>
      <c r="C96" s="274" t="s">
        <v>3741</v>
      </c>
      <c r="D96" s="274" t="s">
        <v>3742</v>
      </c>
      <c r="E96" s="274" t="s">
        <v>19</v>
      </c>
      <c r="F96" s="274" t="s">
        <v>95</v>
      </c>
      <c r="G96" s="274" t="s">
        <v>98</v>
      </c>
      <c r="H96" s="274" t="s">
        <v>99</v>
      </c>
      <c r="I96" s="274" t="s">
        <v>3863</v>
      </c>
      <c r="J96" s="274" t="s">
        <v>98</v>
      </c>
      <c r="K96" s="274" t="s">
        <v>98</v>
      </c>
      <c r="L96" s="274" t="s">
        <v>3850</v>
      </c>
      <c r="M96" s="281">
        <v>-194891</v>
      </c>
      <c r="N96" s="280">
        <v>-194891</v>
      </c>
      <c r="O96" s="280">
        <v>0</v>
      </c>
      <c r="P96" s="280"/>
      <c r="Q96" s="280"/>
      <c r="R96" s="280"/>
      <c r="S96" s="280"/>
      <c r="T96" s="297"/>
    </row>
    <row r="97" spans="1:20" x14ac:dyDescent="0.25">
      <c r="A97" s="274" t="s">
        <v>78</v>
      </c>
      <c r="B97" s="274" t="s">
        <v>79</v>
      </c>
      <c r="C97" s="274" t="s">
        <v>3741</v>
      </c>
      <c r="D97" s="274" t="s">
        <v>3742</v>
      </c>
      <c r="E97" s="274" t="s">
        <v>19</v>
      </c>
      <c r="F97" s="274" t="s">
        <v>95</v>
      </c>
      <c r="G97" s="274" t="s">
        <v>98</v>
      </c>
      <c r="H97" s="274" t="s">
        <v>99</v>
      </c>
      <c r="I97" s="274" t="s">
        <v>3863</v>
      </c>
      <c r="J97" s="274" t="s">
        <v>98</v>
      </c>
      <c r="K97" s="274" t="s">
        <v>98</v>
      </c>
      <c r="L97" s="274" t="s">
        <v>3851</v>
      </c>
      <c r="M97" s="281">
        <v>-12447.94</v>
      </c>
      <c r="N97" s="280">
        <v>-12447.94</v>
      </c>
      <c r="O97" s="280">
        <v>0</v>
      </c>
      <c r="P97" s="280"/>
      <c r="Q97" s="280"/>
      <c r="R97" s="280"/>
      <c r="S97" s="280"/>
      <c r="T97" s="297"/>
    </row>
    <row r="98" spans="1:20" x14ac:dyDescent="0.25">
      <c r="A98" s="274" t="s">
        <v>78</v>
      </c>
      <c r="B98" s="274" t="s">
        <v>79</v>
      </c>
      <c r="C98" s="274" t="s">
        <v>3741</v>
      </c>
      <c r="D98" s="274" t="s">
        <v>3742</v>
      </c>
      <c r="E98" s="274" t="s">
        <v>19</v>
      </c>
      <c r="F98" s="274" t="s">
        <v>95</v>
      </c>
      <c r="G98" s="274" t="s">
        <v>98</v>
      </c>
      <c r="H98" s="274" t="s">
        <v>99</v>
      </c>
      <c r="I98" s="274" t="s">
        <v>3863</v>
      </c>
      <c r="J98" s="274" t="s">
        <v>98</v>
      </c>
      <c r="K98" s="274" t="s">
        <v>98</v>
      </c>
      <c r="L98" s="274" t="s">
        <v>3852</v>
      </c>
      <c r="M98" s="281">
        <v>-24180.2</v>
      </c>
      <c r="N98" s="280">
        <v>-14795</v>
      </c>
      <c r="O98" s="280">
        <v>-9385.2000000000007</v>
      </c>
      <c r="P98" s="280"/>
      <c r="Q98" s="280"/>
      <c r="R98" s="280"/>
      <c r="S98" s="280"/>
      <c r="T98" s="297"/>
    </row>
    <row r="99" spans="1:20" x14ac:dyDescent="0.25">
      <c r="A99" s="274" t="s">
        <v>78</v>
      </c>
      <c r="B99" s="274" t="s">
        <v>79</v>
      </c>
      <c r="C99" s="274" t="s">
        <v>3741</v>
      </c>
      <c r="D99" s="274" t="s">
        <v>3742</v>
      </c>
      <c r="E99" s="274" t="s">
        <v>19</v>
      </c>
      <c r="F99" s="274" t="s">
        <v>95</v>
      </c>
      <c r="G99" s="274" t="s">
        <v>98</v>
      </c>
      <c r="H99" s="274" t="s">
        <v>99</v>
      </c>
      <c r="I99" s="274" t="s">
        <v>3864</v>
      </c>
      <c r="J99" s="274" t="s">
        <v>98</v>
      </c>
      <c r="K99" s="274" t="s">
        <v>98</v>
      </c>
      <c r="L99" s="274" t="s">
        <v>3855</v>
      </c>
      <c r="M99" s="281">
        <v>-194892</v>
      </c>
      <c r="N99" s="280"/>
      <c r="O99" s="280">
        <v>-129928</v>
      </c>
      <c r="P99" s="280">
        <v>-64964</v>
      </c>
      <c r="Q99" s="280"/>
      <c r="R99" s="280"/>
      <c r="S99" s="280"/>
      <c r="T99" s="297"/>
    </row>
    <row r="100" spans="1:20" x14ac:dyDescent="0.25">
      <c r="A100" s="274" t="s">
        <v>78</v>
      </c>
      <c r="B100" s="274" t="s">
        <v>79</v>
      </c>
      <c r="C100" s="274" t="s">
        <v>3741</v>
      </c>
      <c r="D100" s="274" t="s">
        <v>3742</v>
      </c>
      <c r="E100" s="274" t="s">
        <v>19</v>
      </c>
      <c r="F100" s="274" t="s">
        <v>95</v>
      </c>
      <c r="G100" s="274" t="s">
        <v>98</v>
      </c>
      <c r="H100" s="274" t="s">
        <v>99</v>
      </c>
      <c r="I100" s="274" t="s">
        <v>3864</v>
      </c>
      <c r="J100" s="274" t="s">
        <v>98</v>
      </c>
      <c r="K100" s="274" t="s">
        <v>98</v>
      </c>
      <c r="L100" s="274" t="s">
        <v>3858</v>
      </c>
      <c r="M100" s="281">
        <v>-14796</v>
      </c>
      <c r="N100" s="280"/>
      <c r="O100" s="280">
        <v>-9864</v>
      </c>
      <c r="P100" s="280">
        <v>-4932</v>
      </c>
      <c r="Q100" s="280"/>
      <c r="R100" s="280"/>
      <c r="S100" s="280"/>
      <c r="T100" s="297"/>
    </row>
    <row r="101" spans="1:20" x14ac:dyDescent="0.25">
      <c r="A101" s="274" t="s">
        <v>78</v>
      </c>
      <c r="B101" s="274" t="s">
        <v>79</v>
      </c>
      <c r="C101" s="274" t="s">
        <v>3741</v>
      </c>
      <c r="D101" s="274" t="s">
        <v>3742</v>
      </c>
      <c r="E101" s="274" t="s">
        <v>19</v>
      </c>
      <c r="F101" s="274" t="s">
        <v>95</v>
      </c>
      <c r="G101" s="274" t="s">
        <v>98</v>
      </c>
      <c r="H101" s="274" t="s">
        <v>99</v>
      </c>
      <c r="I101" s="274" t="s">
        <v>3864</v>
      </c>
      <c r="J101" s="274" t="s">
        <v>98</v>
      </c>
      <c r="K101" s="274" t="s">
        <v>98</v>
      </c>
      <c r="L101" s="274" t="s">
        <v>3862</v>
      </c>
      <c r="M101" s="281">
        <v>-13872</v>
      </c>
      <c r="N101" s="280"/>
      <c r="O101" s="280">
        <v>-9248</v>
      </c>
      <c r="P101" s="280">
        <v>-4624</v>
      </c>
      <c r="Q101" s="280"/>
      <c r="R101" s="280"/>
      <c r="S101" s="280"/>
      <c r="T101" s="297"/>
    </row>
    <row r="102" spans="1:20" x14ac:dyDescent="0.25">
      <c r="A102" s="274" t="s">
        <v>78</v>
      </c>
      <c r="B102" s="274" t="s">
        <v>79</v>
      </c>
      <c r="C102" s="274" t="s">
        <v>3741</v>
      </c>
      <c r="D102" s="274" t="s">
        <v>3742</v>
      </c>
      <c r="E102" s="274" t="s">
        <v>19</v>
      </c>
      <c r="F102" s="274" t="s">
        <v>95</v>
      </c>
      <c r="G102" s="274" t="s">
        <v>98</v>
      </c>
      <c r="H102" s="274" t="s">
        <v>99</v>
      </c>
      <c r="I102" s="274" t="s">
        <v>3864</v>
      </c>
      <c r="J102" s="274" t="s">
        <v>98</v>
      </c>
      <c r="K102" s="274" t="s">
        <v>98</v>
      </c>
      <c r="L102" s="274" t="s">
        <v>3779</v>
      </c>
      <c r="M102" s="281">
        <v>-70528.08</v>
      </c>
      <c r="N102" s="280"/>
      <c r="O102" s="280">
        <v>-70528.08</v>
      </c>
      <c r="P102" s="280"/>
      <c r="Q102" s="280"/>
      <c r="R102" s="280"/>
      <c r="S102" s="280"/>
      <c r="T102" s="297"/>
    </row>
    <row r="103" spans="1:20" x14ac:dyDescent="0.25">
      <c r="A103" s="274" t="s">
        <v>78</v>
      </c>
      <c r="B103" s="274" t="s">
        <v>79</v>
      </c>
      <c r="C103" s="274" t="s">
        <v>3741</v>
      </c>
      <c r="D103" s="274" t="s">
        <v>3742</v>
      </c>
      <c r="E103" s="274" t="s">
        <v>19</v>
      </c>
      <c r="F103" s="274" t="s">
        <v>95</v>
      </c>
      <c r="G103" s="274" t="s">
        <v>98</v>
      </c>
      <c r="H103" s="274" t="s">
        <v>99</v>
      </c>
      <c r="I103" s="274" t="s">
        <v>3864</v>
      </c>
      <c r="J103" s="274" t="s">
        <v>98</v>
      </c>
      <c r="K103" s="274" t="s">
        <v>98</v>
      </c>
      <c r="L103" s="274" t="s">
        <v>3799</v>
      </c>
      <c r="M103" s="281">
        <v>-66387.06</v>
      </c>
      <c r="N103" s="280"/>
      <c r="O103" s="280">
        <v>-80000</v>
      </c>
      <c r="P103" s="280">
        <v>13612.94</v>
      </c>
      <c r="Q103" s="280"/>
      <c r="R103" s="280"/>
      <c r="S103" s="280"/>
      <c r="T103" s="297"/>
    </row>
    <row r="104" spans="1:20" x14ac:dyDescent="0.25">
      <c r="A104" s="274" t="s">
        <v>78</v>
      </c>
      <c r="B104" s="274" t="s">
        <v>79</v>
      </c>
      <c r="C104" s="274" t="s">
        <v>3741</v>
      </c>
      <c r="D104" s="274" t="s">
        <v>3742</v>
      </c>
      <c r="E104" s="274" t="s">
        <v>19</v>
      </c>
      <c r="F104" s="274" t="s">
        <v>95</v>
      </c>
      <c r="G104" s="274" t="s">
        <v>98</v>
      </c>
      <c r="H104" s="274" t="s">
        <v>99</v>
      </c>
      <c r="I104" s="274" t="s">
        <v>3864</v>
      </c>
      <c r="J104" s="274" t="s">
        <v>98</v>
      </c>
      <c r="K104" s="274" t="s">
        <v>98</v>
      </c>
      <c r="L104" s="274" t="s">
        <v>3776</v>
      </c>
      <c r="M104" s="281">
        <v>9743.9</v>
      </c>
      <c r="N104" s="280"/>
      <c r="O104" s="280">
        <v>9743.9</v>
      </c>
      <c r="P104" s="280"/>
      <c r="Q104" s="280"/>
      <c r="R104" s="280"/>
      <c r="S104" s="280"/>
      <c r="T104" s="297"/>
    </row>
    <row r="105" spans="1:20" x14ac:dyDescent="0.25">
      <c r="A105" s="274" t="s">
        <v>78</v>
      </c>
      <c r="B105" s="274" t="s">
        <v>79</v>
      </c>
      <c r="C105" s="274" t="s">
        <v>3741</v>
      </c>
      <c r="D105" s="274" t="s">
        <v>3742</v>
      </c>
      <c r="E105" s="274" t="s">
        <v>22</v>
      </c>
      <c r="F105" s="274" t="s">
        <v>100</v>
      </c>
      <c r="G105" s="274" t="s">
        <v>93</v>
      </c>
      <c r="H105" s="274" t="s">
        <v>94</v>
      </c>
      <c r="I105" s="274" t="s">
        <v>3865</v>
      </c>
      <c r="J105" s="274" t="s">
        <v>6518</v>
      </c>
      <c r="K105" s="274" t="s">
        <v>3746</v>
      </c>
      <c r="L105" s="274" t="s">
        <v>3866</v>
      </c>
      <c r="M105" s="281">
        <v>12870.46</v>
      </c>
      <c r="N105" s="280">
        <v>12870.46</v>
      </c>
      <c r="O105" s="280"/>
      <c r="P105" s="280"/>
      <c r="Q105" s="280"/>
      <c r="R105" s="280"/>
      <c r="S105" s="280"/>
      <c r="T105" s="297"/>
    </row>
    <row r="106" spans="1:20" x14ac:dyDescent="0.25">
      <c r="A106" s="274" t="s">
        <v>78</v>
      </c>
      <c r="B106" s="274" t="s">
        <v>79</v>
      </c>
      <c r="C106" s="274" t="s">
        <v>3741</v>
      </c>
      <c r="D106" s="274" t="s">
        <v>3742</v>
      </c>
      <c r="E106" s="274" t="s">
        <v>22</v>
      </c>
      <c r="F106" s="274" t="s">
        <v>100</v>
      </c>
      <c r="G106" s="274" t="s">
        <v>93</v>
      </c>
      <c r="H106" s="274" t="s">
        <v>94</v>
      </c>
      <c r="I106" s="274" t="s">
        <v>3867</v>
      </c>
      <c r="J106" s="274" t="s">
        <v>6519</v>
      </c>
      <c r="K106" s="274" t="s">
        <v>3746</v>
      </c>
      <c r="L106" s="274" t="s">
        <v>3868</v>
      </c>
      <c r="M106" s="281">
        <v>10290</v>
      </c>
      <c r="N106" s="280">
        <v>10290</v>
      </c>
      <c r="O106" s="280"/>
      <c r="P106" s="280"/>
      <c r="Q106" s="280"/>
      <c r="R106" s="280"/>
      <c r="S106" s="280"/>
      <c r="T106" s="297"/>
    </row>
    <row r="107" spans="1:20" x14ac:dyDescent="0.25">
      <c r="A107" s="274" t="s">
        <v>78</v>
      </c>
      <c r="B107" s="274" t="s">
        <v>79</v>
      </c>
      <c r="C107" s="274" t="s">
        <v>3741</v>
      </c>
      <c r="D107" s="274" t="s">
        <v>3742</v>
      </c>
      <c r="E107" s="274" t="s">
        <v>22</v>
      </c>
      <c r="F107" s="274" t="s">
        <v>100</v>
      </c>
      <c r="G107" s="274" t="s">
        <v>93</v>
      </c>
      <c r="H107" s="274" t="s">
        <v>94</v>
      </c>
      <c r="I107" s="274" t="s">
        <v>3869</v>
      </c>
      <c r="J107" s="274" t="s">
        <v>6518</v>
      </c>
      <c r="K107" s="274" t="s">
        <v>3746</v>
      </c>
      <c r="L107" s="274" t="s">
        <v>3870</v>
      </c>
      <c r="M107" s="281">
        <v>12894.86</v>
      </c>
      <c r="N107" s="280"/>
      <c r="O107" s="280">
        <v>12894.86</v>
      </c>
      <c r="P107" s="280"/>
      <c r="Q107" s="280"/>
      <c r="R107" s="280"/>
      <c r="S107" s="280"/>
      <c r="T107" s="297"/>
    </row>
    <row r="108" spans="1:20" x14ac:dyDescent="0.25">
      <c r="A108" s="274" t="s">
        <v>78</v>
      </c>
      <c r="B108" s="274" t="s">
        <v>79</v>
      </c>
      <c r="C108" s="274" t="s">
        <v>3741</v>
      </c>
      <c r="D108" s="274" t="s">
        <v>3742</v>
      </c>
      <c r="E108" s="274" t="s">
        <v>22</v>
      </c>
      <c r="F108" s="274" t="s">
        <v>100</v>
      </c>
      <c r="G108" s="274" t="s">
        <v>93</v>
      </c>
      <c r="H108" s="274" t="s">
        <v>94</v>
      </c>
      <c r="I108" s="274" t="s">
        <v>3871</v>
      </c>
      <c r="J108" s="274" t="s">
        <v>6519</v>
      </c>
      <c r="K108" s="274" t="s">
        <v>3746</v>
      </c>
      <c r="L108" s="274" t="s">
        <v>3872</v>
      </c>
      <c r="M108" s="281">
        <v>10290</v>
      </c>
      <c r="N108" s="280"/>
      <c r="O108" s="280">
        <v>10290</v>
      </c>
      <c r="P108" s="280"/>
      <c r="Q108" s="280"/>
      <c r="R108" s="280"/>
      <c r="S108" s="280"/>
      <c r="T108" s="297"/>
    </row>
    <row r="109" spans="1:20" x14ac:dyDescent="0.25">
      <c r="A109" s="274" t="s">
        <v>78</v>
      </c>
      <c r="B109" s="274" t="s">
        <v>79</v>
      </c>
      <c r="C109" s="274" t="s">
        <v>3741</v>
      </c>
      <c r="D109" s="274" t="s">
        <v>3742</v>
      </c>
      <c r="E109" s="274" t="s">
        <v>22</v>
      </c>
      <c r="F109" s="274" t="s">
        <v>100</v>
      </c>
      <c r="G109" s="274" t="s">
        <v>93</v>
      </c>
      <c r="H109" s="274" t="s">
        <v>94</v>
      </c>
      <c r="I109" s="274" t="s">
        <v>3873</v>
      </c>
      <c r="J109" s="274" t="s">
        <v>6519</v>
      </c>
      <c r="K109" s="274" t="s">
        <v>3746</v>
      </c>
      <c r="L109" s="274" t="s">
        <v>3874</v>
      </c>
      <c r="M109" s="281">
        <v>10290</v>
      </c>
      <c r="N109" s="280"/>
      <c r="O109" s="280"/>
      <c r="P109" s="280">
        <v>10290</v>
      </c>
      <c r="Q109" s="280"/>
      <c r="R109" s="280"/>
      <c r="S109" s="280"/>
      <c r="T109" s="297"/>
    </row>
    <row r="110" spans="1:20" x14ac:dyDescent="0.25">
      <c r="A110" s="274" t="s">
        <v>78</v>
      </c>
      <c r="B110" s="274" t="s">
        <v>79</v>
      </c>
      <c r="C110" s="274" t="s">
        <v>3741</v>
      </c>
      <c r="D110" s="274" t="s">
        <v>3742</v>
      </c>
      <c r="E110" s="274" t="s">
        <v>22</v>
      </c>
      <c r="F110" s="274" t="s">
        <v>100</v>
      </c>
      <c r="G110" s="274" t="s">
        <v>93</v>
      </c>
      <c r="H110" s="274" t="s">
        <v>94</v>
      </c>
      <c r="I110" s="274" t="s">
        <v>3875</v>
      </c>
      <c r="J110" s="274" t="s">
        <v>6518</v>
      </c>
      <c r="K110" s="274" t="s">
        <v>3746</v>
      </c>
      <c r="L110" s="274" t="s">
        <v>3876</v>
      </c>
      <c r="M110" s="281">
        <v>12697.84</v>
      </c>
      <c r="N110" s="280"/>
      <c r="O110" s="280"/>
      <c r="P110" s="280">
        <v>12697.84</v>
      </c>
      <c r="Q110" s="280"/>
      <c r="R110" s="280"/>
      <c r="S110" s="280"/>
      <c r="T110" s="297"/>
    </row>
    <row r="111" spans="1:20" x14ac:dyDescent="0.25">
      <c r="A111" s="274" t="s">
        <v>78</v>
      </c>
      <c r="B111" s="274" t="s">
        <v>79</v>
      </c>
      <c r="C111" s="274" t="s">
        <v>3741</v>
      </c>
      <c r="D111" s="274" t="s">
        <v>3742</v>
      </c>
      <c r="E111" s="274" t="s">
        <v>22</v>
      </c>
      <c r="F111" s="274" t="s">
        <v>100</v>
      </c>
      <c r="G111" s="274" t="s">
        <v>93</v>
      </c>
      <c r="H111" s="274" t="s">
        <v>94</v>
      </c>
      <c r="I111" s="274" t="s">
        <v>3877</v>
      </c>
      <c r="J111" s="274" t="s">
        <v>6518</v>
      </c>
      <c r="K111" s="274" t="s">
        <v>3746</v>
      </c>
      <c r="L111" s="274" t="s">
        <v>3878</v>
      </c>
      <c r="M111" s="281">
        <v>12741.76</v>
      </c>
      <c r="N111" s="280"/>
      <c r="O111" s="280"/>
      <c r="P111" s="280"/>
      <c r="Q111" s="280">
        <v>12741.76</v>
      </c>
      <c r="R111" s="280"/>
      <c r="S111" s="280"/>
      <c r="T111" s="297"/>
    </row>
    <row r="112" spans="1:20" x14ac:dyDescent="0.25">
      <c r="A112" s="274" t="s">
        <v>78</v>
      </c>
      <c r="B112" s="274" t="s">
        <v>79</v>
      </c>
      <c r="C112" s="274" t="s">
        <v>3741</v>
      </c>
      <c r="D112" s="274" t="s">
        <v>3742</v>
      </c>
      <c r="E112" s="274" t="s">
        <v>22</v>
      </c>
      <c r="F112" s="274" t="s">
        <v>100</v>
      </c>
      <c r="G112" s="274" t="s">
        <v>93</v>
      </c>
      <c r="H112" s="274" t="s">
        <v>94</v>
      </c>
      <c r="I112" s="274" t="s">
        <v>3879</v>
      </c>
      <c r="J112" s="274" t="s">
        <v>6519</v>
      </c>
      <c r="K112" s="274" t="s">
        <v>3746</v>
      </c>
      <c r="L112" s="274" t="s">
        <v>3880</v>
      </c>
      <c r="M112" s="281">
        <v>10290</v>
      </c>
      <c r="N112" s="280"/>
      <c r="O112" s="280"/>
      <c r="P112" s="280"/>
      <c r="Q112" s="280">
        <v>10290</v>
      </c>
      <c r="R112" s="280"/>
      <c r="S112" s="280"/>
      <c r="T112" s="297"/>
    </row>
    <row r="113" spans="1:20" x14ac:dyDescent="0.25">
      <c r="A113" s="274" t="s">
        <v>78</v>
      </c>
      <c r="B113" s="274" t="s">
        <v>79</v>
      </c>
      <c r="C113" s="274" t="s">
        <v>3741</v>
      </c>
      <c r="D113" s="274" t="s">
        <v>3742</v>
      </c>
      <c r="E113" s="274" t="s">
        <v>22</v>
      </c>
      <c r="F113" s="274" t="s">
        <v>100</v>
      </c>
      <c r="G113" s="274" t="s">
        <v>93</v>
      </c>
      <c r="H113" s="274" t="s">
        <v>94</v>
      </c>
      <c r="I113" s="274" t="s">
        <v>3881</v>
      </c>
      <c r="J113" s="274" t="s">
        <v>6518</v>
      </c>
      <c r="K113" s="274" t="s">
        <v>3746</v>
      </c>
      <c r="L113" s="274" t="s">
        <v>3882</v>
      </c>
      <c r="M113" s="281">
        <v>12827.16</v>
      </c>
      <c r="N113" s="280"/>
      <c r="O113" s="280"/>
      <c r="P113" s="280"/>
      <c r="Q113" s="280"/>
      <c r="R113" s="280">
        <v>12827.16</v>
      </c>
      <c r="S113" s="280"/>
      <c r="T113" s="297"/>
    </row>
    <row r="114" spans="1:20" x14ac:dyDescent="0.25">
      <c r="A114" s="274" t="s">
        <v>78</v>
      </c>
      <c r="B114" s="274" t="s">
        <v>79</v>
      </c>
      <c r="C114" s="274" t="s">
        <v>3741</v>
      </c>
      <c r="D114" s="274" t="s">
        <v>3742</v>
      </c>
      <c r="E114" s="274" t="s">
        <v>22</v>
      </c>
      <c r="F114" s="274" t="s">
        <v>100</v>
      </c>
      <c r="G114" s="274" t="s">
        <v>93</v>
      </c>
      <c r="H114" s="274" t="s">
        <v>94</v>
      </c>
      <c r="I114" s="274" t="s">
        <v>3883</v>
      </c>
      <c r="J114" s="274" t="s">
        <v>6519</v>
      </c>
      <c r="K114" s="274" t="s">
        <v>3746</v>
      </c>
      <c r="L114" s="274" t="s">
        <v>3884</v>
      </c>
      <c r="M114" s="281">
        <v>10290</v>
      </c>
      <c r="N114" s="280"/>
      <c r="O114" s="280"/>
      <c r="P114" s="280"/>
      <c r="Q114" s="280"/>
      <c r="R114" s="280">
        <v>10290</v>
      </c>
      <c r="S114" s="280"/>
      <c r="T114" s="297"/>
    </row>
    <row r="115" spans="1:20" x14ac:dyDescent="0.25">
      <c r="A115" s="274" t="s">
        <v>78</v>
      </c>
      <c r="B115" s="274" t="s">
        <v>79</v>
      </c>
      <c r="C115" s="274" t="s">
        <v>3741</v>
      </c>
      <c r="D115" s="274" t="s">
        <v>3742</v>
      </c>
      <c r="E115" s="274" t="s">
        <v>22</v>
      </c>
      <c r="F115" s="274" t="s">
        <v>100</v>
      </c>
      <c r="G115" s="274" t="s">
        <v>93</v>
      </c>
      <c r="H115" s="274" t="s">
        <v>94</v>
      </c>
      <c r="I115" s="274" t="s">
        <v>6178</v>
      </c>
      <c r="J115" s="274" t="s">
        <v>6519</v>
      </c>
      <c r="K115" s="274" t="s">
        <v>3746</v>
      </c>
      <c r="L115" s="274" t="s">
        <v>6179</v>
      </c>
      <c r="M115" s="281">
        <v>10290</v>
      </c>
      <c r="N115" s="280"/>
      <c r="O115" s="280"/>
      <c r="P115" s="280"/>
      <c r="Q115" s="280"/>
      <c r="R115" s="280"/>
      <c r="S115" s="280">
        <v>10290</v>
      </c>
      <c r="T115" s="297"/>
    </row>
    <row r="116" spans="1:20" x14ac:dyDescent="0.25">
      <c r="A116" s="274" t="s">
        <v>78</v>
      </c>
      <c r="B116" s="274" t="s">
        <v>79</v>
      </c>
      <c r="C116" s="274" t="s">
        <v>3741</v>
      </c>
      <c r="D116" s="274" t="s">
        <v>3742</v>
      </c>
      <c r="E116" s="274" t="s">
        <v>22</v>
      </c>
      <c r="F116" s="274" t="s">
        <v>100</v>
      </c>
      <c r="G116" s="274" t="s">
        <v>93</v>
      </c>
      <c r="H116" s="274" t="s">
        <v>94</v>
      </c>
      <c r="I116" s="274" t="s">
        <v>6180</v>
      </c>
      <c r="J116" s="274" t="s">
        <v>6518</v>
      </c>
      <c r="K116" s="274" t="s">
        <v>3746</v>
      </c>
      <c r="L116" s="274" t="s">
        <v>6181</v>
      </c>
      <c r="M116" s="281">
        <v>12392.86</v>
      </c>
      <c r="N116" s="280"/>
      <c r="O116" s="280"/>
      <c r="P116" s="280"/>
      <c r="Q116" s="280"/>
      <c r="R116" s="280"/>
      <c r="S116" s="280">
        <v>12392.86</v>
      </c>
      <c r="T116" s="297"/>
    </row>
    <row r="117" spans="1:20" x14ac:dyDescent="0.25">
      <c r="A117" s="274" t="s">
        <v>78</v>
      </c>
      <c r="B117" s="274" t="s">
        <v>79</v>
      </c>
      <c r="C117" s="274" t="s">
        <v>3741</v>
      </c>
      <c r="D117" s="274" t="s">
        <v>3742</v>
      </c>
      <c r="E117" s="274" t="s">
        <v>22</v>
      </c>
      <c r="F117" s="274" t="s">
        <v>100</v>
      </c>
      <c r="G117" s="274" t="s">
        <v>101</v>
      </c>
      <c r="H117" s="274" t="s">
        <v>102</v>
      </c>
      <c r="I117" s="274" t="s">
        <v>3885</v>
      </c>
      <c r="J117" s="274" t="s">
        <v>6520</v>
      </c>
      <c r="K117" s="274" t="s">
        <v>3746</v>
      </c>
      <c r="L117" s="274" t="s">
        <v>3886</v>
      </c>
      <c r="M117" s="281">
        <v>220862.4</v>
      </c>
      <c r="N117" s="280">
        <v>220862.4</v>
      </c>
      <c r="O117" s="280"/>
      <c r="P117" s="280"/>
      <c r="Q117" s="280"/>
      <c r="R117" s="280"/>
      <c r="S117" s="280"/>
      <c r="T117" s="297"/>
    </row>
    <row r="118" spans="1:20" x14ac:dyDescent="0.25">
      <c r="A118" s="274" t="s">
        <v>78</v>
      </c>
      <c r="B118" s="274" t="s">
        <v>79</v>
      </c>
      <c r="C118" s="274" t="s">
        <v>3741</v>
      </c>
      <c r="D118" s="274" t="s">
        <v>3742</v>
      </c>
      <c r="E118" s="274" t="s">
        <v>22</v>
      </c>
      <c r="F118" s="274" t="s">
        <v>100</v>
      </c>
      <c r="G118" s="274" t="s">
        <v>101</v>
      </c>
      <c r="H118" s="274" t="s">
        <v>102</v>
      </c>
      <c r="I118" s="274" t="s">
        <v>3887</v>
      </c>
      <c r="J118" s="274" t="s">
        <v>6520</v>
      </c>
      <c r="K118" s="274" t="s">
        <v>3746</v>
      </c>
      <c r="L118" s="274" t="s">
        <v>3888</v>
      </c>
      <c r="M118" s="281">
        <v>2066</v>
      </c>
      <c r="N118" s="280">
        <v>2066</v>
      </c>
      <c r="O118" s="280"/>
      <c r="P118" s="280"/>
      <c r="Q118" s="280"/>
      <c r="R118" s="280"/>
      <c r="S118" s="280"/>
      <c r="T118" s="297"/>
    </row>
    <row r="119" spans="1:20" x14ac:dyDescent="0.25">
      <c r="A119" s="274" t="s">
        <v>78</v>
      </c>
      <c r="B119" s="274" t="s">
        <v>79</v>
      </c>
      <c r="C119" s="274" t="s">
        <v>3741</v>
      </c>
      <c r="D119" s="274" t="s">
        <v>3742</v>
      </c>
      <c r="E119" s="274" t="s">
        <v>22</v>
      </c>
      <c r="F119" s="274" t="s">
        <v>100</v>
      </c>
      <c r="G119" s="274" t="s">
        <v>101</v>
      </c>
      <c r="H119" s="274" t="s">
        <v>102</v>
      </c>
      <c r="I119" s="274" t="s">
        <v>3889</v>
      </c>
      <c r="J119" s="274" t="s">
        <v>6520</v>
      </c>
      <c r="K119" s="274" t="s">
        <v>3746</v>
      </c>
      <c r="L119" s="274" t="s">
        <v>3890</v>
      </c>
      <c r="M119" s="281">
        <v>52874</v>
      </c>
      <c r="N119" s="280">
        <v>52874</v>
      </c>
      <c r="O119" s="280"/>
      <c r="P119" s="280"/>
      <c r="Q119" s="280"/>
      <c r="R119" s="280"/>
      <c r="S119" s="280"/>
      <c r="T119" s="297"/>
    </row>
    <row r="120" spans="1:20" x14ac:dyDescent="0.25">
      <c r="A120" s="274" t="s">
        <v>78</v>
      </c>
      <c r="B120" s="274" t="s">
        <v>79</v>
      </c>
      <c r="C120" s="274" t="s">
        <v>3741</v>
      </c>
      <c r="D120" s="274" t="s">
        <v>3742</v>
      </c>
      <c r="E120" s="274" t="s">
        <v>22</v>
      </c>
      <c r="F120" s="274" t="s">
        <v>100</v>
      </c>
      <c r="G120" s="274" t="s">
        <v>101</v>
      </c>
      <c r="H120" s="274" t="s">
        <v>102</v>
      </c>
      <c r="I120" s="274" t="s">
        <v>3891</v>
      </c>
      <c r="J120" s="274" t="s">
        <v>6520</v>
      </c>
      <c r="K120" s="274" t="s">
        <v>3746</v>
      </c>
      <c r="L120" s="274" t="s">
        <v>3892</v>
      </c>
      <c r="M120" s="281">
        <v>431</v>
      </c>
      <c r="N120" s="280">
        <v>431</v>
      </c>
      <c r="O120" s="280"/>
      <c r="P120" s="280"/>
      <c r="Q120" s="280"/>
      <c r="R120" s="280"/>
      <c r="S120" s="280"/>
      <c r="T120" s="297"/>
    </row>
    <row r="121" spans="1:20" x14ac:dyDescent="0.25">
      <c r="A121" s="274" t="s">
        <v>78</v>
      </c>
      <c r="B121" s="274" t="s">
        <v>79</v>
      </c>
      <c r="C121" s="274" t="s">
        <v>3741</v>
      </c>
      <c r="D121" s="274" t="s">
        <v>3742</v>
      </c>
      <c r="E121" s="274" t="s">
        <v>22</v>
      </c>
      <c r="F121" s="274" t="s">
        <v>100</v>
      </c>
      <c r="G121" s="274" t="s">
        <v>101</v>
      </c>
      <c r="H121" s="274" t="s">
        <v>102</v>
      </c>
      <c r="I121" s="274" t="s">
        <v>3893</v>
      </c>
      <c r="J121" s="274" t="s">
        <v>6520</v>
      </c>
      <c r="K121" s="274" t="s">
        <v>3746</v>
      </c>
      <c r="L121" s="274" t="s">
        <v>3894</v>
      </c>
      <c r="M121" s="281">
        <v>2462</v>
      </c>
      <c r="N121" s="280">
        <v>2462</v>
      </c>
      <c r="O121" s="280"/>
      <c r="P121" s="280"/>
      <c r="Q121" s="280"/>
      <c r="R121" s="280"/>
      <c r="S121" s="280"/>
      <c r="T121" s="297"/>
    </row>
    <row r="122" spans="1:20" x14ac:dyDescent="0.25">
      <c r="A122" s="274" t="s">
        <v>78</v>
      </c>
      <c r="B122" s="274" t="s">
        <v>79</v>
      </c>
      <c r="C122" s="274" t="s">
        <v>3741</v>
      </c>
      <c r="D122" s="274" t="s">
        <v>3742</v>
      </c>
      <c r="E122" s="274" t="s">
        <v>22</v>
      </c>
      <c r="F122" s="274" t="s">
        <v>100</v>
      </c>
      <c r="G122" s="274" t="s">
        <v>101</v>
      </c>
      <c r="H122" s="274" t="s">
        <v>102</v>
      </c>
      <c r="I122" s="274" t="s">
        <v>3895</v>
      </c>
      <c r="J122" s="274" t="s">
        <v>6520</v>
      </c>
      <c r="K122" s="274" t="s">
        <v>3746</v>
      </c>
      <c r="L122" s="274" t="s">
        <v>3896</v>
      </c>
      <c r="M122" s="281">
        <v>23</v>
      </c>
      <c r="N122" s="280">
        <v>23</v>
      </c>
      <c r="O122" s="280"/>
      <c r="P122" s="280"/>
      <c r="Q122" s="280"/>
      <c r="R122" s="280"/>
      <c r="S122" s="280"/>
      <c r="T122" s="297"/>
    </row>
    <row r="123" spans="1:20" x14ac:dyDescent="0.25">
      <c r="A123" s="274" t="s">
        <v>78</v>
      </c>
      <c r="B123" s="274" t="s">
        <v>79</v>
      </c>
      <c r="C123" s="274" t="s">
        <v>3741</v>
      </c>
      <c r="D123" s="274" t="s">
        <v>3742</v>
      </c>
      <c r="E123" s="274" t="s">
        <v>22</v>
      </c>
      <c r="F123" s="274" t="s">
        <v>100</v>
      </c>
      <c r="G123" s="274" t="s">
        <v>101</v>
      </c>
      <c r="H123" s="274" t="s">
        <v>102</v>
      </c>
      <c r="I123" s="274" t="s">
        <v>3897</v>
      </c>
      <c r="J123" s="274" t="s">
        <v>6521</v>
      </c>
      <c r="K123" s="274" t="s">
        <v>3746</v>
      </c>
      <c r="L123" s="274" t="s">
        <v>3898</v>
      </c>
      <c r="M123" s="281">
        <v>44906.52</v>
      </c>
      <c r="N123" s="280">
        <v>44906.52</v>
      </c>
      <c r="O123" s="280"/>
      <c r="P123" s="280"/>
      <c r="Q123" s="280"/>
      <c r="R123" s="280"/>
      <c r="S123" s="280"/>
      <c r="T123" s="297"/>
    </row>
    <row r="124" spans="1:20" x14ac:dyDescent="0.25">
      <c r="A124" s="274" t="s">
        <v>78</v>
      </c>
      <c r="B124" s="274" t="s">
        <v>79</v>
      </c>
      <c r="C124" s="274" t="s">
        <v>3741</v>
      </c>
      <c r="D124" s="274" t="s">
        <v>3742</v>
      </c>
      <c r="E124" s="274" t="s">
        <v>22</v>
      </c>
      <c r="F124" s="274" t="s">
        <v>100</v>
      </c>
      <c r="G124" s="274" t="s">
        <v>101</v>
      </c>
      <c r="H124" s="274" t="s">
        <v>102</v>
      </c>
      <c r="I124" s="274" t="s">
        <v>3899</v>
      </c>
      <c r="J124" s="274" t="s">
        <v>6521</v>
      </c>
      <c r="K124" s="274" t="s">
        <v>3746</v>
      </c>
      <c r="L124" s="274" t="s">
        <v>3900</v>
      </c>
      <c r="M124" s="281">
        <v>429</v>
      </c>
      <c r="N124" s="280">
        <v>429</v>
      </c>
      <c r="O124" s="280"/>
      <c r="P124" s="280"/>
      <c r="Q124" s="280"/>
      <c r="R124" s="280"/>
      <c r="S124" s="280"/>
      <c r="T124" s="297"/>
    </row>
    <row r="125" spans="1:20" x14ac:dyDescent="0.25">
      <c r="A125" s="274" t="s">
        <v>78</v>
      </c>
      <c r="B125" s="274" t="s">
        <v>79</v>
      </c>
      <c r="C125" s="274" t="s">
        <v>3741</v>
      </c>
      <c r="D125" s="274" t="s">
        <v>3742</v>
      </c>
      <c r="E125" s="274" t="s">
        <v>22</v>
      </c>
      <c r="F125" s="274" t="s">
        <v>100</v>
      </c>
      <c r="G125" s="274" t="s">
        <v>101</v>
      </c>
      <c r="H125" s="274" t="s">
        <v>102</v>
      </c>
      <c r="I125" s="274" t="s">
        <v>3901</v>
      </c>
      <c r="J125" s="274" t="s">
        <v>6521</v>
      </c>
      <c r="K125" s="274" t="s">
        <v>3746</v>
      </c>
      <c r="L125" s="274" t="s">
        <v>3902</v>
      </c>
      <c r="M125" s="281">
        <v>456.3</v>
      </c>
      <c r="N125" s="280">
        <v>456.3</v>
      </c>
      <c r="O125" s="280"/>
      <c r="P125" s="280"/>
      <c r="Q125" s="280"/>
      <c r="R125" s="280"/>
      <c r="S125" s="280"/>
      <c r="T125" s="297"/>
    </row>
    <row r="126" spans="1:20" x14ac:dyDescent="0.25">
      <c r="A126" s="274" t="s">
        <v>78</v>
      </c>
      <c r="B126" s="274" t="s">
        <v>79</v>
      </c>
      <c r="C126" s="274" t="s">
        <v>3741</v>
      </c>
      <c r="D126" s="274" t="s">
        <v>3742</v>
      </c>
      <c r="E126" s="274" t="s">
        <v>22</v>
      </c>
      <c r="F126" s="274" t="s">
        <v>100</v>
      </c>
      <c r="G126" s="274" t="s">
        <v>101</v>
      </c>
      <c r="H126" s="274" t="s">
        <v>102</v>
      </c>
      <c r="I126" s="274" t="s">
        <v>3903</v>
      </c>
      <c r="J126" s="274" t="s">
        <v>6522</v>
      </c>
      <c r="K126" s="274" t="s">
        <v>3746</v>
      </c>
      <c r="L126" s="274" t="s">
        <v>3904</v>
      </c>
      <c r="M126" s="281">
        <v>33138.99</v>
      </c>
      <c r="N126" s="280">
        <v>33138.99</v>
      </c>
      <c r="O126" s="280"/>
      <c r="P126" s="280"/>
      <c r="Q126" s="280"/>
      <c r="R126" s="280"/>
      <c r="S126" s="280"/>
      <c r="T126" s="297"/>
    </row>
    <row r="127" spans="1:20" x14ac:dyDescent="0.25">
      <c r="A127" s="274" t="s">
        <v>78</v>
      </c>
      <c r="B127" s="274" t="s">
        <v>79</v>
      </c>
      <c r="C127" s="274" t="s">
        <v>3741</v>
      </c>
      <c r="D127" s="274" t="s">
        <v>3742</v>
      </c>
      <c r="E127" s="274" t="s">
        <v>22</v>
      </c>
      <c r="F127" s="274" t="s">
        <v>100</v>
      </c>
      <c r="G127" s="274" t="s">
        <v>101</v>
      </c>
      <c r="H127" s="274" t="s">
        <v>102</v>
      </c>
      <c r="I127" s="274" t="s">
        <v>3905</v>
      </c>
      <c r="J127" s="274" t="s">
        <v>6522</v>
      </c>
      <c r="K127" s="274" t="s">
        <v>3746</v>
      </c>
      <c r="L127" s="274" t="s">
        <v>3906</v>
      </c>
      <c r="M127" s="281">
        <v>294</v>
      </c>
      <c r="N127" s="280">
        <v>294</v>
      </c>
      <c r="O127" s="280"/>
      <c r="P127" s="280"/>
      <c r="Q127" s="280"/>
      <c r="R127" s="280"/>
      <c r="S127" s="280"/>
      <c r="T127" s="297"/>
    </row>
    <row r="128" spans="1:20" x14ac:dyDescent="0.25">
      <c r="A128" s="274" t="s">
        <v>78</v>
      </c>
      <c r="B128" s="274" t="s">
        <v>79</v>
      </c>
      <c r="C128" s="274" t="s">
        <v>3741</v>
      </c>
      <c r="D128" s="274" t="s">
        <v>3742</v>
      </c>
      <c r="E128" s="274" t="s">
        <v>22</v>
      </c>
      <c r="F128" s="274" t="s">
        <v>100</v>
      </c>
      <c r="G128" s="274" t="s">
        <v>101</v>
      </c>
      <c r="H128" s="274" t="s">
        <v>102</v>
      </c>
      <c r="I128" s="274" t="s">
        <v>3907</v>
      </c>
      <c r="J128" s="274" t="s">
        <v>6522</v>
      </c>
      <c r="K128" s="274" t="s">
        <v>3746</v>
      </c>
      <c r="L128" s="274" t="s">
        <v>3908</v>
      </c>
      <c r="M128" s="281">
        <v>4580</v>
      </c>
      <c r="N128" s="280">
        <v>4580</v>
      </c>
      <c r="O128" s="280"/>
      <c r="P128" s="280"/>
      <c r="Q128" s="280"/>
      <c r="R128" s="280"/>
      <c r="S128" s="280"/>
      <c r="T128" s="297"/>
    </row>
    <row r="129" spans="1:20" x14ac:dyDescent="0.25">
      <c r="A129" s="274" t="s">
        <v>78</v>
      </c>
      <c r="B129" s="274" t="s">
        <v>79</v>
      </c>
      <c r="C129" s="274" t="s">
        <v>3741</v>
      </c>
      <c r="D129" s="274" t="s">
        <v>3742</v>
      </c>
      <c r="E129" s="274" t="s">
        <v>22</v>
      </c>
      <c r="F129" s="274" t="s">
        <v>100</v>
      </c>
      <c r="G129" s="274" t="s">
        <v>101</v>
      </c>
      <c r="H129" s="274" t="s">
        <v>102</v>
      </c>
      <c r="I129" s="274" t="s">
        <v>3909</v>
      </c>
      <c r="J129" s="274" t="s">
        <v>6522</v>
      </c>
      <c r="K129" s="274" t="s">
        <v>3746</v>
      </c>
      <c r="L129" s="274" t="s">
        <v>3910</v>
      </c>
      <c r="M129" s="281">
        <v>42</v>
      </c>
      <c r="N129" s="280">
        <v>42</v>
      </c>
      <c r="O129" s="280"/>
      <c r="P129" s="280"/>
      <c r="Q129" s="280"/>
      <c r="R129" s="280"/>
      <c r="S129" s="280"/>
      <c r="T129" s="297"/>
    </row>
    <row r="130" spans="1:20" x14ac:dyDescent="0.25">
      <c r="A130" s="274" t="s">
        <v>78</v>
      </c>
      <c r="B130" s="274" t="s">
        <v>79</v>
      </c>
      <c r="C130" s="274" t="s">
        <v>3741</v>
      </c>
      <c r="D130" s="274" t="s">
        <v>3742</v>
      </c>
      <c r="E130" s="274" t="s">
        <v>22</v>
      </c>
      <c r="F130" s="274" t="s">
        <v>100</v>
      </c>
      <c r="G130" s="274" t="s">
        <v>101</v>
      </c>
      <c r="H130" s="274" t="s">
        <v>102</v>
      </c>
      <c r="I130" s="274" t="s">
        <v>3911</v>
      </c>
      <c r="J130" s="274" t="s">
        <v>6522</v>
      </c>
      <c r="K130" s="274" t="s">
        <v>3746</v>
      </c>
      <c r="L130" s="274" t="s">
        <v>3912</v>
      </c>
      <c r="M130" s="281">
        <v>42462.01</v>
      </c>
      <c r="N130" s="280">
        <v>42462.01</v>
      </c>
      <c r="O130" s="280"/>
      <c r="P130" s="280"/>
      <c r="Q130" s="280"/>
      <c r="R130" s="280"/>
      <c r="S130" s="280"/>
      <c r="T130" s="297"/>
    </row>
    <row r="131" spans="1:20" x14ac:dyDescent="0.25">
      <c r="A131" s="274" t="s">
        <v>78</v>
      </c>
      <c r="B131" s="274" t="s">
        <v>79</v>
      </c>
      <c r="C131" s="274" t="s">
        <v>3741</v>
      </c>
      <c r="D131" s="274" t="s">
        <v>3742</v>
      </c>
      <c r="E131" s="274" t="s">
        <v>22</v>
      </c>
      <c r="F131" s="274" t="s">
        <v>100</v>
      </c>
      <c r="G131" s="274" t="s">
        <v>101</v>
      </c>
      <c r="H131" s="274" t="s">
        <v>102</v>
      </c>
      <c r="I131" s="274" t="s">
        <v>3913</v>
      </c>
      <c r="J131" s="274" t="s">
        <v>6522</v>
      </c>
      <c r="K131" s="274" t="s">
        <v>3746</v>
      </c>
      <c r="L131" s="274" t="s">
        <v>3914</v>
      </c>
      <c r="M131" s="281">
        <v>388</v>
      </c>
      <c r="N131" s="280">
        <v>388</v>
      </c>
      <c r="O131" s="280"/>
      <c r="P131" s="280"/>
      <c r="Q131" s="280"/>
      <c r="R131" s="280"/>
      <c r="S131" s="280"/>
      <c r="T131" s="297"/>
    </row>
    <row r="132" spans="1:20" x14ac:dyDescent="0.25">
      <c r="A132" s="274" t="s">
        <v>78</v>
      </c>
      <c r="B132" s="274" t="s">
        <v>79</v>
      </c>
      <c r="C132" s="274" t="s">
        <v>3741</v>
      </c>
      <c r="D132" s="274" t="s">
        <v>3742</v>
      </c>
      <c r="E132" s="274" t="s">
        <v>22</v>
      </c>
      <c r="F132" s="274" t="s">
        <v>100</v>
      </c>
      <c r="G132" s="274" t="s">
        <v>101</v>
      </c>
      <c r="H132" s="274" t="s">
        <v>102</v>
      </c>
      <c r="I132" s="274" t="s">
        <v>3915</v>
      </c>
      <c r="J132" s="274" t="s">
        <v>6523</v>
      </c>
      <c r="K132" s="274" t="s">
        <v>3746</v>
      </c>
      <c r="L132" s="274" t="s">
        <v>3916</v>
      </c>
      <c r="M132" s="281">
        <v>2242</v>
      </c>
      <c r="N132" s="280">
        <v>2242</v>
      </c>
      <c r="O132" s="280"/>
      <c r="P132" s="280"/>
      <c r="Q132" s="280"/>
      <c r="R132" s="280"/>
      <c r="S132" s="280"/>
      <c r="T132" s="297"/>
    </row>
    <row r="133" spans="1:20" x14ac:dyDescent="0.25">
      <c r="A133" s="274" t="s">
        <v>78</v>
      </c>
      <c r="B133" s="274" t="s">
        <v>79</v>
      </c>
      <c r="C133" s="274" t="s">
        <v>3741</v>
      </c>
      <c r="D133" s="274" t="s">
        <v>3742</v>
      </c>
      <c r="E133" s="274" t="s">
        <v>22</v>
      </c>
      <c r="F133" s="274" t="s">
        <v>100</v>
      </c>
      <c r="G133" s="274" t="s">
        <v>101</v>
      </c>
      <c r="H133" s="274" t="s">
        <v>102</v>
      </c>
      <c r="I133" s="274" t="s">
        <v>3917</v>
      </c>
      <c r="J133" s="274" t="s">
        <v>6523</v>
      </c>
      <c r="K133" s="274" t="s">
        <v>3746</v>
      </c>
      <c r="L133" s="274" t="s">
        <v>3918</v>
      </c>
      <c r="M133" s="281">
        <v>20</v>
      </c>
      <c r="N133" s="280">
        <v>20</v>
      </c>
      <c r="O133" s="280"/>
      <c r="P133" s="280"/>
      <c r="Q133" s="280"/>
      <c r="R133" s="280"/>
      <c r="S133" s="280"/>
      <c r="T133" s="297"/>
    </row>
    <row r="134" spans="1:20" x14ac:dyDescent="0.25">
      <c r="A134" s="274" t="s">
        <v>78</v>
      </c>
      <c r="B134" s="274" t="s">
        <v>79</v>
      </c>
      <c r="C134" s="274" t="s">
        <v>3741</v>
      </c>
      <c r="D134" s="274" t="s">
        <v>3742</v>
      </c>
      <c r="E134" s="274" t="s">
        <v>22</v>
      </c>
      <c r="F134" s="274" t="s">
        <v>100</v>
      </c>
      <c r="G134" s="274" t="s">
        <v>101</v>
      </c>
      <c r="H134" s="274" t="s">
        <v>102</v>
      </c>
      <c r="I134" s="274" t="s">
        <v>3919</v>
      </c>
      <c r="J134" s="274" t="s">
        <v>6524</v>
      </c>
      <c r="K134" s="274" t="s">
        <v>3746</v>
      </c>
      <c r="L134" s="274" t="s">
        <v>3920</v>
      </c>
      <c r="M134" s="281">
        <v>21178</v>
      </c>
      <c r="N134" s="280">
        <v>21178</v>
      </c>
      <c r="O134" s="280"/>
      <c r="P134" s="280"/>
      <c r="Q134" s="280"/>
      <c r="R134" s="280"/>
      <c r="S134" s="280"/>
      <c r="T134" s="297"/>
    </row>
    <row r="135" spans="1:20" x14ac:dyDescent="0.25">
      <c r="A135" s="274" t="s">
        <v>78</v>
      </c>
      <c r="B135" s="274" t="s">
        <v>79</v>
      </c>
      <c r="C135" s="274" t="s">
        <v>3741</v>
      </c>
      <c r="D135" s="274" t="s">
        <v>3742</v>
      </c>
      <c r="E135" s="274" t="s">
        <v>22</v>
      </c>
      <c r="F135" s="274" t="s">
        <v>100</v>
      </c>
      <c r="G135" s="274" t="s">
        <v>101</v>
      </c>
      <c r="H135" s="274" t="s">
        <v>102</v>
      </c>
      <c r="I135" s="274" t="s">
        <v>3921</v>
      </c>
      <c r="J135" s="274" t="s">
        <v>6524</v>
      </c>
      <c r="K135" s="274" t="s">
        <v>3746</v>
      </c>
      <c r="L135" s="274" t="s">
        <v>3922</v>
      </c>
      <c r="M135" s="281">
        <v>204</v>
      </c>
      <c r="N135" s="280">
        <v>204</v>
      </c>
      <c r="O135" s="280"/>
      <c r="P135" s="280"/>
      <c r="Q135" s="280"/>
      <c r="R135" s="280"/>
      <c r="S135" s="280"/>
      <c r="T135" s="297"/>
    </row>
    <row r="136" spans="1:20" x14ac:dyDescent="0.25">
      <c r="A136" s="274" t="s">
        <v>78</v>
      </c>
      <c r="B136" s="274" t="s">
        <v>79</v>
      </c>
      <c r="C136" s="274" t="s">
        <v>3741</v>
      </c>
      <c r="D136" s="274" t="s">
        <v>3742</v>
      </c>
      <c r="E136" s="274" t="s">
        <v>22</v>
      </c>
      <c r="F136" s="274" t="s">
        <v>100</v>
      </c>
      <c r="G136" s="274" t="s">
        <v>101</v>
      </c>
      <c r="H136" s="274" t="s">
        <v>102</v>
      </c>
      <c r="I136" s="274" t="s">
        <v>3923</v>
      </c>
      <c r="J136" s="274" t="s">
        <v>6524</v>
      </c>
      <c r="K136" s="274" t="s">
        <v>3746</v>
      </c>
      <c r="L136" s="274" t="s">
        <v>3924</v>
      </c>
      <c r="M136" s="281">
        <v>1381</v>
      </c>
      <c r="N136" s="280">
        <v>1381</v>
      </c>
      <c r="O136" s="280"/>
      <c r="P136" s="280"/>
      <c r="Q136" s="280"/>
      <c r="R136" s="280"/>
      <c r="S136" s="280"/>
      <c r="T136" s="297"/>
    </row>
    <row r="137" spans="1:20" x14ac:dyDescent="0.25">
      <c r="A137" s="274" t="s">
        <v>78</v>
      </c>
      <c r="B137" s="274" t="s">
        <v>79</v>
      </c>
      <c r="C137" s="274" t="s">
        <v>3741</v>
      </c>
      <c r="D137" s="274" t="s">
        <v>3742</v>
      </c>
      <c r="E137" s="274" t="s">
        <v>22</v>
      </c>
      <c r="F137" s="274" t="s">
        <v>100</v>
      </c>
      <c r="G137" s="274" t="s">
        <v>101</v>
      </c>
      <c r="H137" s="274" t="s">
        <v>102</v>
      </c>
      <c r="I137" s="274" t="s">
        <v>3925</v>
      </c>
      <c r="J137" s="274" t="s">
        <v>6524</v>
      </c>
      <c r="K137" s="274" t="s">
        <v>3746</v>
      </c>
      <c r="L137" s="274" t="s">
        <v>3926</v>
      </c>
      <c r="M137" s="281">
        <v>13</v>
      </c>
      <c r="N137" s="280">
        <v>13</v>
      </c>
      <c r="O137" s="280"/>
      <c r="P137" s="280"/>
      <c r="Q137" s="280"/>
      <c r="R137" s="280"/>
      <c r="S137" s="280"/>
      <c r="T137" s="297"/>
    </row>
    <row r="138" spans="1:20" x14ac:dyDescent="0.25">
      <c r="A138" s="274" t="s">
        <v>78</v>
      </c>
      <c r="B138" s="274" t="s">
        <v>79</v>
      </c>
      <c r="C138" s="274" t="s">
        <v>3741</v>
      </c>
      <c r="D138" s="274" t="s">
        <v>3742</v>
      </c>
      <c r="E138" s="274" t="s">
        <v>22</v>
      </c>
      <c r="F138" s="274" t="s">
        <v>100</v>
      </c>
      <c r="G138" s="274" t="s">
        <v>101</v>
      </c>
      <c r="H138" s="274" t="s">
        <v>102</v>
      </c>
      <c r="I138" s="274" t="s">
        <v>3927</v>
      </c>
      <c r="J138" s="274" t="s">
        <v>6525</v>
      </c>
      <c r="K138" s="274" t="s">
        <v>3746</v>
      </c>
      <c r="L138" s="274" t="s">
        <v>3928</v>
      </c>
      <c r="M138" s="281">
        <v>1703.15</v>
      </c>
      <c r="N138" s="280">
        <v>1703.15</v>
      </c>
      <c r="O138" s="280"/>
      <c r="P138" s="280"/>
      <c r="Q138" s="280"/>
      <c r="R138" s="280"/>
      <c r="S138" s="280"/>
      <c r="T138" s="297"/>
    </row>
    <row r="139" spans="1:20" x14ac:dyDescent="0.25">
      <c r="A139" s="274" t="s">
        <v>78</v>
      </c>
      <c r="B139" s="274" t="s">
        <v>79</v>
      </c>
      <c r="C139" s="274" t="s">
        <v>3741</v>
      </c>
      <c r="D139" s="274" t="s">
        <v>3742</v>
      </c>
      <c r="E139" s="274" t="s">
        <v>22</v>
      </c>
      <c r="F139" s="274" t="s">
        <v>100</v>
      </c>
      <c r="G139" s="274" t="s">
        <v>101</v>
      </c>
      <c r="H139" s="274" t="s">
        <v>102</v>
      </c>
      <c r="I139" s="274" t="s">
        <v>3929</v>
      </c>
      <c r="J139" s="274" t="s">
        <v>6525</v>
      </c>
      <c r="K139" s="274" t="s">
        <v>3746</v>
      </c>
      <c r="L139" s="274" t="s">
        <v>3930</v>
      </c>
      <c r="M139" s="281">
        <v>25</v>
      </c>
      <c r="N139" s="280">
        <v>25</v>
      </c>
      <c r="O139" s="280"/>
      <c r="P139" s="280"/>
      <c r="Q139" s="280"/>
      <c r="R139" s="280"/>
      <c r="S139" s="280"/>
      <c r="T139" s="297"/>
    </row>
    <row r="140" spans="1:20" x14ac:dyDescent="0.25">
      <c r="A140" s="274" t="s">
        <v>78</v>
      </c>
      <c r="B140" s="274" t="s">
        <v>79</v>
      </c>
      <c r="C140" s="274" t="s">
        <v>3741</v>
      </c>
      <c r="D140" s="274" t="s">
        <v>3742</v>
      </c>
      <c r="E140" s="274" t="s">
        <v>22</v>
      </c>
      <c r="F140" s="274" t="s">
        <v>100</v>
      </c>
      <c r="G140" s="274" t="s">
        <v>101</v>
      </c>
      <c r="H140" s="274" t="s">
        <v>102</v>
      </c>
      <c r="I140" s="274" t="s">
        <v>3931</v>
      </c>
      <c r="J140" s="274" t="s">
        <v>6526</v>
      </c>
      <c r="K140" s="274" t="s">
        <v>3746</v>
      </c>
      <c r="L140" s="274" t="s">
        <v>3932</v>
      </c>
      <c r="M140" s="281">
        <v>58</v>
      </c>
      <c r="N140" s="280">
        <v>58</v>
      </c>
      <c r="O140" s="280"/>
      <c r="P140" s="280"/>
      <c r="Q140" s="280"/>
      <c r="R140" s="280"/>
      <c r="S140" s="280"/>
      <c r="T140" s="297"/>
    </row>
    <row r="141" spans="1:20" x14ac:dyDescent="0.25">
      <c r="A141" s="274" t="s">
        <v>78</v>
      </c>
      <c r="B141" s="274" t="s">
        <v>79</v>
      </c>
      <c r="C141" s="274" t="s">
        <v>3741</v>
      </c>
      <c r="D141" s="274" t="s">
        <v>3742</v>
      </c>
      <c r="E141" s="274" t="s">
        <v>22</v>
      </c>
      <c r="F141" s="274" t="s">
        <v>100</v>
      </c>
      <c r="G141" s="274" t="s">
        <v>101</v>
      </c>
      <c r="H141" s="274" t="s">
        <v>102</v>
      </c>
      <c r="I141" s="274" t="s">
        <v>3933</v>
      </c>
      <c r="J141" s="274" t="s">
        <v>6527</v>
      </c>
      <c r="K141" s="274" t="s">
        <v>3746</v>
      </c>
      <c r="L141" s="274" t="s">
        <v>3934</v>
      </c>
      <c r="M141" s="281">
        <v>6937.5</v>
      </c>
      <c r="N141" s="280"/>
      <c r="O141" s="280">
        <v>6937.5</v>
      </c>
      <c r="P141" s="280"/>
      <c r="Q141" s="280"/>
      <c r="R141" s="280"/>
      <c r="S141" s="280"/>
      <c r="T141" s="297"/>
    </row>
    <row r="142" spans="1:20" x14ac:dyDescent="0.25">
      <c r="A142" s="274" t="s">
        <v>78</v>
      </c>
      <c r="B142" s="274" t="s">
        <v>79</v>
      </c>
      <c r="C142" s="274" t="s">
        <v>3741</v>
      </c>
      <c r="D142" s="274" t="s">
        <v>3742</v>
      </c>
      <c r="E142" s="274" t="s">
        <v>22</v>
      </c>
      <c r="F142" s="274" t="s">
        <v>100</v>
      </c>
      <c r="G142" s="274" t="s">
        <v>101</v>
      </c>
      <c r="H142" s="274" t="s">
        <v>102</v>
      </c>
      <c r="I142" s="274" t="s">
        <v>3935</v>
      </c>
      <c r="J142" s="274" t="s">
        <v>6527</v>
      </c>
      <c r="K142" s="274" t="s">
        <v>3746</v>
      </c>
      <c r="L142" s="274" t="s">
        <v>3934</v>
      </c>
      <c r="M142" s="281">
        <v>63</v>
      </c>
      <c r="N142" s="280"/>
      <c r="O142" s="280">
        <v>63</v>
      </c>
      <c r="P142" s="280"/>
      <c r="Q142" s="280"/>
      <c r="R142" s="280"/>
      <c r="S142" s="280"/>
      <c r="T142" s="297"/>
    </row>
    <row r="143" spans="1:20" x14ac:dyDescent="0.25">
      <c r="A143" s="274" t="s">
        <v>78</v>
      </c>
      <c r="B143" s="274" t="s">
        <v>79</v>
      </c>
      <c r="C143" s="274" t="s">
        <v>3741</v>
      </c>
      <c r="D143" s="274" t="s">
        <v>3742</v>
      </c>
      <c r="E143" s="274" t="s">
        <v>22</v>
      </c>
      <c r="F143" s="274" t="s">
        <v>100</v>
      </c>
      <c r="G143" s="274" t="s">
        <v>101</v>
      </c>
      <c r="H143" s="274" t="s">
        <v>102</v>
      </c>
      <c r="I143" s="274" t="s">
        <v>3936</v>
      </c>
      <c r="J143" s="274" t="s">
        <v>6528</v>
      </c>
      <c r="K143" s="274" t="s">
        <v>3746</v>
      </c>
      <c r="L143" s="274" t="s">
        <v>3937</v>
      </c>
      <c r="M143" s="281">
        <v>17098.62</v>
      </c>
      <c r="N143" s="280"/>
      <c r="O143" s="280">
        <v>17098.62</v>
      </c>
      <c r="P143" s="280"/>
      <c r="Q143" s="280"/>
      <c r="R143" s="280"/>
      <c r="S143" s="280"/>
      <c r="T143" s="297"/>
    </row>
    <row r="144" spans="1:20" x14ac:dyDescent="0.25">
      <c r="A144" s="274" t="s">
        <v>78</v>
      </c>
      <c r="B144" s="274" t="s">
        <v>79</v>
      </c>
      <c r="C144" s="274" t="s">
        <v>3741</v>
      </c>
      <c r="D144" s="274" t="s">
        <v>3742</v>
      </c>
      <c r="E144" s="274" t="s">
        <v>22</v>
      </c>
      <c r="F144" s="274" t="s">
        <v>100</v>
      </c>
      <c r="G144" s="274" t="s">
        <v>101</v>
      </c>
      <c r="H144" s="274" t="s">
        <v>102</v>
      </c>
      <c r="I144" s="274" t="s">
        <v>3938</v>
      </c>
      <c r="J144" s="274" t="s">
        <v>6520</v>
      </c>
      <c r="K144" s="274" t="s">
        <v>3746</v>
      </c>
      <c r="L144" s="274" t="s">
        <v>3939</v>
      </c>
      <c r="M144" s="281">
        <v>227886.29</v>
      </c>
      <c r="N144" s="280"/>
      <c r="O144" s="280">
        <v>227886.29</v>
      </c>
      <c r="P144" s="280"/>
      <c r="Q144" s="280"/>
      <c r="R144" s="280"/>
      <c r="S144" s="280"/>
      <c r="T144" s="297"/>
    </row>
    <row r="145" spans="1:20" x14ac:dyDescent="0.25">
      <c r="A145" s="274" t="s">
        <v>78</v>
      </c>
      <c r="B145" s="274" t="s">
        <v>79</v>
      </c>
      <c r="C145" s="274" t="s">
        <v>3741</v>
      </c>
      <c r="D145" s="274" t="s">
        <v>3742</v>
      </c>
      <c r="E145" s="274" t="s">
        <v>22</v>
      </c>
      <c r="F145" s="274" t="s">
        <v>100</v>
      </c>
      <c r="G145" s="274" t="s">
        <v>101</v>
      </c>
      <c r="H145" s="274" t="s">
        <v>102</v>
      </c>
      <c r="I145" s="274" t="s">
        <v>3940</v>
      </c>
      <c r="J145" s="274" t="s">
        <v>6520</v>
      </c>
      <c r="K145" s="274" t="s">
        <v>3746</v>
      </c>
      <c r="L145" s="274" t="s">
        <v>3941</v>
      </c>
      <c r="M145" s="281">
        <v>2066</v>
      </c>
      <c r="N145" s="280"/>
      <c r="O145" s="280">
        <v>2066</v>
      </c>
      <c r="P145" s="280"/>
      <c r="Q145" s="280"/>
      <c r="R145" s="280"/>
      <c r="S145" s="280"/>
      <c r="T145" s="297"/>
    </row>
    <row r="146" spans="1:20" x14ac:dyDescent="0.25">
      <c r="A146" s="274" t="s">
        <v>78</v>
      </c>
      <c r="B146" s="274" t="s">
        <v>79</v>
      </c>
      <c r="C146" s="274" t="s">
        <v>3741</v>
      </c>
      <c r="D146" s="274" t="s">
        <v>3742</v>
      </c>
      <c r="E146" s="274" t="s">
        <v>22</v>
      </c>
      <c r="F146" s="274" t="s">
        <v>100</v>
      </c>
      <c r="G146" s="274" t="s">
        <v>101</v>
      </c>
      <c r="H146" s="274" t="s">
        <v>102</v>
      </c>
      <c r="I146" s="274" t="s">
        <v>3942</v>
      </c>
      <c r="J146" s="274" t="s">
        <v>6520</v>
      </c>
      <c r="K146" s="274" t="s">
        <v>3746</v>
      </c>
      <c r="L146" s="274" t="s">
        <v>3943</v>
      </c>
      <c r="M146" s="281">
        <v>52874</v>
      </c>
      <c r="N146" s="280"/>
      <c r="O146" s="280">
        <v>52874</v>
      </c>
      <c r="P146" s="280"/>
      <c r="Q146" s="280"/>
      <c r="R146" s="280"/>
      <c r="S146" s="280"/>
      <c r="T146" s="297"/>
    </row>
    <row r="147" spans="1:20" x14ac:dyDescent="0.25">
      <c r="A147" s="274" t="s">
        <v>78</v>
      </c>
      <c r="B147" s="274" t="s">
        <v>79</v>
      </c>
      <c r="C147" s="274" t="s">
        <v>3741</v>
      </c>
      <c r="D147" s="274" t="s">
        <v>3742</v>
      </c>
      <c r="E147" s="274" t="s">
        <v>22</v>
      </c>
      <c r="F147" s="274" t="s">
        <v>100</v>
      </c>
      <c r="G147" s="274" t="s">
        <v>101</v>
      </c>
      <c r="H147" s="274" t="s">
        <v>102</v>
      </c>
      <c r="I147" s="274" t="s">
        <v>3944</v>
      </c>
      <c r="J147" s="274" t="s">
        <v>6520</v>
      </c>
      <c r="K147" s="274" t="s">
        <v>3746</v>
      </c>
      <c r="L147" s="274" t="s">
        <v>3945</v>
      </c>
      <c r="M147" s="281">
        <v>431</v>
      </c>
      <c r="N147" s="280"/>
      <c r="O147" s="280">
        <v>431</v>
      </c>
      <c r="P147" s="280"/>
      <c r="Q147" s="280"/>
      <c r="R147" s="280"/>
      <c r="S147" s="280"/>
      <c r="T147" s="297"/>
    </row>
    <row r="148" spans="1:20" x14ac:dyDescent="0.25">
      <c r="A148" s="274" t="s">
        <v>78</v>
      </c>
      <c r="B148" s="274" t="s">
        <v>79</v>
      </c>
      <c r="C148" s="274" t="s">
        <v>3741</v>
      </c>
      <c r="D148" s="274" t="s">
        <v>3742</v>
      </c>
      <c r="E148" s="274" t="s">
        <v>22</v>
      </c>
      <c r="F148" s="274" t="s">
        <v>100</v>
      </c>
      <c r="G148" s="274" t="s">
        <v>101</v>
      </c>
      <c r="H148" s="274" t="s">
        <v>102</v>
      </c>
      <c r="I148" s="274" t="s">
        <v>3946</v>
      </c>
      <c r="J148" s="274" t="s">
        <v>6520</v>
      </c>
      <c r="K148" s="274" t="s">
        <v>3746</v>
      </c>
      <c r="L148" s="274" t="s">
        <v>3947</v>
      </c>
      <c r="M148" s="281">
        <v>2462</v>
      </c>
      <c r="N148" s="280"/>
      <c r="O148" s="280">
        <v>2462</v>
      </c>
      <c r="P148" s="280"/>
      <c r="Q148" s="280"/>
      <c r="R148" s="280"/>
      <c r="S148" s="280"/>
      <c r="T148" s="297"/>
    </row>
    <row r="149" spans="1:20" x14ac:dyDescent="0.25">
      <c r="A149" s="274" t="s">
        <v>78</v>
      </c>
      <c r="B149" s="274" t="s">
        <v>79</v>
      </c>
      <c r="C149" s="274" t="s">
        <v>3741</v>
      </c>
      <c r="D149" s="274" t="s">
        <v>3742</v>
      </c>
      <c r="E149" s="274" t="s">
        <v>22</v>
      </c>
      <c r="F149" s="274" t="s">
        <v>100</v>
      </c>
      <c r="G149" s="274" t="s">
        <v>101</v>
      </c>
      <c r="H149" s="274" t="s">
        <v>102</v>
      </c>
      <c r="I149" s="274" t="s">
        <v>3948</v>
      </c>
      <c r="J149" s="274" t="s">
        <v>6520</v>
      </c>
      <c r="K149" s="274" t="s">
        <v>3746</v>
      </c>
      <c r="L149" s="274" t="s">
        <v>3949</v>
      </c>
      <c r="M149" s="281">
        <v>23</v>
      </c>
      <c r="N149" s="280"/>
      <c r="O149" s="280">
        <v>23</v>
      </c>
      <c r="P149" s="280"/>
      <c r="Q149" s="280"/>
      <c r="R149" s="280"/>
      <c r="S149" s="280"/>
      <c r="T149" s="297"/>
    </row>
    <row r="150" spans="1:20" x14ac:dyDescent="0.25">
      <c r="A150" s="274" t="s">
        <v>78</v>
      </c>
      <c r="B150" s="274" t="s">
        <v>79</v>
      </c>
      <c r="C150" s="274" t="s">
        <v>3741</v>
      </c>
      <c r="D150" s="274" t="s">
        <v>3742</v>
      </c>
      <c r="E150" s="274" t="s">
        <v>22</v>
      </c>
      <c r="F150" s="274" t="s">
        <v>100</v>
      </c>
      <c r="G150" s="274" t="s">
        <v>101</v>
      </c>
      <c r="H150" s="274" t="s">
        <v>102</v>
      </c>
      <c r="I150" s="274" t="s">
        <v>3950</v>
      </c>
      <c r="J150" s="274" t="s">
        <v>6521</v>
      </c>
      <c r="K150" s="274" t="s">
        <v>3746</v>
      </c>
      <c r="L150" s="274" t="s">
        <v>3951</v>
      </c>
      <c r="M150" s="281">
        <v>44906.52</v>
      </c>
      <c r="N150" s="280"/>
      <c r="O150" s="280">
        <v>44906.52</v>
      </c>
      <c r="P150" s="280"/>
      <c r="Q150" s="280"/>
      <c r="R150" s="280"/>
      <c r="S150" s="280"/>
      <c r="T150" s="297"/>
    </row>
    <row r="151" spans="1:20" x14ac:dyDescent="0.25">
      <c r="A151" s="274" t="s">
        <v>78</v>
      </c>
      <c r="B151" s="274" t="s">
        <v>79</v>
      </c>
      <c r="C151" s="274" t="s">
        <v>3741</v>
      </c>
      <c r="D151" s="274" t="s">
        <v>3742</v>
      </c>
      <c r="E151" s="274" t="s">
        <v>22</v>
      </c>
      <c r="F151" s="274" t="s">
        <v>100</v>
      </c>
      <c r="G151" s="274" t="s">
        <v>101</v>
      </c>
      <c r="H151" s="274" t="s">
        <v>102</v>
      </c>
      <c r="I151" s="274" t="s">
        <v>3952</v>
      </c>
      <c r="J151" s="274" t="s">
        <v>6521</v>
      </c>
      <c r="K151" s="274" t="s">
        <v>3746</v>
      </c>
      <c r="L151" s="274" t="s">
        <v>3953</v>
      </c>
      <c r="M151" s="281">
        <v>429</v>
      </c>
      <c r="N151" s="280"/>
      <c r="O151" s="280">
        <v>429</v>
      </c>
      <c r="P151" s="280"/>
      <c r="Q151" s="280"/>
      <c r="R151" s="280"/>
      <c r="S151" s="280"/>
      <c r="T151" s="297"/>
    </row>
    <row r="152" spans="1:20" x14ac:dyDescent="0.25">
      <c r="A152" s="274" t="s">
        <v>78</v>
      </c>
      <c r="B152" s="274" t="s">
        <v>79</v>
      </c>
      <c r="C152" s="274" t="s">
        <v>3741</v>
      </c>
      <c r="D152" s="274" t="s">
        <v>3742</v>
      </c>
      <c r="E152" s="274" t="s">
        <v>22</v>
      </c>
      <c r="F152" s="274" t="s">
        <v>100</v>
      </c>
      <c r="G152" s="274" t="s">
        <v>101</v>
      </c>
      <c r="H152" s="274" t="s">
        <v>102</v>
      </c>
      <c r="I152" s="274" t="s">
        <v>3954</v>
      </c>
      <c r="J152" s="274" t="s">
        <v>6521</v>
      </c>
      <c r="K152" s="274" t="s">
        <v>3746</v>
      </c>
      <c r="L152" s="274" t="s">
        <v>3955</v>
      </c>
      <c r="M152" s="281">
        <v>456.3</v>
      </c>
      <c r="N152" s="280"/>
      <c r="O152" s="280">
        <v>456.3</v>
      </c>
      <c r="P152" s="280"/>
      <c r="Q152" s="280"/>
      <c r="R152" s="280"/>
      <c r="S152" s="280"/>
      <c r="T152" s="297"/>
    </row>
    <row r="153" spans="1:20" x14ac:dyDescent="0.25">
      <c r="A153" s="274" t="s">
        <v>78</v>
      </c>
      <c r="B153" s="274" t="s">
        <v>79</v>
      </c>
      <c r="C153" s="274" t="s">
        <v>3741</v>
      </c>
      <c r="D153" s="274" t="s">
        <v>3742</v>
      </c>
      <c r="E153" s="274" t="s">
        <v>22</v>
      </c>
      <c r="F153" s="274" t="s">
        <v>100</v>
      </c>
      <c r="G153" s="274" t="s">
        <v>101</v>
      </c>
      <c r="H153" s="274" t="s">
        <v>102</v>
      </c>
      <c r="I153" s="274" t="s">
        <v>3956</v>
      </c>
      <c r="J153" s="274" t="s">
        <v>6522</v>
      </c>
      <c r="K153" s="274" t="s">
        <v>3746</v>
      </c>
      <c r="L153" s="274" t="s">
        <v>3957</v>
      </c>
      <c r="M153" s="281">
        <v>33138.99</v>
      </c>
      <c r="N153" s="280"/>
      <c r="O153" s="280">
        <v>33138.99</v>
      </c>
      <c r="P153" s="280"/>
      <c r="Q153" s="280"/>
      <c r="R153" s="280"/>
      <c r="S153" s="280"/>
      <c r="T153" s="297"/>
    </row>
    <row r="154" spans="1:20" x14ac:dyDescent="0.25">
      <c r="A154" s="274" t="s">
        <v>78</v>
      </c>
      <c r="B154" s="274" t="s">
        <v>79</v>
      </c>
      <c r="C154" s="274" t="s">
        <v>3741</v>
      </c>
      <c r="D154" s="274" t="s">
        <v>3742</v>
      </c>
      <c r="E154" s="274" t="s">
        <v>22</v>
      </c>
      <c r="F154" s="274" t="s">
        <v>100</v>
      </c>
      <c r="G154" s="274" t="s">
        <v>101</v>
      </c>
      <c r="H154" s="274" t="s">
        <v>102</v>
      </c>
      <c r="I154" s="274" t="s">
        <v>3958</v>
      </c>
      <c r="J154" s="274" t="s">
        <v>6522</v>
      </c>
      <c r="K154" s="274" t="s">
        <v>3746</v>
      </c>
      <c r="L154" s="274" t="s">
        <v>3959</v>
      </c>
      <c r="M154" s="281">
        <v>294</v>
      </c>
      <c r="N154" s="280"/>
      <c r="O154" s="280">
        <v>294</v>
      </c>
      <c r="P154" s="280"/>
      <c r="Q154" s="280"/>
      <c r="R154" s="280"/>
      <c r="S154" s="280"/>
      <c r="T154" s="297"/>
    </row>
    <row r="155" spans="1:20" x14ac:dyDescent="0.25">
      <c r="A155" s="274" t="s">
        <v>78</v>
      </c>
      <c r="B155" s="274" t="s">
        <v>79</v>
      </c>
      <c r="C155" s="274" t="s">
        <v>3741</v>
      </c>
      <c r="D155" s="274" t="s">
        <v>3742</v>
      </c>
      <c r="E155" s="274" t="s">
        <v>22</v>
      </c>
      <c r="F155" s="274" t="s">
        <v>100</v>
      </c>
      <c r="G155" s="274" t="s">
        <v>101</v>
      </c>
      <c r="H155" s="274" t="s">
        <v>102</v>
      </c>
      <c r="I155" s="274" t="s">
        <v>3960</v>
      </c>
      <c r="J155" s="274" t="s">
        <v>6522</v>
      </c>
      <c r="K155" s="274" t="s">
        <v>3746</v>
      </c>
      <c r="L155" s="274" t="s">
        <v>3961</v>
      </c>
      <c r="M155" s="281">
        <v>4580</v>
      </c>
      <c r="N155" s="280"/>
      <c r="O155" s="280">
        <v>4580</v>
      </c>
      <c r="P155" s="280"/>
      <c r="Q155" s="280"/>
      <c r="R155" s="280"/>
      <c r="S155" s="280"/>
      <c r="T155" s="297"/>
    </row>
    <row r="156" spans="1:20" x14ac:dyDescent="0.25">
      <c r="A156" s="274" t="s">
        <v>78</v>
      </c>
      <c r="B156" s="274" t="s">
        <v>79</v>
      </c>
      <c r="C156" s="274" t="s">
        <v>3741</v>
      </c>
      <c r="D156" s="274" t="s">
        <v>3742</v>
      </c>
      <c r="E156" s="274" t="s">
        <v>22</v>
      </c>
      <c r="F156" s="274" t="s">
        <v>100</v>
      </c>
      <c r="G156" s="274" t="s">
        <v>101</v>
      </c>
      <c r="H156" s="274" t="s">
        <v>102</v>
      </c>
      <c r="I156" s="274" t="s">
        <v>3962</v>
      </c>
      <c r="J156" s="274" t="s">
        <v>6522</v>
      </c>
      <c r="K156" s="274" t="s">
        <v>3746</v>
      </c>
      <c r="L156" s="274" t="s">
        <v>3963</v>
      </c>
      <c r="M156" s="281">
        <v>42</v>
      </c>
      <c r="N156" s="280"/>
      <c r="O156" s="280">
        <v>42</v>
      </c>
      <c r="P156" s="280"/>
      <c r="Q156" s="280"/>
      <c r="R156" s="280"/>
      <c r="S156" s="280"/>
      <c r="T156" s="297"/>
    </row>
    <row r="157" spans="1:20" x14ac:dyDescent="0.25">
      <c r="A157" s="274" t="s">
        <v>78</v>
      </c>
      <c r="B157" s="274" t="s">
        <v>79</v>
      </c>
      <c r="C157" s="274" t="s">
        <v>3741</v>
      </c>
      <c r="D157" s="274" t="s">
        <v>3742</v>
      </c>
      <c r="E157" s="274" t="s">
        <v>22</v>
      </c>
      <c r="F157" s="274" t="s">
        <v>100</v>
      </c>
      <c r="G157" s="274" t="s">
        <v>101</v>
      </c>
      <c r="H157" s="274" t="s">
        <v>102</v>
      </c>
      <c r="I157" s="274" t="s">
        <v>3964</v>
      </c>
      <c r="J157" s="274" t="s">
        <v>6522</v>
      </c>
      <c r="K157" s="274" t="s">
        <v>3746</v>
      </c>
      <c r="L157" s="274" t="s">
        <v>3965</v>
      </c>
      <c r="M157" s="281">
        <v>42462.01</v>
      </c>
      <c r="N157" s="280"/>
      <c r="O157" s="280">
        <v>42462.01</v>
      </c>
      <c r="P157" s="280"/>
      <c r="Q157" s="280"/>
      <c r="R157" s="280"/>
      <c r="S157" s="280"/>
      <c r="T157" s="297"/>
    </row>
    <row r="158" spans="1:20" x14ac:dyDescent="0.25">
      <c r="A158" s="274" t="s">
        <v>78</v>
      </c>
      <c r="B158" s="274" t="s">
        <v>79</v>
      </c>
      <c r="C158" s="274" t="s">
        <v>3741</v>
      </c>
      <c r="D158" s="274" t="s">
        <v>3742</v>
      </c>
      <c r="E158" s="274" t="s">
        <v>22</v>
      </c>
      <c r="F158" s="274" t="s">
        <v>100</v>
      </c>
      <c r="G158" s="274" t="s">
        <v>101</v>
      </c>
      <c r="H158" s="274" t="s">
        <v>102</v>
      </c>
      <c r="I158" s="274" t="s">
        <v>3966</v>
      </c>
      <c r="J158" s="274" t="s">
        <v>6522</v>
      </c>
      <c r="K158" s="274" t="s">
        <v>3746</v>
      </c>
      <c r="L158" s="274" t="s">
        <v>3967</v>
      </c>
      <c r="M158" s="281">
        <v>388</v>
      </c>
      <c r="N158" s="280"/>
      <c r="O158" s="280">
        <v>388</v>
      </c>
      <c r="P158" s="280"/>
      <c r="Q158" s="280"/>
      <c r="R158" s="280"/>
      <c r="S158" s="280"/>
      <c r="T158" s="297"/>
    </row>
    <row r="159" spans="1:20" x14ac:dyDescent="0.25">
      <c r="A159" s="274" t="s">
        <v>78</v>
      </c>
      <c r="B159" s="274" t="s">
        <v>79</v>
      </c>
      <c r="C159" s="274" t="s">
        <v>3741</v>
      </c>
      <c r="D159" s="274" t="s">
        <v>3742</v>
      </c>
      <c r="E159" s="274" t="s">
        <v>22</v>
      </c>
      <c r="F159" s="274" t="s">
        <v>100</v>
      </c>
      <c r="G159" s="274" t="s">
        <v>101</v>
      </c>
      <c r="H159" s="274" t="s">
        <v>102</v>
      </c>
      <c r="I159" s="274" t="s">
        <v>3968</v>
      </c>
      <c r="J159" s="274" t="s">
        <v>6524</v>
      </c>
      <c r="K159" s="274" t="s">
        <v>3746</v>
      </c>
      <c r="L159" s="274" t="s">
        <v>3969</v>
      </c>
      <c r="M159" s="281">
        <v>21178</v>
      </c>
      <c r="N159" s="280"/>
      <c r="O159" s="280">
        <v>21178</v>
      </c>
      <c r="P159" s="280"/>
      <c r="Q159" s="280"/>
      <c r="R159" s="280"/>
      <c r="S159" s="280"/>
      <c r="T159" s="297"/>
    </row>
    <row r="160" spans="1:20" x14ac:dyDescent="0.25">
      <c r="A160" s="274" t="s">
        <v>78</v>
      </c>
      <c r="B160" s="274" t="s">
        <v>79</v>
      </c>
      <c r="C160" s="274" t="s">
        <v>3741</v>
      </c>
      <c r="D160" s="274" t="s">
        <v>3742</v>
      </c>
      <c r="E160" s="274" t="s">
        <v>22</v>
      </c>
      <c r="F160" s="274" t="s">
        <v>100</v>
      </c>
      <c r="G160" s="274" t="s">
        <v>101</v>
      </c>
      <c r="H160" s="274" t="s">
        <v>102</v>
      </c>
      <c r="I160" s="274" t="s">
        <v>3970</v>
      </c>
      <c r="J160" s="274" t="s">
        <v>6524</v>
      </c>
      <c r="K160" s="274" t="s">
        <v>3746</v>
      </c>
      <c r="L160" s="274" t="s">
        <v>3971</v>
      </c>
      <c r="M160" s="281">
        <v>204</v>
      </c>
      <c r="N160" s="280"/>
      <c r="O160" s="280">
        <v>204</v>
      </c>
      <c r="P160" s="280"/>
      <c r="Q160" s="280"/>
      <c r="R160" s="280"/>
      <c r="S160" s="280"/>
      <c r="T160" s="297"/>
    </row>
    <row r="161" spans="1:20" x14ac:dyDescent="0.25">
      <c r="A161" s="274" t="s">
        <v>78</v>
      </c>
      <c r="B161" s="274" t="s">
        <v>79</v>
      </c>
      <c r="C161" s="274" t="s">
        <v>3741</v>
      </c>
      <c r="D161" s="274" t="s">
        <v>3742</v>
      </c>
      <c r="E161" s="274" t="s">
        <v>22</v>
      </c>
      <c r="F161" s="274" t="s">
        <v>100</v>
      </c>
      <c r="G161" s="274" t="s">
        <v>101</v>
      </c>
      <c r="H161" s="274" t="s">
        <v>102</v>
      </c>
      <c r="I161" s="274" t="s">
        <v>3972</v>
      </c>
      <c r="J161" s="274" t="s">
        <v>6524</v>
      </c>
      <c r="K161" s="274" t="s">
        <v>3746</v>
      </c>
      <c r="L161" s="274" t="s">
        <v>3973</v>
      </c>
      <c r="M161" s="281">
        <v>1381</v>
      </c>
      <c r="N161" s="280"/>
      <c r="O161" s="280">
        <v>1381</v>
      </c>
      <c r="P161" s="280"/>
      <c r="Q161" s="280"/>
      <c r="R161" s="280"/>
      <c r="S161" s="280"/>
      <c r="T161" s="297"/>
    </row>
    <row r="162" spans="1:20" x14ac:dyDescent="0.25">
      <c r="A162" s="274" t="s">
        <v>78</v>
      </c>
      <c r="B162" s="274" t="s">
        <v>79</v>
      </c>
      <c r="C162" s="274" t="s">
        <v>3741</v>
      </c>
      <c r="D162" s="274" t="s">
        <v>3742</v>
      </c>
      <c r="E162" s="274" t="s">
        <v>22</v>
      </c>
      <c r="F162" s="274" t="s">
        <v>100</v>
      </c>
      <c r="G162" s="274" t="s">
        <v>101</v>
      </c>
      <c r="H162" s="274" t="s">
        <v>102</v>
      </c>
      <c r="I162" s="274" t="s">
        <v>3974</v>
      </c>
      <c r="J162" s="274" t="s">
        <v>6524</v>
      </c>
      <c r="K162" s="274" t="s">
        <v>3746</v>
      </c>
      <c r="L162" s="274" t="s">
        <v>3975</v>
      </c>
      <c r="M162" s="281">
        <v>13</v>
      </c>
      <c r="N162" s="280"/>
      <c r="O162" s="280">
        <v>13</v>
      </c>
      <c r="P162" s="280"/>
      <c r="Q162" s="280"/>
      <c r="R162" s="280"/>
      <c r="S162" s="280"/>
      <c r="T162" s="297"/>
    </row>
    <row r="163" spans="1:20" x14ac:dyDescent="0.25">
      <c r="A163" s="274" t="s">
        <v>78</v>
      </c>
      <c r="B163" s="274" t="s">
        <v>79</v>
      </c>
      <c r="C163" s="274" t="s">
        <v>3741</v>
      </c>
      <c r="D163" s="274" t="s">
        <v>3742</v>
      </c>
      <c r="E163" s="274" t="s">
        <v>22</v>
      </c>
      <c r="F163" s="274" t="s">
        <v>100</v>
      </c>
      <c r="G163" s="274" t="s">
        <v>101</v>
      </c>
      <c r="H163" s="274" t="s">
        <v>102</v>
      </c>
      <c r="I163" s="274" t="s">
        <v>3976</v>
      </c>
      <c r="J163" s="274" t="s">
        <v>6523</v>
      </c>
      <c r="K163" s="274" t="s">
        <v>3746</v>
      </c>
      <c r="L163" s="274" t="s">
        <v>3977</v>
      </c>
      <c r="M163" s="281">
        <v>2242</v>
      </c>
      <c r="N163" s="280"/>
      <c r="O163" s="280">
        <v>2242</v>
      </c>
      <c r="P163" s="280"/>
      <c r="Q163" s="280"/>
      <c r="R163" s="280"/>
      <c r="S163" s="280"/>
      <c r="T163" s="297"/>
    </row>
    <row r="164" spans="1:20" x14ac:dyDescent="0.25">
      <c r="A164" s="274" t="s">
        <v>78</v>
      </c>
      <c r="B164" s="274" t="s">
        <v>79</v>
      </c>
      <c r="C164" s="274" t="s">
        <v>3741</v>
      </c>
      <c r="D164" s="274" t="s">
        <v>3742</v>
      </c>
      <c r="E164" s="274" t="s">
        <v>22</v>
      </c>
      <c r="F164" s="274" t="s">
        <v>100</v>
      </c>
      <c r="G164" s="274" t="s">
        <v>101</v>
      </c>
      <c r="H164" s="274" t="s">
        <v>102</v>
      </c>
      <c r="I164" s="274" t="s">
        <v>3978</v>
      </c>
      <c r="J164" s="274" t="s">
        <v>6523</v>
      </c>
      <c r="K164" s="274" t="s">
        <v>3746</v>
      </c>
      <c r="L164" s="274" t="s">
        <v>3979</v>
      </c>
      <c r="M164" s="281">
        <v>20</v>
      </c>
      <c r="N164" s="280"/>
      <c r="O164" s="280">
        <v>20</v>
      </c>
      <c r="P164" s="280"/>
      <c r="Q164" s="280"/>
      <c r="R164" s="280"/>
      <c r="S164" s="280"/>
      <c r="T164" s="297"/>
    </row>
    <row r="165" spans="1:20" x14ac:dyDescent="0.25">
      <c r="A165" s="274" t="s">
        <v>78</v>
      </c>
      <c r="B165" s="274" t="s">
        <v>79</v>
      </c>
      <c r="C165" s="274" t="s">
        <v>3741</v>
      </c>
      <c r="D165" s="274" t="s">
        <v>3742</v>
      </c>
      <c r="E165" s="274" t="s">
        <v>22</v>
      </c>
      <c r="F165" s="274" t="s">
        <v>100</v>
      </c>
      <c r="G165" s="274" t="s">
        <v>101</v>
      </c>
      <c r="H165" s="274" t="s">
        <v>102</v>
      </c>
      <c r="I165" s="274" t="s">
        <v>3980</v>
      </c>
      <c r="J165" s="274" t="s">
        <v>6525</v>
      </c>
      <c r="K165" s="274" t="s">
        <v>3746</v>
      </c>
      <c r="L165" s="274" t="s">
        <v>3981</v>
      </c>
      <c r="M165" s="281">
        <v>1703.15</v>
      </c>
      <c r="N165" s="280"/>
      <c r="O165" s="280">
        <v>1703.15</v>
      </c>
      <c r="P165" s="280"/>
      <c r="Q165" s="280"/>
      <c r="R165" s="280"/>
      <c r="S165" s="280"/>
      <c r="T165" s="297"/>
    </row>
    <row r="166" spans="1:20" x14ac:dyDescent="0.25">
      <c r="A166" s="274" t="s">
        <v>78</v>
      </c>
      <c r="B166" s="274" t="s">
        <v>79</v>
      </c>
      <c r="C166" s="274" t="s">
        <v>3741</v>
      </c>
      <c r="D166" s="274" t="s">
        <v>3742</v>
      </c>
      <c r="E166" s="274" t="s">
        <v>22</v>
      </c>
      <c r="F166" s="274" t="s">
        <v>100</v>
      </c>
      <c r="G166" s="274" t="s">
        <v>101</v>
      </c>
      <c r="H166" s="274" t="s">
        <v>102</v>
      </c>
      <c r="I166" s="274" t="s">
        <v>3982</v>
      </c>
      <c r="J166" s="274" t="s">
        <v>6525</v>
      </c>
      <c r="K166" s="274" t="s">
        <v>3746</v>
      </c>
      <c r="L166" s="274" t="s">
        <v>3983</v>
      </c>
      <c r="M166" s="281">
        <v>25</v>
      </c>
      <c r="N166" s="280"/>
      <c r="O166" s="280">
        <v>25</v>
      </c>
      <c r="P166" s="280"/>
      <c r="Q166" s="280"/>
      <c r="R166" s="280"/>
      <c r="S166" s="280"/>
      <c r="T166" s="297"/>
    </row>
    <row r="167" spans="1:20" x14ac:dyDescent="0.25">
      <c r="A167" s="274" t="s">
        <v>78</v>
      </c>
      <c r="B167" s="274" t="s">
        <v>79</v>
      </c>
      <c r="C167" s="274" t="s">
        <v>3741</v>
      </c>
      <c r="D167" s="274" t="s">
        <v>3742</v>
      </c>
      <c r="E167" s="274" t="s">
        <v>22</v>
      </c>
      <c r="F167" s="274" t="s">
        <v>100</v>
      </c>
      <c r="G167" s="274" t="s">
        <v>101</v>
      </c>
      <c r="H167" s="274" t="s">
        <v>102</v>
      </c>
      <c r="I167" s="274" t="s">
        <v>3984</v>
      </c>
      <c r="J167" s="274" t="s">
        <v>6528</v>
      </c>
      <c r="K167" s="274" t="s">
        <v>3746</v>
      </c>
      <c r="L167" s="274" t="s">
        <v>3985</v>
      </c>
      <c r="M167" s="281">
        <v>183</v>
      </c>
      <c r="N167" s="280"/>
      <c r="O167" s="280">
        <v>183</v>
      </c>
      <c r="P167" s="280"/>
      <c r="Q167" s="280"/>
      <c r="R167" s="280"/>
      <c r="S167" s="280"/>
      <c r="T167" s="297"/>
    </row>
    <row r="168" spans="1:20" x14ac:dyDescent="0.25">
      <c r="A168" s="274" t="s">
        <v>78</v>
      </c>
      <c r="B168" s="274" t="s">
        <v>79</v>
      </c>
      <c r="C168" s="274" t="s">
        <v>3741</v>
      </c>
      <c r="D168" s="274" t="s">
        <v>3742</v>
      </c>
      <c r="E168" s="274" t="s">
        <v>22</v>
      </c>
      <c r="F168" s="274" t="s">
        <v>100</v>
      </c>
      <c r="G168" s="274" t="s">
        <v>101</v>
      </c>
      <c r="H168" s="274" t="s">
        <v>102</v>
      </c>
      <c r="I168" s="274" t="s">
        <v>3986</v>
      </c>
      <c r="J168" s="274" t="s">
        <v>6525</v>
      </c>
      <c r="K168" s="274" t="s">
        <v>3746</v>
      </c>
      <c r="L168" s="274" t="s">
        <v>3983</v>
      </c>
      <c r="M168" s="281">
        <v>10</v>
      </c>
      <c r="N168" s="280"/>
      <c r="O168" s="280"/>
      <c r="P168" s="280">
        <v>10</v>
      </c>
      <c r="Q168" s="280"/>
      <c r="R168" s="280"/>
      <c r="S168" s="280"/>
      <c r="T168" s="297"/>
    </row>
    <row r="169" spans="1:20" x14ac:dyDescent="0.25">
      <c r="A169" s="274" t="s">
        <v>78</v>
      </c>
      <c r="B169" s="274" t="s">
        <v>79</v>
      </c>
      <c r="C169" s="274" t="s">
        <v>3741</v>
      </c>
      <c r="D169" s="274" t="s">
        <v>3742</v>
      </c>
      <c r="E169" s="274" t="s">
        <v>22</v>
      </c>
      <c r="F169" s="274" t="s">
        <v>100</v>
      </c>
      <c r="G169" s="274" t="s">
        <v>101</v>
      </c>
      <c r="H169" s="274" t="s">
        <v>102</v>
      </c>
      <c r="I169" s="274" t="s">
        <v>3987</v>
      </c>
      <c r="J169" s="274" t="s">
        <v>6520</v>
      </c>
      <c r="K169" s="274" t="s">
        <v>3746</v>
      </c>
      <c r="L169" s="274" t="s">
        <v>3988</v>
      </c>
      <c r="M169" s="281">
        <v>2462</v>
      </c>
      <c r="N169" s="280"/>
      <c r="O169" s="280"/>
      <c r="P169" s="280">
        <v>2462</v>
      </c>
      <c r="Q169" s="280"/>
      <c r="R169" s="280"/>
      <c r="S169" s="280"/>
      <c r="T169" s="297"/>
    </row>
    <row r="170" spans="1:20" x14ac:dyDescent="0.25">
      <c r="A170" s="274" t="s">
        <v>78</v>
      </c>
      <c r="B170" s="274" t="s">
        <v>79</v>
      </c>
      <c r="C170" s="274" t="s">
        <v>3741</v>
      </c>
      <c r="D170" s="274" t="s">
        <v>3742</v>
      </c>
      <c r="E170" s="274" t="s">
        <v>22</v>
      </c>
      <c r="F170" s="274" t="s">
        <v>100</v>
      </c>
      <c r="G170" s="274" t="s">
        <v>101</v>
      </c>
      <c r="H170" s="274" t="s">
        <v>102</v>
      </c>
      <c r="I170" s="274" t="s">
        <v>3989</v>
      </c>
      <c r="J170" s="274" t="s">
        <v>6520</v>
      </c>
      <c r="K170" s="274" t="s">
        <v>3746</v>
      </c>
      <c r="L170" s="274" t="s">
        <v>3990</v>
      </c>
      <c r="M170" s="281">
        <v>23</v>
      </c>
      <c r="N170" s="280"/>
      <c r="O170" s="280"/>
      <c r="P170" s="280">
        <v>23</v>
      </c>
      <c r="Q170" s="280"/>
      <c r="R170" s="280"/>
      <c r="S170" s="280"/>
      <c r="T170" s="297"/>
    </row>
    <row r="171" spans="1:20" x14ac:dyDescent="0.25">
      <c r="A171" s="274" t="s">
        <v>78</v>
      </c>
      <c r="B171" s="274" t="s">
        <v>79</v>
      </c>
      <c r="C171" s="274" t="s">
        <v>3741</v>
      </c>
      <c r="D171" s="274" t="s">
        <v>3742</v>
      </c>
      <c r="E171" s="274" t="s">
        <v>22</v>
      </c>
      <c r="F171" s="274" t="s">
        <v>100</v>
      </c>
      <c r="G171" s="274" t="s">
        <v>101</v>
      </c>
      <c r="H171" s="274" t="s">
        <v>102</v>
      </c>
      <c r="I171" s="274" t="s">
        <v>3991</v>
      </c>
      <c r="J171" s="274" t="s">
        <v>6522</v>
      </c>
      <c r="K171" s="274" t="s">
        <v>3746</v>
      </c>
      <c r="L171" s="274" t="s">
        <v>3992</v>
      </c>
      <c r="M171" s="281">
        <v>8437</v>
      </c>
      <c r="N171" s="280"/>
      <c r="O171" s="280"/>
      <c r="P171" s="280">
        <v>8437</v>
      </c>
      <c r="Q171" s="280"/>
      <c r="R171" s="280"/>
      <c r="S171" s="280"/>
      <c r="T171" s="297"/>
    </row>
    <row r="172" spans="1:20" x14ac:dyDescent="0.25">
      <c r="A172" s="274" t="s">
        <v>78</v>
      </c>
      <c r="B172" s="274" t="s">
        <v>79</v>
      </c>
      <c r="C172" s="274" t="s">
        <v>3741</v>
      </c>
      <c r="D172" s="274" t="s">
        <v>3742</v>
      </c>
      <c r="E172" s="274" t="s">
        <v>22</v>
      </c>
      <c r="F172" s="274" t="s">
        <v>100</v>
      </c>
      <c r="G172" s="274" t="s">
        <v>101</v>
      </c>
      <c r="H172" s="274" t="s">
        <v>102</v>
      </c>
      <c r="I172" s="274" t="s">
        <v>3993</v>
      </c>
      <c r="J172" s="274" t="s">
        <v>6522</v>
      </c>
      <c r="K172" s="274" t="s">
        <v>3746</v>
      </c>
      <c r="L172" s="274" t="s">
        <v>3994</v>
      </c>
      <c r="M172" s="281">
        <v>77</v>
      </c>
      <c r="N172" s="280"/>
      <c r="O172" s="280"/>
      <c r="P172" s="280">
        <v>77</v>
      </c>
      <c r="Q172" s="280"/>
      <c r="R172" s="280"/>
      <c r="S172" s="280"/>
      <c r="T172" s="297"/>
    </row>
    <row r="173" spans="1:20" x14ac:dyDescent="0.25">
      <c r="A173" s="274" t="s">
        <v>78</v>
      </c>
      <c r="B173" s="274" t="s">
        <v>79</v>
      </c>
      <c r="C173" s="274" t="s">
        <v>3741</v>
      </c>
      <c r="D173" s="274" t="s">
        <v>3742</v>
      </c>
      <c r="E173" s="274" t="s">
        <v>22</v>
      </c>
      <c r="F173" s="274" t="s">
        <v>100</v>
      </c>
      <c r="G173" s="274" t="s">
        <v>101</v>
      </c>
      <c r="H173" s="274" t="s">
        <v>102</v>
      </c>
      <c r="I173" s="274" t="s">
        <v>3995</v>
      </c>
      <c r="J173" s="274" t="s">
        <v>6521</v>
      </c>
      <c r="K173" s="274" t="s">
        <v>3746</v>
      </c>
      <c r="L173" s="274" t="s">
        <v>3996</v>
      </c>
      <c r="M173" s="281">
        <v>44906.52</v>
      </c>
      <c r="N173" s="280"/>
      <c r="O173" s="280"/>
      <c r="P173" s="280">
        <v>44906.52</v>
      </c>
      <c r="Q173" s="280"/>
      <c r="R173" s="280"/>
      <c r="S173" s="280"/>
      <c r="T173" s="297"/>
    </row>
    <row r="174" spans="1:20" x14ac:dyDescent="0.25">
      <c r="A174" s="274" t="s">
        <v>78</v>
      </c>
      <c r="B174" s="274" t="s">
        <v>79</v>
      </c>
      <c r="C174" s="274" t="s">
        <v>3741</v>
      </c>
      <c r="D174" s="274" t="s">
        <v>3742</v>
      </c>
      <c r="E174" s="274" t="s">
        <v>22</v>
      </c>
      <c r="F174" s="274" t="s">
        <v>100</v>
      </c>
      <c r="G174" s="274" t="s">
        <v>101</v>
      </c>
      <c r="H174" s="274" t="s">
        <v>102</v>
      </c>
      <c r="I174" s="274" t="s">
        <v>3997</v>
      </c>
      <c r="J174" s="274" t="s">
        <v>6521</v>
      </c>
      <c r="K174" s="274" t="s">
        <v>3746</v>
      </c>
      <c r="L174" s="274" t="s">
        <v>3998</v>
      </c>
      <c r="M174" s="281">
        <v>429</v>
      </c>
      <c r="N174" s="280"/>
      <c r="O174" s="280"/>
      <c r="P174" s="280">
        <v>429</v>
      </c>
      <c r="Q174" s="280"/>
      <c r="R174" s="280"/>
      <c r="S174" s="280"/>
      <c r="T174" s="297"/>
    </row>
    <row r="175" spans="1:20" x14ac:dyDescent="0.25">
      <c r="A175" s="274" t="s">
        <v>78</v>
      </c>
      <c r="B175" s="274" t="s">
        <v>79</v>
      </c>
      <c r="C175" s="274" t="s">
        <v>3741</v>
      </c>
      <c r="D175" s="274" t="s">
        <v>3742</v>
      </c>
      <c r="E175" s="274" t="s">
        <v>22</v>
      </c>
      <c r="F175" s="274" t="s">
        <v>100</v>
      </c>
      <c r="G175" s="274" t="s">
        <v>101</v>
      </c>
      <c r="H175" s="274" t="s">
        <v>102</v>
      </c>
      <c r="I175" s="274" t="s">
        <v>3999</v>
      </c>
      <c r="J175" s="274" t="s">
        <v>6523</v>
      </c>
      <c r="K175" s="274" t="s">
        <v>3746</v>
      </c>
      <c r="L175" s="274" t="s">
        <v>4000</v>
      </c>
      <c r="M175" s="281">
        <v>2242</v>
      </c>
      <c r="N175" s="280"/>
      <c r="O175" s="280"/>
      <c r="P175" s="280">
        <v>2242</v>
      </c>
      <c r="Q175" s="280"/>
      <c r="R175" s="280"/>
      <c r="S175" s="280"/>
      <c r="T175" s="297"/>
    </row>
    <row r="176" spans="1:20" x14ac:dyDescent="0.25">
      <c r="A176" s="274" t="s">
        <v>78</v>
      </c>
      <c r="B176" s="274" t="s">
        <v>79</v>
      </c>
      <c r="C176" s="274" t="s">
        <v>3741</v>
      </c>
      <c r="D176" s="274" t="s">
        <v>3742</v>
      </c>
      <c r="E176" s="274" t="s">
        <v>22</v>
      </c>
      <c r="F176" s="274" t="s">
        <v>100</v>
      </c>
      <c r="G176" s="274" t="s">
        <v>101</v>
      </c>
      <c r="H176" s="274" t="s">
        <v>102</v>
      </c>
      <c r="I176" s="274" t="s">
        <v>4001</v>
      </c>
      <c r="J176" s="274" t="s">
        <v>6523</v>
      </c>
      <c r="K176" s="274" t="s">
        <v>3746</v>
      </c>
      <c r="L176" s="274" t="s">
        <v>4002</v>
      </c>
      <c r="M176" s="281">
        <v>20</v>
      </c>
      <c r="N176" s="280"/>
      <c r="O176" s="280"/>
      <c r="P176" s="280">
        <v>20</v>
      </c>
      <c r="Q176" s="280"/>
      <c r="R176" s="280"/>
      <c r="S176" s="280"/>
      <c r="T176" s="297"/>
    </row>
    <row r="177" spans="1:20" x14ac:dyDescent="0.25">
      <c r="A177" s="274" t="s">
        <v>78</v>
      </c>
      <c r="B177" s="274" t="s">
        <v>79</v>
      </c>
      <c r="C177" s="274" t="s">
        <v>3741</v>
      </c>
      <c r="D177" s="274" t="s">
        <v>3742</v>
      </c>
      <c r="E177" s="274" t="s">
        <v>22</v>
      </c>
      <c r="F177" s="274" t="s">
        <v>100</v>
      </c>
      <c r="G177" s="274" t="s">
        <v>101</v>
      </c>
      <c r="H177" s="274" t="s">
        <v>102</v>
      </c>
      <c r="I177" s="274" t="s">
        <v>4003</v>
      </c>
      <c r="J177" s="274" t="s">
        <v>6521</v>
      </c>
      <c r="K177" s="274" t="s">
        <v>3746</v>
      </c>
      <c r="L177" s="274" t="s">
        <v>4004</v>
      </c>
      <c r="M177" s="281">
        <v>456.3</v>
      </c>
      <c r="N177" s="280"/>
      <c r="O177" s="280"/>
      <c r="P177" s="280">
        <v>456.3</v>
      </c>
      <c r="Q177" s="280"/>
      <c r="R177" s="280"/>
      <c r="S177" s="280"/>
      <c r="T177" s="297"/>
    </row>
    <row r="178" spans="1:20" x14ac:dyDescent="0.25">
      <c r="A178" s="274" t="s">
        <v>78</v>
      </c>
      <c r="B178" s="274" t="s">
        <v>79</v>
      </c>
      <c r="C178" s="274" t="s">
        <v>3741</v>
      </c>
      <c r="D178" s="274" t="s">
        <v>3742</v>
      </c>
      <c r="E178" s="274" t="s">
        <v>22</v>
      </c>
      <c r="F178" s="274" t="s">
        <v>100</v>
      </c>
      <c r="G178" s="274" t="s">
        <v>101</v>
      </c>
      <c r="H178" s="274" t="s">
        <v>102</v>
      </c>
      <c r="I178" s="274" t="s">
        <v>4005</v>
      </c>
      <c r="J178" s="274" t="s">
        <v>6529</v>
      </c>
      <c r="K178" s="274" t="s">
        <v>3746</v>
      </c>
      <c r="L178" s="274" t="s">
        <v>4006</v>
      </c>
      <c r="M178" s="281">
        <v>33090</v>
      </c>
      <c r="N178" s="280"/>
      <c r="O178" s="280"/>
      <c r="P178" s="280">
        <v>33090</v>
      </c>
      <c r="Q178" s="280"/>
      <c r="R178" s="280"/>
      <c r="S178" s="280"/>
      <c r="T178" s="297"/>
    </row>
    <row r="179" spans="1:20" x14ac:dyDescent="0.25">
      <c r="A179" s="274" t="s">
        <v>78</v>
      </c>
      <c r="B179" s="274" t="s">
        <v>79</v>
      </c>
      <c r="C179" s="274" t="s">
        <v>3741</v>
      </c>
      <c r="D179" s="274" t="s">
        <v>3742</v>
      </c>
      <c r="E179" s="274" t="s">
        <v>22</v>
      </c>
      <c r="F179" s="274" t="s">
        <v>100</v>
      </c>
      <c r="G179" s="274" t="s">
        <v>101</v>
      </c>
      <c r="H179" s="274" t="s">
        <v>102</v>
      </c>
      <c r="I179" s="274" t="s">
        <v>4007</v>
      </c>
      <c r="J179" s="274" t="s">
        <v>6529</v>
      </c>
      <c r="K179" s="274" t="s">
        <v>3746</v>
      </c>
      <c r="L179" s="274" t="s">
        <v>4008</v>
      </c>
      <c r="M179" s="281">
        <v>251</v>
      </c>
      <c r="N179" s="280"/>
      <c r="O179" s="280"/>
      <c r="P179" s="280">
        <v>251</v>
      </c>
      <c r="Q179" s="280"/>
      <c r="R179" s="280"/>
      <c r="S179" s="280"/>
      <c r="T179" s="297"/>
    </row>
    <row r="180" spans="1:20" x14ac:dyDescent="0.25">
      <c r="A180" s="274" t="s">
        <v>78</v>
      </c>
      <c r="B180" s="274" t="s">
        <v>79</v>
      </c>
      <c r="C180" s="274" t="s">
        <v>3741</v>
      </c>
      <c r="D180" s="274" t="s">
        <v>3742</v>
      </c>
      <c r="E180" s="274" t="s">
        <v>22</v>
      </c>
      <c r="F180" s="274" t="s">
        <v>100</v>
      </c>
      <c r="G180" s="274" t="s">
        <v>101</v>
      </c>
      <c r="H180" s="274" t="s">
        <v>102</v>
      </c>
      <c r="I180" s="274" t="s">
        <v>4009</v>
      </c>
      <c r="J180" s="274" t="s">
        <v>6524</v>
      </c>
      <c r="K180" s="274" t="s">
        <v>3746</v>
      </c>
      <c r="L180" s="274" t="s">
        <v>4010</v>
      </c>
      <c r="M180" s="281">
        <v>1381</v>
      </c>
      <c r="N180" s="280"/>
      <c r="O180" s="280"/>
      <c r="P180" s="280">
        <v>1381</v>
      </c>
      <c r="Q180" s="280"/>
      <c r="R180" s="280"/>
      <c r="S180" s="280"/>
      <c r="T180" s="297"/>
    </row>
    <row r="181" spans="1:20" x14ac:dyDescent="0.25">
      <c r="A181" s="274" t="s">
        <v>78</v>
      </c>
      <c r="B181" s="274" t="s">
        <v>79</v>
      </c>
      <c r="C181" s="274" t="s">
        <v>3741</v>
      </c>
      <c r="D181" s="274" t="s">
        <v>3742</v>
      </c>
      <c r="E181" s="274" t="s">
        <v>22</v>
      </c>
      <c r="F181" s="274" t="s">
        <v>100</v>
      </c>
      <c r="G181" s="274" t="s">
        <v>101</v>
      </c>
      <c r="H181" s="274" t="s">
        <v>102</v>
      </c>
      <c r="I181" s="274" t="s">
        <v>4011</v>
      </c>
      <c r="J181" s="274" t="s">
        <v>6524</v>
      </c>
      <c r="K181" s="274" t="s">
        <v>3746</v>
      </c>
      <c r="L181" s="274" t="s">
        <v>4012</v>
      </c>
      <c r="M181" s="281">
        <v>13</v>
      </c>
      <c r="N181" s="280"/>
      <c r="O181" s="280"/>
      <c r="P181" s="280">
        <v>13</v>
      </c>
      <c r="Q181" s="280"/>
      <c r="R181" s="280"/>
      <c r="S181" s="280"/>
      <c r="T181" s="297"/>
    </row>
    <row r="182" spans="1:20" x14ac:dyDescent="0.25">
      <c r="A182" s="274" t="s">
        <v>78</v>
      </c>
      <c r="B182" s="274" t="s">
        <v>79</v>
      </c>
      <c r="C182" s="274" t="s">
        <v>3741</v>
      </c>
      <c r="D182" s="274" t="s">
        <v>3742</v>
      </c>
      <c r="E182" s="274" t="s">
        <v>22</v>
      </c>
      <c r="F182" s="274" t="s">
        <v>100</v>
      </c>
      <c r="G182" s="274" t="s">
        <v>101</v>
      </c>
      <c r="H182" s="274" t="s">
        <v>102</v>
      </c>
      <c r="I182" s="274" t="s">
        <v>4013</v>
      </c>
      <c r="J182" s="274" t="s">
        <v>6522</v>
      </c>
      <c r="K182" s="274" t="s">
        <v>3746</v>
      </c>
      <c r="L182" s="274" t="s">
        <v>4014</v>
      </c>
      <c r="M182" s="281">
        <v>42462.01</v>
      </c>
      <c r="N182" s="280"/>
      <c r="O182" s="280"/>
      <c r="P182" s="280">
        <v>42462.01</v>
      </c>
      <c r="Q182" s="280"/>
      <c r="R182" s="280"/>
      <c r="S182" s="280"/>
      <c r="T182" s="297"/>
    </row>
    <row r="183" spans="1:20" x14ac:dyDescent="0.25">
      <c r="A183" s="274" t="s">
        <v>78</v>
      </c>
      <c r="B183" s="274" t="s">
        <v>79</v>
      </c>
      <c r="C183" s="274" t="s">
        <v>3741</v>
      </c>
      <c r="D183" s="274" t="s">
        <v>3742</v>
      </c>
      <c r="E183" s="274" t="s">
        <v>22</v>
      </c>
      <c r="F183" s="274" t="s">
        <v>100</v>
      </c>
      <c r="G183" s="274" t="s">
        <v>101</v>
      </c>
      <c r="H183" s="274" t="s">
        <v>102</v>
      </c>
      <c r="I183" s="274" t="s">
        <v>4015</v>
      </c>
      <c r="J183" s="274" t="s">
        <v>6522</v>
      </c>
      <c r="K183" s="274" t="s">
        <v>3746</v>
      </c>
      <c r="L183" s="274" t="s">
        <v>4016</v>
      </c>
      <c r="M183" s="281">
        <v>388</v>
      </c>
      <c r="N183" s="280"/>
      <c r="O183" s="280"/>
      <c r="P183" s="280">
        <v>388</v>
      </c>
      <c r="Q183" s="280"/>
      <c r="R183" s="280"/>
      <c r="S183" s="280"/>
      <c r="T183" s="297"/>
    </row>
    <row r="184" spans="1:20" x14ac:dyDescent="0.25">
      <c r="A184" s="274" t="s">
        <v>78</v>
      </c>
      <c r="B184" s="274" t="s">
        <v>79</v>
      </c>
      <c r="C184" s="274" t="s">
        <v>3741</v>
      </c>
      <c r="D184" s="274" t="s">
        <v>3742</v>
      </c>
      <c r="E184" s="274" t="s">
        <v>22</v>
      </c>
      <c r="F184" s="274" t="s">
        <v>100</v>
      </c>
      <c r="G184" s="274" t="s">
        <v>101</v>
      </c>
      <c r="H184" s="274" t="s">
        <v>102</v>
      </c>
      <c r="I184" s="274" t="s">
        <v>4017</v>
      </c>
      <c r="J184" s="274" t="s">
        <v>6522</v>
      </c>
      <c r="K184" s="274" t="s">
        <v>3746</v>
      </c>
      <c r="L184" s="274" t="s">
        <v>4018</v>
      </c>
      <c r="M184" s="281">
        <v>4580</v>
      </c>
      <c r="N184" s="280"/>
      <c r="O184" s="280"/>
      <c r="P184" s="280">
        <v>4580</v>
      </c>
      <c r="Q184" s="280"/>
      <c r="R184" s="280"/>
      <c r="S184" s="280"/>
      <c r="T184" s="297"/>
    </row>
    <row r="185" spans="1:20" x14ac:dyDescent="0.25">
      <c r="A185" s="274" t="s">
        <v>78</v>
      </c>
      <c r="B185" s="274" t="s">
        <v>79</v>
      </c>
      <c r="C185" s="274" t="s">
        <v>3741</v>
      </c>
      <c r="D185" s="274" t="s">
        <v>3742</v>
      </c>
      <c r="E185" s="274" t="s">
        <v>22</v>
      </c>
      <c r="F185" s="274" t="s">
        <v>100</v>
      </c>
      <c r="G185" s="274" t="s">
        <v>101</v>
      </c>
      <c r="H185" s="274" t="s">
        <v>102</v>
      </c>
      <c r="I185" s="274" t="s">
        <v>4019</v>
      </c>
      <c r="J185" s="274" t="s">
        <v>6522</v>
      </c>
      <c r="K185" s="274" t="s">
        <v>3746</v>
      </c>
      <c r="L185" s="274" t="s">
        <v>4020</v>
      </c>
      <c r="M185" s="281">
        <v>42</v>
      </c>
      <c r="N185" s="280"/>
      <c r="O185" s="280"/>
      <c r="P185" s="280">
        <v>42</v>
      </c>
      <c r="Q185" s="280"/>
      <c r="R185" s="280"/>
      <c r="S185" s="280"/>
      <c r="T185" s="297"/>
    </row>
    <row r="186" spans="1:20" x14ac:dyDescent="0.25">
      <c r="A186" s="274" t="s">
        <v>78</v>
      </c>
      <c r="B186" s="274" t="s">
        <v>79</v>
      </c>
      <c r="C186" s="274" t="s">
        <v>3741</v>
      </c>
      <c r="D186" s="274" t="s">
        <v>3742</v>
      </c>
      <c r="E186" s="274" t="s">
        <v>22</v>
      </c>
      <c r="F186" s="274" t="s">
        <v>100</v>
      </c>
      <c r="G186" s="274" t="s">
        <v>101</v>
      </c>
      <c r="H186" s="274" t="s">
        <v>102</v>
      </c>
      <c r="I186" s="274" t="s">
        <v>4021</v>
      </c>
      <c r="J186" s="274" t="s">
        <v>6524</v>
      </c>
      <c r="K186" s="274" t="s">
        <v>3746</v>
      </c>
      <c r="L186" s="274" t="s">
        <v>4022</v>
      </c>
      <c r="M186" s="281">
        <v>21178</v>
      </c>
      <c r="N186" s="280"/>
      <c r="O186" s="280"/>
      <c r="P186" s="280">
        <v>21178</v>
      </c>
      <c r="Q186" s="280"/>
      <c r="R186" s="280"/>
      <c r="S186" s="280"/>
      <c r="T186" s="297"/>
    </row>
    <row r="187" spans="1:20" x14ac:dyDescent="0.25">
      <c r="A187" s="274" t="s">
        <v>78</v>
      </c>
      <c r="B187" s="274" t="s">
        <v>79</v>
      </c>
      <c r="C187" s="274" t="s">
        <v>3741</v>
      </c>
      <c r="D187" s="274" t="s">
        <v>3742</v>
      </c>
      <c r="E187" s="274" t="s">
        <v>22</v>
      </c>
      <c r="F187" s="274" t="s">
        <v>100</v>
      </c>
      <c r="G187" s="274" t="s">
        <v>101</v>
      </c>
      <c r="H187" s="274" t="s">
        <v>102</v>
      </c>
      <c r="I187" s="274" t="s">
        <v>4023</v>
      </c>
      <c r="J187" s="274" t="s">
        <v>6524</v>
      </c>
      <c r="K187" s="274" t="s">
        <v>3746</v>
      </c>
      <c r="L187" s="274" t="s">
        <v>4024</v>
      </c>
      <c r="M187" s="281">
        <v>204</v>
      </c>
      <c r="N187" s="280"/>
      <c r="O187" s="280"/>
      <c r="P187" s="280">
        <v>204</v>
      </c>
      <c r="Q187" s="280"/>
      <c r="R187" s="280"/>
      <c r="S187" s="280"/>
      <c r="T187" s="297"/>
    </row>
    <row r="188" spans="1:20" x14ac:dyDescent="0.25">
      <c r="A188" s="274" t="s">
        <v>78</v>
      </c>
      <c r="B188" s="274" t="s">
        <v>79</v>
      </c>
      <c r="C188" s="274" t="s">
        <v>3741</v>
      </c>
      <c r="D188" s="274" t="s">
        <v>3742</v>
      </c>
      <c r="E188" s="274" t="s">
        <v>22</v>
      </c>
      <c r="F188" s="274" t="s">
        <v>100</v>
      </c>
      <c r="G188" s="274" t="s">
        <v>101</v>
      </c>
      <c r="H188" s="274" t="s">
        <v>102</v>
      </c>
      <c r="I188" s="274" t="s">
        <v>4025</v>
      </c>
      <c r="J188" s="274" t="s">
        <v>6520</v>
      </c>
      <c r="K188" s="274" t="s">
        <v>3746</v>
      </c>
      <c r="L188" s="274" t="s">
        <v>4026</v>
      </c>
      <c r="M188" s="281">
        <v>44617.33</v>
      </c>
      <c r="N188" s="280"/>
      <c r="O188" s="280"/>
      <c r="P188" s="280">
        <v>44617.33</v>
      </c>
      <c r="Q188" s="280"/>
      <c r="R188" s="280"/>
      <c r="S188" s="280"/>
      <c r="T188" s="297"/>
    </row>
    <row r="189" spans="1:20" x14ac:dyDescent="0.25">
      <c r="A189" s="274" t="s">
        <v>78</v>
      </c>
      <c r="B189" s="274" t="s">
        <v>79</v>
      </c>
      <c r="C189" s="274" t="s">
        <v>3741</v>
      </c>
      <c r="D189" s="274" t="s">
        <v>3742</v>
      </c>
      <c r="E189" s="274" t="s">
        <v>22</v>
      </c>
      <c r="F189" s="274" t="s">
        <v>100</v>
      </c>
      <c r="G189" s="274" t="s">
        <v>101</v>
      </c>
      <c r="H189" s="274" t="s">
        <v>102</v>
      </c>
      <c r="I189" s="274" t="s">
        <v>4027</v>
      </c>
      <c r="J189" s="274" t="s">
        <v>6520</v>
      </c>
      <c r="K189" s="274" t="s">
        <v>3746</v>
      </c>
      <c r="L189" s="274" t="s">
        <v>4028</v>
      </c>
      <c r="M189" s="281">
        <v>431</v>
      </c>
      <c r="N189" s="280"/>
      <c r="O189" s="280"/>
      <c r="P189" s="280">
        <v>431</v>
      </c>
      <c r="Q189" s="280"/>
      <c r="R189" s="280"/>
      <c r="S189" s="280"/>
      <c r="T189" s="297"/>
    </row>
    <row r="190" spans="1:20" x14ac:dyDescent="0.25">
      <c r="A190" s="274" t="s">
        <v>78</v>
      </c>
      <c r="B190" s="274" t="s">
        <v>79</v>
      </c>
      <c r="C190" s="274" t="s">
        <v>3741</v>
      </c>
      <c r="D190" s="274" t="s">
        <v>3742</v>
      </c>
      <c r="E190" s="274" t="s">
        <v>22</v>
      </c>
      <c r="F190" s="274" t="s">
        <v>100</v>
      </c>
      <c r="G190" s="274" t="s">
        <v>101</v>
      </c>
      <c r="H190" s="274" t="s">
        <v>102</v>
      </c>
      <c r="I190" s="274" t="s">
        <v>4029</v>
      </c>
      <c r="J190" s="274" t="s">
        <v>6520</v>
      </c>
      <c r="K190" s="274" t="s">
        <v>3746</v>
      </c>
      <c r="L190" s="274" t="s">
        <v>4030</v>
      </c>
      <c r="M190" s="281">
        <v>227886.29</v>
      </c>
      <c r="N190" s="280"/>
      <c r="O190" s="280"/>
      <c r="P190" s="280">
        <v>227886.29</v>
      </c>
      <c r="Q190" s="280"/>
      <c r="R190" s="280"/>
      <c r="S190" s="280"/>
      <c r="T190" s="297"/>
    </row>
    <row r="191" spans="1:20" x14ac:dyDescent="0.25">
      <c r="A191" s="274" t="s">
        <v>78</v>
      </c>
      <c r="B191" s="274" t="s">
        <v>79</v>
      </c>
      <c r="C191" s="274" t="s">
        <v>3741</v>
      </c>
      <c r="D191" s="274" t="s">
        <v>3742</v>
      </c>
      <c r="E191" s="274" t="s">
        <v>22</v>
      </c>
      <c r="F191" s="274" t="s">
        <v>100</v>
      </c>
      <c r="G191" s="274" t="s">
        <v>101</v>
      </c>
      <c r="H191" s="274" t="s">
        <v>102</v>
      </c>
      <c r="I191" s="274" t="s">
        <v>4031</v>
      </c>
      <c r="J191" s="274" t="s">
        <v>6520</v>
      </c>
      <c r="K191" s="274" t="s">
        <v>3746</v>
      </c>
      <c r="L191" s="274" t="s">
        <v>4032</v>
      </c>
      <c r="M191" s="281">
        <v>2066</v>
      </c>
      <c r="N191" s="280"/>
      <c r="O191" s="280"/>
      <c r="P191" s="280">
        <v>2066</v>
      </c>
      <c r="Q191" s="280"/>
      <c r="R191" s="280"/>
      <c r="S191" s="280"/>
      <c r="T191" s="297"/>
    </row>
    <row r="192" spans="1:20" x14ac:dyDescent="0.25">
      <c r="A192" s="274" t="s">
        <v>78</v>
      </c>
      <c r="B192" s="274" t="s">
        <v>79</v>
      </c>
      <c r="C192" s="274" t="s">
        <v>3741</v>
      </c>
      <c r="D192" s="274" t="s">
        <v>3742</v>
      </c>
      <c r="E192" s="274" t="s">
        <v>22</v>
      </c>
      <c r="F192" s="274" t="s">
        <v>100</v>
      </c>
      <c r="G192" s="274" t="s">
        <v>101</v>
      </c>
      <c r="H192" s="274" t="s">
        <v>102</v>
      </c>
      <c r="I192" s="274" t="s">
        <v>4033</v>
      </c>
      <c r="J192" s="274" t="s">
        <v>6525</v>
      </c>
      <c r="K192" s="274" t="s">
        <v>3746</v>
      </c>
      <c r="L192" s="274" t="s">
        <v>4034</v>
      </c>
      <c r="M192" s="281">
        <v>1703.15</v>
      </c>
      <c r="N192" s="280"/>
      <c r="O192" s="280"/>
      <c r="P192" s="280">
        <v>1703.15</v>
      </c>
      <c r="Q192" s="280"/>
      <c r="R192" s="280"/>
      <c r="S192" s="280"/>
      <c r="T192" s="297"/>
    </row>
    <row r="193" spans="1:20" x14ac:dyDescent="0.25">
      <c r="A193" s="274" t="s">
        <v>78</v>
      </c>
      <c r="B193" s="274" t="s">
        <v>79</v>
      </c>
      <c r="C193" s="274" t="s">
        <v>3741</v>
      </c>
      <c r="D193" s="274" t="s">
        <v>3742</v>
      </c>
      <c r="E193" s="274" t="s">
        <v>22</v>
      </c>
      <c r="F193" s="274" t="s">
        <v>100</v>
      </c>
      <c r="G193" s="274" t="s">
        <v>101</v>
      </c>
      <c r="H193" s="274" t="s">
        <v>102</v>
      </c>
      <c r="I193" s="274" t="s">
        <v>4035</v>
      </c>
      <c r="J193" s="274" t="s">
        <v>6525</v>
      </c>
      <c r="K193" s="274" t="s">
        <v>3746</v>
      </c>
      <c r="L193" s="274" t="s">
        <v>4036</v>
      </c>
      <c r="M193" s="281">
        <v>10</v>
      </c>
      <c r="N193" s="280"/>
      <c r="O193" s="280"/>
      <c r="P193" s="280">
        <v>10</v>
      </c>
      <c r="Q193" s="280"/>
      <c r="R193" s="280"/>
      <c r="S193" s="280"/>
      <c r="T193" s="297"/>
    </row>
    <row r="194" spans="1:20" x14ac:dyDescent="0.25">
      <c r="A194" s="274" t="s">
        <v>78</v>
      </c>
      <c r="B194" s="274" t="s">
        <v>79</v>
      </c>
      <c r="C194" s="274" t="s">
        <v>3741</v>
      </c>
      <c r="D194" s="274" t="s">
        <v>3742</v>
      </c>
      <c r="E194" s="274" t="s">
        <v>22</v>
      </c>
      <c r="F194" s="274" t="s">
        <v>100</v>
      </c>
      <c r="G194" s="274" t="s">
        <v>101</v>
      </c>
      <c r="H194" s="274" t="s">
        <v>102</v>
      </c>
      <c r="I194" s="274" t="s">
        <v>4037</v>
      </c>
      <c r="J194" s="274" t="s">
        <v>6530</v>
      </c>
      <c r="K194" s="274" t="s">
        <v>3746</v>
      </c>
      <c r="L194" s="274" t="s">
        <v>4038</v>
      </c>
      <c r="M194" s="281">
        <v>2862.97</v>
      </c>
      <c r="N194" s="280"/>
      <c r="O194" s="280"/>
      <c r="P194" s="280">
        <v>2862.97</v>
      </c>
      <c r="Q194" s="280"/>
      <c r="R194" s="280"/>
      <c r="S194" s="280"/>
      <c r="T194" s="297"/>
    </row>
    <row r="195" spans="1:20" x14ac:dyDescent="0.25">
      <c r="A195" s="274" t="s">
        <v>78</v>
      </c>
      <c r="B195" s="274" t="s">
        <v>79</v>
      </c>
      <c r="C195" s="274" t="s">
        <v>3741</v>
      </c>
      <c r="D195" s="274" t="s">
        <v>3742</v>
      </c>
      <c r="E195" s="274" t="s">
        <v>22</v>
      </c>
      <c r="F195" s="274" t="s">
        <v>100</v>
      </c>
      <c r="G195" s="274" t="s">
        <v>101</v>
      </c>
      <c r="H195" s="274" t="s">
        <v>102</v>
      </c>
      <c r="I195" s="274" t="s">
        <v>4039</v>
      </c>
      <c r="J195" s="274" t="s">
        <v>6520</v>
      </c>
      <c r="K195" s="274" t="s">
        <v>3746</v>
      </c>
      <c r="L195" s="274" t="s">
        <v>4040</v>
      </c>
      <c r="M195" s="281">
        <v>227515.97</v>
      </c>
      <c r="N195" s="280"/>
      <c r="O195" s="280"/>
      <c r="P195" s="280"/>
      <c r="Q195" s="280">
        <v>227515.97</v>
      </c>
      <c r="R195" s="280"/>
      <c r="S195" s="280"/>
      <c r="T195" s="297"/>
    </row>
    <row r="196" spans="1:20" x14ac:dyDescent="0.25">
      <c r="A196" s="274" t="s">
        <v>78</v>
      </c>
      <c r="B196" s="274" t="s">
        <v>79</v>
      </c>
      <c r="C196" s="274" t="s">
        <v>3741</v>
      </c>
      <c r="D196" s="274" t="s">
        <v>3742</v>
      </c>
      <c r="E196" s="274" t="s">
        <v>22</v>
      </c>
      <c r="F196" s="274" t="s">
        <v>100</v>
      </c>
      <c r="G196" s="274" t="s">
        <v>101</v>
      </c>
      <c r="H196" s="274" t="s">
        <v>102</v>
      </c>
      <c r="I196" s="274" t="s">
        <v>4041</v>
      </c>
      <c r="J196" s="274" t="s">
        <v>6520</v>
      </c>
      <c r="K196" s="274" t="s">
        <v>3746</v>
      </c>
      <c r="L196" s="274" t="s">
        <v>4042</v>
      </c>
      <c r="M196" s="281">
        <v>49264.97</v>
      </c>
      <c r="N196" s="280"/>
      <c r="O196" s="280"/>
      <c r="P196" s="280"/>
      <c r="Q196" s="280">
        <v>49264.97</v>
      </c>
      <c r="R196" s="280"/>
      <c r="S196" s="280"/>
      <c r="T196" s="297"/>
    </row>
    <row r="197" spans="1:20" x14ac:dyDescent="0.25">
      <c r="A197" s="274" t="s">
        <v>78</v>
      </c>
      <c r="B197" s="274" t="s">
        <v>79</v>
      </c>
      <c r="C197" s="274" t="s">
        <v>3741</v>
      </c>
      <c r="D197" s="274" t="s">
        <v>3742</v>
      </c>
      <c r="E197" s="274" t="s">
        <v>22</v>
      </c>
      <c r="F197" s="274" t="s">
        <v>100</v>
      </c>
      <c r="G197" s="274" t="s">
        <v>101</v>
      </c>
      <c r="H197" s="274" t="s">
        <v>102</v>
      </c>
      <c r="I197" s="274" t="s">
        <v>4043</v>
      </c>
      <c r="J197" s="274" t="s">
        <v>6520</v>
      </c>
      <c r="K197" s="274" t="s">
        <v>3746</v>
      </c>
      <c r="L197" s="274" t="s">
        <v>4044</v>
      </c>
      <c r="M197" s="281">
        <v>2462</v>
      </c>
      <c r="N197" s="280"/>
      <c r="O197" s="280"/>
      <c r="P197" s="280"/>
      <c r="Q197" s="280">
        <v>2462</v>
      </c>
      <c r="R197" s="280"/>
      <c r="S197" s="280"/>
      <c r="T197" s="297"/>
    </row>
    <row r="198" spans="1:20" x14ac:dyDescent="0.25">
      <c r="A198" s="274" t="s">
        <v>78</v>
      </c>
      <c r="B198" s="274" t="s">
        <v>79</v>
      </c>
      <c r="C198" s="274" t="s">
        <v>3741</v>
      </c>
      <c r="D198" s="274" t="s">
        <v>3742</v>
      </c>
      <c r="E198" s="274" t="s">
        <v>22</v>
      </c>
      <c r="F198" s="274" t="s">
        <v>100</v>
      </c>
      <c r="G198" s="274" t="s">
        <v>101</v>
      </c>
      <c r="H198" s="274" t="s">
        <v>102</v>
      </c>
      <c r="I198" s="274" t="s">
        <v>4045</v>
      </c>
      <c r="J198" s="274" t="s">
        <v>6521</v>
      </c>
      <c r="K198" s="274" t="s">
        <v>3746</v>
      </c>
      <c r="L198" s="274" t="s">
        <v>4046</v>
      </c>
      <c r="M198" s="281">
        <v>44906.52</v>
      </c>
      <c r="N198" s="280"/>
      <c r="O198" s="280"/>
      <c r="P198" s="280"/>
      <c r="Q198" s="280">
        <v>44906.52</v>
      </c>
      <c r="R198" s="280"/>
      <c r="S198" s="280"/>
      <c r="T198" s="297"/>
    </row>
    <row r="199" spans="1:20" x14ac:dyDescent="0.25">
      <c r="A199" s="274" t="s">
        <v>78</v>
      </c>
      <c r="B199" s="274" t="s">
        <v>79</v>
      </c>
      <c r="C199" s="274" t="s">
        <v>3741</v>
      </c>
      <c r="D199" s="274" t="s">
        <v>3742</v>
      </c>
      <c r="E199" s="274" t="s">
        <v>22</v>
      </c>
      <c r="F199" s="274" t="s">
        <v>100</v>
      </c>
      <c r="G199" s="274" t="s">
        <v>101</v>
      </c>
      <c r="H199" s="274" t="s">
        <v>102</v>
      </c>
      <c r="I199" s="274" t="s">
        <v>4047</v>
      </c>
      <c r="J199" s="274" t="s">
        <v>6521</v>
      </c>
      <c r="K199" s="274" t="s">
        <v>3746</v>
      </c>
      <c r="L199" s="274" t="s">
        <v>4048</v>
      </c>
      <c r="M199" s="281">
        <v>456.3</v>
      </c>
      <c r="N199" s="280"/>
      <c r="O199" s="280"/>
      <c r="P199" s="280"/>
      <c r="Q199" s="280">
        <v>456.3</v>
      </c>
      <c r="R199" s="280"/>
      <c r="S199" s="280"/>
      <c r="T199" s="297"/>
    </row>
    <row r="200" spans="1:20" x14ac:dyDescent="0.25">
      <c r="A200" s="274" t="s">
        <v>78</v>
      </c>
      <c r="B200" s="274" t="s">
        <v>79</v>
      </c>
      <c r="C200" s="274" t="s">
        <v>3741</v>
      </c>
      <c r="D200" s="274" t="s">
        <v>3742</v>
      </c>
      <c r="E200" s="274" t="s">
        <v>22</v>
      </c>
      <c r="F200" s="274" t="s">
        <v>100</v>
      </c>
      <c r="G200" s="274" t="s">
        <v>101</v>
      </c>
      <c r="H200" s="274" t="s">
        <v>102</v>
      </c>
      <c r="I200" s="274" t="s">
        <v>4049</v>
      </c>
      <c r="J200" s="274" t="s">
        <v>6522</v>
      </c>
      <c r="K200" s="274" t="s">
        <v>3746</v>
      </c>
      <c r="L200" s="274" t="s">
        <v>4050</v>
      </c>
      <c r="M200" s="281">
        <v>8437</v>
      </c>
      <c r="N200" s="280"/>
      <c r="O200" s="280"/>
      <c r="P200" s="280"/>
      <c r="Q200" s="280">
        <v>8437</v>
      </c>
      <c r="R200" s="280"/>
      <c r="S200" s="280"/>
      <c r="T200" s="297"/>
    </row>
    <row r="201" spans="1:20" x14ac:dyDescent="0.25">
      <c r="A201" s="274" t="s">
        <v>78</v>
      </c>
      <c r="B201" s="274" t="s">
        <v>79</v>
      </c>
      <c r="C201" s="274" t="s">
        <v>3741</v>
      </c>
      <c r="D201" s="274" t="s">
        <v>3742</v>
      </c>
      <c r="E201" s="274" t="s">
        <v>22</v>
      </c>
      <c r="F201" s="274" t="s">
        <v>100</v>
      </c>
      <c r="G201" s="274" t="s">
        <v>101</v>
      </c>
      <c r="H201" s="274" t="s">
        <v>102</v>
      </c>
      <c r="I201" s="274" t="s">
        <v>4051</v>
      </c>
      <c r="J201" s="274" t="s">
        <v>6522</v>
      </c>
      <c r="K201" s="274" t="s">
        <v>3746</v>
      </c>
      <c r="L201" s="274" t="s">
        <v>4052</v>
      </c>
      <c r="M201" s="281">
        <v>4580</v>
      </c>
      <c r="N201" s="280"/>
      <c r="O201" s="280"/>
      <c r="P201" s="280"/>
      <c r="Q201" s="280">
        <v>4580</v>
      </c>
      <c r="R201" s="280"/>
      <c r="S201" s="280"/>
      <c r="T201" s="297"/>
    </row>
    <row r="202" spans="1:20" x14ac:dyDescent="0.25">
      <c r="A202" s="274" t="s">
        <v>78</v>
      </c>
      <c r="B202" s="274" t="s">
        <v>79</v>
      </c>
      <c r="C202" s="274" t="s">
        <v>3741</v>
      </c>
      <c r="D202" s="274" t="s">
        <v>3742</v>
      </c>
      <c r="E202" s="274" t="s">
        <v>22</v>
      </c>
      <c r="F202" s="274" t="s">
        <v>100</v>
      </c>
      <c r="G202" s="274" t="s">
        <v>101</v>
      </c>
      <c r="H202" s="274" t="s">
        <v>102</v>
      </c>
      <c r="I202" s="274" t="s">
        <v>4053</v>
      </c>
      <c r="J202" s="274" t="s">
        <v>6522</v>
      </c>
      <c r="K202" s="274" t="s">
        <v>3746</v>
      </c>
      <c r="L202" s="274" t="s">
        <v>4054</v>
      </c>
      <c r="M202" s="281">
        <v>42462.01</v>
      </c>
      <c r="N202" s="280"/>
      <c r="O202" s="280"/>
      <c r="P202" s="280"/>
      <c r="Q202" s="280">
        <v>42462.01</v>
      </c>
      <c r="R202" s="280"/>
      <c r="S202" s="280"/>
      <c r="T202" s="297"/>
    </row>
    <row r="203" spans="1:20" x14ac:dyDescent="0.25">
      <c r="A203" s="274" t="s">
        <v>78</v>
      </c>
      <c r="B203" s="274" t="s">
        <v>79</v>
      </c>
      <c r="C203" s="274" t="s">
        <v>3741</v>
      </c>
      <c r="D203" s="274" t="s">
        <v>3742</v>
      </c>
      <c r="E203" s="274" t="s">
        <v>22</v>
      </c>
      <c r="F203" s="274" t="s">
        <v>100</v>
      </c>
      <c r="G203" s="274" t="s">
        <v>101</v>
      </c>
      <c r="H203" s="274" t="s">
        <v>102</v>
      </c>
      <c r="I203" s="274" t="s">
        <v>4055</v>
      </c>
      <c r="J203" s="274" t="s">
        <v>6529</v>
      </c>
      <c r="K203" s="274" t="s">
        <v>3746</v>
      </c>
      <c r="L203" s="274" t="s">
        <v>4056</v>
      </c>
      <c r="M203" s="281">
        <v>27404</v>
      </c>
      <c r="N203" s="280"/>
      <c r="O203" s="280"/>
      <c r="P203" s="280"/>
      <c r="Q203" s="280">
        <v>27404</v>
      </c>
      <c r="R203" s="280"/>
      <c r="S203" s="280"/>
      <c r="T203" s="297"/>
    </row>
    <row r="204" spans="1:20" x14ac:dyDescent="0.25">
      <c r="A204" s="274" t="s">
        <v>78</v>
      </c>
      <c r="B204" s="274" t="s">
        <v>79</v>
      </c>
      <c r="C204" s="274" t="s">
        <v>3741</v>
      </c>
      <c r="D204" s="274" t="s">
        <v>3742</v>
      </c>
      <c r="E204" s="274" t="s">
        <v>22</v>
      </c>
      <c r="F204" s="274" t="s">
        <v>100</v>
      </c>
      <c r="G204" s="274" t="s">
        <v>101</v>
      </c>
      <c r="H204" s="274" t="s">
        <v>102</v>
      </c>
      <c r="I204" s="274" t="s">
        <v>4057</v>
      </c>
      <c r="J204" s="274" t="s">
        <v>6523</v>
      </c>
      <c r="K204" s="274" t="s">
        <v>3746</v>
      </c>
      <c r="L204" s="274" t="s">
        <v>4058</v>
      </c>
      <c r="M204" s="281">
        <v>2242</v>
      </c>
      <c r="N204" s="280"/>
      <c r="O204" s="280"/>
      <c r="P204" s="280"/>
      <c r="Q204" s="280">
        <v>2242</v>
      </c>
      <c r="R204" s="280"/>
      <c r="S204" s="280"/>
      <c r="T204" s="297"/>
    </row>
    <row r="205" spans="1:20" x14ac:dyDescent="0.25">
      <c r="A205" s="274" t="s">
        <v>78</v>
      </c>
      <c r="B205" s="274" t="s">
        <v>79</v>
      </c>
      <c r="C205" s="274" t="s">
        <v>3741</v>
      </c>
      <c r="D205" s="274" t="s">
        <v>3742</v>
      </c>
      <c r="E205" s="274" t="s">
        <v>22</v>
      </c>
      <c r="F205" s="274" t="s">
        <v>100</v>
      </c>
      <c r="G205" s="274" t="s">
        <v>101</v>
      </c>
      <c r="H205" s="274" t="s">
        <v>102</v>
      </c>
      <c r="I205" s="274" t="s">
        <v>4059</v>
      </c>
      <c r="J205" s="274" t="s">
        <v>6524</v>
      </c>
      <c r="K205" s="274" t="s">
        <v>3746</v>
      </c>
      <c r="L205" s="274" t="s">
        <v>4060</v>
      </c>
      <c r="M205" s="281">
        <v>21178</v>
      </c>
      <c r="N205" s="280"/>
      <c r="O205" s="280"/>
      <c r="P205" s="280"/>
      <c r="Q205" s="280">
        <v>21178</v>
      </c>
      <c r="R205" s="280"/>
      <c r="S205" s="280"/>
      <c r="T205" s="297"/>
    </row>
    <row r="206" spans="1:20" x14ac:dyDescent="0.25">
      <c r="A206" s="274" t="s">
        <v>78</v>
      </c>
      <c r="B206" s="274" t="s">
        <v>79</v>
      </c>
      <c r="C206" s="274" t="s">
        <v>3741</v>
      </c>
      <c r="D206" s="274" t="s">
        <v>3742</v>
      </c>
      <c r="E206" s="274" t="s">
        <v>22</v>
      </c>
      <c r="F206" s="274" t="s">
        <v>100</v>
      </c>
      <c r="G206" s="274" t="s">
        <v>101</v>
      </c>
      <c r="H206" s="274" t="s">
        <v>102</v>
      </c>
      <c r="I206" s="274" t="s">
        <v>4061</v>
      </c>
      <c r="J206" s="274" t="s">
        <v>6524</v>
      </c>
      <c r="K206" s="274" t="s">
        <v>3746</v>
      </c>
      <c r="L206" s="274" t="s">
        <v>4062</v>
      </c>
      <c r="M206" s="281">
        <v>1381</v>
      </c>
      <c r="N206" s="280"/>
      <c r="O206" s="280"/>
      <c r="P206" s="280"/>
      <c r="Q206" s="280">
        <v>1381</v>
      </c>
      <c r="R206" s="280"/>
      <c r="S206" s="280"/>
      <c r="T206" s="297"/>
    </row>
    <row r="207" spans="1:20" x14ac:dyDescent="0.25">
      <c r="A207" s="274" t="s">
        <v>78</v>
      </c>
      <c r="B207" s="274" t="s">
        <v>79</v>
      </c>
      <c r="C207" s="274" t="s">
        <v>3741</v>
      </c>
      <c r="D207" s="274" t="s">
        <v>3742</v>
      </c>
      <c r="E207" s="274" t="s">
        <v>22</v>
      </c>
      <c r="F207" s="274" t="s">
        <v>100</v>
      </c>
      <c r="G207" s="274" t="s">
        <v>101</v>
      </c>
      <c r="H207" s="274" t="s">
        <v>102</v>
      </c>
      <c r="I207" s="274" t="s">
        <v>4063</v>
      </c>
      <c r="J207" s="274" t="s">
        <v>6525</v>
      </c>
      <c r="K207" s="274" t="s">
        <v>3746</v>
      </c>
      <c r="L207" s="274" t="s">
        <v>4064</v>
      </c>
      <c r="M207" s="281">
        <v>1703.15</v>
      </c>
      <c r="N207" s="280"/>
      <c r="O207" s="280"/>
      <c r="P207" s="280"/>
      <c r="Q207" s="280">
        <v>1703.15</v>
      </c>
      <c r="R207" s="280"/>
      <c r="S207" s="280"/>
      <c r="T207" s="297"/>
    </row>
    <row r="208" spans="1:20" x14ac:dyDescent="0.25">
      <c r="A208" s="274" t="s">
        <v>78</v>
      </c>
      <c r="B208" s="274" t="s">
        <v>79</v>
      </c>
      <c r="C208" s="274" t="s">
        <v>3741</v>
      </c>
      <c r="D208" s="274" t="s">
        <v>3742</v>
      </c>
      <c r="E208" s="274" t="s">
        <v>22</v>
      </c>
      <c r="F208" s="274" t="s">
        <v>100</v>
      </c>
      <c r="G208" s="274" t="s">
        <v>101</v>
      </c>
      <c r="H208" s="274" t="s">
        <v>102</v>
      </c>
      <c r="I208" s="274" t="s">
        <v>4065</v>
      </c>
      <c r="J208" s="274" t="s">
        <v>6520</v>
      </c>
      <c r="K208" s="274" t="s">
        <v>3746</v>
      </c>
      <c r="L208" s="274" t="s">
        <v>4066</v>
      </c>
      <c r="M208" s="281">
        <v>227820.72</v>
      </c>
      <c r="N208" s="280"/>
      <c r="O208" s="280"/>
      <c r="P208" s="280"/>
      <c r="Q208" s="280"/>
      <c r="R208" s="280">
        <v>227820.72</v>
      </c>
      <c r="S208" s="280"/>
      <c r="T208" s="297"/>
    </row>
    <row r="209" spans="1:20" x14ac:dyDescent="0.25">
      <c r="A209" s="274" t="s">
        <v>78</v>
      </c>
      <c r="B209" s="274" t="s">
        <v>79</v>
      </c>
      <c r="C209" s="274" t="s">
        <v>3741</v>
      </c>
      <c r="D209" s="274" t="s">
        <v>3742</v>
      </c>
      <c r="E209" s="274" t="s">
        <v>22</v>
      </c>
      <c r="F209" s="274" t="s">
        <v>100</v>
      </c>
      <c r="G209" s="274" t="s">
        <v>101</v>
      </c>
      <c r="H209" s="274" t="s">
        <v>102</v>
      </c>
      <c r="I209" s="274" t="s">
        <v>4067</v>
      </c>
      <c r="J209" s="274" t="s">
        <v>6520</v>
      </c>
      <c r="K209" s="274" t="s">
        <v>3746</v>
      </c>
      <c r="L209" s="274" t="s">
        <v>4068</v>
      </c>
      <c r="M209" s="281">
        <v>43171.97</v>
      </c>
      <c r="N209" s="280"/>
      <c r="O209" s="280"/>
      <c r="P209" s="280"/>
      <c r="Q209" s="280"/>
      <c r="R209" s="280">
        <v>43171.97</v>
      </c>
      <c r="S209" s="280"/>
      <c r="T209" s="297"/>
    </row>
    <row r="210" spans="1:20" x14ac:dyDescent="0.25">
      <c r="A210" s="274" t="s">
        <v>78</v>
      </c>
      <c r="B210" s="274" t="s">
        <v>79</v>
      </c>
      <c r="C210" s="274" t="s">
        <v>3741</v>
      </c>
      <c r="D210" s="274" t="s">
        <v>3742</v>
      </c>
      <c r="E210" s="274" t="s">
        <v>22</v>
      </c>
      <c r="F210" s="274" t="s">
        <v>100</v>
      </c>
      <c r="G210" s="274" t="s">
        <v>101</v>
      </c>
      <c r="H210" s="274" t="s">
        <v>102</v>
      </c>
      <c r="I210" s="274" t="s">
        <v>4069</v>
      </c>
      <c r="J210" s="274" t="s">
        <v>6520</v>
      </c>
      <c r="K210" s="274" t="s">
        <v>3746</v>
      </c>
      <c r="L210" s="274" t="s">
        <v>4070</v>
      </c>
      <c r="M210" s="281">
        <v>2462</v>
      </c>
      <c r="N210" s="280"/>
      <c r="O210" s="280"/>
      <c r="P210" s="280"/>
      <c r="Q210" s="280"/>
      <c r="R210" s="280">
        <v>2462</v>
      </c>
      <c r="S210" s="280"/>
      <c r="T210" s="297"/>
    </row>
    <row r="211" spans="1:20" x14ac:dyDescent="0.25">
      <c r="A211" s="274" t="s">
        <v>78</v>
      </c>
      <c r="B211" s="274" t="s">
        <v>79</v>
      </c>
      <c r="C211" s="274" t="s">
        <v>3741</v>
      </c>
      <c r="D211" s="274" t="s">
        <v>3742</v>
      </c>
      <c r="E211" s="274" t="s">
        <v>22</v>
      </c>
      <c r="F211" s="274" t="s">
        <v>100</v>
      </c>
      <c r="G211" s="274" t="s">
        <v>101</v>
      </c>
      <c r="H211" s="274" t="s">
        <v>102</v>
      </c>
      <c r="I211" s="274" t="s">
        <v>4071</v>
      </c>
      <c r="J211" s="274" t="s">
        <v>6521</v>
      </c>
      <c r="K211" s="274" t="s">
        <v>3746</v>
      </c>
      <c r="L211" s="274" t="s">
        <v>4072</v>
      </c>
      <c r="M211" s="281">
        <v>44508.52</v>
      </c>
      <c r="N211" s="280"/>
      <c r="O211" s="280"/>
      <c r="P211" s="280"/>
      <c r="Q211" s="280"/>
      <c r="R211" s="280">
        <v>44508.52</v>
      </c>
      <c r="S211" s="280"/>
      <c r="T211" s="297"/>
    </row>
    <row r="212" spans="1:20" x14ac:dyDescent="0.25">
      <c r="A212" s="274" t="s">
        <v>78</v>
      </c>
      <c r="B212" s="274" t="s">
        <v>79</v>
      </c>
      <c r="C212" s="274" t="s">
        <v>3741</v>
      </c>
      <c r="D212" s="274" t="s">
        <v>3742</v>
      </c>
      <c r="E212" s="274" t="s">
        <v>22</v>
      </c>
      <c r="F212" s="274" t="s">
        <v>100</v>
      </c>
      <c r="G212" s="274" t="s">
        <v>101</v>
      </c>
      <c r="H212" s="274" t="s">
        <v>102</v>
      </c>
      <c r="I212" s="274" t="s">
        <v>4073</v>
      </c>
      <c r="J212" s="274" t="s">
        <v>6521</v>
      </c>
      <c r="K212" s="274" t="s">
        <v>3746</v>
      </c>
      <c r="L212" s="274" t="s">
        <v>4074</v>
      </c>
      <c r="M212" s="281">
        <v>456.3</v>
      </c>
      <c r="N212" s="280"/>
      <c r="O212" s="280"/>
      <c r="P212" s="280"/>
      <c r="Q212" s="280"/>
      <c r="R212" s="280">
        <v>456.3</v>
      </c>
      <c r="S212" s="280"/>
      <c r="T212" s="297"/>
    </row>
    <row r="213" spans="1:20" x14ac:dyDescent="0.25">
      <c r="A213" s="274" t="s">
        <v>78</v>
      </c>
      <c r="B213" s="274" t="s">
        <v>79</v>
      </c>
      <c r="C213" s="274" t="s">
        <v>3741</v>
      </c>
      <c r="D213" s="274" t="s">
        <v>3742</v>
      </c>
      <c r="E213" s="274" t="s">
        <v>22</v>
      </c>
      <c r="F213" s="274" t="s">
        <v>100</v>
      </c>
      <c r="G213" s="274" t="s">
        <v>101</v>
      </c>
      <c r="H213" s="274" t="s">
        <v>102</v>
      </c>
      <c r="I213" s="274" t="s">
        <v>4075</v>
      </c>
      <c r="J213" s="274" t="s">
        <v>6522</v>
      </c>
      <c r="K213" s="274" t="s">
        <v>3746</v>
      </c>
      <c r="L213" s="274" t="s">
        <v>4076</v>
      </c>
      <c r="M213" s="281">
        <v>8437</v>
      </c>
      <c r="N213" s="280"/>
      <c r="O213" s="280"/>
      <c r="P213" s="280"/>
      <c r="Q213" s="280"/>
      <c r="R213" s="280">
        <v>8437</v>
      </c>
      <c r="S213" s="280"/>
      <c r="T213" s="297"/>
    </row>
    <row r="214" spans="1:20" x14ac:dyDescent="0.25">
      <c r="A214" s="274" t="s">
        <v>78</v>
      </c>
      <c r="B214" s="274" t="s">
        <v>79</v>
      </c>
      <c r="C214" s="274" t="s">
        <v>3741</v>
      </c>
      <c r="D214" s="274" t="s">
        <v>3742</v>
      </c>
      <c r="E214" s="274" t="s">
        <v>22</v>
      </c>
      <c r="F214" s="274" t="s">
        <v>100</v>
      </c>
      <c r="G214" s="274" t="s">
        <v>101</v>
      </c>
      <c r="H214" s="274" t="s">
        <v>102</v>
      </c>
      <c r="I214" s="274" t="s">
        <v>4077</v>
      </c>
      <c r="J214" s="274" t="s">
        <v>6522</v>
      </c>
      <c r="K214" s="274" t="s">
        <v>3746</v>
      </c>
      <c r="L214" s="274" t="s">
        <v>4078</v>
      </c>
      <c r="M214" s="281">
        <v>4580</v>
      </c>
      <c r="N214" s="280"/>
      <c r="O214" s="280"/>
      <c r="P214" s="280"/>
      <c r="Q214" s="280"/>
      <c r="R214" s="280">
        <v>4580</v>
      </c>
      <c r="S214" s="280"/>
      <c r="T214" s="297"/>
    </row>
    <row r="215" spans="1:20" x14ac:dyDescent="0.25">
      <c r="A215" s="274" t="s">
        <v>78</v>
      </c>
      <c r="B215" s="274" t="s">
        <v>79</v>
      </c>
      <c r="C215" s="274" t="s">
        <v>3741</v>
      </c>
      <c r="D215" s="274" t="s">
        <v>3742</v>
      </c>
      <c r="E215" s="274" t="s">
        <v>22</v>
      </c>
      <c r="F215" s="274" t="s">
        <v>100</v>
      </c>
      <c r="G215" s="274" t="s">
        <v>101</v>
      </c>
      <c r="H215" s="274" t="s">
        <v>102</v>
      </c>
      <c r="I215" s="274" t="s">
        <v>4079</v>
      </c>
      <c r="J215" s="274" t="s">
        <v>6522</v>
      </c>
      <c r="K215" s="274" t="s">
        <v>3746</v>
      </c>
      <c r="L215" s="274" t="s">
        <v>4080</v>
      </c>
      <c r="M215" s="281">
        <v>42462.01</v>
      </c>
      <c r="N215" s="280"/>
      <c r="O215" s="280"/>
      <c r="P215" s="280"/>
      <c r="Q215" s="280"/>
      <c r="R215" s="280">
        <v>42462.01</v>
      </c>
      <c r="S215" s="280"/>
      <c r="T215" s="297"/>
    </row>
    <row r="216" spans="1:20" x14ac:dyDescent="0.25">
      <c r="A216" s="274" t="s">
        <v>78</v>
      </c>
      <c r="B216" s="274" t="s">
        <v>79</v>
      </c>
      <c r="C216" s="274" t="s">
        <v>3741</v>
      </c>
      <c r="D216" s="274" t="s">
        <v>3742</v>
      </c>
      <c r="E216" s="274" t="s">
        <v>22</v>
      </c>
      <c r="F216" s="274" t="s">
        <v>100</v>
      </c>
      <c r="G216" s="274" t="s">
        <v>101</v>
      </c>
      <c r="H216" s="274" t="s">
        <v>102</v>
      </c>
      <c r="I216" s="274" t="s">
        <v>4081</v>
      </c>
      <c r="J216" s="274" t="s">
        <v>6529</v>
      </c>
      <c r="K216" s="274" t="s">
        <v>3746</v>
      </c>
      <c r="L216" s="274" t="s">
        <v>4082</v>
      </c>
      <c r="M216" s="281">
        <v>27404</v>
      </c>
      <c r="N216" s="280"/>
      <c r="O216" s="280"/>
      <c r="P216" s="280"/>
      <c r="Q216" s="280"/>
      <c r="R216" s="280">
        <v>27404</v>
      </c>
      <c r="S216" s="280"/>
      <c r="T216" s="297"/>
    </row>
    <row r="217" spans="1:20" x14ac:dyDescent="0.25">
      <c r="A217" s="274" t="s">
        <v>78</v>
      </c>
      <c r="B217" s="274" t="s">
        <v>79</v>
      </c>
      <c r="C217" s="274" t="s">
        <v>3741</v>
      </c>
      <c r="D217" s="274" t="s">
        <v>3742</v>
      </c>
      <c r="E217" s="274" t="s">
        <v>22</v>
      </c>
      <c r="F217" s="274" t="s">
        <v>100</v>
      </c>
      <c r="G217" s="274" t="s">
        <v>101</v>
      </c>
      <c r="H217" s="274" t="s">
        <v>102</v>
      </c>
      <c r="I217" s="274" t="s">
        <v>4083</v>
      </c>
      <c r="J217" s="274" t="s">
        <v>6523</v>
      </c>
      <c r="K217" s="274" t="s">
        <v>3746</v>
      </c>
      <c r="L217" s="274" t="s">
        <v>4084</v>
      </c>
      <c r="M217" s="281">
        <v>2242</v>
      </c>
      <c r="N217" s="280"/>
      <c r="O217" s="280"/>
      <c r="P217" s="280"/>
      <c r="Q217" s="280"/>
      <c r="R217" s="280">
        <v>2242</v>
      </c>
      <c r="S217" s="280"/>
      <c r="T217" s="297"/>
    </row>
    <row r="218" spans="1:20" x14ac:dyDescent="0.25">
      <c r="A218" s="274" t="s">
        <v>78</v>
      </c>
      <c r="B218" s="274" t="s">
        <v>79</v>
      </c>
      <c r="C218" s="274" t="s">
        <v>3741</v>
      </c>
      <c r="D218" s="274" t="s">
        <v>3742</v>
      </c>
      <c r="E218" s="274" t="s">
        <v>22</v>
      </c>
      <c r="F218" s="274" t="s">
        <v>100</v>
      </c>
      <c r="G218" s="274" t="s">
        <v>101</v>
      </c>
      <c r="H218" s="274" t="s">
        <v>102</v>
      </c>
      <c r="I218" s="274" t="s">
        <v>4085</v>
      </c>
      <c r="J218" s="274" t="s">
        <v>6524</v>
      </c>
      <c r="K218" s="274" t="s">
        <v>3746</v>
      </c>
      <c r="L218" s="274" t="s">
        <v>4086</v>
      </c>
      <c r="M218" s="281">
        <v>21178</v>
      </c>
      <c r="N218" s="280"/>
      <c r="O218" s="280"/>
      <c r="P218" s="280"/>
      <c r="Q218" s="280"/>
      <c r="R218" s="280">
        <v>21178</v>
      </c>
      <c r="S218" s="280"/>
      <c r="T218" s="297"/>
    </row>
    <row r="219" spans="1:20" x14ac:dyDescent="0.25">
      <c r="A219" s="274" t="s">
        <v>78</v>
      </c>
      <c r="B219" s="274" t="s">
        <v>79</v>
      </c>
      <c r="C219" s="274" t="s">
        <v>3741</v>
      </c>
      <c r="D219" s="274" t="s">
        <v>3742</v>
      </c>
      <c r="E219" s="274" t="s">
        <v>22</v>
      </c>
      <c r="F219" s="274" t="s">
        <v>100</v>
      </c>
      <c r="G219" s="274" t="s">
        <v>101</v>
      </c>
      <c r="H219" s="274" t="s">
        <v>102</v>
      </c>
      <c r="I219" s="274" t="s">
        <v>4087</v>
      </c>
      <c r="J219" s="274" t="s">
        <v>6524</v>
      </c>
      <c r="K219" s="274" t="s">
        <v>3746</v>
      </c>
      <c r="L219" s="274" t="s">
        <v>4088</v>
      </c>
      <c r="M219" s="281">
        <v>1381</v>
      </c>
      <c r="N219" s="280"/>
      <c r="O219" s="280"/>
      <c r="P219" s="280"/>
      <c r="Q219" s="280"/>
      <c r="R219" s="280">
        <v>1381</v>
      </c>
      <c r="S219" s="280"/>
      <c r="T219" s="297"/>
    </row>
    <row r="220" spans="1:20" x14ac:dyDescent="0.25">
      <c r="A220" s="274" t="s">
        <v>78</v>
      </c>
      <c r="B220" s="274" t="s">
        <v>79</v>
      </c>
      <c r="C220" s="274" t="s">
        <v>3741</v>
      </c>
      <c r="D220" s="274" t="s">
        <v>3742</v>
      </c>
      <c r="E220" s="274" t="s">
        <v>22</v>
      </c>
      <c r="F220" s="274" t="s">
        <v>100</v>
      </c>
      <c r="G220" s="274" t="s">
        <v>101</v>
      </c>
      <c r="H220" s="274" t="s">
        <v>102</v>
      </c>
      <c r="I220" s="274" t="s">
        <v>4089</v>
      </c>
      <c r="J220" s="274" t="s">
        <v>6525</v>
      </c>
      <c r="K220" s="274" t="s">
        <v>3746</v>
      </c>
      <c r="L220" s="274" t="s">
        <v>4090</v>
      </c>
      <c r="M220" s="281">
        <v>1703.15</v>
      </c>
      <c r="N220" s="280"/>
      <c r="O220" s="280"/>
      <c r="P220" s="280"/>
      <c r="Q220" s="280"/>
      <c r="R220" s="280">
        <v>1703.15</v>
      </c>
      <c r="S220" s="280"/>
      <c r="T220" s="297"/>
    </row>
    <row r="221" spans="1:20" x14ac:dyDescent="0.25">
      <c r="A221" s="274" t="s">
        <v>78</v>
      </c>
      <c r="B221" s="274" t="s">
        <v>79</v>
      </c>
      <c r="C221" s="274" t="s">
        <v>3741</v>
      </c>
      <c r="D221" s="274" t="s">
        <v>3742</v>
      </c>
      <c r="E221" s="274" t="s">
        <v>22</v>
      </c>
      <c r="F221" s="274" t="s">
        <v>100</v>
      </c>
      <c r="G221" s="274" t="s">
        <v>101</v>
      </c>
      <c r="H221" s="274" t="s">
        <v>102</v>
      </c>
      <c r="I221" s="274" t="s">
        <v>4091</v>
      </c>
      <c r="J221" s="274" t="s">
        <v>6530</v>
      </c>
      <c r="K221" s="274" t="s">
        <v>3746</v>
      </c>
      <c r="L221" s="274" t="s">
        <v>4092</v>
      </c>
      <c r="M221" s="281">
        <v>462.5</v>
      </c>
      <c r="N221" s="280"/>
      <c r="O221" s="280"/>
      <c r="P221" s="280"/>
      <c r="Q221" s="280"/>
      <c r="R221" s="280">
        <v>462.5</v>
      </c>
      <c r="S221" s="280"/>
      <c r="T221" s="297"/>
    </row>
    <row r="222" spans="1:20" x14ac:dyDescent="0.25">
      <c r="A222" s="274" t="s">
        <v>78</v>
      </c>
      <c r="B222" s="274" t="s">
        <v>79</v>
      </c>
      <c r="C222" s="274" t="s">
        <v>3741</v>
      </c>
      <c r="D222" s="274" t="s">
        <v>3742</v>
      </c>
      <c r="E222" s="274" t="s">
        <v>22</v>
      </c>
      <c r="F222" s="274" t="s">
        <v>100</v>
      </c>
      <c r="G222" s="274" t="s">
        <v>101</v>
      </c>
      <c r="H222" s="274" t="s">
        <v>102</v>
      </c>
      <c r="I222" s="274" t="s">
        <v>4093</v>
      </c>
      <c r="J222" s="274" t="s">
        <v>6530</v>
      </c>
      <c r="K222" s="274" t="s">
        <v>3746</v>
      </c>
      <c r="L222" s="274" t="s">
        <v>4094</v>
      </c>
      <c r="M222" s="281">
        <v>1583.82</v>
      </c>
      <c r="N222" s="280"/>
      <c r="O222" s="280"/>
      <c r="P222" s="280"/>
      <c r="Q222" s="280"/>
      <c r="R222" s="280">
        <v>1583.82</v>
      </c>
      <c r="S222" s="280"/>
      <c r="T222" s="297"/>
    </row>
    <row r="223" spans="1:20" x14ac:dyDescent="0.25">
      <c r="A223" s="274" t="s">
        <v>78</v>
      </c>
      <c r="B223" s="274" t="s">
        <v>79</v>
      </c>
      <c r="C223" s="274" t="s">
        <v>3741</v>
      </c>
      <c r="D223" s="274" t="s">
        <v>3742</v>
      </c>
      <c r="E223" s="274" t="s">
        <v>22</v>
      </c>
      <c r="F223" s="274" t="s">
        <v>100</v>
      </c>
      <c r="G223" s="274" t="s">
        <v>101</v>
      </c>
      <c r="H223" s="274" t="s">
        <v>102</v>
      </c>
      <c r="I223" s="274" t="s">
        <v>4095</v>
      </c>
      <c r="J223" s="274" t="s">
        <v>6521</v>
      </c>
      <c r="K223" s="274" t="s">
        <v>3746</v>
      </c>
      <c r="L223" s="274" t="s">
        <v>4072</v>
      </c>
      <c r="M223" s="281">
        <v>-44508.52</v>
      </c>
      <c r="N223" s="280"/>
      <c r="O223" s="280"/>
      <c r="P223" s="280"/>
      <c r="Q223" s="280"/>
      <c r="R223" s="280">
        <v>-44508.52</v>
      </c>
      <c r="S223" s="280"/>
      <c r="T223" s="297"/>
    </row>
    <row r="224" spans="1:20" x14ac:dyDescent="0.25">
      <c r="A224" s="274" t="s">
        <v>78</v>
      </c>
      <c r="B224" s="274" t="s">
        <v>79</v>
      </c>
      <c r="C224" s="274" t="s">
        <v>3741</v>
      </c>
      <c r="D224" s="274" t="s">
        <v>3742</v>
      </c>
      <c r="E224" s="274" t="s">
        <v>22</v>
      </c>
      <c r="F224" s="274" t="s">
        <v>100</v>
      </c>
      <c r="G224" s="274" t="s">
        <v>101</v>
      </c>
      <c r="H224" s="274" t="s">
        <v>102</v>
      </c>
      <c r="I224" s="274" t="s">
        <v>4096</v>
      </c>
      <c r="J224" s="274" t="s">
        <v>6521</v>
      </c>
      <c r="K224" s="274" t="s">
        <v>3746</v>
      </c>
      <c r="L224" s="274" t="s">
        <v>4072</v>
      </c>
      <c r="M224" s="281">
        <v>44580.52</v>
      </c>
      <c r="N224" s="280"/>
      <c r="O224" s="280"/>
      <c r="P224" s="280"/>
      <c r="Q224" s="280"/>
      <c r="R224" s="280">
        <v>44580.52</v>
      </c>
      <c r="S224" s="280"/>
      <c r="T224" s="297"/>
    </row>
    <row r="225" spans="1:20" x14ac:dyDescent="0.25">
      <c r="A225" s="274" t="s">
        <v>78</v>
      </c>
      <c r="B225" s="274" t="s">
        <v>79</v>
      </c>
      <c r="C225" s="274" t="s">
        <v>3741</v>
      </c>
      <c r="D225" s="274" t="s">
        <v>3742</v>
      </c>
      <c r="E225" s="274" t="s">
        <v>22</v>
      </c>
      <c r="F225" s="274" t="s">
        <v>100</v>
      </c>
      <c r="G225" s="274" t="s">
        <v>101</v>
      </c>
      <c r="H225" s="274" t="s">
        <v>102</v>
      </c>
      <c r="I225" s="274" t="s">
        <v>6182</v>
      </c>
      <c r="J225" s="274" t="s">
        <v>6520</v>
      </c>
      <c r="K225" s="274" t="s">
        <v>3746</v>
      </c>
      <c r="L225" s="274" t="s">
        <v>6183</v>
      </c>
      <c r="M225" s="281">
        <v>232228.48000000001</v>
      </c>
      <c r="N225" s="280"/>
      <c r="O225" s="280"/>
      <c r="P225" s="280"/>
      <c r="Q225" s="280"/>
      <c r="R225" s="280"/>
      <c r="S225" s="280">
        <v>232228.48000000001</v>
      </c>
      <c r="T225" s="297"/>
    </row>
    <row r="226" spans="1:20" x14ac:dyDescent="0.25">
      <c r="A226" s="274" t="s">
        <v>78</v>
      </c>
      <c r="B226" s="274" t="s">
        <v>79</v>
      </c>
      <c r="C226" s="274" t="s">
        <v>3741</v>
      </c>
      <c r="D226" s="274" t="s">
        <v>3742</v>
      </c>
      <c r="E226" s="274" t="s">
        <v>22</v>
      </c>
      <c r="F226" s="274" t="s">
        <v>100</v>
      </c>
      <c r="G226" s="274" t="s">
        <v>101</v>
      </c>
      <c r="H226" s="274" t="s">
        <v>102</v>
      </c>
      <c r="I226" s="274" t="s">
        <v>6184</v>
      </c>
      <c r="J226" s="274" t="s">
        <v>6520</v>
      </c>
      <c r="K226" s="274" t="s">
        <v>3746</v>
      </c>
      <c r="L226" s="274" t="s">
        <v>6185</v>
      </c>
      <c r="M226" s="281">
        <v>48070</v>
      </c>
      <c r="N226" s="280"/>
      <c r="O226" s="280"/>
      <c r="P226" s="280"/>
      <c r="Q226" s="280"/>
      <c r="R226" s="280"/>
      <c r="S226" s="280">
        <v>48070</v>
      </c>
      <c r="T226" s="297"/>
    </row>
    <row r="227" spans="1:20" x14ac:dyDescent="0.25">
      <c r="A227" s="274" t="s">
        <v>78</v>
      </c>
      <c r="B227" s="274" t="s">
        <v>79</v>
      </c>
      <c r="C227" s="274" t="s">
        <v>3741</v>
      </c>
      <c r="D227" s="274" t="s">
        <v>3742</v>
      </c>
      <c r="E227" s="274" t="s">
        <v>22</v>
      </c>
      <c r="F227" s="274" t="s">
        <v>100</v>
      </c>
      <c r="G227" s="274" t="s">
        <v>101</v>
      </c>
      <c r="H227" s="274" t="s">
        <v>102</v>
      </c>
      <c r="I227" s="274" t="s">
        <v>6186</v>
      </c>
      <c r="J227" s="274" t="s">
        <v>6520</v>
      </c>
      <c r="K227" s="274" t="s">
        <v>3746</v>
      </c>
      <c r="L227" s="274" t="s">
        <v>6187</v>
      </c>
      <c r="M227" s="281">
        <v>2462</v>
      </c>
      <c r="N227" s="280"/>
      <c r="O227" s="280"/>
      <c r="P227" s="280"/>
      <c r="Q227" s="280"/>
      <c r="R227" s="280"/>
      <c r="S227" s="280">
        <v>2462</v>
      </c>
      <c r="T227" s="297"/>
    </row>
    <row r="228" spans="1:20" x14ac:dyDescent="0.25">
      <c r="A228" s="274" t="s">
        <v>78</v>
      </c>
      <c r="B228" s="274" t="s">
        <v>79</v>
      </c>
      <c r="C228" s="274" t="s">
        <v>3741</v>
      </c>
      <c r="D228" s="274" t="s">
        <v>3742</v>
      </c>
      <c r="E228" s="274" t="s">
        <v>22</v>
      </c>
      <c r="F228" s="274" t="s">
        <v>100</v>
      </c>
      <c r="G228" s="274" t="s">
        <v>101</v>
      </c>
      <c r="H228" s="274" t="s">
        <v>102</v>
      </c>
      <c r="I228" s="274" t="s">
        <v>6188</v>
      </c>
      <c r="J228" s="274" t="s">
        <v>6521</v>
      </c>
      <c r="K228" s="274" t="s">
        <v>3746</v>
      </c>
      <c r="L228" s="274" t="s">
        <v>6189</v>
      </c>
      <c r="M228" s="281">
        <v>456.3</v>
      </c>
      <c r="N228" s="280"/>
      <c r="O228" s="280"/>
      <c r="P228" s="280"/>
      <c r="Q228" s="280"/>
      <c r="R228" s="280"/>
      <c r="S228" s="280">
        <v>456.3</v>
      </c>
      <c r="T228" s="297"/>
    </row>
    <row r="229" spans="1:20" x14ac:dyDescent="0.25">
      <c r="A229" s="274" t="s">
        <v>78</v>
      </c>
      <c r="B229" s="274" t="s">
        <v>79</v>
      </c>
      <c r="C229" s="274" t="s">
        <v>3741</v>
      </c>
      <c r="D229" s="274" t="s">
        <v>3742</v>
      </c>
      <c r="E229" s="274" t="s">
        <v>22</v>
      </c>
      <c r="F229" s="274" t="s">
        <v>100</v>
      </c>
      <c r="G229" s="274" t="s">
        <v>101</v>
      </c>
      <c r="H229" s="274" t="s">
        <v>102</v>
      </c>
      <c r="I229" s="274" t="s">
        <v>6190</v>
      </c>
      <c r="J229" s="274" t="s">
        <v>6521</v>
      </c>
      <c r="K229" s="274" t="s">
        <v>3746</v>
      </c>
      <c r="L229" s="274" t="s">
        <v>6191</v>
      </c>
      <c r="M229" s="281">
        <v>44580.52</v>
      </c>
      <c r="N229" s="280"/>
      <c r="O229" s="280"/>
      <c r="P229" s="280"/>
      <c r="Q229" s="280"/>
      <c r="R229" s="280"/>
      <c r="S229" s="280">
        <v>44580.52</v>
      </c>
      <c r="T229" s="297"/>
    </row>
    <row r="230" spans="1:20" x14ac:dyDescent="0.25">
      <c r="A230" s="274" t="s">
        <v>78</v>
      </c>
      <c r="B230" s="274" t="s">
        <v>79</v>
      </c>
      <c r="C230" s="274" t="s">
        <v>3741</v>
      </c>
      <c r="D230" s="274" t="s">
        <v>3742</v>
      </c>
      <c r="E230" s="274" t="s">
        <v>22</v>
      </c>
      <c r="F230" s="274" t="s">
        <v>100</v>
      </c>
      <c r="G230" s="274" t="s">
        <v>101</v>
      </c>
      <c r="H230" s="274" t="s">
        <v>102</v>
      </c>
      <c r="I230" s="274" t="s">
        <v>6192</v>
      </c>
      <c r="J230" s="274" t="s">
        <v>6522</v>
      </c>
      <c r="K230" s="274" t="s">
        <v>3746</v>
      </c>
      <c r="L230" s="274" t="s">
        <v>6193</v>
      </c>
      <c r="M230" s="281">
        <v>8437</v>
      </c>
      <c r="N230" s="280"/>
      <c r="O230" s="280"/>
      <c r="P230" s="280"/>
      <c r="Q230" s="280"/>
      <c r="R230" s="280"/>
      <c r="S230" s="280">
        <v>8437</v>
      </c>
      <c r="T230" s="297"/>
    </row>
    <row r="231" spans="1:20" x14ac:dyDescent="0.25">
      <c r="A231" s="274" t="s">
        <v>78</v>
      </c>
      <c r="B231" s="274" t="s">
        <v>79</v>
      </c>
      <c r="C231" s="274" t="s">
        <v>3741</v>
      </c>
      <c r="D231" s="274" t="s">
        <v>3742</v>
      </c>
      <c r="E231" s="274" t="s">
        <v>22</v>
      </c>
      <c r="F231" s="274" t="s">
        <v>100</v>
      </c>
      <c r="G231" s="274" t="s">
        <v>101</v>
      </c>
      <c r="H231" s="274" t="s">
        <v>102</v>
      </c>
      <c r="I231" s="274" t="s">
        <v>6194</v>
      </c>
      <c r="J231" s="274" t="s">
        <v>6522</v>
      </c>
      <c r="K231" s="274" t="s">
        <v>3746</v>
      </c>
      <c r="L231" s="274" t="s">
        <v>6195</v>
      </c>
      <c r="M231" s="281">
        <v>4580</v>
      </c>
      <c r="N231" s="280"/>
      <c r="O231" s="280"/>
      <c r="P231" s="280"/>
      <c r="Q231" s="280"/>
      <c r="R231" s="280"/>
      <c r="S231" s="280">
        <v>4580</v>
      </c>
      <c r="T231" s="297"/>
    </row>
    <row r="232" spans="1:20" x14ac:dyDescent="0.25">
      <c r="A232" s="274" t="s">
        <v>78</v>
      </c>
      <c r="B232" s="274" t="s">
        <v>79</v>
      </c>
      <c r="C232" s="274" t="s">
        <v>3741</v>
      </c>
      <c r="D232" s="274" t="s">
        <v>3742</v>
      </c>
      <c r="E232" s="274" t="s">
        <v>22</v>
      </c>
      <c r="F232" s="274" t="s">
        <v>100</v>
      </c>
      <c r="G232" s="274" t="s">
        <v>101</v>
      </c>
      <c r="H232" s="274" t="s">
        <v>102</v>
      </c>
      <c r="I232" s="274" t="s">
        <v>6196</v>
      </c>
      <c r="J232" s="274" t="s">
        <v>6522</v>
      </c>
      <c r="K232" s="274" t="s">
        <v>3746</v>
      </c>
      <c r="L232" s="274" t="s">
        <v>6197</v>
      </c>
      <c r="M232" s="281">
        <v>42462.01</v>
      </c>
      <c r="N232" s="280"/>
      <c r="O232" s="280"/>
      <c r="P232" s="280"/>
      <c r="Q232" s="280"/>
      <c r="R232" s="280"/>
      <c r="S232" s="280">
        <v>42462.01</v>
      </c>
      <c r="T232" s="297"/>
    </row>
    <row r="233" spans="1:20" x14ac:dyDescent="0.25">
      <c r="A233" s="274" t="s">
        <v>78</v>
      </c>
      <c r="B233" s="274" t="s">
        <v>79</v>
      </c>
      <c r="C233" s="274" t="s">
        <v>3741</v>
      </c>
      <c r="D233" s="274" t="s">
        <v>3742</v>
      </c>
      <c r="E233" s="274" t="s">
        <v>22</v>
      </c>
      <c r="F233" s="274" t="s">
        <v>100</v>
      </c>
      <c r="G233" s="274" t="s">
        <v>101</v>
      </c>
      <c r="H233" s="274" t="s">
        <v>102</v>
      </c>
      <c r="I233" s="274" t="s">
        <v>6198</v>
      </c>
      <c r="J233" s="274" t="s">
        <v>6529</v>
      </c>
      <c r="K233" s="274" t="s">
        <v>3746</v>
      </c>
      <c r="L233" s="274" t="s">
        <v>6199</v>
      </c>
      <c r="M233" s="281">
        <v>27404</v>
      </c>
      <c r="N233" s="280"/>
      <c r="O233" s="280"/>
      <c r="P233" s="280"/>
      <c r="Q233" s="280"/>
      <c r="R233" s="280"/>
      <c r="S233" s="280">
        <v>27404</v>
      </c>
      <c r="T233" s="297"/>
    </row>
    <row r="234" spans="1:20" x14ac:dyDescent="0.25">
      <c r="A234" s="274" t="s">
        <v>78</v>
      </c>
      <c r="B234" s="274" t="s">
        <v>79</v>
      </c>
      <c r="C234" s="274" t="s">
        <v>3741</v>
      </c>
      <c r="D234" s="274" t="s">
        <v>3742</v>
      </c>
      <c r="E234" s="274" t="s">
        <v>22</v>
      </c>
      <c r="F234" s="274" t="s">
        <v>100</v>
      </c>
      <c r="G234" s="274" t="s">
        <v>101</v>
      </c>
      <c r="H234" s="274" t="s">
        <v>102</v>
      </c>
      <c r="I234" s="274" t="s">
        <v>6200</v>
      </c>
      <c r="J234" s="274" t="s">
        <v>6523</v>
      </c>
      <c r="K234" s="274" t="s">
        <v>3746</v>
      </c>
      <c r="L234" s="274" t="s">
        <v>6201</v>
      </c>
      <c r="M234" s="281">
        <v>2242</v>
      </c>
      <c r="N234" s="280"/>
      <c r="O234" s="280"/>
      <c r="P234" s="280"/>
      <c r="Q234" s="280"/>
      <c r="R234" s="280"/>
      <c r="S234" s="280">
        <v>2242</v>
      </c>
      <c r="T234" s="297"/>
    </row>
    <row r="235" spans="1:20" x14ac:dyDescent="0.25">
      <c r="A235" s="274" t="s">
        <v>78</v>
      </c>
      <c r="B235" s="274" t="s">
        <v>79</v>
      </c>
      <c r="C235" s="274" t="s">
        <v>3741</v>
      </c>
      <c r="D235" s="274" t="s">
        <v>3742</v>
      </c>
      <c r="E235" s="274" t="s">
        <v>22</v>
      </c>
      <c r="F235" s="274" t="s">
        <v>100</v>
      </c>
      <c r="G235" s="274" t="s">
        <v>101</v>
      </c>
      <c r="H235" s="274" t="s">
        <v>102</v>
      </c>
      <c r="I235" s="274" t="s">
        <v>6202</v>
      </c>
      <c r="J235" s="274" t="s">
        <v>6524</v>
      </c>
      <c r="K235" s="274" t="s">
        <v>3746</v>
      </c>
      <c r="L235" s="274" t="s">
        <v>6203</v>
      </c>
      <c r="M235" s="281">
        <v>21178</v>
      </c>
      <c r="N235" s="280"/>
      <c r="O235" s="280"/>
      <c r="P235" s="280"/>
      <c r="Q235" s="280"/>
      <c r="R235" s="280"/>
      <c r="S235" s="280">
        <v>21178</v>
      </c>
      <c r="T235" s="297"/>
    </row>
    <row r="236" spans="1:20" x14ac:dyDescent="0.25">
      <c r="A236" s="274" t="s">
        <v>78</v>
      </c>
      <c r="B236" s="274" t="s">
        <v>79</v>
      </c>
      <c r="C236" s="274" t="s">
        <v>3741</v>
      </c>
      <c r="D236" s="274" t="s">
        <v>3742</v>
      </c>
      <c r="E236" s="274" t="s">
        <v>22</v>
      </c>
      <c r="F236" s="274" t="s">
        <v>100</v>
      </c>
      <c r="G236" s="274" t="s">
        <v>101</v>
      </c>
      <c r="H236" s="274" t="s">
        <v>102</v>
      </c>
      <c r="I236" s="274" t="s">
        <v>6204</v>
      </c>
      <c r="J236" s="274" t="s">
        <v>6524</v>
      </c>
      <c r="K236" s="274" t="s">
        <v>3746</v>
      </c>
      <c r="L236" s="274" t="s">
        <v>6205</v>
      </c>
      <c r="M236" s="281">
        <v>1381</v>
      </c>
      <c r="N236" s="280"/>
      <c r="O236" s="280"/>
      <c r="P236" s="280"/>
      <c r="Q236" s="280"/>
      <c r="R236" s="280"/>
      <c r="S236" s="280">
        <v>1381</v>
      </c>
      <c r="T236" s="297"/>
    </row>
    <row r="237" spans="1:20" x14ac:dyDescent="0.25">
      <c r="A237" s="274" t="s">
        <v>78</v>
      </c>
      <c r="B237" s="274" t="s">
        <v>79</v>
      </c>
      <c r="C237" s="274" t="s">
        <v>3741</v>
      </c>
      <c r="D237" s="274" t="s">
        <v>3742</v>
      </c>
      <c r="E237" s="274" t="s">
        <v>22</v>
      </c>
      <c r="F237" s="274" t="s">
        <v>100</v>
      </c>
      <c r="G237" s="274" t="s">
        <v>101</v>
      </c>
      <c r="H237" s="274" t="s">
        <v>102</v>
      </c>
      <c r="I237" s="274" t="s">
        <v>6206</v>
      </c>
      <c r="J237" s="274" t="s">
        <v>6525</v>
      </c>
      <c r="K237" s="274" t="s">
        <v>3746</v>
      </c>
      <c r="L237" s="274" t="s">
        <v>6207</v>
      </c>
      <c r="M237" s="281">
        <v>1597.05</v>
      </c>
      <c r="N237" s="280"/>
      <c r="O237" s="280"/>
      <c r="P237" s="280"/>
      <c r="Q237" s="280"/>
      <c r="R237" s="280"/>
      <c r="S237" s="280">
        <v>1597.05</v>
      </c>
      <c r="T237" s="297"/>
    </row>
    <row r="238" spans="1:20" x14ac:dyDescent="0.25">
      <c r="A238" s="274" t="s">
        <v>78</v>
      </c>
      <c r="B238" s="274" t="s">
        <v>79</v>
      </c>
      <c r="C238" s="274" t="s">
        <v>3741</v>
      </c>
      <c r="D238" s="274" t="s">
        <v>3742</v>
      </c>
      <c r="E238" s="274" t="s">
        <v>22</v>
      </c>
      <c r="F238" s="274" t="s">
        <v>100</v>
      </c>
      <c r="G238" s="274" t="s">
        <v>101</v>
      </c>
      <c r="H238" s="274" t="s">
        <v>102</v>
      </c>
      <c r="I238" s="274" t="s">
        <v>4097</v>
      </c>
      <c r="J238" s="274" t="s">
        <v>6525</v>
      </c>
      <c r="K238" s="274" t="s">
        <v>3746</v>
      </c>
      <c r="L238" s="274" t="s">
        <v>3983</v>
      </c>
      <c r="M238" s="281">
        <v>-15</v>
      </c>
      <c r="N238" s="280"/>
      <c r="O238" s="280">
        <v>-15</v>
      </c>
      <c r="P238" s="280"/>
      <c r="Q238" s="280"/>
      <c r="R238" s="280"/>
      <c r="S238" s="280"/>
      <c r="T238" s="297"/>
    </row>
    <row r="239" spans="1:20" x14ac:dyDescent="0.25">
      <c r="A239" s="274" t="s">
        <v>78</v>
      </c>
      <c r="B239" s="274" t="s">
        <v>79</v>
      </c>
      <c r="C239" s="274" t="s">
        <v>3741</v>
      </c>
      <c r="D239" s="274" t="s">
        <v>3742</v>
      </c>
      <c r="E239" s="274" t="s">
        <v>22</v>
      </c>
      <c r="F239" s="274" t="s">
        <v>100</v>
      </c>
      <c r="G239" s="274" t="s">
        <v>101</v>
      </c>
      <c r="H239" s="274" t="s">
        <v>102</v>
      </c>
      <c r="I239" s="274" t="s">
        <v>4098</v>
      </c>
      <c r="J239" s="274" t="s">
        <v>6525</v>
      </c>
      <c r="K239" s="274" t="s">
        <v>3746</v>
      </c>
      <c r="L239" s="274" t="s">
        <v>3983</v>
      </c>
      <c r="M239" s="281">
        <v>15</v>
      </c>
      <c r="N239" s="280"/>
      <c r="O239" s="280">
        <v>15</v>
      </c>
      <c r="P239" s="280"/>
      <c r="Q239" s="280"/>
      <c r="R239" s="280"/>
      <c r="S239" s="280"/>
      <c r="T239" s="297"/>
    </row>
    <row r="240" spans="1:20" x14ac:dyDescent="0.25">
      <c r="A240" s="274" t="s">
        <v>78</v>
      </c>
      <c r="B240" s="274" t="s">
        <v>79</v>
      </c>
      <c r="C240" s="274" t="s">
        <v>3741</v>
      </c>
      <c r="D240" s="274" t="s">
        <v>3742</v>
      </c>
      <c r="E240" s="274" t="s">
        <v>22</v>
      </c>
      <c r="F240" s="274" t="s">
        <v>100</v>
      </c>
      <c r="G240" s="274" t="s">
        <v>101</v>
      </c>
      <c r="H240" s="274" t="s">
        <v>102</v>
      </c>
      <c r="I240" s="274" t="s">
        <v>4099</v>
      </c>
      <c r="J240" s="274" t="s">
        <v>6525</v>
      </c>
      <c r="K240" s="274" t="s">
        <v>3746</v>
      </c>
      <c r="L240" s="274" t="s">
        <v>3983</v>
      </c>
      <c r="M240" s="281">
        <v>-15</v>
      </c>
      <c r="N240" s="280"/>
      <c r="O240" s="280">
        <v>-15</v>
      </c>
      <c r="P240" s="280"/>
      <c r="Q240" s="280"/>
      <c r="R240" s="280"/>
      <c r="S240" s="280"/>
      <c r="T240" s="297"/>
    </row>
    <row r="241" spans="1:20" x14ac:dyDescent="0.25">
      <c r="A241" s="274" t="s">
        <v>78</v>
      </c>
      <c r="B241" s="274" t="s">
        <v>79</v>
      </c>
      <c r="C241" s="274" t="s">
        <v>3741</v>
      </c>
      <c r="D241" s="274" t="s">
        <v>3742</v>
      </c>
      <c r="E241" s="274" t="s">
        <v>22</v>
      </c>
      <c r="F241" s="274" t="s">
        <v>100</v>
      </c>
      <c r="G241" s="274" t="s">
        <v>101</v>
      </c>
      <c r="H241" s="274" t="s">
        <v>102</v>
      </c>
      <c r="I241" s="274" t="s">
        <v>4100</v>
      </c>
      <c r="J241" s="274" t="s">
        <v>6525</v>
      </c>
      <c r="K241" s="274" t="s">
        <v>3746</v>
      </c>
      <c r="L241" s="274" t="s">
        <v>3983</v>
      </c>
      <c r="M241" s="281">
        <v>15</v>
      </c>
      <c r="N241" s="280"/>
      <c r="O241" s="280"/>
      <c r="P241" s="280">
        <v>15</v>
      </c>
      <c r="Q241" s="280"/>
      <c r="R241" s="280"/>
      <c r="S241" s="280"/>
      <c r="T241" s="297"/>
    </row>
    <row r="242" spans="1:20" x14ac:dyDescent="0.25">
      <c r="A242" s="274" t="s">
        <v>78</v>
      </c>
      <c r="B242" s="274" t="s">
        <v>79</v>
      </c>
      <c r="C242" s="274" t="s">
        <v>3741</v>
      </c>
      <c r="D242" s="274" t="s">
        <v>3742</v>
      </c>
      <c r="E242" s="274" t="s">
        <v>22</v>
      </c>
      <c r="F242" s="274" t="s">
        <v>100</v>
      </c>
      <c r="G242" s="274" t="s">
        <v>101</v>
      </c>
      <c r="H242" s="274" t="s">
        <v>102</v>
      </c>
      <c r="I242" s="274" t="s">
        <v>4101</v>
      </c>
      <c r="J242" s="274" t="s">
        <v>6525</v>
      </c>
      <c r="K242" s="274" t="s">
        <v>3746</v>
      </c>
      <c r="L242" s="274" t="s">
        <v>3983</v>
      </c>
      <c r="M242" s="281">
        <v>-15</v>
      </c>
      <c r="N242" s="280"/>
      <c r="O242" s="280"/>
      <c r="P242" s="280">
        <v>-15</v>
      </c>
      <c r="Q242" s="280"/>
      <c r="R242" s="280"/>
      <c r="S242" s="280"/>
      <c r="T242" s="297"/>
    </row>
    <row r="243" spans="1:20" x14ac:dyDescent="0.25">
      <c r="A243" s="274" t="s">
        <v>78</v>
      </c>
      <c r="B243" s="274" t="s">
        <v>79</v>
      </c>
      <c r="C243" s="274" t="s">
        <v>3741</v>
      </c>
      <c r="D243" s="274" t="s">
        <v>3742</v>
      </c>
      <c r="E243" s="274" t="s">
        <v>22</v>
      </c>
      <c r="F243" s="274" t="s">
        <v>100</v>
      </c>
      <c r="G243" s="274" t="s">
        <v>101</v>
      </c>
      <c r="H243" s="274" t="s">
        <v>102</v>
      </c>
      <c r="I243" s="274" t="s">
        <v>4102</v>
      </c>
      <c r="J243" s="274" t="s">
        <v>6525</v>
      </c>
      <c r="K243" s="274" t="s">
        <v>3746</v>
      </c>
      <c r="L243" s="274" t="s">
        <v>3983</v>
      </c>
      <c r="M243" s="281">
        <v>15</v>
      </c>
      <c r="N243" s="280"/>
      <c r="O243" s="280"/>
      <c r="P243" s="280">
        <v>15</v>
      </c>
      <c r="Q243" s="280"/>
      <c r="R243" s="280"/>
      <c r="S243" s="280"/>
      <c r="T243" s="297"/>
    </row>
    <row r="244" spans="1:20" x14ac:dyDescent="0.25">
      <c r="A244" s="274" t="s">
        <v>78</v>
      </c>
      <c r="B244" s="274" t="s">
        <v>79</v>
      </c>
      <c r="C244" s="274" t="s">
        <v>3741</v>
      </c>
      <c r="D244" s="274" t="s">
        <v>3742</v>
      </c>
      <c r="E244" s="274" t="s">
        <v>22</v>
      </c>
      <c r="F244" s="274" t="s">
        <v>100</v>
      </c>
      <c r="G244" s="274" t="s">
        <v>101</v>
      </c>
      <c r="H244" s="274" t="s">
        <v>102</v>
      </c>
      <c r="I244" s="274" t="s">
        <v>4103</v>
      </c>
      <c r="J244" s="274" t="s">
        <v>6520</v>
      </c>
      <c r="K244" s="274" t="s">
        <v>3746</v>
      </c>
      <c r="L244" s="274" t="s">
        <v>3886</v>
      </c>
      <c r="M244" s="281">
        <v>-5937.33</v>
      </c>
      <c r="N244" s="280"/>
      <c r="O244" s="280">
        <v>-5937.33</v>
      </c>
      <c r="P244" s="280"/>
      <c r="Q244" s="280"/>
      <c r="R244" s="280"/>
      <c r="S244" s="280"/>
      <c r="T244" s="297"/>
    </row>
    <row r="245" spans="1:20" x14ac:dyDescent="0.25">
      <c r="A245" s="274" t="s">
        <v>78</v>
      </c>
      <c r="B245" s="274" t="s">
        <v>79</v>
      </c>
      <c r="C245" s="274" t="s">
        <v>3741</v>
      </c>
      <c r="D245" s="274" t="s">
        <v>3742</v>
      </c>
      <c r="E245" s="274" t="s">
        <v>22</v>
      </c>
      <c r="F245" s="274" t="s">
        <v>100</v>
      </c>
      <c r="G245" s="274" t="s">
        <v>103</v>
      </c>
      <c r="H245" s="274" t="s">
        <v>104</v>
      </c>
      <c r="I245" s="274" t="s">
        <v>4104</v>
      </c>
      <c r="J245" s="274" t="s">
        <v>6531</v>
      </c>
      <c r="K245" s="274" t="s">
        <v>3746</v>
      </c>
      <c r="L245" s="274" t="s">
        <v>4105</v>
      </c>
      <c r="M245" s="281">
        <v>1800</v>
      </c>
      <c r="N245" s="280">
        <v>1800</v>
      </c>
      <c r="O245" s="280"/>
      <c r="P245" s="280"/>
      <c r="Q245" s="280"/>
      <c r="R245" s="280"/>
      <c r="S245" s="280"/>
      <c r="T245" s="297"/>
    </row>
    <row r="246" spans="1:20" x14ac:dyDescent="0.25">
      <c r="A246" s="274" t="s">
        <v>78</v>
      </c>
      <c r="B246" s="274" t="s">
        <v>79</v>
      </c>
      <c r="C246" s="274" t="s">
        <v>3741</v>
      </c>
      <c r="D246" s="274" t="s">
        <v>3742</v>
      </c>
      <c r="E246" s="274" t="s">
        <v>22</v>
      </c>
      <c r="F246" s="274" t="s">
        <v>100</v>
      </c>
      <c r="G246" s="274" t="s">
        <v>105</v>
      </c>
      <c r="H246" s="274" t="s">
        <v>106</v>
      </c>
      <c r="I246" s="274" t="s">
        <v>4106</v>
      </c>
      <c r="J246" s="274" t="s">
        <v>6532</v>
      </c>
      <c r="K246" s="274" t="s">
        <v>3746</v>
      </c>
      <c r="L246" s="274" t="s">
        <v>4107</v>
      </c>
      <c r="M246" s="281">
        <v>4758.03</v>
      </c>
      <c r="N246" s="280">
        <v>4758.03</v>
      </c>
      <c r="O246" s="280"/>
      <c r="P246" s="280"/>
      <c r="Q246" s="280"/>
      <c r="R246" s="280"/>
      <c r="S246" s="280"/>
      <c r="T246" s="297"/>
    </row>
    <row r="247" spans="1:20" x14ac:dyDescent="0.25">
      <c r="A247" s="274" t="s">
        <v>78</v>
      </c>
      <c r="B247" s="274" t="s">
        <v>79</v>
      </c>
      <c r="C247" s="274" t="s">
        <v>3741</v>
      </c>
      <c r="D247" s="274" t="s">
        <v>3742</v>
      </c>
      <c r="E247" s="274" t="s">
        <v>22</v>
      </c>
      <c r="F247" s="274" t="s">
        <v>100</v>
      </c>
      <c r="G247" s="274" t="s">
        <v>105</v>
      </c>
      <c r="H247" s="274" t="s">
        <v>106</v>
      </c>
      <c r="I247" s="274" t="s">
        <v>4108</v>
      </c>
      <c r="J247" s="274" t="s">
        <v>6532</v>
      </c>
      <c r="K247" s="274" t="s">
        <v>6506</v>
      </c>
      <c r="L247" s="274" t="s">
        <v>4109</v>
      </c>
      <c r="M247" s="281">
        <v>4545.8500000000004</v>
      </c>
      <c r="N247" s="280">
        <v>4545.8500000000004</v>
      </c>
      <c r="O247" s="280"/>
      <c r="P247" s="280"/>
      <c r="Q247" s="280"/>
      <c r="R247" s="280"/>
      <c r="S247" s="280"/>
      <c r="T247" s="297"/>
    </row>
    <row r="248" spans="1:20" x14ac:dyDescent="0.25">
      <c r="A248" s="274" t="s">
        <v>78</v>
      </c>
      <c r="B248" s="274" t="s">
        <v>79</v>
      </c>
      <c r="C248" s="274" t="s">
        <v>3741</v>
      </c>
      <c r="D248" s="274" t="s">
        <v>3742</v>
      </c>
      <c r="E248" s="274" t="s">
        <v>22</v>
      </c>
      <c r="F248" s="274" t="s">
        <v>100</v>
      </c>
      <c r="G248" s="274" t="s">
        <v>105</v>
      </c>
      <c r="H248" s="274" t="s">
        <v>106</v>
      </c>
      <c r="I248" s="274" t="s">
        <v>4110</v>
      </c>
      <c r="J248" s="274" t="s">
        <v>6532</v>
      </c>
      <c r="K248" s="274" t="s">
        <v>3746</v>
      </c>
      <c r="L248" s="274" t="s">
        <v>4111</v>
      </c>
      <c r="M248" s="281">
        <v>4758.03</v>
      </c>
      <c r="N248" s="280"/>
      <c r="O248" s="280">
        <v>4758.03</v>
      </c>
      <c r="P248" s="280"/>
      <c r="Q248" s="280"/>
      <c r="R248" s="280"/>
      <c r="S248" s="280"/>
      <c r="T248" s="297"/>
    </row>
    <row r="249" spans="1:20" x14ac:dyDescent="0.25">
      <c r="A249" s="274" t="s">
        <v>78</v>
      </c>
      <c r="B249" s="274" t="s">
        <v>79</v>
      </c>
      <c r="C249" s="274" t="s">
        <v>3741</v>
      </c>
      <c r="D249" s="274" t="s">
        <v>3742</v>
      </c>
      <c r="E249" s="274" t="s">
        <v>22</v>
      </c>
      <c r="F249" s="274" t="s">
        <v>100</v>
      </c>
      <c r="G249" s="274" t="s">
        <v>105</v>
      </c>
      <c r="H249" s="274" t="s">
        <v>106</v>
      </c>
      <c r="I249" s="274" t="s">
        <v>4112</v>
      </c>
      <c r="J249" s="274" t="s">
        <v>6532</v>
      </c>
      <c r="K249" s="274" t="s">
        <v>6506</v>
      </c>
      <c r="L249" s="274" t="s">
        <v>4113</v>
      </c>
      <c r="M249" s="281">
        <v>4545.8500000000004</v>
      </c>
      <c r="N249" s="280"/>
      <c r="O249" s="280">
        <v>4545.8500000000004</v>
      </c>
      <c r="P249" s="280"/>
      <c r="Q249" s="280"/>
      <c r="R249" s="280"/>
      <c r="S249" s="280"/>
      <c r="T249" s="297"/>
    </row>
    <row r="250" spans="1:20" x14ac:dyDescent="0.25">
      <c r="A250" s="274" t="s">
        <v>78</v>
      </c>
      <c r="B250" s="274" t="s">
        <v>79</v>
      </c>
      <c r="C250" s="274" t="s">
        <v>3741</v>
      </c>
      <c r="D250" s="274" t="s">
        <v>3742</v>
      </c>
      <c r="E250" s="274" t="s">
        <v>22</v>
      </c>
      <c r="F250" s="274" t="s">
        <v>100</v>
      </c>
      <c r="G250" s="274" t="s">
        <v>105</v>
      </c>
      <c r="H250" s="274" t="s">
        <v>106</v>
      </c>
      <c r="I250" s="274" t="s">
        <v>4114</v>
      </c>
      <c r="J250" s="274" t="s">
        <v>6532</v>
      </c>
      <c r="K250" s="274" t="s">
        <v>3746</v>
      </c>
      <c r="L250" s="274" t="s">
        <v>4115</v>
      </c>
      <c r="M250" s="281">
        <v>82.5</v>
      </c>
      <c r="N250" s="280"/>
      <c r="O250" s="280">
        <v>82.5</v>
      </c>
      <c r="P250" s="280"/>
      <c r="Q250" s="280"/>
      <c r="R250" s="280"/>
      <c r="S250" s="280"/>
      <c r="T250" s="297"/>
    </row>
    <row r="251" spans="1:20" x14ac:dyDescent="0.25">
      <c r="A251" s="274" t="s">
        <v>78</v>
      </c>
      <c r="B251" s="274" t="s">
        <v>79</v>
      </c>
      <c r="C251" s="274" t="s">
        <v>3741</v>
      </c>
      <c r="D251" s="274" t="s">
        <v>3742</v>
      </c>
      <c r="E251" s="274" t="s">
        <v>22</v>
      </c>
      <c r="F251" s="274" t="s">
        <v>100</v>
      </c>
      <c r="G251" s="274" t="s">
        <v>105</v>
      </c>
      <c r="H251" s="274" t="s">
        <v>106</v>
      </c>
      <c r="I251" s="274" t="s">
        <v>4116</v>
      </c>
      <c r="J251" s="274" t="s">
        <v>6532</v>
      </c>
      <c r="K251" s="274" t="s">
        <v>3746</v>
      </c>
      <c r="L251" s="274" t="s">
        <v>4117</v>
      </c>
      <c r="M251" s="281">
        <v>4758.03</v>
      </c>
      <c r="N251" s="280"/>
      <c r="O251" s="280"/>
      <c r="P251" s="280">
        <v>4758.03</v>
      </c>
      <c r="Q251" s="280"/>
      <c r="R251" s="280"/>
      <c r="S251" s="280"/>
      <c r="T251" s="297"/>
    </row>
    <row r="252" spans="1:20" x14ac:dyDescent="0.25">
      <c r="A252" s="274" t="s">
        <v>78</v>
      </c>
      <c r="B252" s="274" t="s">
        <v>79</v>
      </c>
      <c r="C252" s="274" t="s">
        <v>3741</v>
      </c>
      <c r="D252" s="274" t="s">
        <v>3742</v>
      </c>
      <c r="E252" s="274" t="s">
        <v>22</v>
      </c>
      <c r="F252" s="274" t="s">
        <v>100</v>
      </c>
      <c r="G252" s="274" t="s">
        <v>105</v>
      </c>
      <c r="H252" s="274" t="s">
        <v>106</v>
      </c>
      <c r="I252" s="274" t="s">
        <v>4118</v>
      </c>
      <c r="J252" s="274" t="s">
        <v>6532</v>
      </c>
      <c r="K252" s="274" t="s">
        <v>6506</v>
      </c>
      <c r="L252" s="274" t="s">
        <v>4119</v>
      </c>
      <c r="M252" s="281">
        <v>4545.8500000000004</v>
      </c>
      <c r="N252" s="280"/>
      <c r="O252" s="280"/>
      <c r="P252" s="280">
        <v>4545.8500000000004</v>
      </c>
      <c r="Q252" s="280"/>
      <c r="R252" s="280"/>
      <c r="S252" s="280"/>
      <c r="T252" s="297"/>
    </row>
    <row r="253" spans="1:20" x14ac:dyDescent="0.25">
      <c r="A253" s="274" t="s">
        <v>78</v>
      </c>
      <c r="B253" s="274" t="s">
        <v>79</v>
      </c>
      <c r="C253" s="274" t="s">
        <v>3741</v>
      </c>
      <c r="D253" s="274" t="s">
        <v>3742</v>
      </c>
      <c r="E253" s="274" t="s">
        <v>22</v>
      </c>
      <c r="F253" s="274" t="s">
        <v>100</v>
      </c>
      <c r="G253" s="274" t="s">
        <v>105</v>
      </c>
      <c r="H253" s="274" t="s">
        <v>106</v>
      </c>
      <c r="I253" s="274" t="s">
        <v>4120</v>
      </c>
      <c r="J253" s="274" t="s">
        <v>6532</v>
      </c>
      <c r="K253" s="274" t="s">
        <v>3746</v>
      </c>
      <c r="L253" s="274" t="s">
        <v>4121</v>
      </c>
      <c r="M253" s="281">
        <v>4895.07</v>
      </c>
      <c r="N253" s="280"/>
      <c r="O253" s="280"/>
      <c r="P253" s="280"/>
      <c r="Q253" s="280">
        <v>4895.07</v>
      </c>
      <c r="R253" s="280"/>
      <c r="S253" s="280"/>
      <c r="T253" s="297"/>
    </row>
    <row r="254" spans="1:20" x14ac:dyDescent="0.25">
      <c r="A254" s="274" t="s">
        <v>78</v>
      </c>
      <c r="B254" s="274" t="s">
        <v>79</v>
      </c>
      <c r="C254" s="274" t="s">
        <v>3741</v>
      </c>
      <c r="D254" s="274" t="s">
        <v>3742</v>
      </c>
      <c r="E254" s="274" t="s">
        <v>22</v>
      </c>
      <c r="F254" s="274" t="s">
        <v>100</v>
      </c>
      <c r="G254" s="274" t="s">
        <v>105</v>
      </c>
      <c r="H254" s="274" t="s">
        <v>106</v>
      </c>
      <c r="I254" s="274" t="s">
        <v>4122</v>
      </c>
      <c r="J254" s="274" t="s">
        <v>6532</v>
      </c>
      <c r="K254" s="274" t="s">
        <v>6506</v>
      </c>
      <c r="L254" s="274" t="s">
        <v>4123</v>
      </c>
      <c r="M254" s="281">
        <v>4676.53</v>
      </c>
      <c r="N254" s="280"/>
      <c r="O254" s="280"/>
      <c r="P254" s="280"/>
      <c r="Q254" s="280">
        <v>4676.53</v>
      </c>
      <c r="R254" s="280"/>
      <c r="S254" s="280"/>
      <c r="T254" s="297"/>
    </row>
    <row r="255" spans="1:20" x14ac:dyDescent="0.25">
      <c r="A255" s="274" t="s">
        <v>78</v>
      </c>
      <c r="B255" s="274" t="s">
        <v>79</v>
      </c>
      <c r="C255" s="274" t="s">
        <v>3741</v>
      </c>
      <c r="D255" s="274" t="s">
        <v>3742</v>
      </c>
      <c r="E255" s="274" t="s">
        <v>22</v>
      </c>
      <c r="F255" s="274" t="s">
        <v>100</v>
      </c>
      <c r="G255" s="274" t="s">
        <v>105</v>
      </c>
      <c r="H255" s="274" t="s">
        <v>106</v>
      </c>
      <c r="I255" s="274" t="s">
        <v>4124</v>
      </c>
      <c r="J255" s="274" t="s">
        <v>6532</v>
      </c>
      <c r="K255" s="274" t="s">
        <v>6506</v>
      </c>
      <c r="L255" s="274" t="s">
        <v>4125</v>
      </c>
      <c r="M255" s="281">
        <v>4676.53</v>
      </c>
      <c r="N255" s="280"/>
      <c r="O255" s="280"/>
      <c r="P255" s="280"/>
      <c r="Q255" s="280"/>
      <c r="R255" s="280">
        <v>4676.53</v>
      </c>
      <c r="S255" s="280"/>
      <c r="T255" s="297"/>
    </row>
    <row r="256" spans="1:20" x14ac:dyDescent="0.25">
      <c r="A256" s="274" t="s">
        <v>78</v>
      </c>
      <c r="B256" s="274" t="s">
        <v>79</v>
      </c>
      <c r="C256" s="274" t="s">
        <v>3741</v>
      </c>
      <c r="D256" s="274" t="s">
        <v>3742</v>
      </c>
      <c r="E256" s="274" t="s">
        <v>22</v>
      </c>
      <c r="F256" s="274" t="s">
        <v>100</v>
      </c>
      <c r="G256" s="274" t="s">
        <v>105</v>
      </c>
      <c r="H256" s="274" t="s">
        <v>106</v>
      </c>
      <c r="I256" s="274" t="s">
        <v>4126</v>
      </c>
      <c r="J256" s="274" t="s">
        <v>6532</v>
      </c>
      <c r="K256" s="274" t="s">
        <v>3746</v>
      </c>
      <c r="L256" s="274" t="s">
        <v>4127</v>
      </c>
      <c r="M256" s="281">
        <v>4895.07</v>
      </c>
      <c r="N256" s="280"/>
      <c r="O256" s="280"/>
      <c r="P256" s="280"/>
      <c r="Q256" s="280"/>
      <c r="R256" s="280">
        <v>4895.07</v>
      </c>
      <c r="S256" s="280"/>
      <c r="T256" s="297"/>
    </row>
    <row r="257" spans="1:20" x14ac:dyDescent="0.25">
      <c r="A257" s="274" t="s">
        <v>78</v>
      </c>
      <c r="B257" s="274" t="s">
        <v>79</v>
      </c>
      <c r="C257" s="274" t="s">
        <v>3741</v>
      </c>
      <c r="D257" s="274" t="s">
        <v>3742</v>
      </c>
      <c r="E257" s="274" t="s">
        <v>22</v>
      </c>
      <c r="F257" s="274" t="s">
        <v>100</v>
      </c>
      <c r="G257" s="274" t="s">
        <v>105</v>
      </c>
      <c r="H257" s="274" t="s">
        <v>106</v>
      </c>
      <c r="I257" s="274" t="s">
        <v>6208</v>
      </c>
      <c r="J257" s="274" t="s">
        <v>6532</v>
      </c>
      <c r="K257" s="274" t="s">
        <v>3746</v>
      </c>
      <c r="L257" s="274" t="s">
        <v>6209</v>
      </c>
      <c r="M257" s="281">
        <v>4895.07</v>
      </c>
      <c r="N257" s="280"/>
      <c r="O257" s="280"/>
      <c r="P257" s="280"/>
      <c r="Q257" s="280"/>
      <c r="R257" s="280"/>
      <c r="S257" s="280">
        <v>4895.07</v>
      </c>
      <c r="T257" s="297"/>
    </row>
    <row r="258" spans="1:20" x14ac:dyDescent="0.25">
      <c r="A258" s="274" t="s">
        <v>78</v>
      </c>
      <c r="B258" s="274" t="s">
        <v>79</v>
      </c>
      <c r="C258" s="274" t="s">
        <v>3741</v>
      </c>
      <c r="D258" s="274" t="s">
        <v>3742</v>
      </c>
      <c r="E258" s="274" t="s">
        <v>22</v>
      </c>
      <c r="F258" s="274" t="s">
        <v>100</v>
      </c>
      <c r="G258" s="274" t="s">
        <v>105</v>
      </c>
      <c r="H258" s="274" t="s">
        <v>106</v>
      </c>
      <c r="I258" s="274" t="s">
        <v>6210</v>
      </c>
      <c r="J258" s="274" t="s">
        <v>6532</v>
      </c>
      <c r="K258" s="274" t="s">
        <v>6506</v>
      </c>
      <c r="L258" s="274" t="s">
        <v>6211</v>
      </c>
      <c r="M258" s="281">
        <v>4676.53</v>
      </c>
      <c r="N258" s="280"/>
      <c r="O258" s="280"/>
      <c r="P258" s="280"/>
      <c r="Q258" s="280"/>
      <c r="R258" s="280"/>
      <c r="S258" s="280">
        <v>4676.53</v>
      </c>
      <c r="T258" s="297"/>
    </row>
    <row r="259" spans="1:20" x14ac:dyDescent="0.25">
      <c r="A259" s="274" t="s">
        <v>78</v>
      </c>
      <c r="B259" s="274" t="s">
        <v>79</v>
      </c>
      <c r="C259" s="274" t="s">
        <v>3741</v>
      </c>
      <c r="D259" s="274" t="s">
        <v>3742</v>
      </c>
      <c r="E259" s="274" t="s">
        <v>22</v>
      </c>
      <c r="F259" s="274" t="s">
        <v>100</v>
      </c>
      <c r="G259" s="274" t="s">
        <v>107</v>
      </c>
      <c r="H259" s="274" t="s">
        <v>108</v>
      </c>
      <c r="I259" s="274" t="s">
        <v>4128</v>
      </c>
      <c r="J259" s="274" t="s">
        <v>6533</v>
      </c>
      <c r="K259" s="274" t="s">
        <v>6506</v>
      </c>
      <c r="L259" s="274" t="s">
        <v>4129</v>
      </c>
      <c r="M259" s="281">
        <v>310</v>
      </c>
      <c r="N259" s="280">
        <v>310</v>
      </c>
      <c r="O259" s="280"/>
      <c r="P259" s="280"/>
      <c r="Q259" s="280"/>
      <c r="R259" s="280"/>
      <c r="S259" s="280"/>
      <c r="T259" s="297"/>
    </row>
    <row r="260" spans="1:20" x14ac:dyDescent="0.25">
      <c r="A260" s="274" t="s">
        <v>78</v>
      </c>
      <c r="B260" s="274" t="s">
        <v>79</v>
      </c>
      <c r="C260" s="274" t="s">
        <v>3741</v>
      </c>
      <c r="D260" s="274" t="s">
        <v>3742</v>
      </c>
      <c r="E260" s="274" t="s">
        <v>22</v>
      </c>
      <c r="F260" s="274" t="s">
        <v>100</v>
      </c>
      <c r="G260" s="274" t="s">
        <v>107</v>
      </c>
      <c r="H260" s="274" t="s">
        <v>108</v>
      </c>
      <c r="I260" s="274" t="s">
        <v>4130</v>
      </c>
      <c r="J260" s="274" t="s">
        <v>6533</v>
      </c>
      <c r="K260" s="274" t="s">
        <v>6506</v>
      </c>
      <c r="L260" s="274" t="s">
        <v>4131</v>
      </c>
      <c r="M260" s="281">
        <v>310</v>
      </c>
      <c r="N260" s="280"/>
      <c r="O260" s="280">
        <v>310</v>
      </c>
      <c r="P260" s="280"/>
      <c r="Q260" s="280"/>
      <c r="R260" s="280"/>
      <c r="S260" s="280"/>
      <c r="T260" s="297"/>
    </row>
    <row r="261" spans="1:20" x14ac:dyDescent="0.25">
      <c r="A261" s="274" t="s">
        <v>78</v>
      </c>
      <c r="B261" s="274" t="s">
        <v>79</v>
      </c>
      <c r="C261" s="274" t="s">
        <v>3741</v>
      </c>
      <c r="D261" s="274" t="s">
        <v>3742</v>
      </c>
      <c r="E261" s="274" t="s">
        <v>22</v>
      </c>
      <c r="F261" s="274" t="s">
        <v>100</v>
      </c>
      <c r="G261" s="274" t="s">
        <v>107</v>
      </c>
      <c r="H261" s="274" t="s">
        <v>108</v>
      </c>
      <c r="I261" s="274" t="s">
        <v>4132</v>
      </c>
      <c r="J261" s="274" t="s">
        <v>6533</v>
      </c>
      <c r="K261" s="274" t="s">
        <v>6506</v>
      </c>
      <c r="L261" s="274" t="s">
        <v>4133</v>
      </c>
      <c r="M261" s="281">
        <v>310</v>
      </c>
      <c r="N261" s="280"/>
      <c r="O261" s="280"/>
      <c r="P261" s="280">
        <v>310</v>
      </c>
      <c r="Q261" s="280"/>
      <c r="R261" s="280"/>
      <c r="S261" s="280"/>
      <c r="T261" s="297"/>
    </row>
    <row r="262" spans="1:20" x14ac:dyDescent="0.25">
      <c r="A262" s="274" t="s">
        <v>78</v>
      </c>
      <c r="B262" s="274" t="s">
        <v>79</v>
      </c>
      <c r="C262" s="274" t="s">
        <v>3741</v>
      </c>
      <c r="D262" s="274" t="s">
        <v>3742</v>
      </c>
      <c r="E262" s="274" t="s">
        <v>22</v>
      </c>
      <c r="F262" s="274" t="s">
        <v>100</v>
      </c>
      <c r="G262" s="274" t="s">
        <v>109</v>
      </c>
      <c r="H262" s="274" t="s">
        <v>110</v>
      </c>
      <c r="I262" s="274" t="s">
        <v>4134</v>
      </c>
      <c r="J262" s="274" t="s">
        <v>6534</v>
      </c>
      <c r="K262" s="274" t="s">
        <v>3746</v>
      </c>
      <c r="L262" s="274" t="s">
        <v>4135</v>
      </c>
      <c r="M262" s="281">
        <v>-536.4</v>
      </c>
      <c r="N262" s="280"/>
      <c r="O262" s="280"/>
      <c r="P262" s="280"/>
      <c r="Q262" s="280">
        <v>-536.4</v>
      </c>
      <c r="R262" s="280"/>
      <c r="S262" s="280"/>
      <c r="T262" s="297"/>
    </row>
    <row r="263" spans="1:20" x14ac:dyDescent="0.25">
      <c r="A263" s="274" t="s">
        <v>78</v>
      </c>
      <c r="B263" s="274" t="s">
        <v>79</v>
      </c>
      <c r="C263" s="274" t="s">
        <v>3741</v>
      </c>
      <c r="D263" s="274" t="s">
        <v>3742</v>
      </c>
      <c r="E263" s="274" t="s">
        <v>22</v>
      </c>
      <c r="F263" s="274" t="s">
        <v>100</v>
      </c>
      <c r="G263" s="274" t="s">
        <v>98</v>
      </c>
      <c r="H263" s="274" t="s">
        <v>99</v>
      </c>
      <c r="I263" s="274" t="s">
        <v>4136</v>
      </c>
      <c r="J263" s="274" t="s">
        <v>98</v>
      </c>
      <c r="K263" s="274" t="s">
        <v>98</v>
      </c>
      <c r="L263" s="274" t="s">
        <v>4137</v>
      </c>
      <c r="M263" s="281">
        <v>0</v>
      </c>
      <c r="N263" s="280"/>
      <c r="O263" s="280"/>
      <c r="P263" s="280"/>
      <c r="Q263" s="280">
        <v>20000</v>
      </c>
      <c r="R263" s="280">
        <v>-20000</v>
      </c>
      <c r="S263" s="280"/>
      <c r="T263" s="297"/>
    </row>
    <row r="264" spans="1:20" x14ac:dyDescent="0.25">
      <c r="A264" s="274" t="s">
        <v>78</v>
      </c>
      <c r="B264" s="274" t="s">
        <v>79</v>
      </c>
      <c r="C264" s="274" t="s">
        <v>3741</v>
      </c>
      <c r="D264" s="274" t="s">
        <v>3742</v>
      </c>
      <c r="E264" s="274" t="s">
        <v>26</v>
      </c>
      <c r="F264" s="274" t="s">
        <v>27</v>
      </c>
      <c r="G264" s="274" t="s">
        <v>107</v>
      </c>
      <c r="H264" s="274" t="s">
        <v>108</v>
      </c>
      <c r="I264" s="274" t="s">
        <v>4138</v>
      </c>
      <c r="J264" s="274" t="s">
        <v>6535</v>
      </c>
      <c r="K264" s="274" t="s">
        <v>3746</v>
      </c>
      <c r="L264" s="274" t="s">
        <v>4139</v>
      </c>
      <c r="M264" s="281">
        <v>310</v>
      </c>
      <c r="N264" s="280"/>
      <c r="O264" s="280"/>
      <c r="P264" s="280"/>
      <c r="Q264" s="280"/>
      <c r="R264" s="280">
        <v>310</v>
      </c>
      <c r="S264" s="280"/>
      <c r="T264" s="297"/>
    </row>
    <row r="265" spans="1:20" x14ac:dyDescent="0.25">
      <c r="A265" s="274" t="s">
        <v>78</v>
      </c>
      <c r="B265" s="274" t="s">
        <v>79</v>
      </c>
      <c r="C265" s="274" t="s">
        <v>3741</v>
      </c>
      <c r="D265" s="274" t="s">
        <v>3742</v>
      </c>
      <c r="E265" s="274" t="s">
        <v>26</v>
      </c>
      <c r="F265" s="274" t="s">
        <v>27</v>
      </c>
      <c r="G265" s="274" t="s">
        <v>107</v>
      </c>
      <c r="H265" s="274" t="s">
        <v>108</v>
      </c>
      <c r="I265" s="274" t="s">
        <v>4140</v>
      </c>
      <c r="J265" s="274" t="s">
        <v>6535</v>
      </c>
      <c r="K265" s="274" t="s">
        <v>3746</v>
      </c>
      <c r="L265" s="274" t="s">
        <v>4141</v>
      </c>
      <c r="M265" s="281">
        <v>310</v>
      </c>
      <c r="N265" s="280"/>
      <c r="O265" s="280"/>
      <c r="P265" s="280"/>
      <c r="Q265" s="280"/>
      <c r="R265" s="280">
        <v>310</v>
      </c>
      <c r="S265" s="280"/>
      <c r="T265" s="297"/>
    </row>
    <row r="266" spans="1:20" x14ac:dyDescent="0.25">
      <c r="A266" s="274" t="s">
        <v>78</v>
      </c>
      <c r="B266" s="274" t="s">
        <v>79</v>
      </c>
      <c r="C266" s="274" t="s">
        <v>3741</v>
      </c>
      <c r="D266" s="274" t="s">
        <v>3742</v>
      </c>
      <c r="E266" s="274" t="s">
        <v>26</v>
      </c>
      <c r="F266" s="274" t="s">
        <v>27</v>
      </c>
      <c r="G266" s="274" t="s">
        <v>107</v>
      </c>
      <c r="H266" s="274" t="s">
        <v>108</v>
      </c>
      <c r="I266" s="274" t="s">
        <v>6212</v>
      </c>
      <c r="J266" s="274" t="s">
        <v>6535</v>
      </c>
      <c r="K266" s="274" t="s">
        <v>3746</v>
      </c>
      <c r="L266" s="274" t="s">
        <v>6213</v>
      </c>
      <c r="M266" s="281">
        <v>310</v>
      </c>
      <c r="N266" s="280"/>
      <c r="O266" s="280"/>
      <c r="P266" s="280"/>
      <c r="Q266" s="280"/>
      <c r="R266" s="280"/>
      <c r="S266" s="280">
        <v>310</v>
      </c>
      <c r="T266" s="297"/>
    </row>
    <row r="267" spans="1:20" x14ac:dyDescent="0.25">
      <c r="A267" s="274" t="s">
        <v>78</v>
      </c>
      <c r="B267" s="274" t="s">
        <v>79</v>
      </c>
      <c r="C267" s="274" t="s">
        <v>3741</v>
      </c>
      <c r="D267" s="274" t="s">
        <v>3742</v>
      </c>
      <c r="E267" s="274" t="s">
        <v>28</v>
      </c>
      <c r="F267" s="274" t="s">
        <v>29</v>
      </c>
      <c r="G267" s="274" t="s">
        <v>111</v>
      </c>
      <c r="H267" s="274" t="s">
        <v>112</v>
      </c>
      <c r="I267" s="274" t="s">
        <v>4142</v>
      </c>
      <c r="J267" s="274" t="s">
        <v>6536</v>
      </c>
      <c r="K267" s="274" t="s">
        <v>6506</v>
      </c>
      <c r="L267" s="274" t="s">
        <v>4143</v>
      </c>
      <c r="M267" s="281">
        <v>10000</v>
      </c>
      <c r="N267" s="280">
        <v>10000</v>
      </c>
      <c r="O267" s="280"/>
      <c r="P267" s="280"/>
      <c r="Q267" s="280"/>
      <c r="R267" s="280"/>
      <c r="S267" s="280"/>
      <c r="T267" s="297"/>
    </row>
    <row r="268" spans="1:20" x14ac:dyDescent="0.25">
      <c r="A268" s="274" t="s">
        <v>78</v>
      </c>
      <c r="B268" s="274" t="s">
        <v>79</v>
      </c>
      <c r="C268" s="274" t="s">
        <v>3741</v>
      </c>
      <c r="D268" s="274" t="s">
        <v>3742</v>
      </c>
      <c r="E268" s="274" t="s">
        <v>28</v>
      </c>
      <c r="F268" s="274" t="s">
        <v>29</v>
      </c>
      <c r="G268" s="274" t="s">
        <v>111</v>
      </c>
      <c r="H268" s="274" t="s">
        <v>112</v>
      </c>
      <c r="I268" s="274" t="s">
        <v>4144</v>
      </c>
      <c r="J268" s="274" t="s">
        <v>6536</v>
      </c>
      <c r="K268" s="274" t="s">
        <v>6506</v>
      </c>
      <c r="L268" s="274" t="s">
        <v>4143</v>
      </c>
      <c r="M268" s="281">
        <v>5500</v>
      </c>
      <c r="N268" s="280">
        <v>5500</v>
      </c>
      <c r="O268" s="280"/>
      <c r="P268" s="280"/>
      <c r="Q268" s="280"/>
      <c r="R268" s="280"/>
      <c r="S268" s="280"/>
      <c r="T268" s="297"/>
    </row>
    <row r="269" spans="1:20" x14ac:dyDescent="0.25">
      <c r="A269" s="274" t="s">
        <v>78</v>
      </c>
      <c r="B269" s="274" t="s">
        <v>79</v>
      </c>
      <c r="C269" s="274" t="s">
        <v>3741</v>
      </c>
      <c r="D269" s="274" t="s">
        <v>3742</v>
      </c>
      <c r="E269" s="274" t="s">
        <v>28</v>
      </c>
      <c r="F269" s="274" t="s">
        <v>29</v>
      </c>
      <c r="G269" s="274" t="s">
        <v>111</v>
      </c>
      <c r="H269" s="274" t="s">
        <v>112</v>
      </c>
      <c r="I269" s="274" t="s">
        <v>4145</v>
      </c>
      <c r="J269" s="274" t="s">
        <v>6536</v>
      </c>
      <c r="K269" s="274" t="s">
        <v>6506</v>
      </c>
      <c r="L269" s="274" t="s">
        <v>4146</v>
      </c>
      <c r="M269" s="281">
        <v>162.11000000000001</v>
      </c>
      <c r="N269" s="280">
        <v>162.11000000000001</v>
      </c>
      <c r="O269" s="280"/>
      <c r="P269" s="280"/>
      <c r="Q269" s="280"/>
      <c r="R269" s="280"/>
      <c r="S269" s="280"/>
      <c r="T269" s="297"/>
    </row>
    <row r="270" spans="1:20" x14ac:dyDescent="0.25">
      <c r="A270" s="274" t="s">
        <v>78</v>
      </c>
      <c r="B270" s="274" t="s">
        <v>79</v>
      </c>
      <c r="C270" s="274" t="s">
        <v>3741</v>
      </c>
      <c r="D270" s="274" t="s">
        <v>3742</v>
      </c>
      <c r="E270" s="274" t="s">
        <v>28</v>
      </c>
      <c r="F270" s="274" t="s">
        <v>29</v>
      </c>
      <c r="G270" s="274" t="s">
        <v>111</v>
      </c>
      <c r="H270" s="274" t="s">
        <v>112</v>
      </c>
      <c r="I270" s="274" t="s">
        <v>4147</v>
      </c>
      <c r="J270" s="274" t="s">
        <v>6536</v>
      </c>
      <c r="K270" s="274" t="s">
        <v>6506</v>
      </c>
      <c r="L270" s="274" t="s">
        <v>4148</v>
      </c>
      <c r="M270" s="281">
        <v>10000</v>
      </c>
      <c r="N270" s="280"/>
      <c r="O270" s="280">
        <v>10000</v>
      </c>
      <c r="P270" s="280"/>
      <c r="Q270" s="280"/>
      <c r="R270" s="280"/>
      <c r="S270" s="280"/>
      <c r="T270" s="297"/>
    </row>
    <row r="271" spans="1:20" x14ac:dyDescent="0.25">
      <c r="A271" s="274" t="s">
        <v>78</v>
      </c>
      <c r="B271" s="274" t="s">
        <v>79</v>
      </c>
      <c r="C271" s="274" t="s">
        <v>3741</v>
      </c>
      <c r="D271" s="274" t="s">
        <v>3742</v>
      </c>
      <c r="E271" s="274" t="s">
        <v>28</v>
      </c>
      <c r="F271" s="274" t="s">
        <v>29</v>
      </c>
      <c r="G271" s="274" t="s">
        <v>111</v>
      </c>
      <c r="H271" s="274" t="s">
        <v>112</v>
      </c>
      <c r="I271" s="274" t="s">
        <v>4149</v>
      </c>
      <c r="J271" s="274" t="s">
        <v>6536</v>
      </c>
      <c r="K271" s="274" t="s">
        <v>6506</v>
      </c>
      <c r="L271" s="274" t="s">
        <v>4148</v>
      </c>
      <c r="M271" s="281">
        <v>5500</v>
      </c>
      <c r="N271" s="280"/>
      <c r="O271" s="280">
        <v>5500</v>
      </c>
      <c r="P271" s="280"/>
      <c r="Q271" s="280"/>
      <c r="R271" s="280"/>
      <c r="S271" s="280"/>
      <c r="T271" s="297"/>
    </row>
    <row r="272" spans="1:20" x14ac:dyDescent="0.25">
      <c r="A272" s="274" t="s">
        <v>78</v>
      </c>
      <c r="B272" s="274" t="s">
        <v>79</v>
      </c>
      <c r="C272" s="274" t="s">
        <v>3741</v>
      </c>
      <c r="D272" s="274" t="s">
        <v>3742</v>
      </c>
      <c r="E272" s="274" t="s">
        <v>28</v>
      </c>
      <c r="F272" s="274" t="s">
        <v>29</v>
      </c>
      <c r="G272" s="274" t="s">
        <v>111</v>
      </c>
      <c r="H272" s="274" t="s">
        <v>112</v>
      </c>
      <c r="I272" s="274" t="s">
        <v>4150</v>
      </c>
      <c r="J272" s="274" t="s">
        <v>6536</v>
      </c>
      <c r="K272" s="274" t="s">
        <v>6506</v>
      </c>
      <c r="L272" s="274" t="s">
        <v>4151</v>
      </c>
      <c r="M272" s="281">
        <v>10000</v>
      </c>
      <c r="N272" s="280"/>
      <c r="O272" s="280"/>
      <c r="P272" s="280">
        <v>10000</v>
      </c>
      <c r="Q272" s="280"/>
      <c r="R272" s="280"/>
      <c r="S272" s="280"/>
      <c r="T272" s="297"/>
    </row>
    <row r="273" spans="1:20" x14ac:dyDescent="0.25">
      <c r="A273" s="274" t="s">
        <v>78</v>
      </c>
      <c r="B273" s="274" t="s">
        <v>79</v>
      </c>
      <c r="C273" s="274" t="s">
        <v>3741</v>
      </c>
      <c r="D273" s="274" t="s">
        <v>3742</v>
      </c>
      <c r="E273" s="274" t="s">
        <v>28</v>
      </c>
      <c r="F273" s="274" t="s">
        <v>29</v>
      </c>
      <c r="G273" s="274" t="s">
        <v>111</v>
      </c>
      <c r="H273" s="274" t="s">
        <v>112</v>
      </c>
      <c r="I273" s="274" t="s">
        <v>4152</v>
      </c>
      <c r="J273" s="274" t="s">
        <v>6536</v>
      </c>
      <c r="K273" s="274" t="s">
        <v>6506</v>
      </c>
      <c r="L273" s="274" t="s">
        <v>4151</v>
      </c>
      <c r="M273" s="281">
        <v>5500</v>
      </c>
      <c r="N273" s="280"/>
      <c r="O273" s="280"/>
      <c r="P273" s="280">
        <v>5500</v>
      </c>
      <c r="Q273" s="280"/>
      <c r="R273" s="280"/>
      <c r="S273" s="280"/>
      <c r="T273" s="297"/>
    </row>
    <row r="274" spans="1:20" x14ac:dyDescent="0.25">
      <c r="A274" s="274" t="s">
        <v>78</v>
      </c>
      <c r="B274" s="274" t="s">
        <v>79</v>
      </c>
      <c r="C274" s="274" t="s">
        <v>3741</v>
      </c>
      <c r="D274" s="274" t="s">
        <v>3742</v>
      </c>
      <c r="E274" s="274" t="s">
        <v>28</v>
      </c>
      <c r="F274" s="274" t="s">
        <v>29</v>
      </c>
      <c r="G274" s="274" t="s">
        <v>111</v>
      </c>
      <c r="H274" s="274" t="s">
        <v>112</v>
      </c>
      <c r="I274" s="274" t="s">
        <v>4153</v>
      </c>
      <c r="J274" s="274" t="s">
        <v>6536</v>
      </c>
      <c r="K274" s="274" t="s">
        <v>6506</v>
      </c>
      <c r="L274" s="274" t="s">
        <v>4143</v>
      </c>
      <c r="M274" s="281">
        <v>-10000</v>
      </c>
      <c r="N274" s="280"/>
      <c r="O274" s="280"/>
      <c r="P274" s="280"/>
      <c r="Q274" s="280">
        <v>-10000</v>
      </c>
      <c r="R274" s="280"/>
      <c r="S274" s="280"/>
      <c r="T274" s="297"/>
    </row>
    <row r="275" spans="1:20" x14ac:dyDescent="0.25">
      <c r="A275" s="274" t="s">
        <v>78</v>
      </c>
      <c r="B275" s="274" t="s">
        <v>79</v>
      </c>
      <c r="C275" s="274" t="s">
        <v>3741</v>
      </c>
      <c r="D275" s="274" t="s">
        <v>3742</v>
      </c>
      <c r="E275" s="274" t="s">
        <v>28</v>
      </c>
      <c r="F275" s="274" t="s">
        <v>29</v>
      </c>
      <c r="G275" s="274" t="s">
        <v>111</v>
      </c>
      <c r="H275" s="274" t="s">
        <v>112</v>
      </c>
      <c r="I275" s="274" t="s">
        <v>4154</v>
      </c>
      <c r="J275" s="274" t="s">
        <v>6536</v>
      </c>
      <c r="K275" s="274" t="s">
        <v>6506</v>
      </c>
      <c r="L275" s="274" t="s">
        <v>4155</v>
      </c>
      <c r="M275" s="281">
        <v>9303.7099999999991</v>
      </c>
      <c r="N275" s="280"/>
      <c r="O275" s="280"/>
      <c r="P275" s="280"/>
      <c r="Q275" s="280">
        <v>9303.7099999999991</v>
      </c>
      <c r="R275" s="280"/>
      <c r="S275" s="280"/>
      <c r="T275" s="297"/>
    </row>
    <row r="276" spans="1:20" x14ac:dyDescent="0.25">
      <c r="A276" s="274" t="s">
        <v>78</v>
      </c>
      <c r="B276" s="274" t="s">
        <v>79</v>
      </c>
      <c r="C276" s="274" t="s">
        <v>3741</v>
      </c>
      <c r="D276" s="274" t="s">
        <v>3742</v>
      </c>
      <c r="E276" s="274" t="s">
        <v>28</v>
      </c>
      <c r="F276" s="274" t="s">
        <v>29</v>
      </c>
      <c r="G276" s="274" t="s">
        <v>111</v>
      </c>
      <c r="H276" s="274" t="s">
        <v>112</v>
      </c>
      <c r="I276" s="274" t="s">
        <v>4156</v>
      </c>
      <c r="J276" s="274" t="s">
        <v>6536</v>
      </c>
      <c r="K276" s="274" t="s">
        <v>6506</v>
      </c>
      <c r="L276" s="274" t="s">
        <v>4148</v>
      </c>
      <c r="M276" s="281">
        <v>55.55</v>
      </c>
      <c r="N276" s="280"/>
      <c r="O276" s="280"/>
      <c r="P276" s="280"/>
      <c r="Q276" s="280">
        <v>55.55</v>
      </c>
      <c r="R276" s="280"/>
      <c r="S276" s="280"/>
      <c r="T276" s="297"/>
    </row>
    <row r="277" spans="1:20" x14ac:dyDescent="0.25">
      <c r="A277" s="274" t="s">
        <v>78</v>
      </c>
      <c r="B277" s="274" t="s">
        <v>79</v>
      </c>
      <c r="C277" s="274" t="s">
        <v>3741</v>
      </c>
      <c r="D277" s="274" t="s">
        <v>3742</v>
      </c>
      <c r="E277" s="274" t="s">
        <v>28</v>
      </c>
      <c r="F277" s="274" t="s">
        <v>29</v>
      </c>
      <c r="G277" s="274" t="s">
        <v>111</v>
      </c>
      <c r="H277" s="274" t="s">
        <v>112</v>
      </c>
      <c r="I277" s="274" t="s">
        <v>4157</v>
      </c>
      <c r="J277" s="274" t="s">
        <v>6536</v>
      </c>
      <c r="K277" s="274" t="s">
        <v>6506</v>
      </c>
      <c r="L277" s="274" t="s">
        <v>4151</v>
      </c>
      <c r="M277" s="281">
        <v>88.11</v>
      </c>
      <c r="N277" s="280"/>
      <c r="O277" s="280"/>
      <c r="P277" s="280"/>
      <c r="Q277" s="280">
        <v>88.11</v>
      </c>
      <c r="R277" s="280"/>
      <c r="S277" s="280"/>
      <c r="T277" s="297"/>
    </row>
    <row r="278" spans="1:20" x14ac:dyDescent="0.25">
      <c r="A278" s="274" t="s">
        <v>78</v>
      </c>
      <c r="B278" s="274" t="s">
        <v>79</v>
      </c>
      <c r="C278" s="274" t="s">
        <v>3741</v>
      </c>
      <c r="D278" s="274" t="s">
        <v>3742</v>
      </c>
      <c r="E278" s="274" t="s">
        <v>28</v>
      </c>
      <c r="F278" s="274" t="s">
        <v>29</v>
      </c>
      <c r="G278" s="274" t="s">
        <v>111</v>
      </c>
      <c r="H278" s="274" t="s">
        <v>112</v>
      </c>
      <c r="I278" s="274" t="s">
        <v>4158</v>
      </c>
      <c r="J278" s="274" t="s">
        <v>6536</v>
      </c>
      <c r="K278" s="274" t="s">
        <v>6506</v>
      </c>
      <c r="L278" s="274" t="s">
        <v>4143</v>
      </c>
      <c r="M278" s="281">
        <v>171.5</v>
      </c>
      <c r="N278" s="280"/>
      <c r="O278" s="280"/>
      <c r="P278" s="280"/>
      <c r="Q278" s="280">
        <v>171.5</v>
      </c>
      <c r="R278" s="280"/>
      <c r="S278" s="280"/>
      <c r="T278" s="297"/>
    </row>
    <row r="279" spans="1:20" x14ac:dyDescent="0.25">
      <c r="A279" s="274" t="s">
        <v>78</v>
      </c>
      <c r="B279" s="274" t="s">
        <v>79</v>
      </c>
      <c r="C279" s="274" t="s">
        <v>3741</v>
      </c>
      <c r="D279" s="274" t="s">
        <v>3742</v>
      </c>
      <c r="E279" s="274" t="s">
        <v>28</v>
      </c>
      <c r="F279" s="274" t="s">
        <v>29</v>
      </c>
      <c r="G279" s="274" t="s">
        <v>111</v>
      </c>
      <c r="H279" s="274" t="s">
        <v>112</v>
      </c>
      <c r="I279" s="274" t="s">
        <v>4159</v>
      </c>
      <c r="J279" s="274" t="s">
        <v>6536</v>
      </c>
      <c r="K279" s="274" t="s">
        <v>6506</v>
      </c>
      <c r="L279" s="274" t="s">
        <v>4148</v>
      </c>
      <c r="M279" s="281">
        <v>708.71</v>
      </c>
      <c r="N279" s="280"/>
      <c r="O279" s="280"/>
      <c r="P279" s="280"/>
      <c r="Q279" s="280">
        <v>708.71</v>
      </c>
      <c r="R279" s="280"/>
      <c r="S279" s="280"/>
      <c r="T279" s="297"/>
    </row>
    <row r="280" spans="1:20" x14ac:dyDescent="0.25">
      <c r="A280" s="274" t="s">
        <v>78</v>
      </c>
      <c r="B280" s="274" t="s">
        <v>79</v>
      </c>
      <c r="C280" s="274" t="s">
        <v>3741</v>
      </c>
      <c r="D280" s="274" t="s">
        <v>3742</v>
      </c>
      <c r="E280" s="274" t="s">
        <v>28</v>
      </c>
      <c r="F280" s="274" t="s">
        <v>29</v>
      </c>
      <c r="G280" s="274" t="s">
        <v>111</v>
      </c>
      <c r="H280" s="274" t="s">
        <v>112</v>
      </c>
      <c r="I280" s="274" t="s">
        <v>4160</v>
      </c>
      <c r="J280" s="274" t="s">
        <v>6536</v>
      </c>
      <c r="K280" s="274" t="s">
        <v>6506</v>
      </c>
      <c r="L280" s="274" t="s">
        <v>4151</v>
      </c>
      <c r="M280" s="281">
        <v>-5500</v>
      </c>
      <c r="N280" s="280"/>
      <c r="O280" s="280"/>
      <c r="P280" s="280"/>
      <c r="Q280" s="280">
        <v>-5500</v>
      </c>
      <c r="R280" s="280"/>
      <c r="S280" s="280"/>
      <c r="T280" s="297"/>
    </row>
    <row r="281" spans="1:20" x14ac:dyDescent="0.25">
      <c r="A281" s="274" t="s">
        <v>78</v>
      </c>
      <c r="B281" s="274" t="s">
        <v>79</v>
      </c>
      <c r="C281" s="274" t="s">
        <v>3741</v>
      </c>
      <c r="D281" s="274" t="s">
        <v>3742</v>
      </c>
      <c r="E281" s="274" t="s">
        <v>28</v>
      </c>
      <c r="F281" s="274" t="s">
        <v>29</v>
      </c>
      <c r="G281" s="274" t="s">
        <v>111</v>
      </c>
      <c r="H281" s="274" t="s">
        <v>112</v>
      </c>
      <c r="I281" s="274" t="s">
        <v>4161</v>
      </c>
      <c r="J281" s="274" t="s">
        <v>6536</v>
      </c>
      <c r="K281" s="274" t="s">
        <v>6506</v>
      </c>
      <c r="L281" s="274" t="s">
        <v>4151</v>
      </c>
      <c r="M281" s="281">
        <v>5250.12</v>
      </c>
      <c r="N281" s="280"/>
      <c r="O281" s="280"/>
      <c r="P281" s="280"/>
      <c r="Q281" s="280">
        <v>5250.12</v>
      </c>
      <c r="R281" s="280"/>
      <c r="S281" s="280"/>
      <c r="T281" s="297"/>
    </row>
    <row r="282" spans="1:20" x14ac:dyDescent="0.25">
      <c r="A282" s="274" t="s">
        <v>78</v>
      </c>
      <c r="B282" s="274" t="s">
        <v>79</v>
      </c>
      <c r="C282" s="274" t="s">
        <v>3741</v>
      </c>
      <c r="D282" s="274" t="s">
        <v>3742</v>
      </c>
      <c r="E282" s="274" t="s">
        <v>28</v>
      </c>
      <c r="F282" s="274" t="s">
        <v>29</v>
      </c>
      <c r="G282" s="274" t="s">
        <v>111</v>
      </c>
      <c r="H282" s="274" t="s">
        <v>112</v>
      </c>
      <c r="I282" s="274" t="s">
        <v>4162</v>
      </c>
      <c r="J282" s="274" t="s">
        <v>6536</v>
      </c>
      <c r="K282" s="274" t="s">
        <v>6506</v>
      </c>
      <c r="L282" s="274" t="s">
        <v>4163</v>
      </c>
      <c r="M282" s="281">
        <v>5253.73</v>
      </c>
      <c r="N282" s="280"/>
      <c r="O282" s="280"/>
      <c r="P282" s="280"/>
      <c r="Q282" s="280">
        <v>5253.73</v>
      </c>
      <c r="R282" s="280"/>
      <c r="S282" s="280"/>
      <c r="T282" s="297"/>
    </row>
    <row r="283" spans="1:20" x14ac:dyDescent="0.25">
      <c r="A283" s="274" t="s">
        <v>78</v>
      </c>
      <c r="B283" s="274" t="s">
        <v>79</v>
      </c>
      <c r="C283" s="274" t="s">
        <v>3741</v>
      </c>
      <c r="D283" s="274" t="s">
        <v>3742</v>
      </c>
      <c r="E283" s="274" t="s">
        <v>28</v>
      </c>
      <c r="F283" s="274" t="s">
        <v>29</v>
      </c>
      <c r="G283" s="274" t="s">
        <v>111</v>
      </c>
      <c r="H283" s="274" t="s">
        <v>112</v>
      </c>
      <c r="I283" s="274" t="s">
        <v>4164</v>
      </c>
      <c r="J283" s="274" t="s">
        <v>6536</v>
      </c>
      <c r="K283" s="274" t="s">
        <v>6506</v>
      </c>
      <c r="L283" s="274" t="s">
        <v>4163</v>
      </c>
      <c r="M283" s="281">
        <v>10000</v>
      </c>
      <c r="N283" s="280"/>
      <c r="O283" s="280"/>
      <c r="P283" s="280"/>
      <c r="Q283" s="280">
        <v>10000</v>
      </c>
      <c r="R283" s="280"/>
      <c r="S283" s="280"/>
      <c r="T283" s="297"/>
    </row>
    <row r="284" spans="1:20" x14ac:dyDescent="0.25">
      <c r="A284" s="274" t="s">
        <v>78</v>
      </c>
      <c r="B284" s="274" t="s">
        <v>79</v>
      </c>
      <c r="C284" s="274" t="s">
        <v>3741</v>
      </c>
      <c r="D284" s="274" t="s">
        <v>3742</v>
      </c>
      <c r="E284" s="274" t="s">
        <v>28</v>
      </c>
      <c r="F284" s="274" t="s">
        <v>29</v>
      </c>
      <c r="G284" s="274" t="s">
        <v>111</v>
      </c>
      <c r="H284" s="274" t="s">
        <v>112</v>
      </c>
      <c r="I284" s="274" t="s">
        <v>4165</v>
      </c>
      <c r="J284" s="274" t="s">
        <v>6536</v>
      </c>
      <c r="K284" s="274" t="s">
        <v>6506</v>
      </c>
      <c r="L284" s="274" t="s">
        <v>4166</v>
      </c>
      <c r="M284" s="281">
        <v>250.91</v>
      </c>
      <c r="N284" s="280"/>
      <c r="O284" s="280"/>
      <c r="P284" s="280"/>
      <c r="Q284" s="280">
        <v>250.91</v>
      </c>
      <c r="R284" s="280"/>
      <c r="S284" s="280"/>
      <c r="T284" s="297"/>
    </row>
    <row r="285" spans="1:20" x14ac:dyDescent="0.25">
      <c r="A285" s="274" t="s">
        <v>78</v>
      </c>
      <c r="B285" s="274" t="s">
        <v>79</v>
      </c>
      <c r="C285" s="274" t="s">
        <v>3741</v>
      </c>
      <c r="D285" s="274" t="s">
        <v>3742</v>
      </c>
      <c r="E285" s="274" t="s">
        <v>28</v>
      </c>
      <c r="F285" s="274" t="s">
        <v>29</v>
      </c>
      <c r="G285" s="274" t="s">
        <v>111</v>
      </c>
      <c r="H285" s="274" t="s">
        <v>112</v>
      </c>
      <c r="I285" s="274" t="s">
        <v>4167</v>
      </c>
      <c r="J285" s="274" t="s">
        <v>6536</v>
      </c>
      <c r="K285" s="274" t="s">
        <v>6506</v>
      </c>
      <c r="L285" s="274" t="s">
        <v>4163</v>
      </c>
      <c r="M285" s="281">
        <v>5360.3</v>
      </c>
      <c r="N285" s="280"/>
      <c r="O285" s="280"/>
      <c r="P285" s="280"/>
      <c r="Q285" s="280">
        <v>5360.3</v>
      </c>
      <c r="R285" s="280"/>
      <c r="S285" s="280"/>
      <c r="T285" s="297"/>
    </row>
    <row r="286" spans="1:20" x14ac:dyDescent="0.25">
      <c r="A286" s="274" t="s">
        <v>78</v>
      </c>
      <c r="B286" s="274" t="s">
        <v>79</v>
      </c>
      <c r="C286" s="274" t="s">
        <v>3741</v>
      </c>
      <c r="D286" s="274" t="s">
        <v>3742</v>
      </c>
      <c r="E286" s="274" t="s">
        <v>28</v>
      </c>
      <c r="F286" s="274" t="s">
        <v>29</v>
      </c>
      <c r="G286" s="274" t="s">
        <v>111</v>
      </c>
      <c r="H286" s="274" t="s">
        <v>112</v>
      </c>
      <c r="I286" s="274" t="s">
        <v>4168</v>
      </c>
      <c r="J286" s="274" t="s">
        <v>6536</v>
      </c>
      <c r="K286" s="274" t="s">
        <v>6506</v>
      </c>
      <c r="L286" s="274" t="s">
        <v>4169</v>
      </c>
      <c r="M286" s="281">
        <v>5222.71</v>
      </c>
      <c r="N286" s="280"/>
      <c r="O286" s="280"/>
      <c r="P286" s="280"/>
      <c r="Q286" s="280"/>
      <c r="R286" s="280">
        <v>5222.71</v>
      </c>
      <c r="S286" s="280"/>
      <c r="T286" s="297"/>
    </row>
    <row r="287" spans="1:20" x14ac:dyDescent="0.25">
      <c r="A287" s="274" t="s">
        <v>78</v>
      </c>
      <c r="B287" s="274" t="s">
        <v>79</v>
      </c>
      <c r="C287" s="274" t="s">
        <v>3741</v>
      </c>
      <c r="D287" s="274" t="s">
        <v>3742</v>
      </c>
      <c r="E287" s="274" t="s">
        <v>28</v>
      </c>
      <c r="F287" s="274" t="s">
        <v>29</v>
      </c>
      <c r="G287" s="274" t="s">
        <v>111</v>
      </c>
      <c r="H287" s="274" t="s">
        <v>112</v>
      </c>
      <c r="I287" s="274" t="s">
        <v>4170</v>
      </c>
      <c r="J287" s="274" t="s">
        <v>6536</v>
      </c>
      <c r="K287" s="274" t="s">
        <v>6506</v>
      </c>
      <c r="L287" s="274" t="s">
        <v>4169</v>
      </c>
      <c r="M287" s="281">
        <v>10265.709999999999</v>
      </c>
      <c r="N287" s="280"/>
      <c r="O287" s="280"/>
      <c r="P287" s="280"/>
      <c r="Q287" s="280"/>
      <c r="R287" s="280">
        <v>10265.709999999999</v>
      </c>
      <c r="S287" s="280"/>
      <c r="T287" s="297"/>
    </row>
    <row r="288" spans="1:20" x14ac:dyDescent="0.25">
      <c r="A288" s="274" t="s">
        <v>78</v>
      </c>
      <c r="B288" s="274" t="s">
        <v>79</v>
      </c>
      <c r="C288" s="274" t="s">
        <v>3741</v>
      </c>
      <c r="D288" s="274" t="s">
        <v>3742</v>
      </c>
      <c r="E288" s="274" t="s">
        <v>28</v>
      </c>
      <c r="F288" s="274" t="s">
        <v>29</v>
      </c>
      <c r="G288" s="274" t="s">
        <v>111</v>
      </c>
      <c r="H288" s="274" t="s">
        <v>112</v>
      </c>
      <c r="I288" s="274" t="s">
        <v>6214</v>
      </c>
      <c r="J288" s="274" t="s">
        <v>6536</v>
      </c>
      <c r="K288" s="274" t="s">
        <v>6506</v>
      </c>
      <c r="L288" s="274" t="s">
        <v>6215</v>
      </c>
      <c r="M288" s="281">
        <v>10233.15</v>
      </c>
      <c r="N288" s="280"/>
      <c r="O288" s="280"/>
      <c r="P288" s="280"/>
      <c r="Q288" s="280"/>
      <c r="R288" s="280"/>
      <c r="S288" s="280">
        <v>10233.15</v>
      </c>
      <c r="T288" s="297"/>
    </row>
    <row r="289" spans="1:20" x14ac:dyDescent="0.25">
      <c r="A289" s="274" t="s">
        <v>78</v>
      </c>
      <c r="B289" s="274" t="s">
        <v>79</v>
      </c>
      <c r="C289" s="274" t="s">
        <v>3741</v>
      </c>
      <c r="D289" s="274" t="s">
        <v>3742</v>
      </c>
      <c r="E289" s="274" t="s">
        <v>28</v>
      </c>
      <c r="F289" s="274" t="s">
        <v>29</v>
      </c>
      <c r="G289" s="274" t="s">
        <v>111</v>
      </c>
      <c r="H289" s="274" t="s">
        <v>112</v>
      </c>
      <c r="I289" s="274" t="s">
        <v>6216</v>
      </c>
      <c r="J289" s="274" t="s">
        <v>6536</v>
      </c>
      <c r="K289" s="274" t="s">
        <v>6506</v>
      </c>
      <c r="L289" s="274" t="s">
        <v>6215</v>
      </c>
      <c r="M289" s="281">
        <v>5223.33</v>
      </c>
      <c r="N289" s="280"/>
      <c r="O289" s="280"/>
      <c r="P289" s="280"/>
      <c r="Q289" s="280"/>
      <c r="R289" s="280"/>
      <c r="S289" s="280">
        <v>5223.33</v>
      </c>
      <c r="T289" s="297"/>
    </row>
    <row r="290" spans="1:20" x14ac:dyDescent="0.25">
      <c r="A290" s="274" t="s">
        <v>78</v>
      </c>
      <c r="B290" s="274" t="s">
        <v>79</v>
      </c>
      <c r="C290" s="274" t="s">
        <v>3741</v>
      </c>
      <c r="D290" s="274" t="s">
        <v>3742</v>
      </c>
      <c r="E290" s="274" t="s">
        <v>28</v>
      </c>
      <c r="F290" s="274" t="s">
        <v>29</v>
      </c>
      <c r="G290" s="274" t="s">
        <v>111</v>
      </c>
      <c r="H290" s="274" t="s">
        <v>112</v>
      </c>
      <c r="I290" s="274" t="s">
        <v>4171</v>
      </c>
      <c r="J290" s="274" t="s">
        <v>6536</v>
      </c>
      <c r="K290" s="274" t="s">
        <v>6506</v>
      </c>
      <c r="L290" s="274" t="s">
        <v>4143</v>
      </c>
      <c r="M290" s="281">
        <v>-500</v>
      </c>
      <c r="N290" s="280"/>
      <c r="O290" s="280"/>
      <c r="P290" s="280"/>
      <c r="Q290" s="280">
        <v>-500</v>
      </c>
      <c r="R290" s="280"/>
      <c r="S290" s="280"/>
      <c r="T290" s="297"/>
    </row>
    <row r="291" spans="1:20" x14ac:dyDescent="0.25">
      <c r="A291" s="274" t="s">
        <v>78</v>
      </c>
      <c r="B291" s="274" t="s">
        <v>79</v>
      </c>
      <c r="C291" s="274" t="s">
        <v>3741</v>
      </c>
      <c r="D291" s="274" t="s">
        <v>3742</v>
      </c>
      <c r="E291" s="274" t="s">
        <v>28</v>
      </c>
      <c r="F291" s="274" t="s">
        <v>29</v>
      </c>
      <c r="G291" s="274" t="s">
        <v>113</v>
      </c>
      <c r="H291" s="274" t="s">
        <v>114</v>
      </c>
      <c r="I291" s="274" t="s">
        <v>4172</v>
      </c>
      <c r="J291" s="274" t="s">
        <v>6537</v>
      </c>
      <c r="K291" s="274" t="s">
        <v>3746</v>
      </c>
      <c r="L291" s="274" t="s">
        <v>4173</v>
      </c>
      <c r="M291" s="281">
        <v>7290</v>
      </c>
      <c r="N291" s="280">
        <v>7290</v>
      </c>
      <c r="O291" s="280"/>
      <c r="P291" s="280"/>
      <c r="Q291" s="280"/>
      <c r="R291" s="280"/>
      <c r="S291" s="280"/>
      <c r="T291" s="297"/>
    </row>
    <row r="292" spans="1:20" x14ac:dyDescent="0.25">
      <c r="A292" s="274" t="s">
        <v>78</v>
      </c>
      <c r="B292" s="274" t="s">
        <v>79</v>
      </c>
      <c r="C292" s="274" t="s">
        <v>3741</v>
      </c>
      <c r="D292" s="274" t="s">
        <v>3742</v>
      </c>
      <c r="E292" s="274" t="s">
        <v>28</v>
      </c>
      <c r="F292" s="274" t="s">
        <v>29</v>
      </c>
      <c r="G292" s="274" t="s">
        <v>113</v>
      </c>
      <c r="H292" s="274" t="s">
        <v>114</v>
      </c>
      <c r="I292" s="274" t="s">
        <v>4174</v>
      </c>
      <c r="J292" s="274" t="s">
        <v>6537</v>
      </c>
      <c r="K292" s="274" t="s">
        <v>3746</v>
      </c>
      <c r="L292" s="274" t="s">
        <v>4173</v>
      </c>
      <c r="M292" s="281">
        <v>7290</v>
      </c>
      <c r="N292" s="280"/>
      <c r="O292" s="280"/>
      <c r="P292" s="280"/>
      <c r="Q292" s="280">
        <v>7290</v>
      </c>
      <c r="R292" s="280"/>
      <c r="S292" s="280"/>
      <c r="T292" s="297"/>
    </row>
    <row r="293" spans="1:20" x14ac:dyDescent="0.25">
      <c r="A293" s="274" t="s">
        <v>78</v>
      </c>
      <c r="B293" s="274" t="s">
        <v>79</v>
      </c>
      <c r="C293" s="274" t="s">
        <v>3741</v>
      </c>
      <c r="D293" s="274" t="s">
        <v>3742</v>
      </c>
      <c r="E293" s="274" t="s">
        <v>28</v>
      </c>
      <c r="F293" s="274" t="s">
        <v>29</v>
      </c>
      <c r="G293" s="274" t="s">
        <v>93</v>
      </c>
      <c r="H293" s="274" t="s">
        <v>94</v>
      </c>
      <c r="I293" s="274" t="s">
        <v>4175</v>
      </c>
      <c r="J293" s="274" t="s">
        <v>6538</v>
      </c>
      <c r="K293" s="274" t="s">
        <v>6506</v>
      </c>
      <c r="L293" s="274" t="s">
        <v>4176</v>
      </c>
      <c r="M293" s="281">
        <v>5985</v>
      </c>
      <c r="N293" s="280">
        <v>5985</v>
      </c>
      <c r="O293" s="280"/>
      <c r="P293" s="280"/>
      <c r="Q293" s="280"/>
      <c r="R293" s="280"/>
      <c r="S293" s="280"/>
      <c r="T293" s="297"/>
    </row>
    <row r="294" spans="1:20" x14ac:dyDescent="0.25">
      <c r="A294" s="274" t="s">
        <v>78</v>
      </c>
      <c r="B294" s="274" t="s">
        <v>79</v>
      </c>
      <c r="C294" s="274" t="s">
        <v>3741</v>
      </c>
      <c r="D294" s="274" t="s">
        <v>3742</v>
      </c>
      <c r="E294" s="274" t="s">
        <v>28</v>
      </c>
      <c r="F294" s="274" t="s">
        <v>29</v>
      </c>
      <c r="G294" s="274" t="s">
        <v>93</v>
      </c>
      <c r="H294" s="274" t="s">
        <v>94</v>
      </c>
      <c r="I294" s="274" t="s">
        <v>4177</v>
      </c>
      <c r="J294" s="274" t="s">
        <v>6538</v>
      </c>
      <c r="K294" s="274" t="s">
        <v>6506</v>
      </c>
      <c r="L294" s="274" t="s">
        <v>4178</v>
      </c>
      <c r="M294" s="281">
        <v>5985</v>
      </c>
      <c r="N294" s="280"/>
      <c r="O294" s="280">
        <v>5985</v>
      </c>
      <c r="P294" s="280"/>
      <c r="Q294" s="280"/>
      <c r="R294" s="280"/>
      <c r="S294" s="280"/>
      <c r="T294" s="297"/>
    </row>
    <row r="295" spans="1:20" x14ac:dyDescent="0.25">
      <c r="A295" s="274" t="s">
        <v>78</v>
      </c>
      <c r="B295" s="274" t="s">
        <v>79</v>
      </c>
      <c r="C295" s="274" t="s">
        <v>3741</v>
      </c>
      <c r="D295" s="274" t="s">
        <v>3742</v>
      </c>
      <c r="E295" s="274" t="s">
        <v>28</v>
      </c>
      <c r="F295" s="274" t="s">
        <v>29</v>
      </c>
      <c r="G295" s="274" t="s">
        <v>93</v>
      </c>
      <c r="H295" s="274" t="s">
        <v>94</v>
      </c>
      <c r="I295" s="274" t="s">
        <v>4179</v>
      </c>
      <c r="J295" s="274" t="s">
        <v>6538</v>
      </c>
      <c r="K295" s="274" t="s">
        <v>6506</v>
      </c>
      <c r="L295" s="274" t="s">
        <v>4180</v>
      </c>
      <c r="M295" s="281">
        <v>5985</v>
      </c>
      <c r="N295" s="280"/>
      <c r="O295" s="280"/>
      <c r="P295" s="280">
        <v>5985</v>
      </c>
      <c r="Q295" s="280"/>
      <c r="R295" s="280"/>
      <c r="S295" s="280"/>
      <c r="T295" s="297"/>
    </row>
    <row r="296" spans="1:20" x14ac:dyDescent="0.25">
      <c r="A296" s="274" t="s">
        <v>78</v>
      </c>
      <c r="B296" s="274" t="s">
        <v>79</v>
      </c>
      <c r="C296" s="274" t="s">
        <v>3741</v>
      </c>
      <c r="D296" s="274" t="s">
        <v>3742</v>
      </c>
      <c r="E296" s="274" t="s">
        <v>28</v>
      </c>
      <c r="F296" s="274" t="s">
        <v>29</v>
      </c>
      <c r="G296" s="274" t="s">
        <v>93</v>
      </c>
      <c r="H296" s="274" t="s">
        <v>94</v>
      </c>
      <c r="I296" s="274" t="s">
        <v>4181</v>
      </c>
      <c r="J296" s="274" t="s">
        <v>6538</v>
      </c>
      <c r="K296" s="274" t="s">
        <v>6506</v>
      </c>
      <c r="L296" s="274" t="s">
        <v>4182</v>
      </c>
      <c r="M296" s="281">
        <v>5985</v>
      </c>
      <c r="N296" s="280"/>
      <c r="O296" s="280"/>
      <c r="P296" s="280"/>
      <c r="Q296" s="280">
        <v>5985</v>
      </c>
      <c r="R296" s="280"/>
      <c r="S296" s="280"/>
      <c r="T296" s="297"/>
    </row>
    <row r="297" spans="1:20" x14ac:dyDescent="0.25">
      <c r="A297" s="274" t="s">
        <v>78</v>
      </c>
      <c r="B297" s="274" t="s">
        <v>79</v>
      </c>
      <c r="C297" s="274" t="s">
        <v>3741</v>
      </c>
      <c r="D297" s="274" t="s">
        <v>3742</v>
      </c>
      <c r="E297" s="274" t="s">
        <v>28</v>
      </c>
      <c r="F297" s="274" t="s">
        <v>29</v>
      </c>
      <c r="G297" s="274" t="s">
        <v>93</v>
      </c>
      <c r="H297" s="274" t="s">
        <v>94</v>
      </c>
      <c r="I297" s="274" t="s">
        <v>4183</v>
      </c>
      <c r="J297" s="274" t="s">
        <v>6538</v>
      </c>
      <c r="K297" s="274" t="s">
        <v>6506</v>
      </c>
      <c r="L297" s="274" t="s">
        <v>4184</v>
      </c>
      <c r="M297" s="281">
        <v>5985</v>
      </c>
      <c r="N297" s="280"/>
      <c r="O297" s="280"/>
      <c r="P297" s="280"/>
      <c r="Q297" s="280"/>
      <c r="R297" s="280">
        <v>5985</v>
      </c>
      <c r="S297" s="280"/>
      <c r="T297" s="297"/>
    </row>
    <row r="298" spans="1:20" x14ac:dyDescent="0.25">
      <c r="A298" s="274" t="s">
        <v>78</v>
      </c>
      <c r="B298" s="274" t="s">
        <v>79</v>
      </c>
      <c r="C298" s="274" t="s">
        <v>3741</v>
      </c>
      <c r="D298" s="274" t="s">
        <v>3742</v>
      </c>
      <c r="E298" s="274" t="s">
        <v>28</v>
      </c>
      <c r="F298" s="274" t="s">
        <v>29</v>
      </c>
      <c r="G298" s="274" t="s">
        <v>93</v>
      </c>
      <c r="H298" s="274" t="s">
        <v>94</v>
      </c>
      <c r="I298" s="274" t="s">
        <v>6217</v>
      </c>
      <c r="J298" s="274" t="s">
        <v>6538</v>
      </c>
      <c r="K298" s="274" t="s">
        <v>6506</v>
      </c>
      <c r="L298" s="274" t="s">
        <v>6218</v>
      </c>
      <c r="M298" s="281">
        <v>5985</v>
      </c>
      <c r="N298" s="280"/>
      <c r="O298" s="280"/>
      <c r="P298" s="280"/>
      <c r="Q298" s="280"/>
      <c r="R298" s="280"/>
      <c r="S298" s="280">
        <v>5985</v>
      </c>
      <c r="T298" s="297"/>
    </row>
    <row r="299" spans="1:20" x14ac:dyDescent="0.25">
      <c r="A299" s="274" t="s">
        <v>78</v>
      </c>
      <c r="B299" s="274" t="s">
        <v>79</v>
      </c>
      <c r="C299" s="274" t="s">
        <v>3741</v>
      </c>
      <c r="D299" s="274" t="s">
        <v>3742</v>
      </c>
      <c r="E299" s="274" t="s">
        <v>31</v>
      </c>
      <c r="F299" s="274" t="s">
        <v>115</v>
      </c>
      <c r="G299" s="274" t="s">
        <v>116</v>
      </c>
      <c r="H299" s="274" t="s">
        <v>117</v>
      </c>
      <c r="I299" s="274" t="s">
        <v>4185</v>
      </c>
      <c r="J299" s="274" t="s">
        <v>6539</v>
      </c>
      <c r="K299" s="274" t="s">
        <v>3746</v>
      </c>
      <c r="L299" s="274" t="s">
        <v>4186</v>
      </c>
      <c r="M299" s="281">
        <v>8571.9699999999993</v>
      </c>
      <c r="N299" s="280">
        <v>8571.9699999999993</v>
      </c>
      <c r="O299" s="280"/>
      <c r="P299" s="280"/>
      <c r="Q299" s="280"/>
      <c r="R299" s="280"/>
      <c r="S299" s="280"/>
      <c r="T299" s="297"/>
    </row>
    <row r="300" spans="1:20" x14ac:dyDescent="0.25">
      <c r="A300" s="274" t="s">
        <v>78</v>
      </c>
      <c r="B300" s="274" t="s">
        <v>79</v>
      </c>
      <c r="C300" s="274" t="s">
        <v>3741</v>
      </c>
      <c r="D300" s="274" t="s">
        <v>3742</v>
      </c>
      <c r="E300" s="274" t="s">
        <v>31</v>
      </c>
      <c r="F300" s="274" t="s">
        <v>115</v>
      </c>
      <c r="G300" s="274" t="s">
        <v>116</v>
      </c>
      <c r="H300" s="274" t="s">
        <v>117</v>
      </c>
      <c r="I300" s="274" t="s">
        <v>4187</v>
      </c>
      <c r="J300" s="274" t="s">
        <v>6540</v>
      </c>
      <c r="K300" s="274" t="s">
        <v>3746</v>
      </c>
      <c r="L300" s="274" t="s">
        <v>4188</v>
      </c>
      <c r="M300" s="281">
        <v>150000</v>
      </c>
      <c r="N300" s="280">
        <v>150000</v>
      </c>
      <c r="O300" s="280"/>
      <c r="P300" s="280"/>
      <c r="Q300" s="280"/>
      <c r="R300" s="280"/>
      <c r="S300" s="280"/>
      <c r="T300" s="297"/>
    </row>
    <row r="301" spans="1:20" x14ac:dyDescent="0.25">
      <c r="A301" s="274" t="s">
        <v>78</v>
      </c>
      <c r="B301" s="274" t="s">
        <v>79</v>
      </c>
      <c r="C301" s="274" t="s">
        <v>3741</v>
      </c>
      <c r="D301" s="274" t="s">
        <v>3742</v>
      </c>
      <c r="E301" s="274" t="s">
        <v>31</v>
      </c>
      <c r="F301" s="274" t="s">
        <v>115</v>
      </c>
      <c r="G301" s="274" t="s">
        <v>116</v>
      </c>
      <c r="H301" s="274" t="s">
        <v>117</v>
      </c>
      <c r="I301" s="274" t="s">
        <v>4189</v>
      </c>
      <c r="J301" s="274" t="s">
        <v>6541</v>
      </c>
      <c r="K301" s="274" t="s">
        <v>3746</v>
      </c>
      <c r="L301" s="274" t="s">
        <v>4190</v>
      </c>
      <c r="M301" s="281">
        <v>-5000</v>
      </c>
      <c r="N301" s="280">
        <v>-5000</v>
      </c>
      <c r="O301" s="280"/>
      <c r="P301" s="280"/>
      <c r="Q301" s="280"/>
      <c r="R301" s="280"/>
      <c r="S301" s="280"/>
      <c r="T301" s="297"/>
    </row>
    <row r="302" spans="1:20" x14ac:dyDescent="0.25">
      <c r="A302" s="274" t="s">
        <v>78</v>
      </c>
      <c r="B302" s="274" t="s">
        <v>79</v>
      </c>
      <c r="C302" s="274" t="s">
        <v>3741</v>
      </c>
      <c r="D302" s="274" t="s">
        <v>3742</v>
      </c>
      <c r="E302" s="274" t="s">
        <v>31</v>
      </c>
      <c r="F302" s="274" t="s">
        <v>115</v>
      </c>
      <c r="G302" s="274" t="s">
        <v>116</v>
      </c>
      <c r="H302" s="274" t="s">
        <v>117</v>
      </c>
      <c r="I302" s="274" t="s">
        <v>4191</v>
      </c>
      <c r="J302" s="274" t="s">
        <v>6541</v>
      </c>
      <c r="K302" s="274" t="s">
        <v>3746</v>
      </c>
      <c r="L302" s="274" t="s">
        <v>4190</v>
      </c>
      <c r="M302" s="281">
        <v>1029.05</v>
      </c>
      <c r="N302" s="280">
        <v>1029.05</v>
      </c>
      <c r="O302" s="280"/>
      <c r="P302" s="280"/>
      <c r="Q302" s="280"/>
      <c r="R302" s="280"/>
      <c r="S302" s="280"/>
      <c r="T302" s="297"/>
    </row>
    <row r="303" spans="1:20" x14ac:dyDescent="0.25">
      <c r="A303" s="274" t="s">
        <v>78</v>
      </c>
      <c r="B303" s="274" t="s">
        <v>79</v>
      </c>
      <c r="C303" s="274" t="s">
        <v>3741</v>
      </c>
      <c r="D303" s="274" t="s">
        <v>3742</v>
      </c>
      <c r="E303" s="274" t="s">
        <v>31</v>
      </c>
      <c r="F303" s="274" t="s">
        <v>115</v>
      </c>
      <c r="G303" s="274" t="s">
        <v>116</v>
      </c>
      <c r="H303" s="274" t="s">
        <v>117</v>
      </c>
      <c r="I303" s="274" t="s">
        <v>4192</v>
      </c>
      <c r="J303" s="274" t="s">
        <v>6541</v>
      </c>
      <c r="K303" s="274" t="s">
        <v>3746</v>
      </c>
      <c r="L303" s="274" t="s">
        <v>4190</v>
      </c>
      <c r="M303" s="281">
        <v>3970.95</v>
      </c>
      <c r="N303" s="280">
        <v>3970.95</v>
      </c>
      <c r="O303" s="280"/>
      <c r="P303" s="280"/>
      <c r="Q303" s="280"/>
      <c r="R303" s="280"/>
      <c r="S303" s="280"/>
      <c r="T303" s="297"/>
    </row>
    <row r="304" spans="1:20" x14ac:dyDescent="0.25">
      <c r="A304" s="274" t="s">
        <v>78</v>
      </c>
      <c r="B304" s="274" t="s">
        <v>79</v>
      </c>
      <c r="C304" s="274" t="s">
        <v>3741</v>
      </c>
      <c r="D304" s="274" t="s">
        <v>3742</v>
      </c>
      <c r="E304" s="274" t="s">
        <v>31</v>
      </c>
      <c r="F304" s="274" t="s">
        <v>115</v>
      </c>
      <c r="G304" s="274" t="s">
        <v>116</v>
      </c>
      <c r="H304" s="274" t="s">
        <v>117</v>
      </c>
      <c r="I304" s="274" t="s">
        <v>4193</v>
      </c>
      <c r="J304" s="274" t="s">
        <v>6541</v>
      </c>
      <c r="K304" s="274" t="s">
        <v>3746</v>
      </c>
      <c r="L304" s="274" t="s">
        <v>4190</v>
      </c>
      <c r="M304" s="281">
        <v>277.2</v>
      </c>
      <c r="N304" s="280">
        <v>277.2</v>
      </c>
      <c r="O304" s="280"/>
      <c r="P304" s="280"/>
      <c r="Q304" s="280"/>
      <c r="R304" s="280"/>
      <c r="S304" s="280"/>
      <c r="T304" s="297"/>
    </row>
    <row r="305" spans="1:20" x14ac:dyDescent="0.25">
      <c r="A305" s="274" t="s">
        <v>78</v>
      </c>
      <c r="B305" s="274" t="s">
        <v>79</v>
      </c>
      <c r="C305" s="274" t="s">
        <v>3741</v>
      </c>
      <c r="D305" s="274" t="s">
        <v>3742</v>
      </c>
      <c r="E305" s="274" t="s">
        <v>31</v>
      </c>
      <c r="F305" s="274" t="s">
        <v>115</v>
      </c>
      <c r="G305" s="274" t="s">
        <v>116</v>
      </c>
      <c r="H305" s="274" t="s">
        <v>117</v>
      </c>
      <c r="I305" s="274" t="s">
        <v>4194</v>
      </c>
      <c r="J305" s="274" t="s">
        <v>6539</v>
      </c>
      <c r="K305" s="274" t="s">
        <v>3746</v>
      </c>
      <c r="L305" s="274" t="s">
        <v>4195</v>
      </c>
      <c r="M305" s="281">
        <v>8675.51</v>
      </c>
      <c r="N305" s="280">
        <v>8675.51</v>
      </c>
      <c r="O305" s="280"/>
      <c r="P305" s="280"/>
      <c r="Q305" s="280"/>
      <c r="R305" s="280"/>
      <c r="S305" s="280"/>
      <c r="T305" s="297"/>
    </row>
    <row r="306" spans="1:20" x14ac:dyDescent="0.25">
      <c r="A306" s="274" t="s">
        <v>78</v>
      </c>
      <c r="B306" s="274" t="s">
        <v>79</v>
      </c>
      <c r="C306" s="274" t="s">
        <v>3741</v>
      </c>
      <c r="D306" s="274" t="s">
        <v>3742</v>
      </c>
      <c r="E306" s="274" t="s">
        <v>31</v>
      </c>
      <c r="F306" s="274" t="s">
        <v>115</v>
      </c>
      <c r="G306" s="274" t="s">
        <v>116</v>
      </c>
      <c r="H306" s="274" t="s">
        <v>117</v>
      </c>
      <c r="I306" s="274" t="s">
        <v>4196</v>
      </c>
      <c r="J306" s="274" t="s">
        <v>6541</v>
      </c>
      <c r="K306" s="274" t="s">
        <v>3746</v>
      </c>
      <c r="L306" s="274" t="s">
        <v>4190</v>
      </c>
      <c r="M306" s="281">
        <v>-3970.95</v>
      </c>
      <c r="N306" s="280">
        <v>-3970.95</v>
      </c>
      <c r="O306" s="280"/>
      <c r="P306" s="280"/>
      <c r="Q306" s="280"/>
      <c r="R306" s="280"/>
      <c r="S306" s="280"/>
      <c r="T306" s="297"/>
    </row>
    <row r="307" spans="1:20" x14ac:dyDescent="0.25">
      <c r="A307" s="274" t="s">
        <v>78</v>
      </c>
      <c r="B307" s="274" t="s">
        <v>79</v>
      </c>
      <c r="C307" s="274" t="s">
        <v>3741</v>
      </c>
      <c r="D307" s="274" t="s">
        <v>3742</v>
      </c>
      <c r="E307" s="274" t="s">
        <v>31</v>
      </c>
      <c r="F307" s="274" t="s">
        <v>115</v>
      </c>
      <c r="G307" s="274" t="s">
        <v>116</v>
      </c>
      <c r="H307" s="274" t="s">
        <v>117</v>
      </c>
      <c r="I307" s="274" t="s">
        <v>4197</v>
      </c>
      <c r="J307" s="274" t="s">
        <v>6541</v>
      </c>
      <c r="K307" s="274" t="s">
        <v>3746</v>
      </c>
      <c r="L307" s="274" t="s">
        <v>4190</v>
      </c>
      <c r="M307" s="281">
        <v>221.64</v>
      </c>
      <c r="N307" s="280">
        <v>221.64</v>
      </c>
      <c r="O307" s="280"/>
      <c r="P307" s="280"/>
      <c r="Q307" s="280"/>
      <c r="R307" s="280"/>
      <c r="S307" s="280"/>
      <c r="T307" s="297"/>
    </row>
    <row r="308" spans="1:20" x14ac:dyDescent="0.25">
      <c r="A308" s="274" t="s">
        <v>78</v>
      </c>
      <c r="B308" s="274" t="s">
        <v>79</v>
      </c>
      <c r="C308" s="274" t="s">
        <v>3741</v>
      </c>
      <c r="D308" s="274" t="s">
        <v>3742</v>
      </c>
      <c r="E308" s="274" t="s">
        <v>31</v>
      </c>
      <c r="F308" s="274" t="s">
        <v>115</v>
      </c>
      <c r="G308" s="274" t="s">
        <v>116</v>
      </c>
      <c r="H308" s="274" t="s">
        <v>117</v>
      </c>
      <c r="I308" s="274" t="s">
        <v>4198</v>
      </c>
      <c r="J308" s="274" t="s">
        <v>6541</v>
      </c>
      <c r="K308" s="274" t="s">
        <v>3746</v>
      </c>
      <c r="L308" s="274" t="s">
        <v>4190</v>
      </c>
      <c r="M308" s="281">
        <v>1322.64</v>
      </c>
      <c r="N308" s="280">
        <v>1322.64</v>
      </c>
      <c r="O308" s="280"/>
      <c r="P308" s="280"/>
      <c r="Q308" s="280"/>
      <c r="R308" s="280"/>
      <c r="S308" s="280"/>
      <c r="T308" s="297"/>
    </row>
    <row r="309" spans="1:20" x14ac:dyDescent="0.25">
      <c r="A309" s="274" t="s">
        <v>78</v>
      </c>
      <c r="B309" s="274" t="s">
        <v>79</v>
      </c>
      <c r="C309" s="274" t="s">
        <v>3741</v>
      </c>
      <c r="D309" s="274" t="s">
        <v>3742</v>
      </c>
      <c r="E309" s="274" t="s">
        <v>31</v>
      </c>
      <c r="F309" s="274" t="s">
        <v>115</v>
      </c>
      <c r="G309" s="274" t="s">
        <v>116</v>
      </c>
      <c r="H309" s="274" t="s">
        <v>117</v>
      </c>
      <c r="I309" s="274" t="s">
        <v>4199</v>
      </c>
      <c r="J309" s="274" t="s">
        <v>6540</v>
      </c>
      <c r="K309" s="274" t="s">
        <v>3746</v>
      </c>
      <c r="L309" s="274" t="s">
        <v>4200</v>
      </c>
      <c r="M309" s="281">
        <v>150000</v>
      </c>
      <c r="N309" s="280"/>
      <c r="O309" s="280">
        <v>150000</v>
      </c>
      <c r="P309" s="280"/>
      <c r="Q309" s="280"/>
      <c r="R309" s="280"/>
      <c r="S309" s="280"/>
      <c r="T309" s="297"/>
    </row>
    <row r="310" spans="1:20" x14ac:dyDescent="0.25">
      <c r="A310" s="274" t="s">
        <v>78</v>
      </c>
      <c r="B310" s="274" t="s">
        <v>79</v>
      </c>
      <c r="C310" s="274" t="s">
        <v>3741</v>
      </c>
      <c r="D310" s="274" t="s">
        <v>3742</v>
      </c>
      <c r="E310" s="274" t="s">
        <v>31</v>
      </c>
      <c r="F310" s="274" t="s">
        <v>115</v>
      </c>
      <c r="G310" s="274" t="s">
        <v>116</v>
      </c>
      <c r="H310" s="274" t="s">
        <v>117</v>
      </c>
      <c r="I310" s="274" t="s">
        <v>4201</v>
      </c>
      <c r="J310" s="274" t="s">
        <v>6542</v>
      </c>
      <c r="K310" s="274" t="s">
        <v>3746</v>
      </c>
      <c r="L310" s="274" t="s">
        <v>4202</v>
      </c>
      <c r="M310" s="281">
        <v>8000</v>
      </c>
      <c r="N310" s="280"/>
      <c r="O310" s="280">
        <v>8000</v>
      </c>
      <c r="P310" s="280"/>
      <c r="Q310" s="280"/>
      <c r="R310" s="280"/>
      <c r="S310" s="280"/>
      <c r="T310" s="297"/>
    </row>
    <row r="311" spans="1:20" x14ac:dyDescent="0.25">
      <c r="A311" s="274" t="s">
        <v>78</v>
      </c>
      <c r="B311" s="274" t="s">
        <v>79</v>
      </c>
      <c r="C311" s="274" t="s">
        <v>3741</v>
      </c>
      <c r="D311" s="274" t="s">
        <v>3742</v>
      </c>
      <c r="E311" s="274" t="s">
        <v>31</v>
      </c>
      <c r="F311" s="274" t="s">
        <v>115</v>
      </c>
      <c r="G311" s="274" t="s">
        <v>116</v>
      </c>
      <c r="H311" s="274" t="s">
        <v>117</v>
      </c>
      <c r="I311" s="274" t="s">
        <v>4203</v>
      </c>
      <c r="J311" s="274" t="s">
        <v>6540</v>
      </c>
      <c r="K311" s="274" t="s">
        <v>3746</v>
      </c>
      <c r="L311" s="274" t="s">
        <v>4188</v>
      </c>
      <c r="M311" s="281">
        <v>3602.19</v>
      </c>
      <c r="N311" s="280"/>
      <c r="O311" s="280">
        <v>3602.19</v>
      </c>
      <c r="P311" s="280"/>
      <c r="Q311" s="280"/>
      <c r="R311" s="280"/>
      <c r="S311" s="280"/>
      <c r="T311" s="297"/>
    </row>
    <row r="312" spans="1:20" x14ac:dyDescent="0.25">
      <c r="A312" s="274" t="s">
        <v>78</v>
      </c>
      <c r="B312" s="274" t="s">
        <v>79</v>
      </c>
      <c r="C312" s="274" t="s">
        <v>3741</v>
      </c>
      <c r="D312" s="274" t="s">
        <v>3742</v>
      </c>
      <c r="E312" s="274" t="s">
        <v>31</v>
      </c>
      <c r="F312" s="274" t="s">
        <v>115</v>
      </c>
      <c r="G312" s="274" t="s">
        <v>116</v>
      </c>
      <c r="H312" s="274" t="s">
        <v>117</v>
      </c>
      <c r="I312" s="274" t="s">
        <v>4204</v>
      </c>
      <c r="J312" s="274" t="s">
        <v>6542</v>
      </c>
      <c r="K312" s="274" t="s">
        <v>3746</v>
      </c>
      <c r="L312" s="274" t="s">
        <v>4205</v>
      </c>
      <c r="M312" s="281">
        <v>1758.74</v>
      </c>
      <c r="N312" s="280"/>
      <c r="O312" s="280">
        <v>1758.74</v>
      </c>
      <c r="P312" s="280"/>
      <c r="Q312" s="280"/>
      <c r="R312" s="280"/>
      <c r="S312" s="280"/>
      <c r="T312" s="297"/>
    </row>
    <row r="313" spans="1:20" x14ac:dyDescent="0.25">
      <c r="A313" s="274" t="s">
        <v>78</v>
      </c>
      <c r="B313" s="274" t="s">
        <v>79</v>
      </c>
      <c r="C313" s="274" t="s">
        <v>3741</v>
      </c>
      <c r="D313" s="274" t="s">
        <v>3742</v>
      </c>
      <c r="E313" s="274" t="s">
        <v>31</v>
      </c>
      <c r="F313" s="274" t="s">
        <v>115</v>
      </c>
      <c r="G313" s="274" t="s">
        <v>116</v>
      </c>
      <c r="H313" s="274" t="s">
        <v>117</v>
      </c>
      <c r="I313" s="274" t="s">
        <v>4206</v>
      </c>
      <c r="J313" s="274" t="s">
        <v>6542</v>
      </c>
      <c r="K313" s="274" t="s">
        <v>3746</v>
      </c>
      <c r="L313" s="274" t="s">
        <v>4205</v>
      </c>
      <c r="M313" s="281">
        <v>437.51</v>
      </c>
      <c r="N313" s="280"/>
      <c r="O313" s="280">
        <v>437.51</v>
      </c>
      <c r="P313" s="280"/>
      <c r="Q313" s="280"/>
      <c r="R313" s="280"/>
      <c r="S313" s="280"/>
      <c r="T313" s="297"/>
    </row>
    <row r="314" spans="1:20" x14ac:dyDescent="0.25">
      <c r="A314" s="274" t="s">
        <v>78</v>
      </c>
      <c r="B314" s="274" t="s">
        <v>79</v>
      </c>
      <c r="C314" s="274" t="s">
        <v>3741</v>
      </c>
      <c r="D314" s="274" t="s">
        <v>3742</v>
      </c>
      <c r="E314" s="274" t="s">
        <v>31</v>
      </c>
      <c r="F314" s="274" t="s">
        <v>115</v>
      </c>
      <c r="G314" s="274" t="s">
        <v>116</v>
      </c>
      <c r="H314" s="274" t="s">
        <v>117</v>
      </c>
      <c r="I314" s="274" t="s">
        <v>4207</v>
      </c>
      <c r="J314" s="274" t="s">
        <v>6540</v>
      </c>
      <c r="K314" s="274" t="s">
        <v>3746</v>
      </c>
      <c r="L314" s="274" t="s">
        <v>4200</v>
      </c>
      <c r="M314" s="281">
        <v>4819.2700000000004</v>
      </c>
      <c r="N314" s="280"/>
      <c r="O314" s="280"/>
      <c r="P314" s="280">
        <v>4819.2700000000004</v>
      </c>
      <c r="Q314" s="280"/>
      <c r="R314" s="280"/>
      <c r="S314" s="280"/>
      <c r="T314" s="297"/>
    </row>
    <row r="315" spans="1:20" x14ac:dyDescent="0.25">
      <c r="A315" s="274" t="s">
        <v>78</v>
      </c>
      <c r="B315" s="274" t="s">
        <v>79</v>
      </c>
      <c r="C315" s="274" t="s">
        <v>3741</v>
      </c>
      <c r="D315" s="274" t="s">
        <v>3742</v>
      </c>
      <c r="E315" s="274" t="s">
        <v>31</v>
      </c>
      <c r="F315" s="274" t="s">
        <v>115</v>
      </c>
      <c r="G315" s="274" t="s">
        <v>116</v>
      </c>
      <c r="H315" s="274" t="s">
        <v>117</v>
      </c>
      <c r="I315" s="274" t="s">
        <v>4208</v>
      </c>
      <c r="J315" s="274" t="s">
        <v>6540</v>
      </c>
      <c r="K315" s="274" t="s">
        <v>3746</v>
      </c>
      <c r="L315" s="274" t="s">
        <v>4209</v>
      </c>
      <c r="M315" s="281">
        <v>150000</v>
      </c>
      <c r="N315" s="280"/>
      <c r="O315" s="280"/>
      <c r="P315" s="280">
        <v>150000</v>
      </c>
      <c r="Q315" s="280"/>
      <c r="R315" s="280"/>
      <c r="S315" s="280"/>
      <c r="T315" s="297"/>
    </row>
    <row r="316" spans="1:20" x14ac:dyDescent="0.25">
      <c r="A316" s="274" t="s">
        <v>78</v>
      </c>
      <c r="B316" s="274" t="s">
        <v>79</v>
      </c>
      <c r="C316" s="274" t="s">
        <v>3741</v>
      </c>
      <c r="D316" s="274" t="s">
        <v>3742</v>
      </c>
      <c r="E316" s="274" t="s">
        <v>31</v>
      </c>
      <c r="F316" s="274" t="s">
        <v>115</v>
      </c>
      <c r="G316" s="274" t="s">
        <v>116</v>
      </c>
      <c r="H316" s="274" t="s">
        <v>117</v>
      </c>
      <c r="I316" s="274" t="s">
        <v>4210</v>
      </c>
      <c r="J316" s="274" t="s">
        <v>6542</v>
      </c>
      <c r="K316" s="274" t="s">
        <v>3746</v>
      </c>
      <c r="L316" s="274" t="s">
        <v>4202</v>
      </c>
      <c r="M316" s="281">
        <v>1707.56</v>
      </c>
      <c r="N316" s="280"/>
      <c r="O316" s="280"/>
      <c r="P316" s="280">
        <v>1707.56</v>
      </c>
      <c r="Q316" s="280"/>
      <c r="R316" s="280"/>
      <c r="S316" s="280"/>
      <c r="T316" s="297"/>
    </row>
    <row r="317" spans="1:20" x14ac:dyDescent="0.25">
      <c r="A317" s="274" t="s">
        <v>78</v>
      </c>
      <c r="B317" s="274" t="s">
        <v>79</v>
      </c>
      <c r="C317" s="274" t="s">
        <v>3741</v>
      </c>
      <c r="D317" s="274" t="s">
        <v>3742</v>
      </c>
      <c r="E317" s="274" t="s">
        <v>31</v>
      </c>
      <c r="F317" s="274" t="s">
        <v>115</v>
      </c>
      <c r="G317" s="274" t="s">
        <v>116</v>
      </c>
      <c r="H317" s="274" t="s">
        <v>117</v>
      </c>
      <c r="I317" s="274" t="s">
        <v>4211</v>
      </c>
      <c r="J317" s="274" t="s">
        <v>6542</v>
      </c>
      <c r="K317" s="274" t="s">
        <v>3746</v>
      </c>
      <c r="L317" s="274" t="s">
        <v>4202</v>
      </c>
      <c r="M317" s="281">
        <v>1424.48</v>
      </c>
      <c r="N317" s="280"/>
      <c r="O317" s="280"/>
      <c r="P317" s="280">
        <v>1424.48</v>
      </c>
      <c r="Q317" s="280"/>
      <c r="R317" s="280"/>
      <c r="S317" s="280"/>
      <c r="T317" s="297"/>
    </row>
    <row r="318" spans="1:20" x14ac:dyDescent="0.25">
      <c r="A318" s="274" t="s">
        <v>78</v>
      </c>
      <c r="B318" s="274" t="s">
        <v>79</v>
      </c>
      <c r="C318" s="274" t="s">
        <v>3741</v>
      </c>
      <c r="D318" s="274" t="s">
        <v>3742</v>
      </c>
      <c r="E318" s="274" t="s">
        <v>31</v>
      </c>
      <c r="F318" s="274" t="s">
        <v>115</v>
      </c>
      <c r="G318" s="274" t="s">
        <v>116</v>
      </c>
      <c r="H318" s="274" t="s">
        <v>117</v>
      </c>
      <c r="I318" s="274" t="s">
        <v>4212</v>
      </c>
      <c r="J318" s="274" t="s">
        <v>6542</v>
      </c>
      <c r="K318" s="274" t="s">
        <v>3746</v>
      </c>
      <c r="L318" s="274" t="s">
        <v>4202</v>
      </c>
      <c r="M318" s="281">
        <v>1039.04</v>
      </c>
      <c r="N318" s="280"/>
      <c r="O318" s="280"/>
      <c r="P318" s="280">
        <v>1039.04</v>
      </c>
      <c r="Q318" s="280"/>
      <c r="R318" s="280"/>
      <c r="S318" s="280"/>
      <c r="T318" s="297"/>
    </row>
    <row r="319" spans="1:20" x14ac:dyDescent="0.25">
      <c r="A319" s="274" t="s">
        <v>78</v>
      </c>
      <c r="B319" s="274" t="s">
        <v>79</v>
      </c>
      <c r="C319" s="274" t="s">
        <v>3741</v>
      </c>
      <c r="D319" s="274" t="s">
        <v>3742</v>
      </c>
      <c r="E319" s="274" t="s">
        <v>31</v>
      </c>
      <c r="F319" s="274" t="s">
        <v>115</v>
      </c>
      <c r="G319" s="274" t="s">
        <v>116</v>
      </c>
      <c r="H319" s="274" t="s">
        <v>117</v>
      </c>
      <c r="I319" s="274" t="s">
        <v>4213</v>
      </c>
      <c r="J319" s="274" t="s">
        <v>6539</v>
      </c>
      <c r="K319" s="274" t="s">
        <v>3746</v>
      </c>
      <c r="L319" s="274" t="s">
        <v>4214</v>
      </c>
      <c r="M319" s="281">
        <v>3500</v>
      </c>
      <c r="N319" s="280"/>
      <c r="O319" s="280"/>
      <c r="P319" s="280">
        <v>3500</v>
      </c>
      <c r="Q319" s="280"/>
      <c r="R319" s="280"/>
      <c r="S319" s="280"/>
      <c r="T319" s="297"/>
    </row>
    <row r="320" spans="1:20" x14ac:dyDescent="0.25">
      <c r="A320" s="274" t="s">
        <v>78</v>
      </c>
      <c r="B320" s="274" t="s">
        <v>79</v>
      </c>
      <c r="C320" s="274" t="s">
        <v>3741</v>
      </c>
      <c r="D320" s="274" t="s">
        <v>3742</v>
      </c>
      <c r="E320" s="274" t="s">
        <v>31</v>
      </c>
      <c r="F320" s="274" t="s">
        <v>115</v>
      </c>
      <c r="G320" s="274" t="s">
        <v>116</v>
      </c>
      <c r="H320" s="274" t="s">
        <v>117</v>
      </c>
      <c r="I320" s="274" t="s">
        <v>4215</v>
      </c>
      <c r="J320" s="274" t="s">
        <v>6539</v>
      </c>
      <c r="K320" s="274" t="s">
        <v>3746</v>
      </c>
      <c r="L320" s="274" t="s">
        <v>4214</v>
      </c>
      <c r="M320" s="281">
        <v>-3500</v>
      </c>
      <c r="N320" s="280"/>
      <c r="O320" s="280"/>
      <c r="P320" s="280"/>
      <c r="Q320" s="280">
        <v>-3500</v>
      </c>
      <c r="R320" s="280"/>
      <c r="S320" s="280"/>
      <c r="T320" s="297"/>
    </row>
    <row r="321" spans="1:20" x14ac:dyDescent="0.25">
      <c r="A321" s="274" t="s">
        <v>78</v>
      </c>
      <c r="B321" s="274" t="s">
        <v>79</v>
      </c>
      <c r="C321" s="274" t="s">
        <v>3741</v>
      </c>
      <c r="D321" s="274" t="s">
        <v>3742</v>
      </c>
      <c r="E321" s="274" t="s">
        <v>31</v>
      </c>
      <c r="F321" s="274" t="s">
        <v>115</v>
      </c>
      <c r="G321" s="274" t="s">
        <v>116</v>
      </c>
      <c r="H321" s="274" t="s">
        <v>117</v>
      </c>
      <c r="I321" s="274" t="s">
        <v>4216</v>
      </c>
      <c r="J321" s="274" t="s">
        <v>6539</v>
      </c>
      <c r="K321" s="274" t="s">
        <v>3746</v>
      </c>
      <c r="L321" s="274" t="s">
        <v>4214</v>
      </c>
      <c r="M321" s="281">
        <v>3500</v>
      </c>
      <c r="N321" s="280"/>
      <c r="O321" s="280"/>
      <c r="P321" s="280"/>
      <c r="Q321" s="280">
        <v>3500</v>
      </c>
      <c r="R321" s="280"/>
      <c r="S321" s="280"/>
      <c r="T321" s="297"/>
    </row>
    <row r="322" spans="1:20" x14ac:dyDescent="0.25">
      <c r="A322" s="274" t="s">
        <v>78</v>
      </c>
      <c r="B322" s="274" t="s">
        <v>79</v>
      </c>
      <c r="C322" s="274" t="s">
        <v>3741</v>
      </c>
      <c r="D322" s="274" t="s">
        <v>3742</v>
      </c>
      <c r="E322" s="274" t="s">
        <v>31</v>
      </c>
      <c r="F322" s="274" t="s">
        <v>115</v>
      </c>
      <c r="G322" s="274" t="s">
        <v>116</v>
      </c>
      <c r="H322" s="274" t="s">
        <v>117</v>
      </c>
      <c r="I322" s="274" t="s">
        <v>4217</v>
      </c>
      <c r="J322" s="274" t="s">
        <v>6540</v>
      </c>
      <c r="K322" s="274" t="s">
        <v>3746</v>
      </c>
      <c r="L322" s="274" t="s">
        <v>4209</v>
      </c>
      <c r="M322" s="281">
        <v>1827.77</v>
      </c>
      <c r="N322" s="280"/>
      <c r="O322" s="280"/>
      <c r="P322" s="280"/>
      <c r="Q322" s="280">
        <v>1827.77</v>
      </c>
      <c r="R322" s="280"/>
      <c r="S322" s="280"/>
      <c r="T322" s="297"/>
    </row>
    <row r="323" spans="1:20" x14ac:dyDescent="0.25">
      <c r="A323" s="274" t="s">
        <v>78</v>
      </c>
      <c r="B323" s="274" t="s">
        <v>79</v>
      </c>
      <c r="C323" s="274" t="s">
        <v>3741</v>
      </c>
      <c r="D323" s="274" t="s">
        <v>3742</v>
      </c>
      <c r="E323" s="274" t="s">
        <v>31</v>
      </c>
      <c r="F323" s="274" t="s">
        <v>115</v>
      </c>
      <c r="G323" s="274" t="s">
        <v>116</v>
      </c>
      <c r="H323" s="274" t="s">
        <v>117</v>
      </c>
      <c r="I323" s="274" t="s">
        <v>4218</v>
      </c>
      <c r="J323" s="274" t="s">
        <v>6542</v>
      </c>
      <c r="K323" s="274" t="s">
        <v>3746</v>
      </c>
      <c r="L323" s="274" t="s">
        <v>4219</v>
      </c>
      <c r="M323" s="281">
        <v>3852.96</v>
      </c>
      <c r="N323" s="280"/>
      <c r="O323" s="280"/>
      <c r="P323" s="280"/>
      <c r="Q323" s="280">
        <v>3852.96</v>
      </c>
      <c r="R323" s="280"/>
      <c r="S323" s="280"/>
      <c r="T323" s="297"/>
    </row>
    <row r="324" spans="1:20" x14ac:dyDescent="0.25">
      <c r="A324" s="274" t="s">
        <v>78</v>
      </c>
      <c r="B324" s="274" t="s">
        <v>79</v>
      </c>
      <c r="C324" s="274" t="s">
        <v>3741</v>
      </c>
      <c r="D324" s="274" t="s">
        <v>3742</v>
      </c>
      <c r="E324" s="274" t="s">
        <v>31</v>
      </c>
      <c r="F324" s="274" t="s">
        <v>115</v>
      </c>
      <c r="G324" s="274" t="s">
        <v>116</v>
      </c>
      <c r="H324" s="274" t="s">
        <v>117</v>
      </c>
      <c r="I324" s="274" t="s">
        <v>4220</v>
      </c>
      <c r="J324" s="274" t="s">
        <v>6542</v>
      </c>
      <c r="K324" s="274" t="s">
        <v>3746</v>
      </c>
      <c r="L324" s="274" t="s">
        <v>4219</v>
      </c>
      <c r="M324" s="281">
        <v>2084.04</v>
      </c>
      <c r="N324" s="280"/>
      <c r="O324" s="280"/>
      <c r="P324" s="280"/>
      <c r="Q324" s="280">
        <v>2084.04</v>
      </c>
      <c r="R324" s="280"/>
      <c r="S324" s="280"/>
      <c r="T324" s="297"/>
    </row>
    <row r="325" spans="1:20" x14ac:dyDescent="0.25">
      <c r="A325" s="274" t="s">
        <v>78</v>
      </c>
      <c r="B325" s="274" t="s">
        <v>79</v>
      </c>
      <c r="C325" s="274" t="s">
        <v>3741</v>
      </c>
      <c r="D325" s="274" t="s">
        <v>3742</v>
      </c>
      <c r="E325" s="274" t="s">
        <v>31</v>
      </c>
      <c r="F325" s="274" t="s">
        <v>115</v>
      </c>
      <c r="G325" s="274" t="s">
        <v>116</v>
      </c>
      <c r="H325" s="274" t="s">
        <v>117</v>
      </c>
      <c r="I325" s="274" t="s">
        <v>4221</v>
      </c>
      <c r="J325" s="274" t="s">
        <v>6540</v>
      </c>
      <c r="K325" s="274" t="s">
        <v>3746</v>
      </c>
      <c r="L325" s="274" t="s">
        <v>4222</v>
      </c>
      <c r="M325" s="281">
        <v>150000</v>
      </c>
      <c r="N325" s="280"/>
      <c r="O325" s="280"/>
      <c r="P325" s="280"/>
      <c r="Q325" s="280">
        <v>150000</v>
      </c>
      <c r="R325" s="280"/>
      <c r="S325" s="280"/>
      <c r="T325" s="297"/>
    </row>
    <row r="326" spans="1:20" x14ac:dyDescent="0.25">
      <c r="A326" s="274" t="s">
        <v>78</v>
      </c>
      <c r="B326" s="274" t="s">
        <v>79</v>
      </c>
      <c r="C326" s="274" t="s">
        <v>3741</v>
      </c>
      <c r="D326" s="274" t="s">
        <v>3742</v>
      </c>
      <c r="E326" s="274" t="s">
        <v>31</v>
      </c>
      <c r="F326" s="274" t="s">
        <v>115</v>
      </c>
      <c r="G326" s="274" t="s">
        <v>116</v>
      </c>
      <c r="H326" s="274" t="s">
        <v>117</v>
      </c>
      <c r="I326" s="274" t="s">
        <v>4223</v>
      </c>
      <c r="J326" s="274" t="s">
        <v>6540</v>
      </c>
      <c r="K326" s="274" t="s">
        <v>3746</v>
      </c>
      <c r="L326" s="274" t="s">
        <v>4224</v>
      </c>
      <c r="M326" s="281">
        <v>150000</v>
      </c>
      <c r="N326" s="280"/>
      <c r="O326" s="280"/>
      <c r="P326" s="280"/>
      <c r="Q326" s="280"/>
      <c r="R326" s="280">
        <v>150000</v>
      </c>
      <c r="S326" s="280"/>
      <c r="T326" s="297"/>
    </row>
    <row r="327" spans="1:20" x14ac:dyDescent="0.25">
      <c r="A327" s="274" t="s">
        <v>78</v>
      </c>
      <c r="B327" s="274" t="s">
        <v>79</v>
      </c>
      <c r="C327" s="274" t="s">
        <v>3741</v>
      </c>
      <c r="D327" s="274" t="s">
        <v>3742</v>
      </c>
      <c r="E327" s="274" t="s">
        <v>31</v>
      </c>
      <c r="F327" s="274" t="s">
        <v>115</v>
      </c>
      <c r="G327" s="274" t="s">
        <v>116</v>
      </c>
      <c r="H327" s="274" t="s">
        <v>117</v>
      </c>
      <c r="I327" s="274" t="s">
        <v>6219</v>
      </c>
      <c r="J327" s="274" t="s">
        <v>6540</v>
      </c>
      <c r="K327" s="274" t="s">
        <v>3746</v>
      </c>
      <c r="L327" s="274" t="s">
        <v>4222</v>
      </c>
      <c r="M327" s="281">
        <v>1842.33</v>
      </c>
      <c r="N327" s="280"/>
      <c r="O327" s="280"/>
      <c r="P327" s="280"/>
      <c r="Q327" s="280"/>
      <c r="R327" s="280">
        <v>1842.33</v>
      </c>
      <c r="S327" s="280"/>
      <c r="T327" s="297"/>
    </row>
    <row r="328" spans="1:20" x14ac:dyDescent="0.25">
      <c r="A328" s="274" t="s">
        <v>78</v>
      </c>
      <c r="B328" s="274" t="s">
        <v>79</v>
      </c>
      <c r="C328" s="274" t="s">
        <v>3741</v>
      </c>
      <c r="D328" s="274" t="s">
        <v>3742</v>
      </c>
      <c r="E328" s="274" t="s">
        <v>31</v>
      </c>
      <c r="F328" s="274" t="s">
        <v>115</v>
      </c>
      <c r="G328" s="274" t="s">
        <v>116</v>
      </c>
      <c r="H328" s="274" t="s">
        <v>117</v>
      </c>
      <c r="I328" s="274" t="s">
        <v>6220</v>
      </c>
      <c r="J328" s="274" t="s">
        <v>6542</v>
      </c>
      <c r="K328" s="274" t="s">
        <v>3746</v>
      </c>
      <c r="L328" s="274" t="s">
        <v>6221</v>
      </c>
      <c r="M328" s="281">
        <v>10094.620000000001</v>
      </c>
      <c r="N328" s="280"/>
      <c r="O328" s="280"/>
      <c r="P328" s="280"/>
      <c r="Q328" s="280"/>
      <c r="R328" s="280">
        <v>10094.620000000001</v>
      </c>
      <c r="S328" s="280"/>
      <c r="T328" s="297"/>
    </row>
    <row r="329" spans="1:20" x14ac:dyDescent="0.25">
      <c r="A329" s="274" t="s">
        <v>78</v>
      </c>
      <c r="B329" s="274" t="s">
        <v>79</v>
      </c>
      <c r="C329" s="274" t="s">
        <v>3741</v>
      </c>
      <c r="D329" s="274" t="s">
        <v>3742</v>
      </c>
      <c r="E329" s="274" t="s">
        <v>31</v>
      </c>
      <c r="F329" s="274" t="s">
        <v>115</v>
      </c>
      <c r="G329" s="274" t="s">
        <v>116</v>
      </c>
      <c r="H329" s="274" t="s">
        <v>117</v>
      </c>
      <c r="I329" s="274" t="s">
        <v>6222</v>
      </c>
      <c r="J329" s="274" t="s">
        <v>6542</v>
      </c>
      <c r="K329" s="274" t="s">
        <v>3746</v>
      </c>
      <c r="L329" s="274" t="s">
        <v>6221</v>
      </c>
      <c r="M329" s="281">
        <v>1205.19</v>
      </c>
      <c r="N329" s="280"/>
      <c r="O329" s="280"/>
      <c r="P329" s="280"/>
      <c r="Q329" s="280"/>
      <c r="R329" s="280">
        <v>1205.19</v>
      </c>
      <c r="S329" s="280"/>
      <c r="T329" s="297"/>
    </row>
    <row r="330" spans="1:20" x14ac:dyDescent="0.25">
      <c r="A330" s="274" t="s">
        <v>78</v>
      </c>
      <c r="B330" s="274" t="s">
        <v>79</v>
      </c>
      <c r="C330" s="274" t="s">
        <v>3741</v>
      </c>
      <c r="D330" s="274" t="s">
        <v>3742</v>
      </c>
      <c r="E330" s="274" t="s">
        <v>31</v>
      </c>
      <c r="F330" s="274" t="s">
        <v>115</v>
      </c>
      <c r="G330" s="274" t="s">
        <v>116</v>
      </c>
      <c r="H330" s="274" t="s">
        <v>117</v>
      </c>
      <c r="I330" s="274" t="s">
        <v>6223</v>
      </c>
      <c r="J330" s="274" t="s">
        <v>6540</v>
      </c>
      <c r="K330" s="274" t="s">
        <v>3746</v>
      </c>
      <c r="L330" s="274" t="s">
        <v>6224</v>
      </c>
      <c r="M330" s="281">
        <v>987.05</v>
      </c>
      <c r="N330" s="280"/>
      <c r="O330" s="280"/>
      <c r="P330" s="280"/>
      <c r="Q330" s="280"/>
      <c r="R330" s="280"/>
      <c r="S330" s="280">
        <v>987.05</v>
      </c>
      <c r="T330" s="297"/>
    </row>
    <row r="331" spans="1:20" x14ac:dyDescent="0.25">
      <c r="A331" s="274" t="s">
        <v>78</v>
      </c>
      <c r="B331" s="274" t="s">
        <v>79</v>
      </c>
      <c r="C331" s="274" t="s">
        <v>3741</v>
      </c>
      <c r="D331" s="274" t="s">
        <v>3742</v>
      </c>
      <c r="E331" s="274" t="s">
        <v>31</v>
      </c>
      <c r="F331" s="274" t="s">
        <v>115</v>
      </c>
      <c r="G331" s="274" t="s">
        <v>116</v>
      </c>
      <c r="H331" s="274" t="s">
        <v>117</v>
      </c>
      <c r="I331" s="274" t="s">
        <v>6225</v>
      </c>
      <c r="J331" s="274" t="s">
        <v>6540</v>
      </c>
      <c r="K331" s="274" t="s">
        <v>3746</v>
      </c>
      <c r="L331" s="274" t="s">
        <v>6224</v>
      </c>
      <c r="M331" s="281">
        <v>150000</v>
      </c>
      <c r="N331" s="280"/>
      <c r="O331" s="280"/>
      <c r="P331" s="280"/>
      <c r="Q331" s="280"/>
      <c r="R331" s="280"/>
      <c r="S331" s="280">
        <v>150000</v>
      </c>
      <c r="T331" s="297"/>
    </row>
    <row r="332" spans="1:20" x14ac:dyDescent="0.25">
      <c r="A332" s="274" t="s">
        <v>78</v>
      </c>
      <c r="B332" s="274" t="s">
        <v>79</v>
      </c>
      <c r="C332" s="274" t="s">
        <v>3741</v>
      </c>
      <c r="D332" s="274" t="s">
        <v>3742</v>
      </c>
      <c r="E332" s="274" t="s">
        <v>31</v>
      </c>
      <c r="F332" s="274" t="s">
        <v>115</v>
      </c>
      <c r="G332" s="274" t="s">
        <v>116</v>
      </c>
      <c r="H332" s="274" t="s">
        <v>117</v>
      </c>
      <c r="I332" s="274" t="s">
        <v>6226</v>
      </c>
      <c r="J332" s="274" t="s">
        <v>6542</v>
      </c>
      <c r="K332" s="274" t="s">
        <v>3746</v>
      </c>
      <c r="L332" s="274" t="s">
        <v>6227</v>
      </c>
      <c r="M332" s="281">
        <v>5000</v>
      </c>
      <c r="N332" s="280"/>
      <c r="O332" s="280"/>
      <c r="P332" s="280"/>
      <c r="Q332" s="280"/>
      <c r="R332" s="280"/>
      <c r="S332" s="280">
        <v>5000</v>
      </c>
      <c r="T332" s="297"/>
    </row>
    <row r="333" spans="1:20" x14ac:dyDescent="0.25">
      <c r="A333" s="274" t="s">
        <v>78</v>
      </c>
      <c r="B333" s="274" t="s">
        <v>79</v>
      </c>
      <c r="C333" s="274" t="s">
        <v>3741</v>
      </c>
      <c r="D333" s="274" t="s">
        <v>3742</v>
      </c>
      <c r="E333" s="274" t="s">
        <v>31</v>
      </c>
      <c r="F333" s="274" t="s">
        <v>115</v>
      </c>
      <c r="G333" s="274" t="s">
        <v>116</v>
      </c>
      <c r="H333" s="274" t="s">
        <v>117</v>
      </c>
      <c r="I333" s="274" t="s">
        <v>6228</v>
      </c>
      <c r="J333" s="274" t="s">
        <v>6542</v>
      </c>
      <c r="K333" s="274" t="s">
        <v>3746</v>
      </c>
      <c r="L333" s="274" t="s">
        <v>6227</v>
      </c>
      <c r="M333" s="281">
        <v>5054.17</v>
      </c>
      <c r="N333" s="280"/>
      <c r="O333" s="280"/>
      <c r="P333" s="280"/>
      <c r="Q333" s="280"/>
      <c r="R333" s="280"/>
      <c r="S333" s="280">
        <v>5054.17</v>
      </c>
      <c r="T333" s="297"/>
    </row>
    <row r="334" spans="1:20" x14ac:dyDescent="0.25">
      <c r="A334" s="274" t="s">
        <v>78</v>
      </c>
      <c r="B334" s="274" t="s">
        <v>79</v>
      </c>
      <c r="C334" s="274" t="s">
        <v>3741</v>
      </c>
      <c r="D334" s="274" t="s">
        <v>3742</v>
      </c>
      <c r="E334" s="274" t="s">
        <v>31</v>
      </c>
      <c r="F334" s="274" t="s">
        <v>115</v>
      </c>
      <c r="G334" s="274" t="s">
        <v>116</v>
      </c>
      <c r="H334" s="274" t="s">
        <v>117</v>
      </c>
      <c r="I334" s="274" t="s">
        <v>6229</v>
      </c>
      <c r="J334" s="274" t="s">
        <v>6542</v>
      </c>
      <c r="K334" s="274" t="s">
        <v>3746</v>
      </c>
      <c r="L334" s="274" t="s">
        <v>6230</v>
      </c>
      <c r="M334" s="281">
        <v>8000</v>
      </c>
      <c r="N334" s="280"/>
      <c r="O334" s="280"/>
      <c r="P334" s="280"/>
      <c r="Q334" s="280"/>
      <c r="R334" s="280"/>
      <c r="S334" s="280">
        <v>8000</v>
      </c>
      <c r="T334" s="297"/>
    </row>
    <row r="335" spans="1:20" x14ac:dyDescent="0.25">
      <c r="A335" s="274" t="s">
        <v>78</v>
      </c>
      <c r="B335" s="274" t="s">
        <v>79</v>
      </c>
      <c r="C335" s="274" t="s">
        <v>3741</v>
      </c>
      <c r="D335" s="274" t="s">
        <v>3742</v>
      </c>
      <c r="E335" s="274" t="s">
        <v>31</v>
      </c>
      <c r="F335" s="274" t="s">
        <v>115</v>
      </c>
      <c r="G335" s="274" t="s">
        <v>116</v>
      </c>
      <c r="H335" s="274" t="s">
        <v>117</v>
      </c>
      <c r="I335" s="274" t="s">
        <v>4225</v>
      </c>
      <c r="J335" s="274" t="s">
        <v>6542</v>
      </c>
      <c r="K335" s="274" t="s">
        <v>3746</v>
      </c>
      <c r="L335" s="274" t="s">
        <v>4202</v>
      </c>
      <c r="M335" s="281">
        <v>0.3</v>
      </c>
      <c r="N335" s="280"/>
      <c r="O335" s="280"/>
      <c r="P335" s="280">
        <v>0.3</v>
      </c>
      <c r="Q335" s="280"/>
      <c r="R335" s="280"/>
      <c r="S335" s="280"/>
      <c r="T335" s="297"/>
    </row>
    <row r="336" spans="1:20" x14ac:dyDescent="0.25">
      <c r="A336" s="274" t="s">
        <v>78</v>
      </c>
      <c r="B336" s="274" t="s">
        <v>79</v>
      </c>
      <c r="C336" s="274" t="s">
        <v>3741</v>
      </c>
      <c r="D336" s="274" t="s">
        <v>3742</v>
      </c>
      <c r="E336" s="274" t="s">
        <v>31</v>
      </c>
      <c r="F336" s="274" t="s">
        <v>115</v>
      </c>
      <c r="G336" s="274" t="s">
        <v>98</v>
      </c>
      <c r="H336" s="274" t="s">
        <v>99</v>
      </c>
      <c r="I336" s="274" t="s">
        <v>6543</v>
      </c>
      <c r="J336" s="274" t="s">
        <v>98</v>
      </c>
      <c r="K336" s="274" t="s">
        <v>98</v>
      </c>
      <c r="L336" s="274" t="s">
        <v>6544</v>
      </c>
      <c r="M336" s="281">
        <v>-3500</v>
      </c>
      <c r="N336" s="280"/>
      <c r="O336" s="280"/>
      <c r="P336" s="280"/>
      <c r="Q336" s="280"/>
      <c r="R336" s="280"/>
      <c r="S336" s="280">
        <v>-3500</v>
      </c>
      <c r="T336" s="297"/>
    </row>
    <row r="337" spans="1:20" x14ac:dyDescent="0.25">
      <c r="A337" s="274" t="s">
        <v>78</v>
      </c>
      <c r="B337" s="274" t="s">
        <v>79</v>
      </c>
      <c r="C337" s="274" t="s">
        <v>3741</v>
      </c>
      <c r="D337" s="274" t="s">
        <v>3742</v>
      </c>
      <c r="E337" s="274" t="s">
        <v>36</v>
      </c>
      <c r="F337" s="274" t="s">
        <v>37</v>
      </c>
      <c r="G337" s="274" t="s">
        <v>118</v>
      </c>
      <c r="H337" s="274" t="s">
        <v>119</v>
      </c>
      <c r="I337" s="274" t="s">
        <v>4226</v>
      </c>
      <c r="J337" s="274" t="s">
        <v>6545</v>
      </c>
      <c r="K337" s="274" t="s">
        <v>6546</v>
      </c>
      <c r="L337" s="274" t="s">
        <v>4227</v>
      </c>
      <c r="M337" s="281">
        <v>14560</v>
      </c>
      <c r="N337" s="280">
        <v>14560</v>
      </c>
      <c r="O337" s="280"/>
      <c r="P337" s="280"/>
      <c r="Q337" s="280"/>
      <c r="R337" s="280"/>
      <c r="S337" s="280"/>
      <c r="T337" s="297"/>
    </row>
    <row r="338" spans="1:20" x14ac:dyDescent="0.25">
      <c r="A338" s="274" t="s">
        <v>78</v>
      </c>
      <c r="B338" s="274" t="s">
        <v>79</v>
      </c>
      <c r="C338" s="274" t="s">
        <v>3741</v>
      </c>
      <c r="D338" s="274" t="s">
        <v>3742</v>
      </c>
      <c r="E338" s="274" t="s">
        <v>36</v>
      </c>
      <c r="F338" s="274" t="s">
        <v>37</v>
      </c>
      <c r="G338" s="274" t="s">
        <v>118</v>
      </c>
      <c r="H338" s="274" t="s">
        <v>119</v>
      </c>
      <c r="I338" s="274" t="s">
        <v>4228</v>
      </c>
      <c r="J338" s="274" t="s">
        <v>6545</v>
      </c>
      <c r="K338" s="274" t="s">
        <v>6546</v>
      </c>
      <c r="L338" s="274" t="s">
        <v>4229</v>
      </c>
      <c r="M338" s="281">
        <v>3600</v>
      </c>
      <c r="N338" s="280">
        <v>3600</v>
      </c>
      <c r="O338" s="280"/>
      <c r="P338" s="280"/>
      <c r="Q338" s="280"/>
      <c r="R338" s="280"/>
      <c r="S338" s="280"/>
      <c r="T338" s="297"/>
    </row>
    <row r="339" spans="1:20" x14ac:dyDescent="0.25">
      <c r="A339" s="274" t="s">
        <v>78</v>
      </c>
      <c r="B339" s="274" t="s">
        <v>79</v>
      </c>
      <c r="C339" s="274" t="s">
        <v>3741</v>
      </c>
      <c r="D339" s="274" t="s">
        <v>3742</v>
      </c>
      <c r="E339" s="274" t="s">
        <v>36</v>
      </c>
      <c r="F339" s="274" t="s">
        <v>37</v>
      </c>
      <c r="G339" s="274" t="s">
        <v>118</v>
      </c>
      <c r="H339" s="274" t="s">
        <v>119</v>
      </c>
      <c r="I339" s="274" t="s">
        <v>4230</v>
      </c>
      <c r="J339" s="274" t="s">
        <v>6547</v>
      </c>
      <c r="K339" s="274" t="s">
        <v>3746</v>
      </c>
      <c r="L339" s="274" t="s">
        <v>4231</v>
      </c>
      <c r="M339" s="281">
        <v>15000</v>
      </c>
      <c r="N339" s="280"/>
      <c r="O339" s="280">
        <v>15000</v>
      </c>
      <c r="P339" s="280"/>
      <c r="Q339" s="280"/>
      <c r="R339" s="280"/>
      <c r="S339" s="280"/>
      <c r="T339" s="297"/>
    </row>
    <row r="340" spans="1:20" x14ac:dyDescent="0.25">
      <c r="A340" s="274" t="s">
        <v>78</v>
      </c>
      <c r="B340" s="274" t="s">
        <v>79</v>
      </c>
      <c r="C340" s="274" t="s">
        <v>3741</v>
      </c>
      <c r="D340" s="274" t="s">
        <v>3742</v>
      </c>
      <c r="E340" s="274" t="s">
        <v>36</v>
      </c>
      <c r="F340" s="274" t="s">
        <v>37</v>
      </c>
      <c r="G340" s="274" t="s">
        <v>118</v>
      </c>
      <c r="H340" s="274" t="s">
        <v>119</v>
      </c>
      <c r="I340" s="274" t="s">
        <v>4232</v>
      </c>
      <c r="J340" s="274" t="s">
        <v>6547</v>
      </c>
      <c r="K340" s="274" t="s">
        <v>3746</v>
      </c>
      <c r="L340" s="274" t="s">
        <v>4233</v>
      </c>
      <c r="M340" s="281">
        <v>15000</v>
      </c>
      <c r="N340" s="280"/>
      <c r="O340" s="280">
        <v>15000</v>
      </c>
      <c r="P340" s="280"/>
      <c r="Q340" s="280"/>
      <c r="R340" s="280"/>
      <c r="S340" s="280"/>
      <c r="T340" s="297"/>
    </row>
    <row r="341" spans="1:20" x14ac:dyDescent="0.25">
      <c r="A341" s="274" t="s">
        <v>78</v>
      </c>
      <c r="B341" s="274" t="s">
        <v>79</v>
      </c>
      <c r="C341" s="274" t="s">
        <v>3741</v>
      </c>
      <c r="D341" s="274" t="s">
        <v>3742</v>
      </c>
      <c r="E341" s="274" t="s">
        <v>36</v>
      </c>
      <c r="F341" s="274" t="s">
        <v>37</v>
      </c>
      <c r="G341" s="274" t="s">
        <v>118</v>
      </c>
      <c r="H341" s="274" t="s">
        <v>119</v>
      </c>
      <c r="I341" s="274" t="s">
        <v>4234</v>
      </c>
      <c r="J341" s="274" t="s">
        <v>6547</v>
      </c>
      <c r="K341" s="274" t="s">
        <v>3746</v>
      </c>
      <c r="L341" s="274" t="s">
        <v>4235</v>
      </c>
      <c r="M341" s="281">
        <v>15000</v>
      </c>
      <c r="N341" s="280"/>
      <c r="O341" s="280"/>
      <c r="P341" s="280">
        <v>15000</v>
      </c>
      <c r="Q341" s="280"/>
      <c r="R341" s="280"/>
      <c r="S341" s="280"/>
      <c r="T341" s="297"/>
    </row>
    <row r="342" spans="1:20" x14ac:dyDescent="0.25">
      <c r="A342" s="274" t="s">
        <v>78</v>
      </c>
      <c r="B342" s="274" t="s">
        <v>79</v>
      </c>
      <c r="C342" s="274" t="s">
        <v>3741</v>
      </c>
      <c r="D342" s="274" t="s">
        <v>3742</v>
      </c>
      <c r="E342" s="274" t="s">
        <v>36</v>
      </c>
      <c r="F342" s="274" t="s">
        <v>37</v>
      </c>
      <c r="G342" s="274" t="s">
        <v>118</v>
      </c>
      <c r="H342" s="274" t="s">
        <v>119</v>
      </c>
      <c r="I342" s="274" t="s">
        <v>4236</v>
      </c>
      <c r="J342" s="274" t="s">
        <v>6547</v>
      </c>
      <c r="K342" s="274" t="s">
        <v>3746</v>
      </c>
      <c r="L342" s="274" t="s">
        <v>4231</v>
      </c>
      <c r="M342" s="281">
        <v>-15000</v>
      </c>
      <c r="N342" s="280"/>
      <c r="O342" s="280"/>
      <c r="P342" s="280">
        <v>-15000</v>
      </c>
      <c r="Q342" s="280"/>
      <c r="R342" s="280"/>
      <c r="S342" s="280"/>
      <c r="T342" s="297"/>
    </row>
    <row r="343" spans="1:20" x14ac:dyDescent="0.25">
      <c r="A343" s="274" t="s">
        <v>78</v>
      </c>
      <c r="B343" s="274" t="s">
        <v>79</v>
      </c>
      <c r="C343" s="274" t="s">
        <v>3741</v>
      </c>
      <c r="D343" s="274" t="s">
        <v>3742</v>
      </c>
      <c r="E343" s="274" t="s">
        <v>36</v>
      </c>
      <c r="F343" s="274" t="s">
        <v>37</v>
      </c>
      <c r="G343" s="274" t="s">
        <v>118</v>
      </c>
      <c r="H343" s="274" t="s">
        <v>119</v>
      </c>
      <c r="I343" s="274" t="s">
        <v>4237</v>
      </c>
      <c r="J343" s="274" t="s">
        <v>6547</v>
      </c>
      <c r="K343" s="274" t="s">
        <v>3746</v>
      </c>
      <c r="L343" s="274" t="s">
        <v>4231</v>
      </c>
      <c r="M343" s="281">
        <v>13769.6</v>
      </c>
      <c r="N343" s="280"/>
      <c r="O343" s="280"/>
      <c r="P343" s="280">
        <v>13769.6</v>
      </c>
      <c r="Q343" s="280"/>
      <c r="R343" s="280"/>
      <c r="S343" s="280"/>
      <c r="T343" s="297"/>
    </row>
    <row r="344" spans="1:20" x14ac:dyDescent="0.25">
      <c r="A344" s="274" t="s">
        <v>78</v>
      </c>
      <c r="B344" s="274" t="s">
        <v>79</v>
      </c>
      <c r="C344" s="274" t="s">
        <v>3741</v>
      </c>
      <c r="D344" s="274" t="s">
        <v>3742</v>
      </c>
      <c r="E344" s="274" t="s">
        <v>36</v>
      </c>
      <c r="F344" s="274" t="s">
        <v>37</v>
      </c>
      <c r="G344" s="274" t="s">
        <v>118</v>
      </c>
      <c r="H344" s="274" t="s">
        <v>119</v>
      </c>
      <c r="I344" s="274" t="s">
        <v>4238</v>
      </c>
      <c r="J344" s="274" t="s">
        <v>6547</v>
      </c>
      <c r="K344" s="274" t="s">
        <v>3746</v>
      </c>
      <c r="L344" s="274" t="s">
        <v>4233</v>
      </c>
      <c r="M344" s="281">
        <v>9856</v>
      </c>
      <c r="N344" s="280"/>
      <c r="O344" s="280"/>
      <c r="P344" s="280">
        <v>9856</v>
      </c>
      <c r="Q344" s="280"/>
      <c r="R344" s="280"/>
      <c r="S344" s="280"/>
      <c r="T344" s="297"/>
    </row>
    <row r="345" spans="1:20" x14ac:dyDescent="0.25">
      <c r="A345" s="274" t="s">
        <v>78</v>
      </c>
      <c r="B345" s="274" t="s">
        <v>79</v>
      </c>
      <c r="C345" s="274" t="s">
        <v>3741</v>
      </c>
      <c r="D345" s="274" t="s">
        <v>3742</v>
      </c>
      <c r="E345" s="274" t="s">
        <v>36</v>
      </c>
      <c r="F345" s="274" t="s">
        <v>37</v>
      </c>
      <c r="G345" s="274" t="s">
        <v>118</v>
      </c>
      <c r="H345" s="274" t="s">
        <v>119</v>
      </c>
      <c r="I345" s="274" t="s">
        <v>6231</v>
      </c>
      <c r="J345" s="274" t="s">
        <v>6547</v>
      </c>
      <c r="K345" s="274" t="s">
        <v>3746</v>
      </c>
      <c r="L345" s="274" t="s">
        <v>4235</v>
      </c>
      <c r="M345" s="281">
        <v>3096</v>
      </c>
      <c r="N345" s="280"/>
      <c r="O345" s="280"/>
      <c r="P345" s="280"/>
      <c r="Q345" s="280"/>
      <c r="R345" s="280"/>
      <c r="S345" s="280">
        <v>3096</v>
      </c>
      <c r="T345" s="297"/>
    </row>
    <row r="346" spans="1:20" x14ac:dyDescent="0.25">
      <c r="A346" s="274" t="s">
        <v>78</v>
      </c>
      <c r="B346" s="274" t="s">
        <v>79</v>
      </c>
      <c r="C346" s="274" t="s">
        <v>3741</v>
      </c>
      <c r="D346" s="274" t="s">
        <v>3742</v>
      </c>
      <c r="E346" s="274" t="s">
        <v>36</v>
      </c>
      <c r="F346" s="274" t="s">
        <v>37</v>
      </c>
      <c r="G346" s="274" t="s">
        <v>118</v>
      </c>
      <c r="H346" s="274" t="s">
        <v>119</v>
      </c>
      <c r="I346" s="274" t="s">
        <v>6232</v>
      </c>
      <c r="J346" s="274" t="s">
        <v>6547</v>
      </c>
      <c r="K346" s="274" t="s">
        <v>3746</v>
      </c>
      <c r="L346" s="274" t="s">
        <v>6233</v>
      </c>
      <c r="M346" s="281">
        <v>11336</v>
      </c>
      <c r="N346" s="280"/>
      <c r="O346" s="280"/>
      <c r="P346" s="280"/>
      <c r="Q346" s="280"/>
      <c r="R346" s="280"/>
      <c r="S346" s="280">
        <v>11336</v>
      </c>
      <c r="T346" s="297"/>
    </row>
    <row r="347" spans="1:20" x14ac:dyDescent="0.25">
      <c r="A347" s="274" t="s">
        <v>78</v>
      </c>
      <c r="B347" s="274" t="s">
        <v>79</v>
      </c>
      <c r="C347" s="274" t="s">
        <v>3741</v>
      </c>
      <c r="D347" s="274" t="s">
        <v>3742</v>
      </c>
      <c r="E347" s="274" t="s">
        <v>36</v>
      </c>
      <c r="F347" s="274" t="s">
        <v>37</v>
      </c>
      <c r="G347" s="274" t="s">
        <v>118</v>
      </c>
      <c r="H347" s="274" t="s">
        <v>119</v>
      </c>
      <c r="I347" s="274" t="s">
        <v>6234</v>
      </c>
      <c r="J347" s="274" t="s">
        <v>6547</v>
      </c>
      <c r="K347" s="274" t="s">
        <v>6506</v>
      </c>
      <c r="L347" s="274" t="s">
        <v>6235</v>
      </c>
      <c r="M347" s="281">
        <v>28745.599999999999</v>
      </c>
      <c r="N347" s="280"/>
      <c r="O347" s="280"/>
      <c r="P347" s="280"/>
      <c r="Q347" s="280"/>
      <c r="R347" s="280"/>
      <c r="S347" s="280">
        <v>28745.599999999999</v>
      </c>
      <c r="T347" s="297"/>
    </row>
    <row r="348" spans="1:20" x14ac:dyDescent="0.25">
      <c r="A348" s="274" t="s">
        <v>78</v>
      </c>
      <c r="B348" s="274" t="s">
        <v>79</v>
      </c>
      <c r="C348" s="274" t="s">
        <v>3741</v>
      </c>
      <c r="D348" s="274" t="s">
        <v>3742</v>
      </c>
      <c r="E348" s="274" t="s">
        <v>36</v>
      </c>
      <c r="F348" s="274" t="s">
        <v>37</v>
      </c>
      <c r="G348" s="274" t="s">
        <v>116</v>
      </c>
      <c r="H348" s="274" t="s">
        <v>117</v>
      </c>
      <c r="I348" s="274" t="s">
        <v>4239</v>
      </c>
      <c r="J348" s="274" t="s">
        <v>6548</v>
      </c>
      <c r="K348" s="274" t="s">
        <v>3746</v>
      </c>
      <c r="L348" s="274" t="s">
        <v>4240</v>
      </c>
      <c r="M348" s="281">
        <v>15785.86</v>
      </c>
      <c r="N348" s="280">
        <v>15785.86</v>
      </c>
      <c r="O348" s="280"/>
      <c r="P348" s="280"/>
      <c r="Q348" s="280"/>
      <c r="R348" s="280"/>
      <c r="S348" s="280"/>
      <c r="T348" s="297"/>
    </row>
    <row r="349" spans="1:20" x14ac:dyDescent="0.25">
      <c r="A349" s="274" t="s">
        <v>78</v>
      </c>
      <c r="B349" s="274" t="s">
        <v>79</v>
      </c>
      <c r="C349" s="274" t="s">
        <v>3741</v>
      </c>
      <c r="D349" s="274" t="s">
        <v>3742</v>
      </c>
      <c r="E349" s="274" t="s">
        <v>36</v>
      </c>
      <c r="F349" s="274" t="s">
        <v>37</v>
      </c>
      <c r="G349" s="274" t="s">
        <v>116</v>
      </c>
      <c r="H349" s="274" t="s">
        <v>117</v>
      </c>
      <c r="I349" s="274" t="s">
        <v>4241</v>
      </c>
      <c r="J349" s="274" t="s">
        <v>6549</v>
      </c>
      <c r="K349" s="274" t="s">
        <v>3746</v>
      </c>
      <c r="L349" s="274" t="s">
        <v>4242</v>
      </c>
      <c r="M349" s="281">
        <v>60000</v>
      </c>
      <c r="N349" s="280">
        <v>60000</v>
      </c>
      <c r="O349" s="280"/>
      <c r="P349" s="280"/>
      <c r="Q349" s="280"/>
      <c r="R349" s="280"/>
      <c r="S349" s="280"/>
      <c r="T349" s="297"/>
    </row>
    <row r="350" spans="1:20" x14ac:dyDescent="0.25">
      <c r="A350" s="274" t="s">
        <v>78</v>
      </c>
      <c r="B350" s="274" t="s">
        <v>79</v>
      </c>
      <c r="C350" s="274" t="s">
        <v>3741</v>
      </c>
      <c r="D350" s="274" t="s">
        <v>3742</v>
      </c>
      <c r="E350" s="274" t="s">
        <v>36</v>
      </c>
      <c r="F350" s="274" t="s">
        <v>37</v>
      </c>
      <c r="G350" s="274" t="s">
        <v>116</v>
      </c>
      <c r="H350" s="274" t="s">
        <v>117</v>
      </c>
      <c r="I350" s="274" t="s">
        <v>4243</v>
      </c>
      <c r="J350" s="274" t="s">
        <v>6550</v>
      </c>
      <c r="K350" s="274" t="s">
        <v>3746</v>
      </c>
      <c r="L350" s="274" t="s">
        <v>4244</v>
      </c>
      <c r="M350" s="281">
        <v>1407.75</v>
      </c>
      <c r="N350" s="280">
        <v>1407.75</v>
      </c>
      <c r="O350" s="280"/>
      <c r="P350" s="280"/>
      <c r="Q350" s="280"/>
      <c r="R350" s="280"/>
      <c r="S350" s="280"/>
      <c r="T350" s="297"/>
    </row>
    <row r="351" spans="1:20" x14ac:dyDescent="0.25">
      <c r="A351" s="274" t="s">
        <v>78</v>
      </c>
      <c r="B351" s="274" t="s">
        <v>79</v>
      </c>
      <c r="C351" s="274" t="s">
        <v>3741</v>
      </c>
      <c r="D351" s="274" t="s">
        <v>3742</v>
      </c>
      <c r="E351" s="274" t="s">
        <v>36</v>
      </c>
      <c r="F351" s="274" t="s">
        <v>37</v>
      </c>
      <c r="G351" s="274" t="s">
        <v>116</v>
      </c>
      <c r="H351" s="274" t="s">
        <v>117</v>
      </c>
      <c r="I351" s="274" t="s">
        <v>4245</v>
      </c>
      <c r="J351" s="274" t="s">
        <v>6551</v>
      </c>
      <c r="K351" s="274" t="s">
        <v>3746</v>
      </c>
      <c r="L351" s="274" t="s">
        <v>4246</v>
      </c>
      <c r="M351" s="281">
        <v>-350</v>
      </c>
      <c r="N351" s="280">
        <v>-350</v>
      </c>
      <c r="O351" s="280"/>
      <c r="P351" s="280"/>
      <c r="Q351" s="280"/>
      <c r="R351" s="280"/>
      <c r="S351" s="280"/>
      <c r="T351" s="297"/>
    </row>
    <row r="352" spans="1:20" x14ac:dyDescent="0.25">
      <c r="A352" s="274" t="s">
        <v>78</v>
      </c>
      <c r="B352" s="274" t="s">
        <v>79</v>
      </c>
      <c r="C352" s="274" t="s">
        <v>3741</v>
      </c>
      <c r="D352" s="274" t="s">
        <v>3742</v>
      </c>
      <c r="E352" s="274" t="s">
        <v>36</v>
      </c>
      <c r="F352" s="274" t="s">
        <v>37</v>
      </c>
      <c r="G352" s="274" t="s">
        <v>116</v>
      </c>
      <c r="H352" s="274" t="s">
        <v>117</v>
      </c>
      <c r="I352" s="274" t="s">
        <v>4247</v>
      </c>
      <c r="J352" s="274" t="s">
        <v>6551</v>
      </c>
      <c r="K352" s="274" t="s">
        <v>3746</v>
      </c>
      <c r="L352" s="274" t="s">
        <v>4246</v>
      </c>
      <c r="M352" s="281">
        <v>415.84</v>
      </c>
      <c r="N352" s="280">
        <v>415.84</v>
      </c>
      <c r="O352" s="280"/>
      <c r="P352" s="280"/>
      <c r="Q352" s="280"/>
      <c r="R352" s="280"/>
      <c r="S352" s="280"/>
      <c r="T352" s="297"/>
    </row>
    <row r="353" spans="1:20" x14ac:dyDescent="0.25">
      <c r="A353" s="274" t="s">
        <v>78</v>
      </c>
      <c r="B353" s="274" t="s">
        <v>79</v>
      </c>
      <c r="C353" s="274" t="s">
        <v>3741</v>
      </c>
      <c r="D353" s="274" t="s">
        <v>3742</v>
      </c>
      <c r="E353" s="274" t="s">
        <v>36</v>
      </c>
      <c r="F353" s="274" t="s">
        <v>37</v>
      </c>
      <c r="G353" s="274" t="s">
        <v>116</v>
      </c>
      <c r="H353" s="274" t="s">
        <v>117</v>
      </c>
      <c r="I353" s="274" t="s">
        <v>4248</v>
      </c>
      <c r="J353" s="274" t="s">
        <v>6548</v>
      </c>
      <c r="K353" s="274" t="s">
        <v>3746</v>
      </c>
      <c r="L353" s="274" t="s">
        <v>4249</v>
      </c>
      <c r="M353" s="281">
        <v>17242.36</v>
      </c>
      <c r="N353" s="280">
        <v>17242.36</v>
      </c>
      <c r="O353" s="280"/>
      <c r="P353" s="280"/>
      <c r="Q353" s="280"/>
      <c r="R353" s="280"/>
      <c r="S353" s="280"/>
      <c r="T353" s="297"/>
    </row>
    <row r="354" spans="1:20" x14ac:dyDescent="0.25">
      <c r="A354" s="274" t="s">
        <v>78</v>
      </c>
      <c r="B354" s="274" t="s">
        <v>79</v>
      </c>
      <c r="C354" s="274" t="s">
        <v>3741</v>
      </c>
      <c r="D354" s="274" t="s">
        <v>3742</v>
      </c>
      <c r="E354" s="274" t="s">
        <v>36</v>
      </c>
      <c r="F354" s="274" t="s">
        <v>37</v>
      </c>
      <c r="G354" s="274" t="s">
        <v>116</v>
      </c>
      <c r="H354" s="274" t="s">
        <v>117</v>
      </c>
      <c r="I354" s="274" t="s">
        <v>4250</v>
      </c>
      <c r="J354" s="274" t="s">
        <v>6551</v>
      </c>
      <c r="K354" s="274" t="s">
        <v>3746</v>
      </c>
      <c r="L354" s="274" t="s">
        <v>4251</v>
      </c>
      <c r="M354" s="281">
        <v>524.54999999999995</v>
      </c>
      <c r="N354" s="280">
        <v>524.54999999999995</v>
      </c>
      <c r="O354" s="280"/>
      <c r="P354" s="280"/>
      <c r="Q354" s="280"/>
      <c r="R354" s="280"/>
      <c r="S354" s="280"/>
      <c r="T354" s="297"/>
    </row>
    <row r="355" spans="1:20" x14ac:dyDescent="0.25">
      <c r="A355" s="274" t="s">
        <v>78</v>
      </c>
      <c r="B355" s="274" t="s">
        <v>79</v>
      </c>
      <c r="C355" s="274" t="s">
        <v>3741</v>
      </c>
      <c r="D355" s="274" t="s">
        <v>3742</v>
      </c>
      <c r="E355" s="274" t="s">
        <v>36</v>
      </c>
      <c r="F355" s="274" t="s">
        <v>37</v>
      </c>
      <c r="G355" s="274" t="s">
        <v>116</v>
      </c>
      <c r="H355" s="274" t="s">
        <v>117</v>
      </c>
      <c r="I355" s="274" t="s">
        <v>4252</v>
      </c>
      <c r="J355" s="274" t="s">
        <v>6551</v>
      </c>
      <c r="K355" s="274" t="s">
        <v>3746</v>
      </c>
      <c r="L355" s="274" t="s">
        <v>4251</v>
      </c>
      <c r="M355" s="281">
        <v>-350</v>
      </c>
      <c r="N355" s="280">
        <v>-350</v>
      </c>
      <c r="O355" s="280"/>
      <c r="P355" s="280"/>
      <c r="Q355" s="280"/>
      <c r="R355" s="280"/>
      <c r="S355" s="280"/>
      <c r="T355" s="297"/>
    </row>
    <row r="356" spans="1:20" x14ac:dyDescent="0.25">
      <c r="A356" s="274" t="s">
        <v>78</v>
      </c>
      <c r="B356" s="274" t="s">
        <v>79</v>
      </c>
      <c r="C356" s="274" t="s">
        <v>3741</v>
      </c>
      <c r="D356" s="274" t="s">
        <v>3742</v>
      </c>
      <c r="E356" s="274" t="s">
        <v>36</v>
      </c>
      <c r="F356" s="274" t="s">
        <v>37</v>
      </c>
      <c r="G356" s="274" t="s">
        <v>116</v>
      </c>
      <c r="H356" s="274" t="s">
        <v>117</v>
      </c>
      <c r="I356" s="274" t="s">
        <v>4253</v>
      </c>
      <c r="J356" s="274" t="s">
        <v>6549</v>
      </c>
      <c r="K356" s="274" t="s">
        <v>3746</v>
      </c>
      <c r="L356" s="274" t="s">
        <v>4254</v>
      </c>
      <c r="M356" s="281">
        <v>60000</v>
      </c>
      <c r="N356" s="280"/>
      <c r="O356" s="280">
        <v>60000</v>
      </c>
      <c r="P356" s="280"/>
      <c r="Q356" s="280"/>
      <c r="R356" s="280"/>
      <c r="S356" s="280"/>
      <c r="T356" s="297"/>
    </row>
    <row r="357" spans="1:20" x14ac:dyDescent="0.25">
      <c r="A357" s="274" t="s">
        <v>78</v>
      </c>
      <c r="B357" s="274" t="s">
        <v>79</v>
      </c>
      <c r="C357" s="274" t="s">
        <v>3741</v>
      </c>
      <c r="D357" s="274" t="s">
        <v>3742</v>
      </c>
      <c r="E357" s="274" t="s">
        <v>36</v>
      </c>
      <c r="F357" s="274" t="s">
        <v>37</v>
      </c>
      <c r="G357" s="274" t="s">
        <v>116</v>
      </c>
      <c r="H357" s="274" t="s">
        <v>117</v>
      </c>
      <c r="I357" s="274" t="s">
        <v>4255</v>
      </c>
      <c r="J357" s="274" t="s">
        <v>6552</v>
      </c>
      <c r="K357" s="274" t="s">
        <v>3746</v>
      </c>
      <c r="L357" s="274" t="s">
        <v>4256</v>
      </c>
      <c r="M357" s="281">
        <v>8000</v>
      </c>
      <c r="N357" s="280"/>
      <c r="O357" s="280">
        <v>8000</v>
      </c>
      <c r="P357" s="280"/>
      <c r="Q357" s="280"/>
      <c r="R357" s="280"/>
      <c r="S357" s="280"/>
      <c r="T357" s="297"/>
    </row>
    <row r="358" spans="1:20" x14ac:dyDescent="0.25">
      <c r="A358" s="274" t="s">
        <v>78</v>
      </c>
      <c r="B358" s="274" t="s">
        <v>79</v>
      </c>
      <c r="C358" s="274" t="s">
        <v>3741</v>
      </c>
      <c r="D358" s="274" t="s">
        <v>3742</v>
      </c>
      <c r="E358" s="274" t="s">
        <v>36</v>
      </c>
      <c r="F358" s="274" t="s">
        <v>37</v>
      </c>
      <c r="G358" s="274" t="s">
        <v>116</v>
      </c>
      <c r="H358" s="274" t="s">
        <v>117</v>
      </c>
      <c r="I358" s="274" t="s">
        <v>4257</v>
      </c>
      <c r="J358" s="274" t="s">
        <v>6549</v>
      </c>
      <c r="K358" s="274" t="s">
        <v>3746</v>
      </c>
      <c r="L358" s="274" t="s">
        <v>4242</v>
      </c>
      <c r="M358" s="281">
        <v>15175.29</v>
      </c>
      <c r="N358" s="280"/>
      <c r="O358" s="280">
        <v>15175.29</v>
      </c>
      <c r="P358" s="280"/>
      <c r="Q358" s="280"/>
      <c r="R358" s="280"/>
      <c r="S358" s="280"/>
      <c r="T358" s="297"/>
    </row>
    <row r="359" spans="1:20" x14ac:dyDescent="0.25">
      <c r="A359" s="274" t="s">
        <v>78</v>
      </c>
      <c r="B359" s="274" t="s">
        <v>79</v>
      </c>
      <c r="C359" s="274" t="s">
        <v>3741</v>
      </c>
      <c r="D359" s="274" t="s">
        <v>3742</v>
      </c>
      <c r="E359" s="274" t="s">
        <v>36</v>
      </c>
      <c r="F359" s="274" t="s">
        <v>37</v>
      </c>
      <c r="G359" s="274" t="s">
        <v>116</v>
      </c>
      <c r="H359" s="274" t="s">
        <v>117</v>
      </c>
      <c r="I359" s="274" t="s">
        <v>4258</v>
      </c>
      <c r="J359" s="274" t="s">
        <v>6552</v>
      </c>
      <c r="K359" s="274" t="s">
        <v>3746</v>
      </c>
      <c r="L359" s="274" t="s">
        <v>4259</v>
      </c>
      <c r="M359" s="281">
        <v>427.32</v>
      </c>
      <c r="N359" s="280"/>
      <c r="O359" s="280">
        <v>427.32</v>
      </c>
      <c r="P359" s="280"/>
      <c r="Q359" s="280"/>
      <c r="R359" s="280"/>
      <c r="S359" s="280"/>
      <c r="T359" s="297"/>
    </row>
    <row r="360" spans="1:20" x14ac:dyDescent="0.25">
      <c r="A360" s="274" t="s">
        <v>78</v>
      </c>
      <c r="B360" s="274" t="s">
        <v>79</v>
      </c>
      <c r="C360" s="274" t="s">
        <v>3741</v>
      </c>
      <c r="D360" s="274" t="s">
        <v>3742</v>
      </c>
      <c r="E360" s="274" t="s">
        <v>36</v>
      </c>
      <c r="F360" s="274" t="s">
        <v>37</v>
      </c>
      <c r="G360" s="274" t="s">
        <v>116</v>
      </c>
      <c r="H360" s="274" t="s">
        <v>117</v>
      </c>
      <c r="I360" s="274" t="s">
        <v>4260</v>
      </c>
      <c r="J360" s="274" t="s">
        <v>6552</v>
      </c>
      <c r="K360" s="274" t="s">
        <v>3746</v>
      </c>
      <c r="L360" s="274" t="s">
        <v>4259</v>
      </c>
      <c r="M360" s="281">
        <v>35.4</v>
      </c>
      <c r="N360" s="280"/>
      <c r="O360" s="280">
        <v>35.4</v>
      </c>
      <c r="P360" s="280"/>
      <c r="Q360" s="280"/>
      <c r="R360" s="280"/>
      <c r="S360" s="280"/>
      <c r="T360" s="297"/>
    </row>
    <row r="361" spans="1:20" x14ac:dyDescent="0.25">
      <c r="A361" s="274" t="s">
        <v>78</v>
      </c>
      <c r="B361" s="274" t="s">
        <v>79</v>
      </c>
      <c r="C361" s="274" t="s">
        <v>3741</v>
      </c>
      <c r="D361" s="274" t="s">
        <v>3742</v>
      </c>
      <c r="E361" s="274" t="s">
        <v>36</v>
      </c>
      <c r="F361" s="274" t="s">
        <v>37</v>
      </c>
      <c r="G361" s="274" t="s">
        <v>116</v>
      </c>
      <c r="H361" s="274" t="s">
        <v>117</v>
      </c>
      <c r="I361" s="274" t="s">
        <v>4261</v>
      </c>
      <c r="J361" s="274" t="s">
        <v>6549</v>
      </c>
      <c r="K361" s="274" t="s">
        <v>3746</v>
      </c>
      <c r="L361" s="274" t="s">
        <v>4262</v>
      </c>
      <c r="M361" s="281">
        <v>13010.5</v>
      </c>
      <c r="N361" s="280"/>
      <c r="O361" s="280"/>
      <c r="P361" s="280">
        <v>13010.5</v>
      </c>
      <c r="Q361" s="280"/>
      <c r="R361" s="280"/>
      <c r="S361" s="280"/>
      <c r="T361" s="297"/>
    </row>
    <row r="362" spans="1:20" x14ac:dyDescent="0.25">
      <c r="A362" s="274" t="s">
        <v>78</v>
      </c>
      <c r="B362" s="274" t="s">
        <v>79</v>
      </c>
      <c r="C362" s="274" t="s">
        <v>3741</v>
      </c>
      <c r="D362" s="274" t="s">
        <v>3742</v>
      </c>
      <c r="E362" s="274" t="s">
        <v>36</v>
      </c>
      <c r="F362" s="274" t="s">
        <v>37</v>
      </c>
      <c r="G362" s="274" t="s">
        <v>116</v>
      </c>
      <c r="H362" s="274" t="s">
        <v>117</v>
      </c>
      <c r="I362" s="274" t="s">
        <v>4263</v>
      </c>
      <c r="J362" s="274" t="s">
        <v>6550</v>
      </c>
      <c r="K362" s="274" t="s">
        <v>3746</v>
      </c>
      <c r="L362" s="274" t="s">
        <v>4264</v>
      </c>
      <c r="M362" s="281">
        <v>641.02</v>
      </c>
      <c r="N362" s="280"/>
      <c r="O362" s="280"/>
      <c r="P362" s="280">
        <v>641.02</v>
      </c>
      <c r="Q362" s="280"/>
      <c r="R362" s="280"/>
      <c r="S362" s="280"/>
      <c r="T362" s="297"/>
    </row>
    <row r="363" spans="1:20" x14ac:dyDescent="0.25">
      <c r="A363" s="274" t="s">
        <v>78</v>
      </c>
      <c r="B363" s="274" t="s">
        <v>79</v>
      </c>
      <c r="C363" s="274" t="s">
        <v>3741</v>
      </c>
      <c r="D363" s="274" t="s">
        <v>3742</v>
      </c>
      <c r="E363" s="274" t="s">
        <v>36</v>
      </c>
      <c r="F363" s="274" t="s">
        <v>37</v>
      </c>
      <c r="G363" s="274" t="s">
        <v>116</v>
      </c>
      <c r="H363" s="274" t="s">
        <v>117</v>
      </c>
      <c r="I363" s="274" t="s">
        <v>4265</v>
      </c>
      <c r="J363" s="274" t="s">
        <v>6552</v>
      </c>
      <c r="K363" s="274" t="s">
        <v>3746</v>
      </c>
      <c r="L363" s="274" t="s">
        <v>4256</v>
      </c>
      <c r="M363" s="281">
        <v>160.36000000000001</v>
      </c>
      <c r="N363" s="280"/>
      <c r="O363" s="280"/>
      <c r="P363" s="280">
        <v>160.36000000000001</v>
      </c>
      <c r="Q363" s="280"/>
      <c r="R363" s="280"/>
      <c r="S363" s="280"/>
      <c r="T363" s="297"/>
    </row>
    <row r="364" spans="1:20" x14ac:dyDescent="0.25">
      <c r="A364" s="274" t="s">
        <v>78</v>
      </c>
      <c r="B364" s="274" t="s">
        <v>79</v>
      </c>
      <c r="C364" s="274" t="s">
        <v>3741</v>
      </c>
      <c r="D364" s="274" t="s">
        <v>3742</v>
      </c>
      <c r="E364" s="274" t="s">
        <v>36</v>
      </c>
      <c r="F364" s="274" t="s">
        <v>37</v>
      </c>
      <c r="G364" s="274" t="s">
        <v>116</v>
      </c>
      <c r="H364" s="274" t="s">
        <v>117</v>
      </c>
      <c r="I364" s="274" t="s">
        <v>4266</v>
      </c>
      <c r="J364" s="274" t="s">
        <v>6549</v>
      </c>
      <c r="K364" s="274" t="s">
        <v>3746</v>
      </c>
      <c r="L364" s="274" t="s">
        <v>4267</v>
      </c>
      <c r="M364" s="281">
        <v>60000</v>
      </c>
      <c r="N364" s="280"/>
      <c r="O364" s="280"/>
      <c r="P364" s="280"/>
      <c r="Q364" s="280">
        <v>60000</v>
      </c>
      <c r="R364" s="280"/>
      <c r="S364" s="280"/>
      <c r="T364" s="297"/>
    </row>
    <row r="365" spans="1:20" x14ac:dyDescent="0.25">
      <c r="A365" s="274" t="s">
        <v>78</v>
      </c>
      <c r="B365" s="274" t="s">
        <v>79</v>
      </c>
      <c r="C365" s="274" t="s">
        <v>3741</v>
      </c>
      <c r="D365" s="274" t="s">
        <v>3742</v>
      </c>
      <c r="E365" s="274" t="s">
        <v>36</v>
      </c>
      <c r="F365" s="274" t="s">
        <v>37</v>
      </c>
      <c r="G365" s="274" t="s">
        <v>116</v>
      </c>
      <c r="H365" s="274" t="s">
        <v>117</v>
      </c>
      <c r="I365" s="274" t="s">
        <v>4268</v>
      </c>
      <c r="J365" s="274" t="s">
        <v>6549</v>
      </c>
      <c r="K365" s="274" t="s">
        <v>3746</v>
      </c>
      <c r="L365" s="274" t="s">
        <v>4267</v>
      </c>
      <c r="M365" s="281">
        <v>-60000</v>
      </c>
      <c r="N365" s="280"/>
      <c r="O365" s="280"/>
      <c r="P365" s="280"/>
      <c r="Q365" s="280">
        <v>-60000</v>
      </c>
      <c r="R365" s="280"/>
      <c r="S365" s="280"/>
      <c r="T365" s="297"/>
    </row>
    <row r="366" spans="1:20" x14ac:dyDescent="0.25">
      <c r="A366" s="274" t="s">
        <v>78</v>
      </c>
      <c r="B366" s="274" t="s">
        <v>79</v>
      </c>
      <c r="C366" s="274" t="s">
        <v>3741</v>
      </c>
      <c r="D366" s="274" t="s">
        <v>3742</v>
      </c>
      <c r="E366" s="274" t="s">
        <v>36</v>
      </c>
      <c r="F366" s="274" t="s">
        <v>37</v>
      </c>
      <c r="G366" s="274" t="s">
        <v>116</v>
      </c>
      <c r="H366" s="274" t="s">
        <v>117</v>
      </c>
      <c r="I366" s="274" t="s">
        <v>4269</v>
      </c>
      <c r="J366" s="274" t="s">
        <v>6549</v>
      </c>
      <c r="K366" s="274" t="s">
        <v>3746</v>
      </c>
      <c r="L366" s="274" t="s">
        <v>4267</v>
      </c>
      <c r="M366" s="281">
        <v>60000</v>
      </c>
      <c r="N366" s="280"/>
      <c r="O366" s="280"/>
      <c r="P366" s="280">
        <v>60000</v>
      </c>
      <c r="Q366" s="280"/>
      <c r="R366" s="280"/>
      <c r="S366" s="280"/>
      <c r="T366" s="297"/>
    </row>
    <row r="367" spans="1:20" x14ac:dyDescent="0.25">
      <c r="A367" s="274" t="s">
        <v>78</v>
      </c>
      <c r="B367" s="274" t="s">
        <v>79</v>
      </c>
      <c r="C367" s="274" t="s">
        <v>3741</v>
      </c>
      <c r="D367" s="274" t="s">
        <v>3742</v>
      </c>
      <c r="E367" s="274" t="s">
        <v>36</v>
      </c>
      <c r="F367" s="274" t="s">
        <v>37</v>
      </c>
      <c r="G367" s="274" t="s">
        <v>116</v>
      </c>
      <c r="H367" s="274" t="s">
        <v>117</v>
      </c>
      <c r="I367" s="274" t="s">
        <v>4270</v>
      </c>
      <c r="J367" s="274" t="s">
        <v>6549</v>
      </c>
      <c r="K367" s="274" t="s">
        <v>3746</v>
      </c>
      <c r="L367" s="274" t="s">
        <v>4271</v>
      </c>
      <c r="M367" s="281">
        <v>13086.59</v>
      </c>
      <c r="N367" s="280"/>
      <c r="O367" s="280"/>
      <c r="P367" s="280"/>
      <c r="Q367" s="280">
        <v>13086.59</v>
      </c>
      <c r="R367" s="280"/>
      <c r="S367" s="280"/>
      <c r="T367" s="297"/>
    </row>
    <row r="368" spans="1:20" x14ac:dyDescent="0.25">
      <c r="A368" s="274" t="s">
        <v>78</v>
      </c>
      <c r="B368" s="274" t="s">
        <v>79</v>
      </c>
      <c r="C368" s="274" t="s">
        <v>3741</v>
      </c>
      <c r="D368" s="274" t="s">
        <v>3742</v>
      </c>
      <c r="E368" s="274" t="s">
        <v>36</v>
      </c>
      <c r="F368" s="274" t="s">
        <v>37</v>
      </c>
      <c r="G368" s="274" t="s">
        <v>116</v>
      </c>
      <c r="H368" s="274" t="s">
        <v>117</v>
      </c>
      <c r="I368" s="274" t="s">
        <v>4272</v>
      </c>
      <c r="J368" s="274" t="s">
        <v>6549</v>
      </c>
      <c r="K368" s="274" t="s">
        <v>3746</v>
      </c>
      <c r="L368" s="274" t="s">
        <v>4273</v>
      </c>
      <c r="M368" s="281">
        <v>60000</v>
      </c>
      <c r="N368" s="280"/>
      <c r="O368" s="280"/>
      <c r="P368" s="280"/>
      <c r="Q368" s="280">
        <v>60000</v>
      </c>
      <c r="R368" s="280"/>
      <c r="S368" s="280"/>
      <c r="T368" s="297"/>
    </row>
    <row r="369" spans="1:20" x14ac:dyDescent="0.25">
      <c r="A369" s="274" t="s">
        <v>78</v>
      </c>
      <c r="B369" s="274" t="s">
        <v>79</v>
      </c>
      <c r="C369" s="274" t="s">
        <v>3741</v>
      </c>
      <c r="D369" s="274" t="s">
        <v>3742</v>
      </c>
      <c r="E369" s="274" t="s">
        <v>36</v>
      </c>
      <c r="F369" s="274" t="s">
        <v>37</v>
      </c>
      <c r="G369" s="274" t="s">
        <v>116</v>
      </c>
      <c r="H369" s="274" t="s">
        <v>117</v>
      </c>
      <c r="I369" s="274" t="s">
        <v>4274</v>
      </c>
      <c r="J369" s="274" t="s">
        <v>6552</v>
      </c>
      <c r="K369" s="274" t="s">
        <v>3746</v>
      </c>
      <c r="L369" s="274" t="s">
        <v>4275</v>
      </c>
      <c r="M369" s="281">
        <v>573.75</v>
      </c>
      <c r="N369" s="280"/>
      <c r="O369" s="280"/>
      <c r="P369" s="280"/>
      <c r="Q369" s="280">
        <v>573.75</v>
      </c>
      <c r="R369" s="280"/>
      <c r="S369" s="280"/>
      <c r="T369" s="297"/>
    </row>
    <row r="370" spans="1:20" x14ac:dyDescent="0.25">
      <c r="A370" s="274" t="s">
        <v>78</v>
      </c>
      <c r="B370" s="274" t="s">
        <v>79</v>
      </c>
      <c r="C370" s="274" t="s">
        <v>3741</v>
      </c>
      <c r="D370" s="274" t="s">
        <v>3742</v>
      </c>
      <c r="E370" s="274" t="s">
        <v>36</v>
      </c>
      <c r="F370" s="274" t="s">
        <v>37</v>
      </c>
      <c r="G370" s="274" t="s">
        <v>116</v>
      </c>
      <c r="H370" s="274" t="s">
        <v>117</v>
      </c>
      <c r="I370" s="274" t="s">
        <v>4276</v>
      </c>
      <c r="J370" s="274" t="s">
        <v>6552</v>
      </c>
      <c r="K370" s="274" t="s">
        <v>3746</v>
      </c>
      <c r="L370" s="274" t="s">
        <v>4275</v>
      </c>
      <c r="M370" s="281">
        <v>109.34</v>
      </c>
      <c r="N370" s="280"/>
      <c r="O370" s="280"/>
      <c r="P370" s="280"/>
      <c r="Q370" s="280">
        <v>109.34</v>
      </c>
      <c r="R370" s="280"/>
      <c r="S370" s="280"/>
      <c r="T370" s="297"/>
    </row>
    <row r="371" spans="1:20" x14ac:dyDescent="0.25">
      <c r="A371" s="274" t="s">
        <v>78</v>
      </c>
      <c r="B371" s="274" t="s">
        <v>79</v>
      </c>
      <c r="C371" s="274" t="s">
        <v>3741</v>
      </c>
      <c r="D371" s="274" t="s">
        <v>3742</v>
      </c>
      <c r="E371" s="274" t="s">
        <v>36</v>
      </c>
      <c r="F371" s="274" t="s">
        <v>37</v>
      </c>
      <c r="G371" s="274" t="s">
        <v>116</v>
      </c>
      <c r="H371" s="274" t="s">
        <v>117</v>
      </c>
      <c r="I371" s="274" t="s">
        <v>4277</v>
      </c>
      <c r="J371" s="274" t="s">
        <v>6550</v>
      </c>
      <c r="K371" s="274" t="s">
        <v>3746</v>
      </c>
      <c r="L371" s="274" t="s">
        <v>4278</v>
      </c>
      <c r="M371" s="281">
        <v>106.84</v>
      </c>
      <c r="N371" s="280"/>
      <c r="O371" s="280"/>
      <c r="P371" s="280"/>
      <c r="Q371" s="280">
        <v>106.84</v>
      </c>
      <c r="R371" s="280"/>
      <c r="S371" s="280"/>
      <c r="T371" s="297"/>
    </row>
    <row r="372" spans="1:20" x14ac:dyDescent="0.25">
      <c r="A372" s="274" t="s">
        <v>78</v>
      </c>
      <c r="B372" s="274" t="s">
        <v>79</v>
      </c>
      <c r="C372" s="274" t="s">
        <v>3741</v>
      </c>
      <c r="D372" s="274" t="s">
        <v>3742</v>
      </c>
      <c r="E372" s="274" t="s">
        <v>36</v>
      </c>
      <c r="F372" s="274" t="s">
        <v>37</v>
      </c>
      <c r="G372" s="274" t="s">
        <v>116</v>
      </c>
      <c r="H372" s="274" t="s">
        <v>117</v>
      </c>
      <c r="I372" s="274" t="s">
        <v>4279</v>
      </c>
      <c r="J372" s="274" t="s">
        <v>6549</v>
      </c>
      <c r="K372" s="274" t="s">
        <v>3746</v>
      </c>
      <c r="L372" s="274" t="s">
        <v>4280</v>
      </c>
      <c r="M372" s="281">
        <v>60000</v>
      </c>
      <c r="N372" s="280"/>
      <c r="O372" s="280"/>
      <c r="P372" s="280"/>
      <c r="Q372" s="280"/>
      <c r="R372" s="280">
        <v>60000</v>
      </c>
      <c r="S372" s="280"/>
      <c r="T372" s="297"/>
    </row>
    <row r="373" spans="1:20" x14ac:dyDescent="0.25">
      <c r="A373" s="274" t="s">
        <v>78</v>
      </c>
      <c r="B373" s="274" t="s">
        <v>79</v>
      </c>
      <c r="C373" s="274" t="s">
        <v>3741</v>
      </c>
      <c r="D373" s="274" t="s">
        <v>3742</v>
      </c>
      <c r="E373" s="274" t="s">
        <v>36</v>
      </c>
      <c r="F373" s="274" t="s">
        <v>37</v>
      </c>
      <c r="G373" s="274" t="s">
        <v>116</v>
      </c>
      <c r="H373" s="274" t="s">
        <v>117</v>
      </c>
      <c r="I373" s="274" t="s">
        <v>4281</v>
      </c>
      <c r="J373" s="274" t="s">
        <v>6552</v>
      </c>
      <c r="K373" s="274" t="s">
        <v>3746</v>
      </c>
      <c r="L373" s="274" t="s">
        <v>4282</v>
      </c>
      <c r="M373" s="281">
        <v>8000</v>
      </c>
      <c r="N373" s="280"/>
      <c r="O373" s="280"/>
      <c r="P373" s="280"/>
      <c r="Q373" s="280"/>
      <c r="R373" s="280">
        <v>8000</v>
      </c>
      <c r="S373" s="280"/>
      <c r="T373" s="297"/>
    </row>
    <row r="374" spans="1:20" x14ac:dyDescent="0.25">
      <c r="A374" s="274" t="s">
        <v>78</v>
      </c>
      <c r="B374" s="274" t="s">
        <v>79</v>
      </c>
      <c r="C374" s="274" t="s">
        <v>3741</v>
      </c>
      <c r="D374" s="274" t="s">
        <v>3742</v>
      </c>
      <c r="E374" s="274" t="s">
        <v>36</v>
      </c>
      <c r="F374" s="274" t="s">
        <v>37</v>
      </c>
      <c r="G374" s="274" t="s">
        <v>116</v>
      </c>
      <c r="H374" s="274" t="s">
        <v>117</v>
      </c>
      <c r="I374" s="274" t="s">
        <v>6236</v>
      </c>
      <c r="J374" s="274" t="s">
        <v>6549</v>
      </c>
      <c r="K374" s="274" t="s">
        <v>3746</v>
      </c>
      <c r="L374" s="274" t="s">
        <v>6237</v>
      </c>
      <c r="M374" s="281">
        <v>12696.03</v>
      </c>
      <c r="N374" s="280"/>
      <c r="O374" s="280"/>
      <c r="P374" s="280"/>
      <c r="Q374" s="280"/>
      <c r="R374" s="280">
        <v>12696.03</v>
      </c>
      <c r="S374" s="280"/>
      <c r="T374" s="297"/>
    </row>
    <row r="375" spans="1:20" x14ac:dyDescent="0.25">
      <c r="A375" s="274" t="s">
        <v>78</v>
      </c>
      <c r="B375" s="274" t="s">
        <v>79</v>
      </c>
      <c r="C375" s="274" t="s">
        <v>3741</v>
      </c>
      <c r="D375" s="274" t="s">
        <v>3742</v>
      </c>
      <c r="E375" s="274" t="s">
        <v>36</v>
      </c>
      <c r="F375" s="274" t="s">
        <v>37</v>
      </c>
      <c r="G375" s="274" t="s">
        <v>116</v>
      </c>
      <c r="H375" s="274" t="s">
        <v>117</v>
      </c>
      <c r="I375" s="274" t="s">
        <v>6238</v>
      </c>
      <c r="J375" s="274" t="s">
        <v>6552</v>
      </c>
      <c r="K375" s="274" t="s">
        <v>3746</v>
      </c>
      <c r="L375" s="274" t="s">
        <v>6239</v>
      </c>
      <c r="M375" s="281">
        <v>35.4</v>
      </c>
      <c r="N375" s="280"/>
      <c r="O375" s="280"/>
      <c r="P375" s="280"/>
      <c r="Q375" s="280"/>
      <c r="R375" s="280">
        <v>35.4</v>
      </c>
      <c r="S375" s="280"/>
      <c r="T375" s="297"/>
    </row>
    <row r="376" spans="1:20" x14ac:dyDescent="0.25">
      <c r="A376" s="274" t="s">
        <v>78</v>
      </c>
      <c r="B376" s="274" t="s">
        <v>79</v>
      </c>
      <c r="C376" s="274" t="s">
        <v>3741</v>
      </c>
      <c r="D376" s="274" t="s">
        <v>3742</v>
      </c>
      <c r="E376" s="274" t="s">
        <v>36</v>
      </c>
      <c r="F376" s="274" t="s">
        <v>37</v>
      </c>
      <c r="G376" s="274" t="s">
        <v>116</v>
      </c>
      <c r="H376" s="274" t="s">
        <v>117</v>
      </c>
      <c r="I376" s="274" t="s">
        <v>6240</v>
      </c>
      <c r="J376" s="274" t="s">
        <v>6549</v>
      </c>
      <c r="K376" s="274" t="s">
        <v>3746</v>
      </c>
      <c r="L376" s="274" t="s">
        <v>4280</v>
      </c>
      <c r="M376" s="281">
        <v>12890.3</v>
      </c>
      <c r="N376" s="280"/>
      <c r="O376" s="280"/>
      <c r="P376" s="280"/>
      <c r="Q376" s="280"/>
      <c r="R376" s="280"/>
      <c r="S376" s="280">
        <v>12890.3</v>
      </c>
      <c r="T376" s="297"/>
    </row>
    <row r="377" spans="1:20" x14ac:dyDescent="0.25">
      <c r="A377" s="274" t="s">
        <v>78</v>
      </c>
      <c r="B377" s="274" t="s">
        <v>79</v>
      </c>
      <c r="C377" s="274" t="s">
        <v>3741</v>
      </c>
      <c r="D377" s="274" t="s">
        <v>3742</v>
      </c>
      <c r="E377" s="274" t="s">
        <v>36</v>
      </c>
      <c r="F377" s="274" t="s">
        <v>37</v>
      </c>
      <c r="G377" s="274" t="s">
        <v>116</v>
      </c>
      <c r="H377" s="274" t="s">
        <v>117</v>
      </c>
      <c r="I377" s="274" t="s">
        <v>6241</v>
      </c>
      <c r="J377" s="274" t="s">
        <v>6549</v>
      </c>
      <c r="K377" s="274" t="s">
        <v>3746</v>
      </c>
      <c r="L377" s="274" t="s">
        <v>6242</v>
      </c>
      <c r="M377" s="281">
        <v>60000</v>
      </c>
      <c r="N377" s="280"/>
      <c r="O377" s="280"/>
      <c r="P377" s="280"/>
      <c r="Q377" s="280"/>
      <c r="R377" s="280"/>
      <c r="S377" s="280">
        <v>60000</v>
      </c>
      <c r="T377" s="297"/>
    </row>
    <row r="378" spans="1:20" x14ac:dyDescent="0.25">
      <c r="A378" s="274" t="s">
        <v>78</v>
      </c>
      <c r="B378" s="274" t="s">
        <v>79</v>
      </c>
      <c r="C378" s="274" t="s">
        <v>3741</v>
      </c>
      <c r="D378" s="274" t="s">
        <v>3742</v>
      </c>
      <c r="E378" s="274" t="s">
        <v>36</v>
      </c>
      <c r="F378" s="274" t="s">
        <v>37</v>
      </c>
      <c r="G378" s="274" t="s">
        <v>93</v>
      </c>
      <c r="H378" s="274" t="s">
        <v>94</v>
      </c>
      <c r="I378" s="274" t="s">
        <v>6243</v>
      </c>
      <c r="J378" s="274" t="s">
        <v>6553</v>
      </c>
      <c r="K378" s="274" t="s">
        <v>3746</v>
      </c>
      <c r="L378" s="274" t="s">
        <v>6244</v>
      </c>
      <c r="M378" s="281">
        <v>3172.17</v>
      </c>
      <c r="N378" s="280"/>
      <c r="O378" s="280"/>
      <c r="P378" s="280"/>
      <c r="Q378" s="280"/>
      <c r="R378" s="280"/>
      <c r="S378" s="280">
        <v>3172.17</v>
      </c>
      <c r="T378" s="297"/>
    </row>
    <row r="379" spans="1:20" x14ac:dyDescent="0.25">
      <c r="A379" s="274" t="s">
        <v>78</v>
      </c>
      <c r="B379" s="274" t="s">
        <v>79</v>
      </c>
      <c r="C379" s="274" t="s">
        <v>3741</v>
      </c>
      <c r="D379" s="274" t="s">
        <v>3742</v>
      </c>
      <c r="E379" s="274" t="s">
        <v>36</v>
      </c>
      <c r="F379" s="274" t="s">
        <v>37</v>
      </c>
      <c r="G379" s="274" t="s">
        <v>98</v>
      </c>
      <c r="H379" s="274" t="s">
        <v>99</v>
      </c>
      <c r="I379" s="274" t="s">
        <v>4283</v>
      </c>
      <c r="J379" s="274" t="s">
        <v>98</v>
      </c>
      <c r="K379" s="274" t="s">
        <v>98</v>
      </c>
      <c r="L379" s="274" t="s">
        <v>4284</v>
      </c>
      <c r="M379" s="281">
        <v>0</v>
      </c>
      <c r="N379" s="280"/>
      <c r="O379" s="280">
        <v>0</v>
      </c>
      <c r="P379" s="280">
        <v>0</v>
      </c>
      <c r="Q379" s="280"/>
      <c r="R379" s="280"/>
      <c r="S379" s="280"/>
      <c r="T379" s="297"/>
    </row>
    <row r="380" spans="1:20" x14ac:dyDescent="0.25">
      <c r="A380" s="274" t="s">
        <v>78</v>
      </c>
      <c r="B380" s="274" t="s">
        <v>79</v>
      </c>
      <c r="C380" s="274" t="s">
        <v>3741</v>
      </c>
      <c r="D380" s="274" t="s">
        <v>3742</v>
      </c>
      <c r="E380" s="274" t="s">
        <v>36</v>
      </c>
      <c r="F380" s="274" t="s">
        <v>37</v>
      </c>
      <c r="G380" s="274" t="s">
        <v>98</v>
      </c>
      <c r="H380" s="274" t="s">
        <v>99</v>
      </c>
      <c r="I380" s="274" t="s">
        <v>4136</v>
      </c>
      <c r="J380" s="274" t="s">
        <v>98</v>
      </c>
      <c r="K380" s="274" t="s">
        <v>98</v>
      </c>
      <c r="L380" s="274" t="s">
        <v>4285</v>
      </c>
      <c r="M380" s="281">
        <v>0</v>
      </c>
      <c r="N380" s="280"/>
      <c r="O380" s="280"/>
      <c r="P380" s="280"/>
      <c r="Q380" s="280">
        <v>15000</v>
      </c>
      <c r="R380" s="280">
        <v>-15000</v>
      </c>
      <c r="S380" s="280"/>
      <c r="T380" s="297"/>
    </row>
    <row r="381" spans="1:20" x14ac:dyDescent="0.25">
      <c r="A381" s="274" t="s">
        <v>78</v>
      </c>
      <c r="B381" s="274" t="s">
        <v>79</v>
      </c>
      <c r="C381" s="274" t="s">
        <v>3741</v>
      </c>
      <c r="D381" s="274" t="s">
        <v>3742</v>
      </c>
      <c r="E381" s="274" t="s">
        <v>36</v>
      </c>
      <c r="F381" s="274" t="s">
        <v>37</v>
      </c>
      <c r="G381" s="274" t="s">
        <v>98</v>
      </c>
      <c r="H381" s="274" t="s">
        <v>99</v>
      </c>
      <c r="I381" s="274" t="s">
        <v>4136</v>
      </c>
      <c r="J381" s="274" t="s">
        <v>98</v>
      </c>
      <c r="K381" s="274" t="s">
        <v>98</v>
      </c>
      <c r="L381" s="274" t="s">
        <v>6245</v>
      </c>
      <c r="M381" s="281">
        <v>0</v>
      </c>
      <c r="N381" s="280"/>
      <c r="O381" s="280"/>
      <c r="P381" s="280"/>
      <c r="Q381" s="280"/>
      <c r="R381" s="280">
        <v>11336</v>
      </c>
      <c r="S381" s="280">
        <v>-11336</v>
      </c>
      <c r="T381" s="297"/>
    </row>
    <row r="382" spans="1:20" x14ac:dyDescent="0.25">
      <c r="A382" s="274" t="s">
        <v>78</v>
      </c>
      <c r="B382" s="274" t="s">
        <v>79</v>
      </c>
      <c r="C382" s="274" t="s">
        <v>3741</v>
      </c>
      <c r="D382" s="274" t="s">
        <v>3742</v>
      </c>
      <c r="E382" s="274" t="s">
        <v>36</v>
      </c>
      <c r="F382" s="274" t="s">
        <v>37</v>
      </c>
      <c r="G382" s="274" t="s">
        <v>98</v>
      </c>
      <c r="H382" s="274" t="s">
        <v>99</v>
      </c>
      <c r="I382" s="274" t="s">
        <v>4136</v>
      </c>
      <c r="J382" s="274" t="s">
        <v>98</v>
      </c>
      <c r="K382" s="274" t="s">
        <v>98</v>
      </c>
      <c r="L382" s="274" t="s">
        <v>6246</v>
      </c>
      <c r="M382" s="281">
        <v>0</v>
      </c>
      <c r="N382" s="280"/>
      <c r="O382" s="280"/>
      <c r="P382" s="280"/>
      <c r="Q382" s="280"/>
      <c r="R382" s="280">
        <v>25000</v>
      </c>
      <c r="S382" s="280">
        <v>-25000</v>
      </c>
      <c r="T382" s="297"/>
    </row>
    <row r="383" spans="1:20" x14ac:dyDescent="0.25">
      <c r="A383" s="274" t="s">
        <v>78</v>
      </c>
      <c r="B383" s="274" t="s">
        <v>79</v>
      </c>
      <c r="C383" s="274" t="s">
        <v>3741</v>
      </c>
      <c r="D383" s="274" t="s">
        <v>3742</v>
      </c>
      <c r="E383" s="274" t="s">
        <v>36</v>
      </c>
      <c r="F383" s="274" t="s">
        <v>37</v>
      </c>
      <c r="G383" s="274" t="s">
        <v>98</v>
      </c>
      <c r="H383" s="274" t="s">
        <v>99</v>
      </c>
      <c r="I383" s="274" t="s">
        <v>4136</v>
      </c>
      <c r="J383" s="274" t="s">
        <v>98</v>
      </c>
      <c r="K383" s="274" t="s">
        <v>98</v>
      </c>
      <c r="L383" s="274" t="s">
        <v>6554</v>
      </c>
      <c r="M383" s="281">
        <v>25000</v>
      </c>
      <c r="N383" s="280"/>
      <c r="O383" s="280"/>
      <c r="P383" s="280"/>
      <c r="Q383" s="280"/>
      <c r="R383" s="280"/>
      <c r="S383" s="280">
        <v>25000</v>
      </c>
      <c r="T383" s="297"/>
    </row>
    <row r="384" spans="1:20" x14ac:dyDescent="0.25">
      <c r="A384" s="274" t="s">
        <v>78</v>
      </c>
      <c r="B384" s="274" t="s">
        <v>79</v>
      </c>
      <c r="C384" s="274" t="s">
        <v>3741</v>
      </c>
      <c r="D384" s="274" t="s">
        <v>3742</v>
      </c>
      <c r="E384" s="274" t="s">
        <v>38</v>
      </c>
      <c r="F384" s="274" t="s">
        <v>120</v>
      </c>
      <c r="G384" s="274" t="s">
        <v>93</v>
      </c>
      <c r="H384" s="274" t="s">
        <v>94</v>
      </c>
      <c r="I384" s="274" t="s">
        <v>4286</v>
      </c>
      <c r="J384" s="274" t="s">
        <v>6555</v>
      </c>
      <c r="K384" s="274" t="s">
        <v>3746</v>
      </c>
      <c r="L384" s="274" t="s">
        <v>4287</v>
      </c>
      <c r="M384" s="281">
        <v>-24000</v>
      </c>
      <c r="N384" s="280">
        <v>-24000</v>
      </c>
      <c r="O384" s="280"/>
      <c r="P384" s="280"/>
      <c r="Q384" s="280"/>
      <c r="R384" s="280"/>
      <c r="S384" s="280"/>
      <c r="T384" s="297"/>
    </row>
    <row r="385" spans="1:20" x14ac:dyDescent="0.25">
      <c r="A385" s="274" t="s">
        <v>78</v>
      </c>
      <c r="B385" s="274" t="s">
        <v>79</v>
      </c>
      <c r="C385" s="274" t="s">
        <v>3741</v>
      </c>
      <c r="D385" s="274" t="s">
        <v>3742</v>
      </c>
      <c r="E385" s="274" t="s">
        <v>38</v>
      </c>
      <c r="F385" s="274" t="s">
        <v>120</v>
      </c>
      <c r="G385" s="274" t="s">
        <v>93</v>
      </c>
      <c r="H385" s="274" t="s">
        <v>94</v>
      </c>
      <c r="I385" s="274" t="s">
        <v>4288</v>
      </c>
      <c r="J385" s="274" t="s">
        <v>6555</v>
      </c>
      <c r="K385" s="274" t="s">
        <v>3746</v>
      </c>
      <c r="L385" s="274" t="s">
        <v>4287</v>
      </c>
      <c r="M385" s="281">
        <v>23649.89</v>
      </c>
      <c r="N385" s="280">
        <v>23649.89</v>
      </c>
      <c r="O385" s="280"/>
      <c r="P385" s="280"/>
      <c r="Q385" s="280"/>
      <c r="R385" s="280"/>
      <c r="S385" s="280"/>
      <c r="T385" s="297"/>
    </row>
    <row r="386" spans="1:20" x14ac:dyDescent="0.25">
      <c r="A386" s="274" t="s">
        <v>78</v>
      </c>
      <c r="B386" s="274" t="s">
        <v>79</v>
      </c>
      <c r="C386" s="274" t="s">
        <v>3741</v>
      </c>
      <c r="D386" s="274" t="s">
        <v>3742</v>
      </c>
      <c r="E386" s="274" t="s">
        <v>38</v>
      </c>
      <c r="F386" s="274" t="s">
        <v>120</v>
      </c>
      <c r="G386" s="274" t="s">
        <v>93</v>
      </c>
      <c r="H386" s="274" t="s">
        <v>94</v>
      </c>
      <c r="I386" s="274" t="s">
        <v>4289</v>
      </c>
      <c r="J386" s="274" t="s">
        <v>6556</v>
      </c>
      <c r="K386" s="274" t="s">
        <v>3746</v>
      </c>
      <c r="L386" s="274" t="s">
        <v>4290</v>
      </c>
      <c r="M386" s="281">
        <v>23290.92</v>
      </c>
      <c r="N386" s="280"/>
      <c r="O386" s="280">
        <v>23290.92</v>
      </c>
      <c r="P386" s="280"/>
      <c r="Q386" s="280"/>
      <c r="R386" s="280"/>
      <c r="S386" s="280"/>
      <c r="T386" s="297"/>
    </row>
    <row r="387" spans="1:20" x14ac:dyDescent="0.25">
      <c r="A387" s="274" t="s">
        <v>78</v>
      </c>
      <c r="B387" s="274" t="s">
        <v>79</v>
      </c>
      <c r="C387" s="274" t="s">
        <v>3741</v>
      </c>
      <c r="D387" s="274" t="s">
        <v>3742</v>
      </c>
      <c r="E387" s="274" t="s">
        <v>38</v>
      </c>
      <c r="F387" s="274" t="s">
        <v>120</v>
      </c>
      <c r="G387" s="274" t="s">
        <v>93</v>
      </c>
      <c r="H387" s="274" t="s">
        <v>94</v>
      </c>
      <c r="I387" s="274" t="s">
        <v>4291</v>
      </c>
      <c r="J387" s="274" t="s">
        <v>6556</v>
      </c>
      <c r="K387" s="274" t="s">
        <v>3746</v>
      </c>
      <c r="L387" s="274" t="s">
        <v>4292</v>
      </c>
      <c r="M387" s="281">
        <v>24000</v>
      </c>
      <c r="N387" s="280"/>
      <c r="O387" s="280">
        <v>24000</v>
      </c>
      <c r="P387" s="280"/>
      <c r="Q387" s="280"/>
      <c r="R387" s="280"/>
      <c r="S387" s="280"/>
      <c r="T387" s="297"/>
    </row>
    <row r="388" spans="1:20" x14ac:dyDescent="0.25">
      <c r="A388" s="274" t="s">
        <v>78</v>
      </c>
      <c r="B388" s="274" t="s">
        <v>79</v>
      </c>
      <c r="C388" s="274" t="s">
        <v>3741</v>
      </c>
      <c r="D388" s="274" t="s">
        <v>3742</v>
      </c>
      <c r="E388" s="274" t="s">
        <v>38</v>
      </c>
      <c r="F388" s="274" t="s">
        <v>120</v>
      </c>
      <c r="G388" s="274" t="s">
        <v>93</v>
      </c>
      <c r="H388" s="274" t="s">
        <v>94</v>
      </c>
      <c r="I388" s="274" t="s">
        <v>4293</v>
      </c>
      <c r="J388" s="274" t="s">
        <v>6556</v>
      </c>
      <c r="K388" s="274" t="s">
        <v>3746</v>
      </c>
      <c r="L388" s="274" t="s">
        <v>4294</v>
      </c>
      <c r="M388" s="281">
        <v>24000</v>
      </c>
      <c r="N388" s="280"/>
      <c r="O388" s="280"/>
      <c r="P388" s="280">
        <v>24000</v>
      </c>
      <c r="Q388" s="280"/>
      <c r="R388" s="280"/>
      <c r="S388" s="280"/>
      <c r="T388" s="297"/>
    </row>
    <row r="389" spans="1:20" x14ac:dyDescent="0.25">
      <c r="A389" s="274" t="s">
        <v>78</v>
      </c>
      <c r="B389" s="274" t="s">
        <v>79</v>
      </c>
      <c r="C389" s="274" t="s">
        <v>3741</v>
      </c>
      <c r="D389" s="274" t="s">
        <v>3742</v>
      </c>
      <c r="E389" s="274" t="s">
        <v>38</v>
      </c>
      <c r="F389" s="274" t="s">
        <v>120</v>
      </c>
      <c r="G389" s="274" t="s">
        <v>93</v>
      </c>
      <c r="H389" s="274" t="s">
        <v>94</v>
      </c>
      <c r="I389" s="274" t="s">
        <v>4295</v>
      </c>
      <c r="J389" s="274" t="s">
        <v>6556</v>
      </c>
      <c r="K389" s="274" t="s">
        <v>3746</v>
      </c>
      <c r="L389" s="274" t="s">
        <v>4292</v>
      </c>
      <c r="M389" s="281">
        <v>-24000</v>
      </c>
      <c r="N389" s="280"/>
      <c r="O389" s="280"/>
      <c r="P389" s="280"/>
      <c r="Q389" s="280">
        <v>-24000</v>
      </c>
      <c r="R389" s="280"/>
      <c r="S389" s="280"/>
      <c r="T389" s="297"/>
    </row>
    <row r="390" spans="1:20" x14ac:dyDescent="0.25">
      <c r="A390" s="274" t="s">
        <v>78</v>
      </c>
      <c r="B390" s="274" t="s">
        <v>79</v>
      </c>
      <c r="C390" s="274" t="s">
        <v>3741</v>
      </c>
      <c r="D390" s="274" t="s">
        <v>3742</v>
      </c>
      <c r="E390" s="274" t="s">
        <v>38</v>
      </c>
      <c r="F390" s="274" t="s">
        <v>120</v>
      </c>
      <c r="G390" s="274" t="s">
        <v>93</v>
      </c>
      <c r="H390" s="274" t="s">
        <v>94</v>
      </c>
      <c r="I390" s="274" t="s">
        <v>4296</v>
      </c>
      <c r="J390" s="274" t="s">
        <v>6556</v>
      </c>
      <c r="K390" s="274" t="s">
        <v>3746</v>
      </c>
      <c r="L390" s="274" t="s">
        <v>4292</v>
      </c>
      <c r="M390" s="281">
        <v>23232.06</v>
      </c>
      <c r="N390" s="280"/>
      <c r="O390" s="280"/>
      <c r="P390" s="280"/>
      <c r="Q390" s="280">
        <v>23232.06</v>
      </c>
      <c r="R390" s="280"/>
      <c r="S390" s="280"/>
      <c r="T390" s="297"/>
    </row>
    <row r="391" spans="1:20" x14ac:dyDescent="0.25">
      <c r="A391" s="274" t="s">
        <v>78</v>
      </c>
      <c r="B391" s="274" t="s">
        <v>79</v>
      </c>
      <c r="C391" s="274" t="s">
        <v>3741</v>
      </c>
      <c r="D391" s="274" t="s">
        <v>3742</v>
      </c>
      <c r="E391" s="274" t="s">
        <v>38</v>
      </c>
      <c r="F391" s="274" t="s">
        <v>120</v>
      </c>
      <c r="G391" s="274" t="s">
        <v>93</v>
      </c>
      <c r="H391" s="274" t="s">
        <v>94</v>
      </c>
      <c r="I391" s="274" t="s">
        <v>4297</v>
      </c>
      <c r="J391" s="274" t="s">
        <v>6556</v>
      </c>
      <c r="K391" s="274" t="s">
        <v>3746</v>
      </c>
      <c r="L391" s="274" t="s">
        <v>4294</v>
      </c>
      <c r="M391" s="281">
        <v>-24000</v>
      </c>
      <c r="N391" s="280"/>
      <c r="O391" s="280"/>
      <c r="P391" s="280"/>
      <c r="Q391" s="280">
        <v>-24000</v>
      </c>
      <c r="R391" s="280"/>
      <c r="S391" s="280"/>
      <c r="T391" s="297"/>
    </row>
    <row r="392" spans="1:20" x14ac:dyDescent="0.25">
      <c r="A392" s="274" t="s">
        <v>78</v>
      </c>
      <c r="B392" s="274" t="s">
        <v>79</v>
      </c>
      <c r="C392" s="274" t="s">
        <v>3741</v>
      </c>
      <c r="D392" s="274" t="s">
        <v>3742</v>
      </c>
      <c r="E392" s="274" t="s">
        <v>38</v>
      </c>
      <c r="F392" s="274" t="s">
        <v>120</v>
      </c>
      <c r="G392" s="274" t="s">
        <v>93</v>
      </c>
      <c r="H392" s="274" t="s">
        <v>94</v>
      </c>
      <c r="I392" s="274" t="s">
        <v>4298</v>
      </c>
      <c r="J392" s="274" t="s">
        <v>6556</v>
      </c>
      <c r="K392" s="274" t="s">
        <v>3746</v>
      </c>
      <c r="L392" s="274" t="s">
        <v>4294</v>
      </c>
      <c r="M392" s="281">
        <v>23188.77</v>
      </c>
      <c r="N392" s="280"/>
      <c r="O392" s="280"/>
      <c r="P392" s="280"/>
      <c r="Q392" s="280">
        <v>23188.77</v>
      </c>
      <c r="R392" s="280"/>
      <c r="S392" s="280"/>
      <c r="T392" s="297"/>
    </row>
    <row r="393" spans="1:20" x14ac:dyDescent="0.25">
      <c r="A393" s="274" t="s">
        <v>78</v>
      </c>
      <c r="B393" s="274" t="s">
        <v>79</v>
      </c>
      <c r="C393" s="274" t="s">
        <v>3741</v>
      </c>
      <c r="D393" s="274" t="s">
        <v>3742</v>
      </c>
      <c r="E393" s="274" t="s">
        <v>38</v>
      </c>
      <c r="F393" s="274" t="s">
        <v>120</v>
      </c>
      <c r="G393" s="274" t="s">
        <v>93</v>
      </c>
      <c r="H393" s="274" t="s">
        <v>94</v>
      </c>
      <c r="I393" s="274" t="s">
        <v>4299</v>
      </c>
      <c r="J393" s="274" t="s">
        <v>6556</v>
      </c>
      <c r="K393" s="274" t="s">
        <v>3746</v>
      </c>
      <c r="L393" s="274" t="s">
        <v>4300</v>
      </c>
      <c r="M393" s="281">
        <v>23000</v>
      </c>
      <c r="N393" s="280"/>
      <c r="O393" s="280"/>
      <c r="P393" s="280"/>
      <c r="Q393" s="280">
        <v>23000</v>
      </c>
      <c r="R393" s="280"/>
      <c r="S393" s="280"/>
      <c r="T393" s="297"/>
    </row>
    <row r="394" spans="1:20" x14ac:dyDescent="0.25">
      <c r="A394" s="274" t="s">
        <v>78</v>
      </c>
      <c r="B394" s="274" t="s">
        <v>79</v>
      </c>
      <c r="C394" s="274" t="s">
        <v>3741</v>
      </c>
      <c r="D394" s="274" t="s">
        <v>3742</v>
      </c>
      <c r="E394" s="274" t="s">
        <v>38</v>
      </c>
      <c r="F394" s="274" t="s">
        <v>120</v>
      </c>
      <c r="G394" s="274" t="s">
        <v>93</v>
      </c>
      <c r="H394" s="274" t="s">
        <v>94</v>
      </c>
      <c r="I394" s="274" t="s">
        <v>4301</v>
      </c>
      <c r="J394" s="274" t="s">
        <v>6556</v>
      </c>
      <c r="K394" s="274" t="s">
        <v>3746</v>
      </c>
      <c r="L394" s="274" t="s">
        <v>4300</v>
      </c>
      <c r="M394" s="281">
        <v>-23000</v>
      </c>
      <c r="N394" s="280"/>
      <c r="O394" s="280"/>
      <c r="P394" s="280"/>
      <c r="Q394" s="280"/>
      <c r="R394" s="280">
        <v>-23000</v>
      </c>
      <c r="S394" s="280"/>
      <c r="T394" s="297"/>
    </row>
    <row r="395" spans="1:20" x14ac:dyDescent="0.25">
      <c r="A395" s="274" t="s">
        <v>78</v>
      </c>
      <c r="B395" s="274" t="s">
        <v>79</v>
      </c>
      <c r="C395" s="274" t="s">
        <v>3741</v>
      </c>
      <c r="D395" s="274" t="s">
        <v>3742</v>
      </c>
      <c r="E395" s="274" t="s">
        <v>38</v>
      </c>
      <c r="F395" s="274" t="s">
        <v>120</v>
      </c>
      <c r="G395" s="274" t="s">
        <v>93</v>
      </c>
      <c r="H395" s="274" t="s">
        <v>94</v>
      </c>
      <c r="I395" s="274" t="s">
        <v>4302</v>
      </c>
      <c r="J395" s="274" t="s">
        <v>6556</v>
      </c>
      <c r="K395" s="274" t="s">
        <v>3746</v>
      </c>
      <c r="L395" s="274" t="s">
        <v>4300</v>
      </c>
      <c r="M395" s="281">
        <v>22686.71</v>
      </c>
      <c r="N395" s="280"/>
      <c r="O395" s="280"/>
      <c r="P395" s="280"/>
      <c r="Q395" s="280"/>
      <c r="R395" s="280">
        <v>22686.71</v>
      </c>
      <c r="S395" s="280"/>
      <c r="T395" s="297"/>
    </row>
    <row r="396" spans="1:20" x14ac:dyDescent="0.25">
      <c r="A396" s="274" t="s">
        <v>78</v>
      </c>
      <c r="B396" s="274" t="s">
        <v>79</v>
      </c>
      <c r="C396" s="274" t="s">
        <v>3741</v>
      </c>
      <c r="D396" s="274" t="s">
        <v>3742</v>
      </c>
      <c r="E396" s="274" t="s">
        <v>38</v>
      </c>
      <c r="F396" s="274" t="s">
        <v>120</v>
      </c>
      <c r="G396" s="274" t="s">
        <v>93</v>
      </c>
      <c r="H396" s="274" t="s">
        <v>94</v>
      </c>
      <c r="I396" s="274" t="s">
        <v>4303</v>
      </c>
      <c r="J396" s="274" t="s">
        <v>6556</v>
      </c>
      <c r="K396" s="274" t="s">
        <v>3746</v>
      </c>
      <c r="L396" s="274" t="s">
        <v>4304</v>
      </c>
      <c r="M396" s="281">
        <v>22000</v>
      </c>
      <c r="N396" s="280"/>
      <c r="O396" s="280"/>
      <c r="P396" s="280"/>
      <c r="Q396" s="280"/>
      <c r="R396" s="280">
        <v>22000</v>
      </c>
      <c r="S396" s="280"/>
      <c r="T396" s="297"/>
    </row>
    <row r="397" spans="1:20" x14ac:dyDescent="0.25">
      <c r="A397" s="274" t="s">
        <v>78</v>
      </c>
      <c r="B397" s="274" t="s">
        <v>79</v>
      </c>
      <c r="C397" s="274" t="s">
        <v>3741</v>
      </c>
      <c r="D397" s="274" t="s">
        <v>3742</v>
      </c>
      <c r="E397" s="274" t="s">
        <v>38</v>
      </c>
      <c r="F397" s="274" t="s">
        <v>120</v>
      </c>
      <c r="G397" s="274" t="s">
        <v>93</v>
      </c>
      <c r="H397" s="274" t="s">
        <v>94</v>
      </c>
      <c r="I397" s="274" t="s">
        <v>6557</v>
      </c>
      <c r="J397" s="274" t="s">
        <v>6556</v>
      </c>
      <c r="K397" s="274" t="s">
        <v>3746</v>
      </c>
      <c r="L397" s="274" t="s">
        <v>6558</v>
      </c>
      <c r="M397" s="281">
        <v>22000</v>
      </c>
      <c r="N397" s="280"/>
      <c r="O397" s="280"/>
      <c r="P397" s="280"/>
      <c r="Q397" s="280"/>
      <c r="R397" s="280"/>
      <c r="S397" s="280"/>
      <c r="T397" s="297">
        <v>22000</v>
      </c>
    </row>
    <row r="398" spans="1:20" x14ac:dyDescent="0.25">
      <c r="A398" s="274" t="s">
        <v>78</v>
      </c>
      <c r="B398" s="274" t="s">
        <v>79</v>
      </c>
      <c r="C398" s="274" t="s">
        <v>3741</v>
      </c>
      <c r="D398" s="274" t="s">
        <v>3742</v>
      </c>
      <c r="E398" s="274" t="s">
        <v>38</v>
      </c>
      <c r="F398" s="274" t="s">
        <v>120</v>
      </c>
      <c r="G398" s="274" t="s">
        <v>93</v>
      </c>
      <c r="H398" s="274" t="s">
        <v>94</v>
      </c>
      <c r="I398" s="274" t="s">
        <v>6559</v>
      </c>
      <c r="J398" s="274" t="s">
        <v>6556</v>
      </c>
      <c r="K398" s="274" t="s">
        <v>3746</v>
      </c>
      <c r="L398" s="274" t="s">
        <v>6558</v>
      </c>
      <c r="M398" s="281">
        <v>-22000</v>
      </c>
      <c r="N398" s="280"/>
      <c r="O398" s="280"/>
      <c r="P398" s="280"/>
      <c r="Q398" s="280"/>
      <c r="R398" s="280"/>
      <c r="S398" s="280"/>
      <c r="T398" s="297">
        <v>-22000</v>
      </c>
    </row>
    <row r="399" spans="1:20" x14ac:dyDescent="0.25">
      <c r="A399" s="274" t="s">
        <v>78</v>
      </c>
      <c r="B399" s="274" t="s">
        <v>79</v>
      </c>
      <c r="C399" s="274" t="s">
        <v>3741</v>
      </c>
      <c r="D399" s="274" t="s">
        <v>3742</v>
      </c>
      <c r="E399" s="274" t="s">
        <v>38</v>
      </c>
      <c r="F399" s="274" t="s">
        <v>120</v>
      </c>
      <c r="G399" s="274" t="s">
        <v>93</v>
      </c>
      <c r="H399" s="274" t="s">
        <v>94</v>
      </c>
      <c r="I399" s="274" t="s">
        <v>6560</v>
      </c>
      <c r="J399" s="274" t="s">
        <v>6556</v>
      </c>
      <c r="K399" s="274" t="s">
        <v>3746</v>
      </c>
      <c r="L399" s="274" t="s">
        <v>6558</v>
      </c>
      <c r="M399" s="281">
        <v>22000</v>
      </c>
      <c r="N399" s="280"/>
      <c r="O399" s="280"/>
      <c r="P399" s="280"/>
      <c r="Q399" s="280"/>
      <c r="R399" s="280"/>
      <c r="S399" s="280">
        <v>22000</v>
      </c>
      <c r="T399" s="297"/>
    </row>
    <row r="400" spans="1:20" x14ac:dyDescent="0.25">
      <c r="A400" s="274" t="s">
        <v>78</v>
      </c>
      <c r="B400" s="274" t="s">
        <v>79</v>
      </c>
      <c r="C400" s="274" t="s">
        <v>3741</v>
      </c>
      <c r="D400" s="274" t="s">
        <v>3742</v>
      </c>
      <c r="E400" s="274" t="s">
        <v>38</v>
      </c>
      <c r="F400" s="274" t="s">
        <v>120</v>
      </c>
      <c r="G400" s="274" t="s">
        <v>93</v>
      </c>
      <c r="H400" s="274" t="s">
        <v>94</v>
      </c>
      <c r="I400" s="274" t="s">
        <v>4305</v>
      </c>
      <c r="J400" s="274" t="s">
        <v>6556</v>
      </c>
      <c r="K400" s="274" t="s">
        <v>3746</v>
      </c>
      <c r="L400" s="274" t="s">
        <v>4290</v>
      </c>
      <c r="M400" s="281">
        <v>-0.9</v>
      </c>
      <c r="N400" s="280"/>
      <c r="O400" s="280">
        <v>-0.9</v>
      </c>
      <c r="P400" s="280"/>
      <c r="Q400" s="280"/>
      <c r="R400" s="280"/>
      <c r="S400" s="280"/>
      <c r="T400" s="297"/>
    </row>
    <row r="401" spans="1:20" x14ac:dyDescent="0.25">
      <c r="A401" s="274" t="s">
        <v>78</v>
      </c>
      <c r="B401" s="274" t="s">
        <v>79</v>
      </c>
      <c r="C401" s="274" t="s">
        <v>3741</v>
      </c>
      <c r="D401" s="274" t="s">
        <v>3742</v>
      </c>
      <c r="E401" s="274" t="s">
        <v>38</v>
      </c>
      <c r="F401" s="274" t="s">
        <v>120</v>
      </c>
      <c r="G401" s="274" t="s">
        <v>121</v>
      </c>
      <c r="H401" s="274" t="s">
        <v>122</v>
      </c>
      <c r="I401" s="274" t="s">
        <v>4306</v>
      </c>
      <c r="J401" s="274" t="s">
        <v>6561</v>
      </c>
      <c r="K401" s="274" t="s">
        <v>3746</v>
      </c>
      <c r="L401" s="274" t="s">
        <v>4307</v>
      </c>
      <c r="M401" s="281">
        <v>6667</v>
      </c>
      <c r="N401" s="280">
        <v>6667</v>
      </c>
      <c r="O401" s="280"/>
      <c r="P401" s="280"/>
      <c r="Q401" s="280"/>
      <c r="R401" s="280"/>
      <c r="S401" s="280"/>
      <c r="T401" s="297"/>
    </row>
    <row r="402" spans="1:20" x14ac:dyDescent="0.25">
      <c r="A402" s="274" t="s">
        <v>78</v>
      </c>
      <c r="B402" s="274" t="s">
        <v>79</v>
      </c>
      <c r="C402" s="274" t="s">
        <v>3741</v>
      </c>
      <c r="D402" s="274" t="s">
        <v>3742</v>
      </c>
      <c r="E402" s="274" t="s">
        <v>38</v>
      </c>
      <c r="F402" s="274" t="s">
        <v>120</v>
      </c>
      <c r="G402" s="274" t="s">
        <v>121</v>
      </c>
      <c r="H402" s="274" t="s">
        <v>122</v>
      </c>
      <c r="I402" s="274" t="s">
        <v>4308</v>
      </c>
      <c r="J402" s="274" t="s">
        <v>6561</v>
      </c>
      <c r="K402" s="274" t="s">
        <v>3746</v>
      </c>
      <c r="L402" s="274" t="s">
        <v>4309</v>
      </c>
      <c r="M402" s="281">
        <v>6667</v>
      </c>
      <c r="N402" s="280"/>
      <c r="O402" s="280">
        <v>6667</v>
      </c>
      <c r="P402" s="280"/>
      <c r="Q402" s="280"/>
      <c r="R402" s="280"/>
      <c r="S402" s="280"/>
      <c r="T402" s="297"/>
    </row>
    <row r="403" spans="1:20" x14ac:dyDescent="0.25">
      <c r="A403" s="274" t="s">
        <v>78</v>
      </c>
      <c r="B403" s="274" t="s">
        <v>79</v>
      </c>
      <c r="C403" s="274" t="s">
        <v>3741</v>
      </c>
      <c r="D403" s="274" t="s">
        <v>3742</v>
      </c>
      <c r="E403" s="274" t="s">
        <v>38</v>
      </c>
      <c r="F403" s="274" t="s">
        <v>120</v>
      </c>
      <c r="G403" s="274" t="s">
        <v>121</v>
      </c>
      <c r="H403" s="274" t="s">
        <v>122</v>
      </c>
      <c r="I403" s="274" t="s">
        <v>4310</v>
      </c>
      <c r="J403" s="274" t="s">
        <v>6561</v>
      </c>
      <c r="K403" s="274" t="s">
        <v>3746</v>
      </c>
      <c r="L403" s="274" t="s">
        <v>4311</v>
      </c>
      <c r="M403" s="281">
        <v>6667</v>
      </c>
      <c r="N403" s="280"/>
      <c r="O403" s="280"/>
      <c r="P403" s="280">
        <v>6667</v>
      </c>
      <c r="Q403" s="280"/>
      <c r="R403" s="280"/>
      <c r="S403" s="280"/>
      <c r="T403" s="297"/>
    </row>
    <row r="404" spans="1:20" x14ac:dyDescent="0.25">
      <c r="A404" s="274" t="s">
        <v>78</v>
      </c>
      <c r="B404" s="274" t="s">
        <v>79</v>
      </c>
      <c r="C404" s="274" t="s">
        <v>3741</v>
      </c>
      <c r="D404" s="274" t="s">
        <v>3742</v>
      </c>
      <c r="E404" s="274" t="s">
        <v>38</v>
      </c>
      <c r="F404" s="274" t="s">
        <v>120</v>
      </c>
      <c r="G404" s="274" t="s">
        <v>121</v>
      </c>
      <c r="H404" s="274" t="s">
        <v>122</v>
      </c>
      <c r="I404" s="274" t="s">
        <v>4312</v>
      </c>
      <c r="J404" s="274" t="s">
        <v>6561</v>
      </c>
      <c r="K404" s="274" t="s">
        <v>3746</v>
      </c>
      <c r="L404" s="274" t="s">
        <v>4313</v>
      </c>
      <c r="M404" s="281">
        <v>6667</v>
      </c>
      <c r="N404" s="280"/>
      <c r="O404" s="280"/>
      <c r="P404" s="280"/>
      <c r="Q404" s="280">
        <v>6667</v>
      </c>
      <c r="R404" s="280"/>
      <c r="S404" s="280"/>
      <c r="T404" s="297"/>
    </row>
    <row r="405" spans="1:20" x14ac:dyDescent="0.25">
      <c r="A405" s="274" t="s">
        <v>78</v>
      </c>
      <c r="B405" s="274" t="s">
        <v>79</v>
      </c>
      <c r="C405" s="274" t="s">
        <v>3741</v>
      </c>
      <c r="D405" s="274" t="s">
        <v>3742</v>
      </c>
      <c r="E405" s="274" t="s">
        <v>38</v>
      </c>
      <c r="F405" s="274" t="s">
        <v>120</v>
      </c>
      <c r="G405" s="274" t="s">
        <v>121</v>
      </c>
      <c r="H405" s="274" t="s">
        <v>122</v>
      </c>
      <c r="I405" s="274" t="s">
        <v>4314</v>
      </c>
      <c r="J405" s="274" t="s">
        <v>6561</v>
      </c>
      <c r="K405" s="274" t="s">
        <v>3746</v>
      </c>
      <c r="L405" s="274" t="s">
        <v>4315</v>
      </c>
      <c r="M405" s="281">
        <v>6667</v>
      </c>
      <c r="N405" s="280"/>
      <c r="O405" s="280"/>
      <c r="P405" s="280"/>
      <c r="Q405" s="280"/>
      <c r="R405" s="280">
        <v>6667</v>
      </c>
      <c r="S405" s="280"/>
      <c r="T405" s="297"/>
    </row>
    <row r="406" spans="1:20" x14ac:dyDescent="0.25">
      <c r="A406" s="274" t="s">
        <v>78</v>
      </c>
      <c r="B406" s="274" t="s">
        <v>79</v>
      </c>
      <c r="C406" s="274" t="s">
        <v>3741</v>
      </c>
      <c r="D406" s="274" t="s">
        <v>3742</v>
      </c>
      <c r="E406" s="274" t="s">
        <v>38</v>
      </c>
      <c r="F406" s="274" t="s">
        <v>120</v>
      </c>
      <c r="G406" s="274" t="s">
        <v>121</v>
      </c>
      <c r="H406" s="274" t="s">
        <v>122</v>
      </c>
      <c r="I406" s="274" t="s">
        <v>6247</v>
      </c>
      <c r="J406" s="274" t="s">
        <v>6561</v>
      </c>
      <c r="K406" s="274" t="s">
        <v>3746</v>
      </c>
      <c r="L406" s="274" t="s">
        <v>6248</v>
      </c>
      <c r="M406" s="281">
        <v>6667</v>
      </c>
      <c r="N406" s="280"/>
      <c r="O406" s="280"/>
      <c r="P406" s="280"/>
      <c r="Q406" s="280"/>
      <c r="R406" s="280"/>
      <c r="S406" s="280">
        <v>6667</v>
      </c>
      <c r="T406" s="297"/>
    </row>
    <row r="407" spans="1:20" x14ac:dyDescent="0.25">
      <c r="A407" s="274" t="s">
        <v>78</v>
      </c>
      <c r="B407" s="274" t="s">
        <v>79</v>
      </c>
      <c r="C407" s="274" t="s">
        <v>3741</v>
      </c>
      <c r="D407" s="274" t="s">
        <v>3742</v>
      </c>
      <c r="E407" s="274" t="s">
        <v>38</v>
      </c>
      <c r="F407" s="274" t="s">
        <v>120</v>
      </c>
      <c r="G407" s="274" t="s">
        <v>266</v>
      </c>
      <c r="H407" s="274" t="s">
        <v>267</v>
      </c>
      <c r="I407" s="274" t="s">
        <v>6249</v>
      </c>
      <c r="J407" s="274" t="s">
        <v>6562</v>
      </c>
      <c r="K407" s="274" t="s">
        <v>3746</v>
      </c>
      <c r="L407" s="274" t="s">
        <v>6250</v>
      </c>
      <c r="M407" s="281">
        <v>23760</v>
      </c>
      <c r="N407" s="280"/>
      <c r="O407" s="280"/>
      <c r="P407" s="280"/>
      <c r="Q407" s="280"/>
      <c r="R407" s="280"/>
      <c r="S407" s="280">
        <v>23760</v>
      </c>
      <c r="T407" s="297"/>
    </row>
    <row r="408" spans="1:20" x14ac:dyDescent="0.25">
      <c r="A408" s="274" t="s">
        <v>78</v>
      </c>
      <c r="B408" s="274" t="s">
        <v>79</v>
      </c>
      <c r="C408" s="274" t="s">
        <v>3741</v>
      </c>
      <c r="D408" s="274" t="s">
        <v>3742</v>
      </c>
      <c r="E408" s="274" t="s">
        <v>40</v>
      </c>
      <c r="F408" s="274" t="s">
        <v>123</v>
      </c>
      <c r="G408" s="274" t="s">
        <v>124</v>
      </c>
      <c r="H408" s="274" t="s">
        <v>125</v>
      </c>
      <c r="I408" s="274" t="s">
        <v>4316</v>
      </c>
      <c r="J408" s="274" t="s">
        <v>6563</v>
      </c>
      <c r="K408" s="274" t="s">
        <v>3746</v>
      </c>
      <c r="L408" s="274" t="s">
        <v>4317</v>
      </c>
      <c r="M408" s="281">
        <v>33027.82</v>
      </c>
      <c r="N408" s="280"/>
      <c r="O408" s="280">
        <v>33027.82</v>
      </c>
      <c r="P408" s="280"/>
      <c r="Q408" s="280"/>
      <c r="R408" s="280"/>
      <c r="S408" s="280"/>
      <c r="T408" s="297"/>
    </row>
    <row r="409" spans="1:20" x14ac:dyDescent="0.25">
      <c r="A409" s="274" t="s">
        <v>78</v>
      </c>
      <c r="B409" s="274" t="s">
        <v>79</v>
      </c>
      <c r="C409" s="274" t="s">
        <v>3741</v>
      </c>
      <c r="D409" s="274" t="s">
        <v>3742</v>
      </c>
      <c r="E409" s="274" t="s">
        <v>40</v>
      </c>
      <c r="F409" s="274" t="s">
        <v>123</v>
      </c>
      <c r="G409" s="274" t="s">
        <v>126</v>
      </c>
      <c r="H409" s="274" t="s">
        <v>127</v>
      </c>
      <c r="I409" s="274" t="s">
        <v>6251</v>
      </c>
      <c r="J409" s="274" t="s">
        <v>6564</v>
      </c>
      <c r="K409" s="274" t="s">
        <v>3746</v>
      </c>
      <c r="L409" s="274" t="s">
        <v>6252</v>
      </c>
      <c r="M409" s="281">
        <v>610</v>
      </c>
      <c r="N409" s="280"/>
      <c r="O409" s="280"/>
      <c r="P409" s="280"/>
      <c r="Q409" s="280"/>
      <c r="R409" s="280"/>
      <c r="S409" s="280">
        <v>610</v>
      </c>
      <c r="T409" s="297"/>
    </row>
    <row r="410" spans="1:20" x14ac:dyDescent="0.25">
      <c r="A410" s="274" t="s">
        <v>78</v>
      </c>
      <c r="B410" s="274" t="s">
        <v>79</v>
      </c>
      <c r="C410" s="274" t="s">
        <v>3741</v>
      </c>
      <c r="D410" s="274" t="s">
        <v>3742</v>
      </c>
      <c r="E410" s="274" t="s">
        <v>40</v>
      </c>
      <c r="F410" s="274" t="s">
        <v>123</v>
      </c>
      <c r="G410" s="274" t="s">
        <v>128</v>
      </c>
      <c r="H410" s="274" t="s">
        <v>129</v>
      </c>
      <c r="I410" s="274" t="s">
        <v>4318</v>
      </c>
      <c r="J410" s="274" t="s">
        <v>6565</v>
      </c>
      <c r="K410" s="274" t="s">
        <v>6506</v>
      </c>
      <c r="L410" s="274" t="s">
        <v>4319</v>
      </c>
      <c r="M410" s="281">
        <v>1834</v>
      </c>
      <c r="N410" s="280">
        <v>1834</v>
      </c>
      <c r="O410" s="280"/>
      <c r="P410" s="280"/>
      <c r="Q410" s="280"/>
      <c r="R410" s="280"/>
      <c r="S410" s="280"/>
      <c r="T410" s="297"/>
    </row>
    <row r="411" spans="1:20" x14ac:dyDescent="0.25">
      <c r="A411" s="274" t="s">
        <v>78</v>
      </c>
      <c r="B411" s="274" t="s">
        <v>79</v>
      </c>
      <c r="C411" s="274" t="s">
        <v>3741</v>
      </c>
      <c r="D411" s="274" t="s">
        <v>3742</v>
      </c>
      <c r="E411" s="274" t="s">
        <v>40</v>
      </c>
      <c r="F411" s="274" t="s">
        <v>123</v>
      </c>
      <c r="G411" s="274" t="s">
        <v>93</v>
      </c>
      <c r="H411" s="274" t="s">
        <v>94</v>
      </c>
      <c r="I411" s="274" t="s">
        <v>4320</v>
      </c>
      <c r="J411" s="274" t="s">
        <v>6566</v>
      </c>
      <c r="K411" s="274" t="s">
        <v>6567</v>
      </c>
      <c r="L411" s="274" t="s">
        <v>4321</v>
      </c>
      <c r="M411" s="281">
        <v>-10098.91</v>
      </c>
      <c r="N411" s="280">
        <v>-10098.91</v>
      </c>
      <c r="O411" s="280"/>
      <c r="P411" s="280"/>
      <c r="Q411" s="280"/>
      <c r="R411" s="280"/>
      <c r="S411" s="280"/>
      <c r="T411" s="297"/>
    </row>
    <row r="412" spans="1:20" x14ac:dyDescent="0.25">
      <c r="A412" s="274" t="s">
        <v>78</v>
      </c>
      <c r="B412" s="274" t="s">
        <v>79</v>
      </c>
      <c r="C412" s="274" t="s">
        <v>3741</v>
      </c>
      <c r="D412" s="274" t="s">
        <v>3742</v>
      </c>
      <c r="E412" s="274" t="s">
        <v>40</v>
      </c>
      <c r="F412" s="274" t="s">
        <v>123</v>
      </c>
      <c r="G412" s="274" t="s">
        <v>93</v>
      </c>
      <c r="H412" s="274" t="s">
        <v>94</v>
      </c>
      <c r="I412" s="274" t="s">
        <v>4322</v>
      </c>
      <c r="J412" s="274" t="s">
        <v>6566</v>
      </c>
      <c r="K412" s="274" t="s">
        <v>6567</v>
      </c>
      <c r="L412" s="274" t="s">
        <v>4321</v>
      </c>
      <c r="M412" s="281">
        <v>8000</v>
      </c>
      <c r="N412" s="280">
        <v>8000</v>
      </c>
      <c r="O412" s="280"/>
      <c r="P412" s="280"/>
      <c r="Q412" s="280"/>
      <c r="R412" s="280"/>
      <c r="S412" s="280"/>
      <c r="T412" s="297"/>
    </row>
    <row r="413" spans="1:20" x14ac:dyDescent="0.25">
      <c r="A413" s="274" t="s">
        <v>78</v>
      </c>
      <c r="B413" s="274" t="s">
        <v>79</v>
      </c>
      <c r="C413" s="274" t="s">
        <v>3741</v>
      </c>
      <c r="D413" s="274" t="s">
        <v>3742</v>
      </c>
      <c r="E413" s="274" t="s">
        <v>40</v>
      </c>
      <c r="F413" s="274" t="s">
        <v>123</v>
      </c>
      <c r="G413" s="274" t="s">
        <v>93</v>
      </c>
      <c r="H413" s="274" t="s">
        <v>94</v>
      </c>
      <c r="I413" s="274" t="s">
        <v>4323</v>
      </c>
      <c r="J413" s="274" t="s">
        <v>6566</v>
      </c>
      <c r="K413" s="274" t="s">
        <v>6567</v>
      </c>
      <c r="L413" s="274" t="s">
        <v>4321</v>
      </c>
      <c r="M413" s="281">
        <v>2098.91</v>
      </c>
      <c r="N413" s="280">
        <v>2098.91</v>
      </c>
      <c r="O413" s="280"/>
      <c r="P413" s="280"/>
      <c r="Q413" s="280"/>
      <c r="R413" s="280"/>
      <c r="S413" s="280"/>
      <c r="T413" s="297"/>
    </row>
    <row r="414" spans="1:20" x14ac:dyDescent="0.25">
      <c r="A414" s="274" t="s">
        <v>78</v>
      </c>
      <c r="B414" s="274" t="s">
        <v>79</v>
      </c>
      <c r="C414" s="274" t="s">
        <v>3741</v>
      </c>
      <c r="D414" s="274" t="s">
        <v>3742</v>
      </c>
      <c r="E414" s="274" t="s">
        <v>40</v>
      </c>
      <c r="F414" s="274" t="s">
        <v>123</v>
      </c>
      <c r="G414" s="274" t="s">
        <v>93</v>
      </c>
      <c r="H414" s="274" t="s">
        <v>94</v>
      </c>
      <c r="I414" s="274" t="s">
        <v>4324</v>
      </c>
      <c r="J414" s="274" t="s">
        <v>6568</v>
      </c>
      <c r="K414" s="274" t="s">
        <v>3746</v>
      </c>
      <c r="L414" s="274" t="s">
        <v>4325</v>
      </c>
      <c r="M414" s="281">
        <v>7402.75</v>
      </c>
      <c r="N414" s="280">
        <v>7402.75</v>
      </c>
      <c r="O414" s="280"/>
      <c r="P414" s="280"/>
      <c r="Q414" s="280"/>
      <c r="R414" s="280"/>
      <c r="S414" s="280"/>
      <c r="T414" s="297"/>
    </row>
    <row r="415" spans="1:20" x14ac:dyDescent="0.25">
      <c r="A415" s="274" t="s">
        <v>78</v>
      </c>
      <c r="B415" s="274" t="s">
        <v>79</v>
      </c>
      <c r="C415" s="274" t="s">
        <v>3741</v>
      </c>
      <c r="D415" s="274" t="s">
        <v>3742</v>
      </c>
      <c r="E415" s="274" t="s">
        <v>40</v>
      </c>
      <c r="F415" s="274" t="s">
        <v>123</v>
      </c>
      <c r="G415" s="274" t="s">
        <v>93</v>
      </c>
      <c r="H415" s="274" t="s">
        <v>94</v>
      </c>
      <c r="I415" s="274" t="s">
        <v>4326</v>
      </c>
      <c r="J415" s="274" t="s">
        <v>6569</v>
      </c>
      <c r="K415" s="274" t="s">
        <v>6546</v>
      </c>
      <c r="L415" s="274" t="s">
        <v>4327</v>
      </c>
      <c r="M415" s="281">
        <v>4567.68</v>
      </c>
      <c r="N415" s="280">
        <v>4567.68</v>
      </c>
      <c r="O415" s="280"/>
      <c r="P415" s="280"/>
      <c r="Q415" s="280"/>
      <c r="R415" s="280"/>
      <c r="S415" s="280"/>
      <c r="T415" s="297"/>
    </row>
    <row r="416" spans="1:20" x14ac:dyDescent="0.25">
      <c r="A416" s="274" t="s">
        <v>78</v>
      </c>
      <c r="B416" s="274" t="s">
        <v>79</v>
      </c>
      <c r="C416" s="274" t="s">
        <v>3741</v>
      </c>
      <c r="D416" s="274" t="s">
        <v>3742</v>
      </c>
      <c r="E416" s="274" t="s">
        <v>40</v>
      </c>
      <c r="F416" s="274" t="s">
        <v>123</v>
      </c>
      <c r="G416" s="274" t="s">
        <v>93</v>
      </c>
      <c r="H416" s="274" t="s">
        <v>94</v>
      </c>
      <c r="I416" s="274" t="s">
        <v>4328</v>
      </c>
      <c r="J416" s="274" t="s">
        <v>6569</v>
      </c>
      <c r="K416" s="274" t="s">
        <v>6546</v>
      </c>
      <c r="L416" s="274" t="s">
        <v>4329</v>
      </c>
      <c r="M416" s="281">
        <v>4930</v>
      </c>
      <c r="N416" s="280">
        <v>4930</v>
      </c>
      <c r="O416" s="280"/>
      <c r="P416" s="280"/>
      <c r="Q416" s="280"/>
      <c r="R416" s="280"/>
      <c r="S416" s="280"/>
      <c r="T416" s="297"/>
    </row>
    <row r="417" spans="1:20" x14ac:dyDescent="0.25">
      <c r="A417" s="274" t="s">
        <v>78</v>
      </c>
      <c r="B417" s="274" t="s">
        <v>79</v>
      </c>
      <c r="C417" s="274" t="s">
        <v>3741</v>
      </c>
      <c r="D417" s="274" t="s">
        <v>3742</v>
      </c>
      <c r="E417" s="274" t="s">
        <v>40</v>
      </c>
      <c r="F417" s="274" t="s">
        <v>123</v>
      </c>
      <c r="G417" s="274" t="s">
        <v>93</v>
      </c>
      <c r="H417" s="274" t="s">
        <v>94</v>
      </c>
      <c r="I417" s="274" t="s">
        <v>4330</v>
      </c>
      <c r="J417" s="274" t="s">
        <v>6566</v>
      </c>
      <c r="K417" s="274" t="s">
        <v>6570</v>
      </c>
      <c r="L417" s="274" t="s">
        <v>4331</v>
      </c>
      <c r="M417" s="281">
        <v>18720</v>
      </c>
      <c r="N417" s="280">
        <v>18720</v>
      </c>
      <c r="O417" s="280"/>
      <c r="P417" s="280"/>
      <c r="Q417" s="280"/>
      <c r="R417" s="280"/>
      <c r="S417" s="280"/>
      <c r="T417" s="297"/>
    </row>
    <row r="418" spans="1:20" x14ac:dyDescent="0.25">
      <c r="A418" s="274" t="s">
        <v>78</v>
      </c>
      <c r="B418" s="274" t="s">
        <v>79</v>
      </c>
      <c r="C418" s="274" t="s">
        <v>3741</v>
      </c>
      <c r="D418" s="274" t="s">
        <v>3742</v>
      </c>
      <c r="E418" s="274" t="s">
        <v>40</v>
      </c>
      <c r="F418" s="274" t="s">
        <v>123</v>
      </c>
      <c r="G418" s="274" t="s">
        <v>93</v>
      </c>
      <c r="H418" s="274" t="s">
        <v>94</v>
      </c>
      <c r="I418" s="274" t="s">
        <v>4332</v>
      </c>
      <c r="J418" s="274" t="s">
        <v>6571</v>
      </c>
      <c r="K418" s="274" t="s">
        <v>6572</v>
      </c>
      <c r="L418" s="274" t="s">
        <v>4333</v>
      </c>
      <c r="M418" s="281">
        <v>1736</v>
      </c>
      <c r="N418" s="280">
        <v>1736</v>
      </c>
      <c r="O418" s="280"/>
      <c r="P418" s="280"/>
      <c r="Q418" s="280"/>
      <c r="R418" s="280"/>
      <c r="S418" s="280"/>
      <c r="T418" s="297"/>
    </row>
    <row r="419" spans="1:20" x14ac:dyDescent="0.25">
      <c r="A419" s="274" t="s">
        <v>78</v>
      </c>
      <c r="B419" s="274" t="s">
        <v>79</v>
      </c>
      <c r="C419" s="274" t="s">
        <v>3741</v>
      </c>
      <c r="D419" s="274" t="s">
        <v>3742</v>
      </c>
      <c r="E419" s="274" t="s">
        <v>40</v>
      </c>
      <c r="F419" s="274" t="s">
        <v>123</v>
      </c>
      <c r="G419" s="274" t="s">
        <v>93</v>
      </c>
      <c r="H419" s="274" t="s">
        <v>94</v>
      </c>
      <c r="I419" s="274" t="s">
        <v>4334</v>
      </c>
      <c r="J419" s="274" t="s">
        <v>6566</v>
      </c>
      <c r="K419" s="274" t="s">
        <v>6567</v>
      </c>
      <c r="L419" s="274" t="s">
        <v>4335</v>
      </c>
      <c r="M419" s="281">
        <v>8000</v>
      </c>
      <c r="N419" s="280">
        <v>8000</v>
      </c>
      <c r="O419" s="280"/>
      <c r="P419" s="280"/>
      <c r="Q419" s="280"/>
      <c r="R419" s="280"/>
      <c r="S419" s="280"/>
      <c r="T419" s="297"/>
    </row>
    <row r="420" spans="1:20" x14ac:dyDescent="0.25">
      <c r="A420" s="274" t="s">
        <v>78</v>
      </c>
      <c r="B420" s="274" t="s">
        <v>79</v>
      </c>
      <c r="C420" s="274" t="s">
        <v>3741</v>
      </c>
      <c r="D420" s="274" t="s">
        <v>3742</v>
      </c>
      <c r="E420" s="274" t="s">
        <v>40</v>
      </c>
      <c r="F420" s="274" t="s">
        <v>123</v>
      </c>
      <c r="G420" s="274" t="s">
        <v>93</v>
      </c>
      <c r="H420" s="274" t="s">
        <v>94</v>
      </c>
      <c r="I420" s="274" t="s">
        <v>4336</v>
      </c>
      <c r="J420" s="274" t="s">
        <v>6566</v>
      </c>
      <c r="K420" s="274" t="s">
        <v>6567</v>
      </c>
      <c r="L420" s="274" t="s">
        <v>4335</v>
      </c>
      <c r="M420" s="281">
        <v>2098.91</v>
      </c>
      <c r="N420" s="280">
        <v>2098.91</v>
      </c>
      <c r="O420" s="280"/>
      <c r="P420" s="280"/>
      <c r="Q420" s="280"/>
      <c r="R420" s="280"/>
      <c r="S420" s="280"/>
      <c r="T420" s="297"/>
    </row>
    <row r="421" spans="1:20" x14ac:dyDescent="0.25">
      <c r="A421" s="274" t="s">
        <v>78</v>
      </c>
      <c r="B421" s="274" t="s">
        <v>79</v>
      </c>
      <c r="C421" s="274" t="s">
        <v>3741</v>
      </c>
      <c r="D421" s="274" t="s">
        <v>3742</v>
      </c>
      <c r="E421" s="274" t="s">
        <v>40</v>
      </c>
      <c r="F421" s="274" t="s">
        <v>123</v>
      </c>
      <c r="G421" s="274" t="s">
        <v>93</v>
      </c>
      <c r="H421" s="274" t="s">
        <v>94</v>
      </c>
      <c r="I421" s="274" t="s">
        <v>4337</v>
      </c>
      <c r="J421" s="274" t="s">
        <v>6568</v>
      </c>
      <c r="K421" s="274" t="s">
        <v>3746</v>
      </c>
      <c r="L421" s="274" t="s">
        <v>4338</v>
      </c>
      <c r="M421" s="281">
        <v>7402.75</v>
      </c>
      <c r="N421" s="280"/>
      <c r="O421" s="280">
        <v>7402.75</v>
      </c>
      <c r="P421" s="280"/>
      <c r="Q421" s="280"/>
      <c r="R421" s="280"/>
      <c r="S421" s="280"/>
      <c r="T421" s="297"/>
    </row>
    <row r="422" spans="1:20" x14ac:dyDescent="0.25">
      <c r="A422" s="274" t="s">
        <v>78</v>
      </c>
      <c r="B422" s="274" t="s">
        <v>79</v>
      </c>
      <c r="C422" s="274" t="s">
        <v>3741</v>
      </c>
      <c r="D422" s="274" t="s">
        <v>3742</v>
      </c>
      <c r="E422" s="274" t="s">
        <v>40</v>
      </c>
      <c r="F422" s="274" t="s">
        <v>123</v>
      </c>
      <c r="G422" s="274" t="s">
        <v>93</v>
      </c>
      <c r="H422" s="274" t="s">
        <v>94</v>
      </c>
      <c r="I422" s="274" t="s">
        <v>4339</v>
      </c>
      <c r="J422" s="274" t="s">
        <v>6569</v>
      </c>
      <c r="K422" s="274" t="s">
        <v>6546</v>
      </c>
      <c r="L422" s="274" t="s">
        <v>4340</v>
      </c>
      <c r="M422" s="281">
        <v>4567.68</v>
      </c>
      <c r="N422" s="280"/>
      <c r="O422" s="280">
        <v>4567.68</v>
      </c>
      <c r="P422" s="280"/>
      <c r="Q422" s="280"/>
      <c r="R422" s="280"/>
      <c r="S422" s="280"/>
      <c r="T422" s="297"/>
    </row>
    <row r="423" spans="1:20" x14ac:dyDescent="0.25">
      <c r="A423" s="274" t="s">
        <v>78</v>
      </c>
      <c r="B423" s="274" t="s">
        <v>79</v>
      </c>
      <c r="C423" s="274" t="s">
        <v>3741</v>
      </c>
      <c r="D423" s="274" t="s">
        <v>3742</v>
      </c>
      <c r="E423" s="274" t="s">
        <v>40</v>
      </c>
      <c r="F423" s="274" t="s">
        <v>123</v>
      </c>
      <c r="G423" s="274" t="s">
        <v>93</v>
      </c>
      <c r="H423" s="274" t="s">
        <v>94</v>
      </c>
      <c r="I423" s="274" t="s">
        <v>4341</v>
      </c>
      <c r="J423" s="274" t="s">
        <v>6569</v>
      </c>
      <c r="K423" s="274" t="s">
        <v>6546</v>
      </c>
      <c r="L423" s="274" t="s">
        <v>4342</v>
      </c>
      <c r="M423" s="281">
        <v>4930</v>
      </c>
      <c r="N423" s="280"/>
      <c r="O423" s="280">
        <v>4930</v>
      </c>
      <c r="P423" s="280"/>
      <c r="Q423" s="280"/>
      <c r="R423" s="280"/>
      <c r="S423" s="280"/>
      <c r="T423" s="297"/>
    </row>
    <row r="424" spans="1:20" x14ac:dyDescent="0.25">
      <c r="A424" s="274" t="s">
        <v>78</v>
      </c>
      <c r="B424" s="274" t="s">
        <v>79</v>
      </c>
      <c r="C424" s="274" t="s">
        <v>3741</v>
      </c>
      <c r="D424" s="274" t="s">
        <v>3742</v>
      </c>
      <c r="E424" s="274" t="s">
        <v>40</v>
      </c>
      <c r="F424" s="274" t="s">
        <v>123</v>
      </c>
      <c r="G424" s="274" t="s">
        <v>93</v>
      </c>
      <c r="H424" s="274" t="s">
        <v>94</v>
      </c>
      <c r="I424" s="274" t="s">
        <v>4343</v>
      </c>
      <c r="J424" s="274" t="s">
        <v>6566</v>
      </c>
      <c r="K424" s="274" t="s">
        <v>6570</v>
      </c>
      <c r="L424" s="274" t="s">
        <v>4344</v>
      </c>
      <c r="M424" s="281">
        <v>18720</v>
      </c>
      <c r="N424" s="280"/>
      <c r="O424" s="280">
        <v>18720</v>
      </c>
      <c r="P424" s="280"/>
      <c r="Q424" s="280"/>
      <c r="R424" s="280"/>
      <c r="S424" s="280"/>
      <c r="T424" s="297"/>
    </row>
    <row r="425" spans="1:20" x14ac:dyDescent="0.25">
      <c r="A425" s="274" t="s">
        <v>78</v>
      </c>
      <c r="B425" s="274" t="s">
        <v>79</v>
      </c>
      <c r="C425" s="274" t="s">
        <v>3741</v>
      </c>
      <c r="D425" s="274" t="s">
        <v>3742</v>
      </c>
      <c r="E425" s="274" t="s">
        <v>40</v>
      </c>
      <c r="F425" s="274" t="s">
        <v>123</v>
      </c>
      <c r="G425" s="274" t="s">
        <v>93</v>
      </c>
      <c r="H425" s="274" t="s">
        <v>94</v>
      </c>
      <c r="I425" s="274" t="s">
        <v>4345</v>
      </c>
      <c r="J425" s="274" t="s">
        <v>6566</v>
      </c>
      <c r="K425" s="274" t="s">
        <v>6567</v>
      </c>
      <c r="L425" s="274" t="s">
        <v>4346</v>
      </c>
      <c r="M425" s="281">
        <v>8000</v>
      </c>
      <c r="N425" s="280"/>
      <c r="O425" s="280">
        <v>8000</v>
      </c>
      <c r="P425" s="280"/>
      <c r="Q425" s="280"/>
      <c r="R425" s="280"/>
      <c r="S425" s="280"/>
      <c r="T425" s="297"/>
    </row>
    <row r="426" spans="1:20" x14ac:dyDescent="0.25">
      <c r="A426" s="274" t="s">
        <v>78</v>
      </c>
      <c r="B426" s="274" t="s">
        <v>79</v>
      </c>
      <c r="C426" s="274" t="s">
        <v>3741</v>
      </c>
      <c r="D426" s="274" t="s">
        <v>3742</v>
      </c>
      <c r="E426" s="274" t="s">
        <v>40</v>
      </c>
      <c r="F426" s="274" t="s">
        <v>123</v>
      </c>
      <c r="G426" s="274" t="s">
        <v>93</v>
      </c>
      <c r="H426" s="274" t="s">
        <v>94</v>
      </c>
      <c r="I426" s="274" t="s">
        <v>4347</v>
      </c>
      <c r="J426" s="274" t="s">
        <v>6566</v>
      </c>
      <c r="K426" s="274" t="s">
        <v>6567</v>
      </c>
      <c r="L426" s="274" t="s">
        <v>4346</v>
      </c>
      <c r="M426" s="281">
        <v>2098.91</v>
      </c>
      <c r="N426" s="280"/>
      <c r="O426" s="280">
        <v>2098.91</v>
      </c>
      <c r="P426" s="280"/>
      <c r="Q426" s="280"/>
      <c r="R426" s="280"/>
      <c r="S426" s="280"/>
      <c r="T426" s="297"/>
    </row>
    <row r="427" spans="1:20" x14ac:dyDescent="0.25">
      <c r="A427" s="274" t="s">
        <v>78</v>
      </c>
      <c r="B427" s="274" t="s">
        <v>79</v>
      </c>
      <c r="C427" s="274" t="s">
        <v>3741</v>
      </c>
      <c r="D427" s="274" t="s">
        <v>3742</v>
      </c>
      <c r="E427" s="274" t="s">
        <v>40</v>
      </c>
      <c r="F427" s="274" t="s">
        <v>123</v>
      </c>
      <c r="G427" s="274" t="s">
        <v>93</v>
      </c>
      <c r="H427" s="274" t="s">
        <v>94</v>
      </c>
      <c r="I427" s="274" t="s">
        <v>4348</v>
      </c>
      <c r="J427" s="274" t="s">
        <v>6571</v>
      </c>
      <c r="K427" s="274" t="s">
        <v>6572</v>
      </c>
      <c r="L427" s="274" t="s">
        <v>4349</v>
      </c>
      <c r="M427" s="281">
        <v>1736</v>
      </c>
      <c r="N427" s="280"/>
      <c r="O427" s="280">
        <v>1736</v>
      </c>
      <c r="P427" s="280"/>
      <c r="Q427" s="280"/>
      <c r="R427" s="280"/>
      <c r="S427" s="280"/>
      <c r="T427" s="297"/>
    </row>
    <row r="428" spans="1:20" x14ac:dyDescent="0.25">
      <c r="A428" s="274" t="s">
        <v>78</v>
      </c>
      <c r="B428" s="274" t="s">
        <v>79</v>
      </c>
      <c r="C428" s="274" t="s">
        <v>3741</v>
      </c>
      <c r="D428" s="274" t="s">
        <v>3742</v>
      </c>
      <c r="E428" s="274" t="s">
        <v>40</v>
      </c>
      <c r="F428" s="274" t="s">
        <v>123</v>
      </c>
      <c r="G428" s="274" t="s">
        <v>93</v>
      </c>
      <c r="H428" s="274" t="s">
        <v>94</v>
      </c>
      <c r="I428" s="274" t="s">
        <v>4350</v>
      </c>
      <c r="J428" s="274" t="s">
        <v>6568</v>
      </c>
      <c r="K428" s="274" t="s">
        <v>3746</v>
      </c>
      <c r="L428" s="274" t="s">
        <v>4351</v>
      </c>
      <c r="M428" s="281">
        <v>7402.75</v>
      </c>
      <c r="N428" s="280"/>
      <c r="O428" s="280"/>
      <c r="P428" s="280">
        <v>7402.75</v>
      </c>
      <c r="Q428" s="280"/>
      <c r="R428" s="280"/>
      <c r="S428" s="280"/>
      <c r="T428" s="297"/>
    </row>
    <row r="429" spans="1:20" x14ac:dyDescent="0.25">
      <c r="A429" s="274" t="s">
        <v>78</v>
      </c>
      <c r="B429" s="274" t="s">
        <v>79</v>
      </c>
      <c r="C429" s="274" t="s">
        <v>3741</v>
      </c>
      <c r="D429" s="274" t="s">
        <v>3742</v>
      </c>
      <c r="E429" s="274" t="s">
        <v>40</v>
      </c>
      <c r="F429" s="274" t="s">
        <v>123</v>
      </c>
      <c r="G429" s="274" t="s">
        <v>93</v>
      </c>
      <c r="H429" s="274" t="s">
        <v>94</v>
      </c>
      <c r="I429" s="274" t="s">
        <v>4352</v>
      </c>
      <c r="J429" s="274" t="s">
        <v>6569</v>
      </c>
      <c r="K429" s="274" t="s">
        <v>6546</v>
      </c>
      <c r="L429" s="274" t="s">
        <v>4353</v>
      </c>
      <c r="M429" s="281">
        <v>4567.68</v>
      </c>
      <c r="N429" s="280"/>
      <c r="O429" s="280"/>
      <c r="P429" s="280">
        <v>4567.68</v>
      </c>
      <c r="Q429" s="280"/>
      <c r="R429" s="280"/>
      <c r="S429" s="280"/>
      <c r="T429" s="297"/>
    </row>
    <row r="430" spans="1:20" x14ac:dyDescent="0.25">
      <c r="A430" s="274" t="s">
        <v>78</v>
      </c>
      <c r="B430" s="274" t="s">
        <v>79</v>
      </c>
      <c r="C430" s="274" t="s">
        <v>3741</v>
      </c>
      <c r="D430" s="274" t="s">
        <v>3742</v>
      </c>
      <c r="E430" s="274" t="s">
        <v>40</v>
      </c>
      <c r="F430" s="274" t="s">
        <v>123</v>
      </c>
      <c r="G430" s="274" t="s">
        <v>93</v>
      </c>
      <c r="H430" s="274" t="s">
        <v>94</v>
      </c>
      <c r="I430" s="274" t="s">
        <v>4354</v>
      </c>
      <c r="J430" s="274" t="s">
        <v>6569</v>
      </c>
      <c r="K430" s="274" t="s">
        <v>6546</v>
      </c>
      <c r="L430" s="274" t="s">
        <v>4355</v>
      </c>
      <c r="M430" s="281">
        <v>4930</v>
      </c>
      <c r="N430" s="280"/>
      <c r="O430" s="280"/>
      <c r="P430" s="280">
        <v>4930</v>
      </c>
      <c r="Q430" s="280"/>
      <c r="R430" s="280"/>
      <c r="S430" s="280"/>
      <c r="T430" s="297"/>
    </row>
    <row r="431" spans="1:20" x14ac:dyDescent="0.25">
      <c r="A431" s="274" t="s">
        <v>78</v>
      </c>
      <c r="B431" s="274" t="s">
        <v>79</v>
      </c>
      <c r="C431" s="274" t="s">
        <v>3741</v>
      </c>
      <c r="D431" s="274" t="s">
        <v>3742</v>
      </c>
      <c r="E431" s="274" t="s">
        <v>40</v>
      </c>
      <c r="F431" s="274" t="s">
        <v>123</v>
      </c>
      <c r="G431" s="274" t="s">
        <v>93</v>
      </c>
      <c r="H431" s="274" t="s">
        <v>94</v>
      </c>
      <c r="I431" s="274" t="s">
        <v>4356</v>
      </c>
      <c r="J431" s="274" t="s">
        <v>6566</v>
      </c>
      <c r="K431" s="274" t="s">
        <v>6570</v>
      </c>
      <c r="L431" s="274" t="s">
        <v>4357</v>
      </c>
      <c r="M431" s="281">
        <v>18720</v>
      </c>
      <c r="N431" s="280"/>
      <c r="O431" s="280"/>
      <c r="P431" s="280">
        <v>18720</v>
      </c>
      <c r="Q431" s="280"/>
      <c r="R431" s="280"/>
      <c r="S431" s="280"/>
      <c r="T431" s="297"/>
    </row>
    <row r="432" spans="1:20" x14ac:dyDescent="0.25">
      <c r="A432" s="274" t="s">
        <v>78</v>
      </c>
      <c r="B432" s="274" t="s">
        <v>79</v>
      </c>
      <c r="C432" s="274" t="s">
        <v>3741</v>
      </c>
      <c r="D432" s="274" t="s">
        <v>3742</v>
      </c>
      <c r="E432" s="274" t="s">
        <v>40</v>
      </c>
      <c r="F432" s="274" t="s">
        <v>123</v>
      </c>
      <c r="G432" s="274" t="s">
        <v>93</v>
      </c>
      <c r="H432" s="274" t="s">
        <v>94</v>
      </c>
      <c r="I432" s="274" t="s">
        <v>4358</v>
      </c>
      <c r="J432" s="274" t="s">
        <v>6566</v>
      </c>
      <c r="K432" s="274" t="s">
        <v>6567</v>
      </c>
      <c r="L432" s="274" t="s">
        <v>4359</v>
      </c>
      <c r="M432" s="281">
        <v>2098.91</v>
      </c>
      <c r="N432" s="280"/>
      <c r="O432" s="280"/>
      <c r="P432" s="280">
        <v>2098.91</v>
      </c>
      <c r="Q432" s="280"/>
      <c r="R432" s="280"/>
      <c r="S432" s="280"/>
      <c r="T432" s="297"/>
    </row>
    <row r="433" spans="1:20" x14ac:dyDescent="0.25">
      <c r="A433" s="274" t="s">
        <v>78</v>
      </c>
      <c r="B433" s="274" t="s">
        <v>79</v>
      </c>
      <c r="C433" s="274" t="s">
        <v>3741</v>
      </c>
      <c r="D433" s="274" t="s">
        <v>3742</v>
      </c>
      <c r="E433" s="274" t="s">
        <v>40</v>
      </c>
      <c r="F433" s="274" t="s">
        <v>123</v>
      </c>
      <c r="G433" s="274" t="s">
        <v>93</v>
      </c>
      <c r="H433" s="274" t="s">
        <v>94</v>
      </c>
      <c r="I433" s="274" t="s">
        <v>4360</v>
      </c>
      <c r="J433" s="274" t="s">
        <v>6569</v>
      </c>
      <c r="K433" s="274" t="s">
        <v>6546</v>
      </c>
      <c r="L433" s="274" t="s">
        <v>4361</v>
      </c>
      <c r="M433" s="281">
        <v>4930</v>
      </c>
      <c r="N433" s="280"/>
      <c r="O433" s="280"/>
      <c r="P433" s="280">
        <v>4930</v>
      </c>
      <c r="Q433" s="280"/>
      <c r="R433" s="280"/>
      <c r="S433" s="280"/>
      <c r="T433" s="297"/>
    </row>
    <row r="434" spans="1:20" x14ac:dyDescent="0.25">
      <c r="A434" s="274" t="s">
        <v>78</v>
      </c>
      <c r="B434" s="274" t="s">
        <v>79</v>
      </c>
      <c r="C434" s="274" t="s">
        <v>3741</v>
      </c>
      <c r="D434" s="274" t="s">
        <v>3742</v>
      </c>
      <c r="E434" s="274" t="s">
        <v>40</v>
      </c>
      <c r="F434" s="274" t="s">
        <v>123</v>
      </c>
      <c r="G434" s="274" t="s">
        <v>93</v>
      </c>
      <c r="H434" s="274" t="s">
        <v>94</v>
      </c>
      <c r="I434" s="274" t="s">
        <v>4362</v>
      </c>
      <c r="J434" s="274" t="s">
        <v>6566</v>
      </c>
      <c r="K434" s="274" t="s">
        <v>6567</v>
      </c>
      <c r="L434" s="274" t="s">
        <v>4359</v>
      </c>
      <c r="M434" s="281">
        <v>8000</v>
      </c>
      <c r="N434" s="280"/>
      <c r="O434" s="280"/>
      <c r="P434" s="280"/>
      <c r="Q434" s="280">
        <v>8000</v>
      </c>
      <c r="R434" s="280"/>
      <c r="S434" s="280"/>
      <c r="T434" s="297"/>
    </row>
    <row r="435" spans="1:20" x14ac:dyDescent="0.25">
      <c r="A435" s="274" t="s">
        <v>78</v>
      </c>
      <c r="B435" s="274" t="s">
        <v>79</v>
      </c>
      <c r="C435" s="274" t="s">
        <v>3741</v>
      </c>
      <c r="D435" s="274" t="s">
        <v>3742</v>
      </c>
      <c r="E435" s="274" t="s">
        <v>40</v>
      </c>
      <c r="F435" s="274" t="s">
        <v>123</v>
      </c>
      <c r="G435" s="274" t="s">
        <v>93</v>
      </c>
      <c r="H435" s="274" t="s">
        <v>94</v>
      </c>
      <c r="I435" s="274" t="s">
        <v>4363</v>
      </c>
      <c r="J435" s="274" t="s">
        <v>6566</v>
      </c>
      <c r="K435" s="274" t="s">
        <v>6567</v>
      </c>
      <c r="L435" s="274" t="s">
        <v>4364</v>
      </c>
      <c r="M435" s="281">
        <v>2098.91</v>
      </c>
      <c r="N435" s="280"/>
      <c r="O435" s="280"/>
      <c r="P435" s="280"/>
      <c r="Q435" s="280">
        <v>2098.91</v>
      </c>
      <c r="R435" s="280"/>
      <c r="S435" s="280"/>
      <c r="T435" s="297"/>
    </row>
    <row r="436" spans="1:20" x14ac:dyDescent="0.25">
      <c r="A436" s="274" t="s">
        <v>78</v>
      </c>
      <c r="B436" s="274" t="s">
        <v>79</v>
      </c>
      <c r="C436" s="274" t="s">
        <v>3741</v>
      </c>
      <c r="D436" s="274" t="s">
        <v>3742</v>
      </c>
      <c r="E436" s="274" t="s">
        <v>40</v>
      </c>
      <c r="F436" s="274" t="s">
        <v>123</v>
      </c>
      <c r="G436" s="274" t="s">
        <v>93</v>
      </c>
      <c r="H436" s="274" t="s">
        <v>94</v>
      </c>
      <c r="I436" s="274" t="s">
        <v>4365</v>
      </c>
      <c r="J436" s="274" t="s">
        <v>6566</v>
      </c>
      <c r="K436" s="274" t="s">
        <v>6567</v>
      </c>
      <c r="L436" s="274" t="s">
        <v>4364</v>
      </c>
      <c r="M436" s="281">
        <v>8000</v>
      </c>
      <c r="N436" s="280"/>
      <c r="O436" s="280"/>
      <c r="P436" s="280"/>
      <c r="Q436" s="280">
        <v>8000</v>
      </c>
      <c r="R436" s="280"/>
      <c r="S436" s="280"/>
      <c r="T436" s="297"/>
    </row>
    <row r="437" spans="1:20" x14ac:dyDescent="0.25">
      <c r="A437" s="274" t="s">
        <v>78</v>
      </c>
      <c r="B437" s="274" t="s">
        <v>79</v>
      </c>
      <c r="C437" s="274" t="s">
        <v>3741</v>
      </c>
      <c r="D437" s="274" t="s">
        <v>3742</v>
      </c>
      <c r="E437" s="274" t="s">
        <v>40</v>
      </c>
      <c r="F437" s="274" t="s">
        <v>123</v>
      </c>
      <c r="G437" s="274" t="s">
        <v>93</v>
      </c>
      <c r="H437" s="274" t="s">
        <v>94</v>
      </c>
      <c r="I437" s="274" t="s">
        <v>4366</v>
      </c>
      <c r="J437" s="274" t="s">
        <v>6566</v>
      </c>
      <c r="K437" s="274" t="s">
        <v>6570</v>
      </c>
      <c r="L437" s="274" t="s">
        <v>4367</v>
      </c>
      <c r="M437" s="281">
        <v>18720</v>
      </c>
      <c r="N437" s="280"/>
      <c r="O437" s="280"/>
      <c r="P437" s="280"/>
      <c r="Q437" s="280">
        <v>18720</v>
      </c>
      <c r="R437" s="280"/>
      <c r="S437" s="280"/>
      <c r="T437" s="297"/>
    </row>
    <row r="438" spans="1:20" x14ac:dyDescent="0.25">
      <c r="A438" s="274" t="s">
        <v>78</v>
      </c>
      <c r="B438" s="274" t="s">
        <v>79</v>
      </c>
      <c r="C438" s="274" t="s">
        <v>3741</v>
      </c>
      <c r="D438" s="274" t="s">
        <v>3742</v>
      </c>
      <c r="E438" s="274" t="s">
        <v>40</v>
      </c>
      <c r="F438" s="274" t="s">
        <v>123</v>
      </c>
      <c r="G438" s="274" t="s">
        <v>93</v>
      </c>
      <c r="H438" s="274" t="s">
        <v>94</v>
      </c>
      <c r="I438" s="274" t="s">
        <v>4368</v>
      </c>
      <c r="J438" s="274" t="s">
        <v>6568</v>
      </c>
      <c r="K438" s="274" t="s">
        <v>3746</v>
      </c>
      <c r="L438" s="274" t="s">
        <v>4369</v>
      </c>
      <c r="M438" s="281">
        <v>7402.75</v>
      </c>
      <c r="N438" s="280"/>
      <c r="O438" s="280"/>
      <c r="P438" s="280"/>
      <c r="Q438" s="280">
        <v>7402.75</v>
      </c>
      <c r="R438" s="280"/>
      <c r="S438" s="280"/>
      <c r="T438" s="297"/>
    </row>
    <row r="439" spans="1:20" x14ac:dyDescent="0.25">
      <c r="A439" s="274" t="s">
        <v>78</v>
      </c>
      <c r="B439" s="274" t="s">
        <v>79</v>
      </c>
      <c r="C439" s="274" t="s">
        <v>3741</v>
      </c>
      <c r="D439" s="274" t="s">
        <v>3742</v>
      </c>
      <c r="E439" s="274" t="s">
        <v>40</v>
      </c>
      <c r="F439" s="274" t="s">
        <v>123</v>
      </c>
      <c r="G439" s="274" t="s">
        <v>93</v>
      </c>
      <c r="H439" s="274" t="s">
        <v>94</v>
      </c>
      <c r="I439" s="274" t="s">
        <v>4370</v>
      </c>
      <c r="J439" s="274" t="s">
        <v>6569</v>
      </c>
      <c r="K439" s="274" t="s">
        <v>6546</v>
      </c>
      <c r="L439" s="274" t="s">
        <v>4371</v>
      </c>
      <c r="M439" s="281">
        <v>4567.68</v>
      </c>
      <c r="N439" s="280"/>
      <c r="O439" s="280"/>
      <c r="P439" s="280"/>
      <c r="Q439" s="280">
        <v>4567.68</v>
      </c>
      <c r="R439" s="280"/>
      <c r="S439" s="280"/>
      <c r="T439" s="297"/>
    </row>
    <row r="440" spans="1:20" x14ac:dyDescent="0.25">
      <c r="A440" s="274" t="s">
        <v>78</v>
      </c>
      <c r="B440" s="274" t="s">
        <v>79</v>
      </c>
      <c r="C440" s="274" t="s">
        <v>3741</v>
      </c>
      <c r="D440" s="274" t="s">
        <v>3742</v>
      </c>
      <c r="E440" s="274" t="s">
        <v>40</v>
      </c>
      <c r="F440" s="274" t="s">
        <v>123</v>
      </c>
      <c r="G440" s="274" t="s">
        <v>93</v>
      </c>
      <c r="H440" s="274" t="s">
        <v>94</v>
      </c>
      <c r="I440" s="274" t="s">
        <v>4372</v>
      </c>
      <c r="J440" s="274" t="s">
        <v>6569</v>
      </c>
      <c r="K440" s="274" t="s">
        <v>6546</v>
      </c>
      <c r="L440" s="274" t="s">
        <v>4373</v>
      </c>
      <c r="M440" s="281">
        <v>4930</v>
      </c>
      <c r="N440" s="280"/>
      <c r="O440" s="280"/>
      <c r="P440" s="280"/>
      <c r="Q440" s="280">
        <v>4930</v>
      </c>
      <c r="R440" s="280"/>
      <c r="S440" s="280"/>
      <c r="T440" s="297"/>
    </row>
    <row r="441" spans="1:20" x14ac:dyDescent="0.25">
      <c r="A441" s="274" t="s">
        <v>78</v>
      </c>
      <c r="B441" s="274" t="s">
        <v>79</v>
      </c>
      <c r="C441" s="274" t="s">
        <v>3741</v>
      </c>
      <c r="D441" s="274" t="s">
        <v>3742</v>
      </c>
      <c r="E441" s="274" t="s">
        <v>40</v>
      </c>
      <c r="F441" s="274" t="s">
        <v>123</v>
      </c>
      <c r="G441" s="274" t="s">
        <v>93</v>
      </c>
      <c r="H441" s="274" t="s">
        <v>94</v>
      </c>
      <c r="I441" s="274" t="s">
        <v>4374</v>
      </c>
      <c r="J441" s="274" t="s">
        <v>6569</v>
      </c>
      <c r="K441" s="274" t="s">
        <v>6546</v>
      </c>
      <c r="L441" s="274" t="s">
        <v>4375</v>
      </c>
      <c r="M441" s="281">
        <v>4567.68</v>
      </c>
      <c r="N441" s="280"/>
      <c r="O441" s="280"/>
      <c r="P441" s="280"/>
      <c r="Q441" s="280"/>
      <c r="R441" s="280">
        <v>4567.68</v>
      </c>
      <c r="S441" s="280"/>
      <c r="T441" s="297"/>
    </row>
    <row r="442" spans="1:20" x14ac:dyDescent="0.25">
      <c r="A442" s="274" t="s">
        <v>78</v>
      </c>
      <c r="B442" s="274" t="s">
        <v>79</v>
      </c>
      <c r="C442" s="274" t="s">
        <v>3741</v>
      </c>
      <c r="D442" s="274" t="s">
        <v>3742</v>
      </c>
      <c r="E442" s="274" t="s">
        <v>40</v>
      </c>
      <c r="F442" s="274" t="s">
        <v>123</v>
      </c>
      <c r="G442" s="274" t="s">
        <v>93</v>
      </c>
      <c r="H442" s="274" t="s">
        <v>94</v>
      </c>
      <c r="I442" s="274" t="s">
        <v>4376</v>
      </c>
      <c r="J442" s="274" t="s">
        <v>6569</v>
      </c>
      <c r="K442" s="274" t="s">
        <v>6546</v>
      </c>
      <c r="L442" s="274" t="s">
        <v>4377</v>
      </c>
      <c r="M442" s="281">
        <v>4930</v>
      </c>
      <c r="N442" s="280"/>
      <c r="O442" s="280"/>
      <c r="P442" s="280"/>
      <c r="Q442" s="280"/>
      <c r="R442" s="280">
        <v>4930</v>
      </c>
      <c r="S442" s="280"/>
      <c r="T442" s="297"/>
    </row>
    <row r="443" spans="1:20" x14ac:dyDescent="0.25">
      <c r="A443" s="274" t="s">
        <v>78</v>
      </c>
      <c r="B443" s="274" t="s">
        <v>79</v>
      </c>
      <c r="C443" s="274" t="s">
        <v>3741</v>
      </c>
      <c r="D443" s="274" t="s">
        <v>3742</v>
      </c>
      <c r="E443" s="274" t="s">
        <v>40</v>
      </c>
      <c r="F443" s="274" t="s">
        <v>123</v>
      </c>
      <c r="G443" s="274" t="s">
        <v>93</v>
      </c>
      <c r="H443" s="274" t="s">
        <v>94</v>
      </c>
      <c r="I443" s="274" t="s">
        <v>4378</v>
      </c>
      <c r="J443" s="274" t="s">
        <v>6568</v>
      </c>
      <c r="K443" s="274" t="s">
        <v>3746</v>
      </c>
      <c r="L443" s="274" t="s">
        <v>4379</v>
      </c>
      <c r="M443" s="281">
        <v>7402.75</v>
      </c>
      <c r="N443" s="280"/>
      <c r="O443" s="280"/>
      <c r="P443" s="280"/>
      <c r="Q443" s="280"/>
      <c r="R443" s="280">
        <v>7402.75</v>
      </c>
      <c r="S443" s="280"/>
      <c r="T443" s="297"/>
    </row>
    <row r="444" spans="1:20" x14ac:dyDescent="0.25">
      <c r="A444" s="274" t="s">
        <v>78</v>
      </c>
      <c r="B444" s="274" t="s">
        <v>79</v>
      </c>
      <c r="C444" s="274" t="s">
        <v>3741</v>
      </c>
      <c r="D444" s="274" t="s">
        <v>3742</v>
      </c>
      <c r="E444" s="274" t="s">
        <v>40</v>
      </c>
      <c r="F444" s="274" t="s">
        <v>123</v>
      </c>
      <c r="G444" s="274" t="s">
        <v>93</v>
      </c>
      <c r="H444" s="274" t="s">
        <v>94</v>
      </c>
      <c r="I444" s="274" t="s">
        <v>4380</v>
      </c>
      <c r="J444" s="274" t="s">
        <v>6566</v>
      </c>
      <c r="K444" s="274" t="s">
        <v>6567</v>
      </c>
      <c r="L444" s="274" t="s">
        <v>4381</v>
      </c>
      <c r="M444" s="281">
        <v>8000</v>
      </c>
      <c r="N444" s="280"/>
      <c r="O444" s="280"/>
      <c r="P444" s="280"/>
      <c r="Q444" s="280"/>
      <c r="R444" s="280">
        <v>8000</v>
      </c>
      <c r="S444" s="280"/>
      <c r="T444" s="297"/>
    </row>
    <row r="445" spans="1:20" x14ac:dyDescent="0.25">
      <c r="A445" s="274" t="s">
        <v>78</v>
      </c>
      <c r="B445" s="274" t="s">
        <v>79</v>
      </c>
      <c r="C445" s="274" t="s">
        <v>3741</v>
      </c>
      <c r="D445" s="274" t="s">
        <v>3742</v>
      </c>
      <c r="E445" s="274" t="s">
        <v>40</v>
      </c>
      <c r="F445" s="274" t="s">
        <v>123</v>
      </c>
      <c r="G445" s="274" t="s">
        <v>93</v>
      </c>
      <c r="H445" s="274" t="s">
        <v>94</v>
      </c>
      <c r="I445" s="274" t="s">
        <v>4382</v>
      </c>
      <c r="J445" s="274" t="s">
        <v>6566</v>
      </c>
      <c r="K445" s="274" t="s">
        <v>6567</v>
      </c>
      <c r="L445" s="274" t="s">
        <v>4381</v>
      </c>
      <c r="M445" s="281">
        <v>2098.91</v>
      </c>
      <c r="N445" s="280"/>
      <c r="O445" s="280"/>
      <c r="P445" s="280"/>
      <c r="Q445" s="280"/>
      <c r="R445" s="280">
        <v>2098.91</v>
      </c>
      <c r="S445" s="280"/>
      <c r="T445" s="297"/>
    </row>
    <row r="446" spans="1:20" x14ac:dyDescent="0.25">
      <c r="A446" s="274" t="s">
        <v>78</v>
      </c>
      <c r="B446" s="274" t="s">
        <v>79</v>
      </c>
      <c r="C446" s="274" t="s">
        <v>3741</v>
      </c>
      <c r="D446" s="274" t="s">
        <v>3742</v>
      </c>
      <c r="E446" s="274" t="s">
        <v>40</v>
      </c>
      <c r="F446" s="274" t="s">
        <v>123</v>
      </c>
      <c r="G446" s="274" t="s">
        <v>93</v>
      </c>
      <c r="H446" s="274" t="s">
        <v>94</v>
      </c>
      <c r="I446" s="274" t="s">
        <v>4383</v>
      </c>
      <c r="J446" s="274" t="s">
        <v>6566</v>
      </c>
      <c r="K446" s="274" t="s">
        <v>6570</v>
      </c>
      <c r="L446" s="274" t="s">
        <v>4384</v>
      </c>
      <c r="M446" s="281">
        <v>18720</v>
      </c>
      <c r="N446" s="280"/>
      <c r="O446" s="280"/>
      <c r="P446" s="280"/>
      <c r="Q446" s="280"/>
      <c r="R446" s="280">
        <v>18720</v>
      </c>
      <c r="S446" s="280"/>
      <c r="T446" s="297"/>
    </row>
    <row r="447" spans="1:20" x14ac:dyDescent="0.25">
      <c r="A447" s="274" t="s">
        <v>78</v>
      </c>
      <c r="B447" s="274" t="s">
        <v>79</v>
      </c>
      <c r="C447" s="274" t="s">
        <v>3741</v>
      </c>
      <c r="D447" s="274" t="s">
        <v>3742</v>
      </c>
      <c r="E447" s="274" t="s">
        <v>40</v>
      </c>
      <c r="F447" s="274" t="s">
        <v>123</v>
      </c>
      <c r="G447" s="274" t="s">
        <v>93</v>
      </c>
      <c r="H447" s="274" t="s">
        <v>94</v>
      </c>
      <c r="I447" s="274" t="s">
        <v>4385</v>
      </c>
      <c r="J447" s="274" t="s">
        <v>6571</v>
      </c>
      <c r="K447" s="274" t="s">
        <v>6572</v>
      </c>
      <c r="L447" s="274" t="s">
        <v>4386</v>
      </c>
      <c r="M447" s="281">
        <v>1736</v>
      </c>
      <c r="N447" s="280"/>
      <c r="O447" s="280"/>
      <c r="P447" s="280"/>
      <c r="Q447" s="280"/>
      <c r="R447" s="280">
        <v>1736</v>
      </c>
      <c r="S447" s="280"/>
      <c r="T447" s="297"/>
    </row>
    <row r="448" spans="1:20" x14ac:dyDescent="0.25">
      <c r="A448" s="274" t="s">
        <v>78</v>
      </c>
      <c r="B448" s="274" t="s">
        <v>79</v>
      </c>
      <c r="C448" s="274" t="s">
        <v>3741</v>
      </c>
      <c r="D448" s="274" t="s">
        <v>3742</v>
      </c>
      <c r="E448" s="274" t="s">
        <v>40</v>
      </c>
      <c r="F448" s="274" t="s">
        <v>123</v>
      </c>
      <c r="G448" s="274" t="s">
        <v>93</v>
      </c>
      <c r="H448" s="274" t="s">
        <v>94</v>
      </c>
      <c r="I448" s="274" t="s">
        <v>4387</v>
      </c>
      <c r="J448" s="274" t="s">
        <v>6571</v>
      </c>
      <c r="K448" s="274" t="s">
        <v>6572</v>
      </c>
      <c r="L448" s="274" t="s">
        <v>4388</v>
      </c>
      <c r="M448" s="281">
        <v>1736</v>
      </c>
      <c r="N448" s="280"/>
      <c r="O448" s="280"/>
      <c r="P448" s="280"/>
      <c r="Q448" s="280"/>
      <c r="R448" s="280">
        <v>1736</v>
      </c>
      <c r="S448" s="280"/>
      <c r="T448" s="297"/>
    </row>
    <row r="449" spans="1:20" x14ac:dyDescent="0.25">
      <c r="A449" s="274" t="s">
        <v>78</v>
      </c>
      <c r="B449" s="274" t="s">
        <v>79</v>
      </c>
      <c r="C449" s="274" t="s">
        <v>3741</v>
      </c>
      <c r="D449" s="274" t="s">
        <v>3742</v>
      </c>
      <c r="E449" s="274" t="s">
        <v>40</v>
      </c>
      <c r="F449" s="274" t="s">
        <v>123</v>
      </c>
      <c r="G449" s="274" t="s">
        <v>93</v>
      </c>
      <c r="H449" s="274" t="s">
        <v>94</v>
      </c>
      <c r="I449" s="274" t="s">
        <v>4389</v>
      </c>
      <c r="J449" s="274" t="s">
        <v>6571</v>
      </c>
      <c r="K449" s="274" t="s">
        <v>6572</v>
      </c>
      <c r="L449" s="274" t="s">
        <v>4390</v>
      </c>
      <c r="M449" s="281">
        <v>1736</v>
      </c>
      <c r="N449" s="280"/>
      <c r="O449" s="280"/>
      <c r="P449" s="280"/>
      <c r="Q449" s="280"/>
      <c r="R449" s="280">
        <v>1736</v>
      </c>
      <c r="S449" s="280"/>
      <c r="T449" s="297"/>
    </row>
    <row r="450" spans="1:20" x14ac:dyDescent="0.25">
      <c r="A450" s="274" t="s">
        <v>78</v>
      </c>
      <c r="B450" s="274" t="s">
        <v>79</v>
      </c>
      <c r="C450" s="274" t="s">
        <v>3741</v>
      </c>
      <c r="D450" s="274" t="s">
        <v>3742</v>
      </c>
      <c r="E450" s="274" t="s">
        <v>40</v>
      </c>
      <c r="F450" s="274" t="s">
        <v>123</v>
      </c>
      <c r="G450" s="274" t="s">
        <v>93</v>
      </c>
      <c r="H450" s="274" t="s">
        <v>94</v>
      </c>
      <c r="I450" s="274" t="s">
        <v>6253</v>
      </c>
      <c r="J450" s="274" t="s">
        <v>6566</v>
      </c>
      <c r="K450" s="274" t="s">
        <v>6570</v>
      </c>
      <c r="L450" s="274" t="s">
        <v>6254</v>
      </c>
      <c r="M450" s="281">
        <v>18720</v>
      </c>
      <c r="N450" s="280"/>
      <c r="O450" s="280"/>
      <c r="P450" s="280"/>
      <c r="Q450" s="280"/>
      <c r="R450" s="280"/>
      <c r="S450" s="280">
        <v>18720</v>
      </c>
      <c r="T450" s="297"/>
    </row>
    <row r="451" spans="1:20" x14ac:dyDescent="0.25">
      <c r="A451" s="274" t="s">
        <v>78</v>
      </c>
      <c r="B451" s="274" t="s">
        <v>79</v>
      </c>
      <c r="C451" s="274" t="s">
        <v>3741</v>
      </c>
      <c r="D451" s="274" t="s">
        <v>3742</v>
      </c>
      <c r="E451" s="274" t="s">
        <v>40</v>
      </c>
      <c r="F451" s="274" t="s">
        <v>123</v>
      </c>
      <c r="G451" s="274" t="s">
        <v>93</v>
      </c>
      <c r="H451" s="274" t="s">
        <v>94</v>
      </c>
      <c r="I451" s="274" t="s">
        <v>6255</v>
      </c>
      <c r="J451" s="274" t="s">
        <v>6566</v>
      </c>
      <c r="K451" s="274" t="s">
        <v>6567</v>
      </c>
      <c r="L451" s="274" t="s">
        <v>6256</v>
      </c>
      <c r="M451" s="281">
        <v>8000</v>
      </c>
      <c r="N451" s="280"/>
      <c r="O451" s="280"/>
      <c r="P451" s="280"/>
      <c r="Q451" s="280"/>
      <c r="R451" s="280"/>
      <c r="S451" s="280">
        <v>8000</v>
      </c>
      <c r="T451" s="297"/>
    </row>
    <row r="452" spans="1:20" x14ac:dyDescent="0.25">
      <c r="A452" s="274" t="s">
        <v>78</v>
      </c>
      <c r="B452" s="274" t="s">
        <v>79</v>
      </c>
      <c r="C452" s="274" t="s">
        <v>3741</v>
      </c>
      <c r="D452" s="274" t="s">
        <v>3742</v>
      </c>
      <c r="E452" s="274" t="s">
        <v>40</v>
      </c>
      <c r="F452" s="274" t="s">
        <v>123</v>
      </c>
      <c r="G452" s="274" t="s">
        <v>93</v>
      </c>
      <c r="H452" s="274" t="s">
        <v>94</v>
      </c>
      <c r="I452" s="274" t="s">
        <v>6257</v>
      </c>
      <c r="J452" s="274" t="s">
        <v>6566</v>
      </c>
      <c r="K452" s="274" t="s">
        <v>6567</v>
      </c>
      <c r="L452" s="274" t="s">
        <v>6256</v>
      </c>
      <c r="M452" s="281">
        <v>2098.91</v>
      </c>
      <c r="N452" s="280"/>
      <c r="O452" s="280"/>
      <c r="P452" s="280"/>
      <c r="Q452" s="280"/>
      <c r="R452" s="280"/>
      <c r="S452" s="280">
        <v>2098.91</v>
      </c>
      <c r="T452" s="297"/>
    </row>
    <row r="453" spans="1:20" x14ac:dyDescent="0.25">
      <c r="A453" s="274" t="s">
        <v>78</v>
      </c>
      <c r="B453" s="274" t="s">
        <v>79</v>
      </c>
      <c r="C453" s="274" t="s">
        <v>3741</v>
      </c>
      <c r="D453" s="274" t="s">
        <v>3742</v>
      </c>
      <c r="E453" s="274" t="s">
        <v>40</v>
      </c>
      <c r="F453" s="274" t="s">
        <v>123</v>
      </c>
      <c r="G453" s="274" t="s">
        <v>93</v>
      </c>
      <c r="H453" s="274" t="s">
        <v>94</v>
      </c>
      <c r="I453" s="274" t="s">
        <v>6258</v>
      </c>
      <c r="J453" s="274" t="s">
        <v>6568</v>
      </c>
      <c r="K453" s="274" t="s">
        <v>3746</v>
      </c>
      <c r="L453" s="274" t="s">
        <v>6259</v>
      </c>
      <c r="M453" s="281">
        <v>7402.75</v>
      </c>
      <c r="N453" s="280"/>
      <c r="O453" s="280"/>
      <c r="P453" s="280"/>
      <c r="Q453" s="280"/>
      <c r="R453" s="280"/>
      <c r="S453" s="280">
        <v>7402.75</v>
      </c>
      <c r="T453" s="297"/>
    </row>
    <row r="454" spans="1:20" x14ac:dyDescent="0.25">
      <c r="A454" s="274" t="s">
        <v>78</v>
      </c>
      <c r="B454" s="274" t="s">
        <v>79</v>
      </c>
      <c r="C454" s="274" t="s">
        <v>3741</v>
      </c>
      <c r="D454" s="274" t="s">
        <v>3742</v>
      </c>
      <c r="E454" s="274" t="s">
        <v>40</v>
      </c>
      <c r="F454" s="274" t="s">
        <v>123</v>
      </c>
      <c r="G454" s="274" t="s">
        <v>93</v>
      </c>
      <c r="H454" s="274" t="s">
        <v>94</v>
      </c>
      <c r="I454" s="274" t="s">
        <v>6260</v>
      </c>
      <c r="J454" s="274" t="s">
        <v>6569</v>
      </c>
      <c r="K454" s="274" t="s">
        <v>6546</v>
      </c>
      <c r="L454" s="274" t="s">
        <v>6261</v>
      </c>
      <c r="M454" s="281">
        <v>4567.68</v>
      </c>
      <c r="N454" s="280"/>
      <c r="O454" s="280"/>
      <c r="P454" s="280"/>
      <c r="Q454" s="280"/>
      <c r="R454" s="280"/>
      <c r="S454" s="280">
        <v>4567.68</v>
      </c>
      <c r="T454" s="297"/>
    </row>
    <row r="455" spans="1:20" x14ac:dyDescent="0.25">
      <c r="A455" s="274" t="s">
        <v>78</v>
      </c>
      <c r="B455" s="274" t="s">
        <v>79</v>
      </c>
      <c r="C455" s="274" t="s">
        <v>3741</v>
      </c>
      <c r="D455" s="274" t="s">
        <v>3742</v>
      </c>
      <c r="E455" s="274" t="s">
        <v>40</v>
      </c>
      <c r="F455" s="274" t="s">
        <v>123</v>
      </c>
      <c r="G455" s="274" t="s">
        <v>93</v>
      </c>
      <c r="H455" s="274" t="s">
        <v>94</v>
      </c>
      <c r="I455" s="274" t="s">
        <v>6262</v>
      </c>
      <c r="J455" s="274" t="s">
        <v>6569</v>
      </c>
      <c r="K455" s="274" t="s">
        <v>6546</v>
      </c>
      <c r="L455" s="274" t="s">
        <v>6263</v>
      </c>
      <c r="M455" s="281">
        <v>4930</v>
      </c>
      <c r="N455" s="280"/>
      <c r="O455" s="280"/>
      <c r="P455" s="280"/>
      <c r="Q455" s="280"/>
      <c r="R455" s="280"/>
      <c r="S455" s="280">
        <v>4930</v>
      </c>
      <c r="T455" s="297"/>
    </row>
    <row r="456" spans="1:20" x14ac:dyDescent="0.25">
      <c r="A456" s="274" t="s">
        <v>78</v>
      </c>
      <c r="B456" s="274" t="s">
        <v>79</v>
      </c>
      <c r="C456" s="274" t="s">
        <v>3741</v>
      </c>
      <c r="D456" s="274" t="s">
        <v>3742</v>
      </c>
      <c r="E456" s="274" t="s">
        <v>40</v>
      </c>
      <c r="F456" s="274" t="s">
        <v>123</v>
      </c>
      <c r="G456" s="274" t="s">
        <v>93</v>
      </c>
      <c r="H456" s="274" t="s">
        <v>94</v>
      </c>
      <c r="I456" s="274" t="s">
        <v>6264</v>
      </c>
      <c r="J456" s="274" t="s">
        <v>6571</v>
      </c>
      <c r="K456" s="274" t="s">
        <v>6572</v>
      </c>
      <c r="L456" s="274" t="s">
        <v>6265</v>
      </c>
      <c r="M456" s="281">
        <v>1736</v>
      </c>
      <c r="N456" s="280"/>
      <c r="O456" s="280"/>
      <c r="P456" s="280"/>
      <c r="Q456" s="280"/>
      <c r="R456" s="280"/>
      <c r="S456" s="280">
        <v>1736</v>
      </c>
      <c r="T456" s="297"/>
    </row>
    <row r="457" spans="1:20" x14ac:dyDescent="0.25">
      <c r="A457" s="274" t="s">
        <v>78</v>
      </c>
      <c r="B457" s="274" t="s">
        <v>79</v>
      </c>
      <c r="C457" s="274" t="s">
        <v>3741</v>
      </c>
      <c r="D457" s="274" t="s">
        <v>3742</v>
      </c>
      <c r="E457" s="274" t="s">
        <v>40</v>
      </c>
      <c r="F457" s="274" t="s">
        <v>123</v>
      </c>
      <c r="G457" s="274" t="s">
        <v>93</v>
      </c>
      <c r="H457" s="274" t="s">
        <v>94</v>
      </c>
      <c r="I457" s="274" t="s">
        <v>4391</v>
      </c>
      <c r="J457" s="274" t="s">
        <v>6568</v>
      </c>
      <c r="K457" s="274" t="s">
        <v>3746</v>
      </c>
      <c r="L457" s="274" t="s">
        <v>4392</v>
      </c>
      <c r="M457" s="281">
        <v>-0.03</v>
      </c>
      <c r="N457" s="280">
        <v>-0.03</v>
      </c>
      <c r="O457" s="280"/>
      <c r="P457" s="280"/>
      <c r="Q457" s="280"/>
      <c r="R457" s="280"/>
      <c r="S457" s="280"/>
      <c r="T457" s="297"/>
    </row>
    <row r="458" spans="1:20" x14ac:dyDescent="0.25">
      <c r="A458" s="274" t="s">
        <v>78</v>
      </c>
      <c r="B458" s="274" t="s">
        <v>79</v>
      </c>
      <c r="C458" s="274" t="s">
        <v>3741</v>
      </c>
      <c r="D458" s="274" t="s">
        <v>3742</v>
      </c>
      <c r="E458" s="274" t="s">
        <v>40</v>
      </c>
      <c r="F458" s="274" t="s">
        <v>123</v>
      </c>
      <c r="G458" s="274" t="s">
        <v>93</v>
      </c>
      <c r="H458" s="274" t="s">
        <v>94</v>
      </c>
      <c r="I458" s="274" t="s">
        <v>4393</v>
      </c>
      <c r="J458" s="274" t="s">
        <v>6568</v>
      </c>
      <c r="K458" s="274" t="s">
        <v>3746</v>
      </c>
      <c r="L458" s="274" t="s">
        <v>4325</v>
      </c>
      <c r="M458" s="281">
        <v>-0.03</v>
      </c>
      <c r="N458" s="280"/>
      <c r="O458" s="280">
        <v>-0.03</v>
      </c>
      <c r="P458" s="280"/>
      <c r="Q458" s="280"/>
      <c r="R458" s="280"/>
      <c r="S458" s="280"/>
      <c r="T458" s="297"/>
    </row>
    <row r="459" spans="1:20" x14ac:dyDescent="0.25">
      <c r="A459" s="274" t="s">
        <v>78</v>
      </c>
      <c r="B459" s="274" t="s">
        <v>79</v>
      </c>
      <c r="C459" s="274" t="s">
        <v>3741</v>
      </c>
      <c r="D459" s="274" t="s">
        <v>3742</v>
      </c>
      <c r="E459" s="274" t="s">
        <v>40</v>
      </c>
      <c r="F459" s="274" t="s">
        <v>123</v>
      </c>
      <c r="G459" s="274" t="s">
        <v>93</v>
      </c>
      <c r="H459" s="274" t="s">
        <v>94</v>
      </c>
      <c r="I459" s="274" t="s">
        <v>4394</v>
      </c>
      <c r="J459" s="274" t="s">
        <v>6568</v>
      </c>
      <c r="K459" s="274" t="s">
        <v>3746</v>
      </c>
      <c r="L459" s="274" t="s">
        <v>4338</v>
      </c>
      <c r="M459" s="281">
        <v>-0.03</v>
      </c>
      <c r="N459" s="280"/>
      <c r="O459" s="280">
        <v>-0.03</v>
      </c>
      <c r="P459" s="280"/>
      <c r="Q459" s="280"/>
      <c r="R459" s="280"/>
      <c r="S459" s="280"/>
      <c r="T459" s="297"/>
    </row>
    <row r="460" spans="1:20" x14ac:dyDescent="0.25">
      <c r="A460" s="274" t="s">
        <v>78</v>
      </c>
      <c r="B460" s="274" t="s">
        <v>79</v>
      </c>
      <c r="C460" s="274" t="s">
        <v>3741</v>
      </c>
      <c r="D460" s="274" t="s">
        <v>3742</v>
      </c>
      <c r="E460" s="274" t="s">
        <v>40</v>
      </c>
      <c r="F460" s="274" t="s">
        <v>123</v>
      </c>
      <c r="G460" s="274" t="s">
        <v>93</v>
      </c>
      <c r="H460" s="274" t="s">
        <v>94</v>
      </c>
      <c r="I460" s="274" t="s">
        <v>4395</v>
      </c>
      <c r="J460" s="274" t="s">
        <v>6568</v>
      </c>
      <c r="K460" s="274" t="s">
        <v>3746</v>
      </c>
      <c r="L460" s="274" t="s">
        <v>4351</v>
      </c>
      <c r="M460" s="281">
        <v>-0.03</v>
      </c>
      <c r="N460" s="280"/>
      <c r="O460" s="280"/>
      <c r="P460" s="280"/>
      <c r="Q460" s="280">
        <v>-0.03</v>
      </c>
      <c r="R460" s="280"/>
      <c r="S460" s="280"/>
      <c r="T460" s="297"/>
    </row>
    <row r="461" spans="1:20" x14ac:dyDescent="0.25">
      <c r="A461" s="274" t="s">
        <v>78</v>
      </c>
      <c r="B461" s="274" t="s">
        <v>79</v>
      </c>
      <c r="C461" s="274" t="s">
        <v>3741</v>
      </c>
      <c r="D461" s="274" t="s">
        <v>3742</v>
      </c>
      <c r="E461" s="274" t="s">
        <v>40</v>
      </c>
      <c r="F461" s="274" t="s">
        <v>123</v>
      </c>
      <c r="G461" s="274" t="s">
        <v>93</v>
      </c>
      <c r="H461" s="274" t="s">
        <v>94</v>
      </c>
      <c r="I461" s="274" t="s">
        <v>4396</v>
      </c>
      <c r="J461" s="274" t="s">
        <v>6568</v>
      </c>
      <c r="K461" s="274" t="s">
        <v>3746</v>
      </c>
      <c r="L461" s="274" t="s">
        <v>4369</v>
      </c>
      <c r="M461" s="281">
        <v>-0.03</v>
      </c>
      <c r="N461" s="280"/>
      <c r="O461" s="280"/>
      <c r="P461" s="280"/>
      <c r="Q461" s="280"/>
      <c r="R461" s="280">
        <v>-0.03</v>
      </c>
      <c r="S461" s="280"/>
      <c r="T461" s="297"/>
    </row>
    <row r="462" spans="1:20" x14ac:dyDescent="0.25">
      <c r="A462" s="274" t="s">
        <v>78</v>
      </c>
      <c r="B462" s="274" t="s">
        <v>79</v>
      </c>
      <c r="C462" s="274" t="s">
        <v>3741</v>
      </c>
      <c r="D462" s="274" t="s">
        <v>3742</v>
      </c>
      <c r="E462" s="274" t="s">
        <v>40</v>
      </c>
      <c r="F462" s="274" t="s">
        <v>123</v>
      </c>
      <c r="G462" s="274" t="s">
        <v>93</v>
      </c>
      <c r="H462" s="274" t="s">
        <v>94</v>
      </c>
      <c r="I462" s="274" t="s">
        <v>6266</v>
      </c>
      <c r="J462" s="274" t="s">
        <v>6571</v>
      </c>
      <c r="K462" s="274" t="s">
        <v>6572</v>
      </c>
      <c r="L462" s="274" t="s">
        <v>4349</v>
      </c>
      <c r="M462" s="281">
        <v>0.9</v>
      </c>
      <c r="N462" s="280"/>
      <c r="O462" s="280"/>
      <c r="P462" s="280"/>
      <c r="Q462" s="280"/>
      <c r="R462" s="280"/>
      <c r="S462" s="280">
        <v>0.9</v>
      </c>
      <c r="T462" s="297"/>
    </row>
    <row r="463" spans="1:20" x14ac:dyDescent="0.25">
      <c r="A463" s="274" t="s">
        <v>78</v>
      </c>
      <c r="B463" s="274" t="s">
        <v>79</v>
      </c>
      <c r="C463" s="274" t="s">
        <v>3741</v>
      </c>
      <c r="D463" s="274" t="s">
        <v>3742</v>
      </c>
      <c r="E463" s="274" t="s">
        <v>40</v>
      </c>
      <c r="F463" s="274" t="s">
        <v>123</v>
      </c>
      <c r="G463" s="274" t="s">
        <v>130</v>
      </c>
      <c r="H463" s="274" t="s">
        <v>131</v>
      </c>
      <c r="I463" s="274" t="s">
        <v>4397</v>
      </c>
      <c r="J463" s="274" t="s">
        <v>6573</v>
      </c>
      <c r="K463" s="274" t="s">
        <v>3746</v>
      </c>
      <c r="L463" s="274" t="s">
        <v>4398</v>
      </c>
      <c r="M463" s="281">
        <v>104911.78</v>
      </c>
      <c r="N463" s="280"/>
      <c r="O463" s="280"/>
      <c r="P463" s="280">
        <v>104911.78</v>
      </c>
      <c r="Q463" s="280"/>
      <c r="R463" s="280"/>
      <c r="S463" s="280"/>
      <c r="T463" s="297"/>
    </row>
    <row r="464" spans="1:20" x14ac:dyDescent="0.25">
      <c r="A464" s="274" t="s">
        <v>78</v>
      </c>
      <c r="B464" s="274" t="s">
        <v>79</v>
      </c>
      <c r="C464" s="274" t="s">
        <v>3741</v>
      </c>
      <c r="D464" s="274" t="s">
        <v>3742</v>
      </c>
      <c r="E464" s="274" t="s">
        <v>40</v>
      </c>
      <c r="F464" s="274" t="s">
        <v>123</v>
      </c>
      <c r="G464" s="274" t="s">
        <v>101</v>
      </c>
      <c r="H464" s="274" t="s">
        <v>102</v>
      </c>
      <c r="I464" s="274" t="s">
        <v>4399</v>
      </c>
      <c r="J464" s="274" t="s">
        <v>6574</v>
      </c>
      <c r="K464" s="274" t="s">
        <v>3746</v>
      </c>
      <c r="L464" s="274" t="s">
        <v>4400</v>
      </c>
      <c r="M464" s="281">
        <v>6400</v>
      </c>
      <c r="N464" s="280"/>
      <c r="O464" s="280">
        <v>6400</v>
      </c>
      <c r="P464" s="280"/>
      <c r="Q464" s="280"/>
      <c r="R464" s="280"/>
      <c r="S464" s="280"/>
      <c r="T464" s="297"/>
    </row>
    <row r="465" spans="1:20" x14ac:dyDescent="0.25">
      <c r="A465" s="274" t="s">
        <v>78</v>
      </c>
      <c r="B465" s="274" t="s">
        <v>79</v>
      </c>
      <c r="C465" s="274" t="s">
        <v>3741</v>
      </c>
      <c r="D465" s="274" t="s">
        <v>3742</v>
      </c>
      <c r="E465" s="274" t="s">
        <v>40</v>
      </c>
      <c r="F465" s="274" t="s">
        <v>123</v>
      </c>
      <c r="G465" s="274" t="s">
        <v>101</v>
      </c>
      <c r="H465" s="274" t="s">
        <v>102</v>
      </c>
      <c r="I465" s="274" t="s">
        <v>4401</v>
      </c>
      <c r="J465" s="274" t="s">
        <v>6574</v>
      </c>
      <c r="K465" s="274" t="s">
        <v>3746</v>
      </c>
      <c r="L465" s="274" t="s">
        <v>4402</v>
      </c>
      <c r="M465" s="281">
        <v>58</v>
      </c>
      <c r="N465" s="280"/>
      <c r="O465" s="280">
        <v>58</v>
      </c>
      <c r="P465" s="280"/>
      <c r="Q465" s="280"/>
      <c r="R465" s="280"/>
      <c r="S465" s="280"/>
      <c r="T465" s="297"/>
    </row>
    <row r="466" spans="1:20" x14ac:dyDescent="0.25">
      <c r="A466" s="274" t="s">
        <v>78</v>
      </c>
      <c r="B466" s="274" t="s">
        <v>79</v>
      </c>
      <c r="C466" s="274" t="s">
        <v>3741</v>
      </c>
      <c r="D466" s="274" t="s">
        <v>3742</v>
      </c>
      <c r="E466" s="274" t="s">
        <v>40</v>
      </c>
      <c r="F466" s="274" t="s">
        <v>123</v>
      </c>
      <c r="G466" s="274" t="s">
        <v>101</v>
      </c>
      <c r="H466" s="274" t="s">
        <v>102</v>
      </c>
      <c r="I466" s="274" t="s">
        <v>4403</v>
      </c>
      <c r="J466" s="274" t="s">
        <v>6574</v>
      </c>
      <c r="K466" s="274" t="s">
        <v>3746</v>
      </c>
      <c r="L466" s="274" t="s">
        <v>4404</v>
      </c>
      <c r="M466" s="281">
        <v>3200</v>
      </c>
      <c r="N466" s="280"/>
      <c r="O466" s="280"/>
      <c r="P466" s="280">
        <v>3200</v>
      </c>
      <c r="Q466" s="280"/>
      <c r="R466" s="280"/>
      <c r="S466" s="280"/>
      <c r="T466" s="297"/>
    </row>
    <row r="467" spans="1:20" x14ac:dyDescent="0.25">
      <c r="A467" s="274" t="s">
        <v>78</v>
      </c>
      <c r="B467" s="274" t="s">
        <v>79</v>
      </c>
      <c r="C467" s="274" t="s">
        <v>3741</v>
      </c>
      <c r="D467" s="274" t="s">
        <v>3742</v>
      </c>
      <c r="E467" s="274" t="s">
        <v>40</v>
      </c>
      <c r="F467" s="274" t="s">
        <v>123</v>
      </c>
      <c r="G467" s="274" t="s">
        <v>101</v>
      </c>
      <c r="H467" s="274" t="s">
        <v>102</v>
      </c>
      <c r="I467" s="274" t="s">
        <v>4405</v>
      </c>
      <c r="J467" s="274" t="s">
        <v>6574</v>
      </c>
      <c r="K467" s="274" t="s">
        <v>3746</v>
      </c>
      <c r="L467" s="274" t="s">
        <v>4406</v>
      </c>
      <c r="M467" s="281">
        <v>29</v>
      </c>
      <c r="N467" s="280"/>
      <c r="O467" s="280"/>
      <c r="P467" s="280">
        <v>29</v>
      </c>
      <c r="Q467" s="280"/>
      <c r="R467" s="280"/>
      <c r="S467" s="280"/>
      <c r="T467" s="297"/>
    </row>
    <row r="468" spans="1:20" x14ac:dyDescent="0.25">
      <c r="A468" s="274" t="s">
        <v>78</v>
      </c>
      <c r="B468" s="274" t="s">
        <v>79</v>
      </c>
      <c r="C468" s="274" t="s">
        <v>3741</v>
      </c>
      <c r="D468" s="274" t="s">
        <v>3742</v>
      </c>
      <c r="E468" s="274" t="s">
        <v>40</v>
      </c>
      <c r="F468" s="274" t="s">
        <v>123</v>
      </c>
      <c r="G468" s="274" t="s">
        <v>101</v>
      </c>
      <c r="H468" s="274" t="s">
        <v>102</v>
      </c>
      <c r="I468" s="274" t="s">
        <v>4407</v>
      </c>
      <c r="J468" s="274" t="s">
        <v>6574</v>
      </c>
      <c r="K468" s="274" t="s">
        <v>3746</v>
      </c>
      <c r="L468" s="274" t="s">
        <v>4408</v>
      </c>
      <c r="M468" s="281">
        <v>3200</v>
      </c>
      <c r="N468" s="280"/>
      <c r="O468" s="280"/>
      <c r="P468" s="280"/>
      <c r="Q468" s="280">
        <v>3200</v>
      </c>
      <c r="R468" s="280"/>
      <c r="S468" s="280"/>
      <c r="T468" s="297"/>
    </row>
    <row r="469" spans="1:20" x14ac:dyDescent="0.25">
      <c r="A469" s="274" t="s">
        <v>78</v>
      </c>
      <c r="B469" s="274" t="s">
        <v>79</v>
      </c>
      <c r="C469" s="274" t="s">
        <v>3741</v>
      </c>
      <c r="D469" s="274" t="s">
        <v>3742</v>
      </c>
      <c r="E469" s="274" t="s">
        <v>40</v>
      </c>
      <c r="F469" s="274" t="s">
        <v>123</v>
      </c>
      <c r="G469" s="274" t="s">
        <v>101</v>
      </c>
      <c r="H469" s="274" t="s">
        <v>102</v>
      </c>
      <c r="I469" s="274" t="s">
        <v>4409</v>
      </c>
      <c r="J469" s="274" t="s">
        <v>6574</v>
      </c>
      <c r="K469" s="274" t="s">
        <v>3746</v>
      </c>
      <c r="L469" s="274" t="s">
        <v>4410</v>
      </c>
      <c r="M469" s="281">
        <v>3200</v>
      </c>
      <c r="N469" s="280"/>
      <c r="O469" s="280"/>
      <c r="P469" s="280"/>
      <c r="Q469" s="280"/>
      <c r="R469" s="280">
        <v>3200</v>
      </c>
      <c r="S469" s="280"/>
      <c r="T469" s="297"/>
    </row>
    <row r="470" spans="1:20" x14ac:dyDescent="0.25">
      <c r="A470" s="274" t="s">
        <v>78</v>
      </c>
      <c r="B470" s="274" t="s">
        <v>79</v>
      </c>
      <c r="C470" s="274" t="s">
        <v>3741</v>
      </c>
      <c r="D470" s="274" t="s">
        <v>3742</v>
      </c>
      <c r="E470" s="274" t="s">
        <v>40</v>
      </c>
      <c r="F470" s="274" t="s">
        <v>123</v>
      </c>
      <c r="G470" s="274" t="s">
        <v>101</v>
      </c>
      <c r="H470" s="274" t="s">
        <v>102</v>
      </c>
      <c r="I470" s="274" t="s">
        <v>6267</v>
      </c>
      <c r="J470" s="274" t="s">
        <v>6574</v>
      </c>
      <c r="K470" s="274" t="s">
        <v>3746</v>
      </c>
      <c r="L470" s="274" t="s">
        <v>6268</v>
      </c>
      <c r="M470" s="281">
        <v>3200</v>
      </c>
      <c r="N470" s="280"/>
      <c r="O470" s="280"/>
      <c r="P470" s="280"/>
      <c r="Q470" s="280"/>
      <c r="R470" s="280"/>
      <c r="S470" s="280">
        <v>3200</v>
      </c>
      <c r="T470" s="297"/>
    </row>
    <row r="471" spans="1:20" x14ac:dyDescent="0.25">
      <c r="A471" s="274" t="s">
        <v>78</v>
      </c>
      <c r="B471" s="274" t="s">
        <v>79</v>
      </c>
      <c r="C471" s="274" t="s">
        <v>3741</v>
      </c>
      <c r="D471" s="274" t="s">
        <v>3742</v>
      </c>
      <c r="E471" s="274" t="s">
        <v>40</v>
      </c>
      <c r="F471" s="274" t="s">
        <v>123</v>
      </c>
      <c r="G471" s="274" t="s">
        <v>132</v>
      </c>
      <c r="H471" s="274" t="s">
        <v>133</v>
      </c>
      <c r="I471" s="274" t="s">
        <v>4411</v>
      </c>
      <c r="J471" s="274" t="s">
        <v>6575</v>
      </c>
      <c r="K471" s="274" t="s">
        <v>3746</v>
      </c>
      <c r="L471" s="274" t="s">
        <v>4412</v>
      </c>
      <c r="M471" s="281">
        <v>1640</v>
      </c>
      <c r="N471" s="280">
        <v>1640</v>
      </c>
      <c r="O471" s="280"/>
      <c r="P471" s="280"/>
      <c r="Q471" s="280"/>
      <c r="R471" s="280"/>
      <c r="S471" s="280"/>
      <c r="T471" s="297"/>
    </row>
    <row r="472" spans="1:20" x14ac:dyDescent="0.25">
      <c r="A472" s="274" t="s">
        <v>78</v>
      </c>
      <c r="B472" s="274" t="s">
        <v>79</v>
      </c>
      <c r="C472" s="274" t="s">
        <v>3741</v>
      </c>
      <c r="D472" s="274" t="s">
        <v>3742</v>
      </c>
      <c r="E472" s="274" t="s">
        <v>40</v>
      </c>
      <c r="F472" s="274" t="s">
        <v>123</v>
      </c>
      <c r="G472" s="274" t="s">
        <v>134</v>
      </c>
      <c r="H472" s="274" t="s">
        <v>135</v>
      </c>
      <c r="I472" s="274" t="s">
        <v>4413</v>
      </c>
      <c r="J472" s="274" t="s">
        <v>6576</v>
      </c>
      <c r="K472" s="274" t="s">
        <v>3746</v>
      </c>
      <c r="L472" s="274" t="s">
        <v>4414</v>
      </c>
      <c r="M472" s="281">
        <v>240711.66</v>
      </c>
      <c r="N472" s="280"/>
      <c r="O472" s="280"/>
      <c r="P472" s="280">
        <v>240711.66</v>
      </c>
      <c r="Q472" s="280"/>
      <c r="R472" s="280"/>
      <c r="S472" s="280"/>
      <c r="T472" s="297"/>
    </row>
    <row r="473" spans="1:20" x14ac:dyDescent="0.25">
      <c r="A473" s="274" t="s">
        <v>78</v>
      </c>
      <c r="B473" s="274" t="s">
        <v>79</v>
      </c>
      <c r="C473" s="274" t="s">
        <v>3741</v>
      </c>
      <c r="D473" s="274" t="s">
        <v>3742</v>
      </c>
      <c r="E473" s="274" t="s">
        <v>40</v>
      </c>
      <c r="F473" s="274" t="s">
        <v>123</v>
      </c>
      <c r="G473" s="274" t="s">
        <v>98</v>
      </c>
      <c r="H473" s="274" t="s">
        <v>99</v>
      </c>
      <c r="I473" s="274" t="s">
        <v>4415</v>
      </c>
      <c r="J473" s="274" t="s">
        <v>98</v>
      </c>
      <c r="K473" s="274" t="s">
        <v>98</v>
      </c>
      <c r="L473" s="274" t="s">
        <v>4416</v>
      </c>
      <c r="M473" s="281">
        <v>50065.68</v>
      </c>
      <c r="N473" s="280">
        <v>8344.2800000000007</v>
      </c>
      <c r="O473" s="280">
        <v>8344.2800000000007</v>
      </c>
      <c r="P473" s="280">
        <v>8344.2800000000007</v>
      </c>
      <c r="Q473" s="280">
        <v>8344.2800000000007</v>
      </c>
      <c r="R473" s="280">
        <v>8344.2800000000007</v>
      </c>
      <c r="S473" s="280">
        <v>8344.2800000000007</v>
      </c>
      <c r="T473" s="297"/>
    </row>
    <row r="474" spans="1:20" x14ac:dyDescent="0.25">
      <c r="A474" s="274" t="s">
        <v>78</v>
      </c>
      <c r="B474" s="274" t="s">
        <v>79</v>
      </c>
      <c r="C474" s="274" t="s">
        <v>3741</v>
      </c>
      <c r="D474" s="274" t="s">
        <v>3742</v>
      </c>
      <c r="E474" s="274" t="s">
        <v>40</v>
      </c>
      <c r="F474" s="274" t="s">
        <v>123</v>
      </c>
      <c r="G474" s="274" t="s">
        <v>98</v>
      </c>
      <c r="H474" s="274" t="s">
        <v>99</v>
      </c>
      <c r="I474" s="274" t="s">
        <v>4417</v>
      </c>
      <c r="J474" s="274" t="s">
        <v>98</v>
      </c>
      <c r="K474" s="274" t="s">
        <v>98</v>
      </c>
      <c r="L474" s="274" t="s">
        <v>4418</v>
      </c>
      <c r="M474" s="281">
        <v>5575</v>
      </c>
      <c r="N474" s="280">
        <v>5575</v>
      </c>
      <c r="O474" s="280"/>
      <c r="P474" s="280"/>
      <c r="Q474" s="280"/>
      <c r="R474" s="280"/>
      <c r="S474" s="280"/>
      <c r="T474" s="297"/>
    </row>
    <row r="475" spans="1:20" x14ac:dyDescent="0.25">
      <c r="A475" s="274" t="s">
        <v>78</v>
      </c>
      <c r="B475" s="274" t="s">
        <v>79</v>
      </c>
      <c r="C475" s="274" t="s">
        <v>3741</v>
      </c>
      <c r="D475" s="274" t="s">
        <v>3742</v>
      </c>
      <c r="E475" s="274" t="s">
        <v>40</v>
      </c>
      <c r="F475" s="274" t="s">
        <v>123</v>
      </c>
      <c r="G475" s="274" t="s">
        <v>98</v>
      </c>
      <c r="H475" s="274" t="s">
        <v>99</v>
      </c>
      <c r="I475" s="274" t="s">
        <v>4419</v>
      </c>
      <c r="J475" s="274" t="s">
        <v>98</v>
      </c>
      <c r="K475" s="274" t="s">
        <v>98</v>
      </c>
      <c r="L475" s="274" t="s">
        <v>4420</v>
      </c>
      <c r="M475" s="281">
        <v>9642</v>
      </c>
      <c r="N475" s="280">
        <v>9642</v>
      </c>
      <c r="O475" s="280"/>
      <c r="P475" s="280"/>
      <c r="Q475" s="280"/>
      <c r="R475" s="280"/>
      <c r="S475" s="280"/>
      <c r="T475" s="297"/>
    </row>
    <row r="476" spans="1:20" x14ac:dyDescent="0.25">
      <c r="A476" s="274" t="s">
        <v>78</v>
      </c>
      <c r="B476" s="274" t="s">
        <v>79</v>
      </c>
      <c r="C476" s="274" t="s">
        <v>3741</v>
      </c>
      <c r="D476" s="274" t="s">
        <v>3742</v>
      </c>
      <c r="E476" s="274" t="s">
        <v>40</v>
      </c>
      <c r="F476" s="274" t="s">
        <v>123</v>
      </c>
      <c r="G476" s="274" t="s">
        <v>98</v>
      </c>
      <c r="H476" s="274" t="s">
        <v>99</v>
      </c>
      <c r="I476" s="274" t="s">
        <v>4419</v>
      </c>
      <c r="J476" s="274" t="s">
        <v>98</v>
      </c>
      <c r="K476" s="274" t="s">
        <v>98</v>
      </c>
      <c r="L476" s="274" t="s">
        <v>4421</v>
      </c>
      <c r="M476" s="281">
        <v>10726</v>
      </c>
      <c r="N476" s="280">
        <v>10726</v>
      </c>
      <c r="O476" s="280"/>
      <c r="P476" s="280"/>
      <c r="Q476" s="280"/>
      <c r="R476" s="280"/>
      <c r="S476" s="280"/>
      <c r="T476" s="297"/>
    </row>
    <row r="477" spans="1:20" x14ac:dyDescent="0.25">
      <c r="A477" s="274" t="s">
        <v>78</v>
      </c>
      <c r="B477" s="274" t="s">
        <v>79</v>
      </c>
      <c r="C477" s="274" t="s">
        <v>3741</v>
      </c>
      <c r="D477" s="274" t="s">
        <v>3742</v>
      </c>
      <c r="E477" s="274" t="s">
        <v>40</v>
      </c>
      <c r="F477" s="274" t="s">
        <v>123</v>
      </c>
      <c r="G477" s="274" t="s">
        <v>98</v>
      </c>
      <c r="H477" s="274" t="s">
        <v>99</v>
      </c>
      <c r="I477" s="274" t="s">
        <v>4422</v>
      </c>
      <c r="J477" s="274" t="s">
        <v>98</v>
      </c>
      <c r="K477" s="274" t="s">
        <v>98</v>
      </c>
      <c r="L477" s="274" t="s">
        <v>4423</v>
      </c>
      <c r="M477" s="281">
        <v>40222</v>
      </c>
      <c r="N477" s="280">
        <v>20111</v>
      </c>
      <c r="O477" s="280">
        <v>20111</v>
      </c>
      <c r="P477" s="280"/>
      <c r="Q477" s="280"/>
      <c r="R477" s="280"/>
      <c r="S477" s="280"/>
      <c r="T477" s="297"/>
    </row>
    <row r="478" spans="1:20" x14ac:dyDescent="0.25">
      <c r="A478" s="274" t="s">
        <v>78</v>
      </c>
      <c r="B478" s="274" t="s">
        <v>79</v>
      </c>
      <c r="C478" s="274" t="s">
        <v>3741</v>
      </c>
      <c r="D478" s="274" t="s">
        <v>3742</v>
      </c>
      <c r="E478" s="274" t="s">
        <v>40</v>
      </c>
      <c r="F478" s="274" t="s">
        <v>123</v>
      </c>
      <c r="G478" s="274" t="s">
        <v>98</v>
      </c>
      <c r="H478" s="274" t="s">
        <v>99</v>
      </c>
      <c r="I478" s="274" t="s">
        <v>4424</v>
      </c>
      <c r="J478" s="274" t="s">
        <v>98</v>
      </c>
      <c r="K478" s="274" t="s">
        <v>98</v>
      </c>
      <c r="L478" s="274" t="s">
        <v>4414</v>
      </c>
      <c r="M478" s="281">
        <v>-240711.66</v>
      </c>
      <c r="N478" s="280"/>
      <c r="O478" s="280"/>
      <c r="P478" s="280">
        <v>-240711.66</v>
      </c>
      <c r="Q478" s="280"/>
      <c r="R478" s="280"/>
      <c r="S478" s="280"/>
      <c r="T478" s="297"/>
    </row>
    <row r="479" spans="1:20" x14ac:dyDescent="0.25">
      <c r="A479" s="274" t="s">
        <v>78</v>
      </c>
      <c r="B479" s="274" t="s">
        <v>79</v>
      </c>
      <c r="C479" s="274" t="s">
        <v>3741</v>
      </c>
      <c r="D479" s="274" t="s">
        <v>3742</v>
      </c>
      <c r="E479" s="274" t="s">
        <v>40</v>
      </c>
      <c r="F479" s="274" t="s">
        <v>123</v>
      </c>
      <c r="G479" s="274" t="s">
        <v>98</v>
      </c>
      <c r="H479" s="274" t="s">
        <v>99</v>
      </c>
      <c r="I479" s="274" t="s">
        <v>4424</v>
      </c>
      <c r="J479" s="274" t="s">
        <v>98</v>
      </c>
      <c r="K479" s="274" t="s">
        <v>98</v>
      </c>
      <c r="L479" s="274" t="s">
        <v>4425</v>
      </c>
      <c r="M479" s="281">
        <v>80237.240000000005</v>
      </c>
      <c r="N479" s="280"/>
      <c r="O479" s="280"/>
      <c r="P479" s="280">
        <v>20059.310000000001</v>
      </c>
      <c r="Q479" s="280">
        <v>20059.310000000001</v>
      </c>
      <c r="R479" s="280">
        <v>20059.310000000001</v>
      </c>
      <c r="S479" s="280">
        <v>20059.310000000001</v>
      </c>
      <c r="T479" s="297"/>
    </row>
    <row r="480" spans="1:20" x14ac:dyDescent="0.25">
      <c r="A480" s="274" t="s">
        <v>78</v>
      </c>
      <c r="B480" s="274" t="s">
        <v>79</v>
      </c>
      <c r="C480" s="274" t="s">
        <v>3741</v>
      </c>
      <c r="D480" s="274" t="s">
        <v>3742</v>
      </c>
      <c r="E480" s="274" t="s">
        <v>40</v>
      </c>
      <c r="F480" s="274" t="s">
        <v>123</v>
      </c>
      <c r="G480" s="274" t="s">
        <v>98</v>
      </c>
      <c r="H480" s="274" t="s">
        <v>99</v>
      </c>
      <c r="I480" s="274" t="s">
        <v>4426</v>
      </c>
      <c r="J480" s="274" t="s">
        <v>98</v>
      </c>
      <c r="K480" s="274" t="s">
        <v>98</v>
      </c>
      <c r="L480" s="274" t="s">
        <v>4398</v>
      </c>
      <c r="M480" s="281">
        <v>-104911.78</v>
      </c>
      <c r="N480" s="280"/>
      <c r="O480" s="280"/>
      <c r="P480" s="280">
        <v>-104911.78</v>
      </c>
      <c r="Q480" s="280"/>
      <c r="R480" s="280"/>
      <c r="S480" s="280"/>
      <c r="T480" s="297"/>
    </row>
    <row r="481" spans="1:20" x14ac:dyDescent="0.25">
      <c r="A481" s="274" t="s">
        <v>78</v>
      </c>
      <c r="B481" s="274" t="s">
        <v>79</v>
      </c>
      <c r="C481" s="274" t="s">
        <v>3741</v>
      </c>
      <c r="D481" s="274" t="s">
        <v>3742</v>
      </c>
      <c r="E481" s="274" t="s">
        <v>40</v>
      </c>
      <c r="F481" s="274" t="s">
        <v>123</v>
      </c>
      <c r="G481" s="274" t="s">
        <v>98</v>
      </c>
      <c r="H481" s="274" t="s">
        <v>99</v>
      </c>
      <c r="I481" s="274" t="s">
        <v>4426</v>
      </c>
      <c r="J481" s="274" t="s">
        <v>98</v>
      </c>
      <c r="K481" s="274" t="s">
        <v>98</v>
      </c>
      <c r="L481" s="274" t="s">
        <v>4427</v>
      </c>
      <c r="M481" s="281">
        <v>41964.72</v>
      </c>
      <c r="N481" s="280"/>
      <c r="O481" s="280"/>
      <c r="P481" s="280">
        <v>10491.18</v>
      </c>
      <c r="Q481" s="280">
        <v>10491.18</v>
      </c>
      <c r="R481" s="280">
        <v>10491.18</v>
      </c>
      <c r="S481" s="280">
        <v>10491.18</v>
      </c>
      <c r="T481" s="297"/>
    </row>
    <row r="482" spans="1:20" x14ac:dyDescent="0.25">
      <c r="A482" s="274" t="s">
        <v>78</v>
      </c>
      <c r="B482" s="274" t="s">
        <v>79</v>
      </c>
      <c r="C482" s="274" t="s">
        <v>3741</v>
      </c>
      <c r="D482" s="274" t="s">
        <v>3742</v>
      </c>
      <c r="E482" s="274" t="s">
        <v>40</v>
      </c>
      <c r="F482" s="274" t="s">
        <v>123</v>
      </c>
      <c r="G482" s="274" t="s">
        <v>98</v>
      </c>
      <c r="H482" s="274" t="s">
        <v>99</v>
      </c>
      <c r="I482" s="274" t="s">
        <v>4428</v>
      </c>
      <c r="J482" s="274" t="s">
        <v>98</v>
      </c>
      <c r="K482" s="274" t="s">
        <v>98</v>
      </c>
      <c r="L482" s="274" t="s">
        <v>4429</v>
      </c>
      <c r="M482" s="281">
        <v>-8000</v>
      </c>
      <c r="N482" s="280"/>
      <c r="O482" s="280"/>
      <c r="P482" s="280">
        <v>-8000</v>
      </c>
      <c r="Q482" s="280"/>
      <c r="R482" s="280"/>
      <c r="S482" s="280"/>
      <c r="T482" s="297"/>
    </row>
    <row r="483" spans="1:20" x14ac:dyDescent="0.25">
      <c r="A483" s="274" t="s">
        <v>78</v>
      </c>
      <c r="B483" s="274" t="s">
        <v>79</v>
      </c>
      <c r="C483" s="274" t="s">
        <v>3741</v>
      </c>
      <c r="D483" s="274" t="s">
        <v>3742</v>
      </c>
      <c r="E483" s="274" t="s">
        <v>40</v>
      </c>
      <c r="F483" s="274" t="s">
        <v>123</v>
      </c>
      <c r="G483" s="274" t="s">
        <v>98</v>
      </c>
      <c r="H483" s="274" t="s">
        <v>99</v>
      </c>
      <c r="I483" s="274" t="s">
        <v>5100</v>
      </c>
      <c r="J483" s="274" t="s">
        <v>98</v>
      </c>
      <c r="K483" s="274" t="s">
        <v>98</v>
      </c>
      <c r="L483" s="274" t="s">
        <v>6577</v>
      </c>
      <c r="M483" s="281">
        <v>12515</v>
      </c>
      <c r="N483" s="280"/>
      <c r="O483" s="280"/>
      <c r="P483" s="280"/>
      <c r="Q483" s="280"/>
      <c r="R483" s="280"/>
      <c r="S483" s="280">
        <v>12515</v>
      </c>
      <c r="T483" s="297"/>
    </row>
    <row r="484" spans="1:20" x14ac:dyDescent="0.25">
      <c r="A484" s="274" t="s">
        <v>78</v>
      </c>
      <c r="B484" s="274" t="s">
        <v>79</v>
      </c>
      <c r="C484" s="274" t="s">
        <v>3741</v>
      </c>
      <c r="D484" s="274" t="s">
        <v>3742</v>
      </c>
      <c r="E484" s="274" t="s">
        <v>40</v>
      </c>
      <c r="F484" s="274" t="s">
        <v>123</v>
      </c>
      <c r="G484" s="274" t="s">
        <v>98</v>
      </c>
      <c r="H484" s="274" t="s">
        <v>99</v>
      </c>
      <c r="I484" s="274" t="s">
        <v>4136</v>
      </c>
      <c r="J484" s="274" t="s">
        <v>98</v>
      </c>
      <c r="K484" s="274" t="s">
        <v>98</v>
      </c>
      <c r="L484" s="274" t="s">
        <v>4430</v>
      </c>
      <c r="M484" s="281">
        <v>0</v>
      </c>
      <c r="N484" s="280"/>
      <c r="O484" s="280"/>
      <c r="P484" s="280">
        <v>30000</v>
      </c>
      <c r="Q484" s="280">
        <v>-30000</v>
      </c>
      <c r="R484" s="280"/>
      <c r="S484" s="280"/>
      <c r="T484" s="297"/>
    </row>
    <row r="485" spans="1:20" x14ac:dyDescent="0.25">
      <c r="A485" s="274" t="s">
        <v>78</v>
      </c>
      <c r="B485" s="274" t="s">
        <v>79</v>
      </c>
      <c r="C485" s="274" t="s">
        <v>3741</v>
      </c>
      <c r="D485" s="274" t="s">
        <v>3742</v>
      </c>
      <c r="E485" s="274" t="s">
        <v>40</v>
      </c>
      <c r="F485" s="274" t="s">
        <v>123</v>
      </c>
      <c r="G485" s="274" t="s">
        <v>98</v>
      </c>
      <c r="H485" s="274" t="s">
        <v>99</v>
      </c>
      <c r="I485" s="274" t="s">
        <v>4136</v>
      </c>
      <c r="J485" s="274" t="s">
        <v>98</v>
      </c>
      <c r="K485" s="274" t="s">
        <v>98</v>
      </c>
      <c r="L485" s="274" t="s">
        <v>4431</v>
      </c>
      <c r="M485" s="281">
        <v>0</v>
      </c>
      <c r="N485" s="280"/>
      <c r="O485" s="280"/>
      <c r="P485" s="280"/>
      <c r="Q485" s="280">
        <v>30000</v>
      </c>
      <c r="R485" s="280">
        <v>-30000</v>
      </c>
      <c r="S485" s="280"/>
      <c r="T485" s="297"/>
    </row>
    <row r="486" spans="1:20" x14ac:dyDescent="0.25">
      <c r="A486" s="274" t="s">
        <v>78</v>
      </c>
      <c r="B486" s="274" t="s">
        <v>79</v>
      </c>
      <c r="C486" s="274" t="s">
        <v>3741</v>
      </c>
      <c r="D486" s="274" t="s">
        <v>3742</v>
      </c>
      <c r="E486" s="274" t="s">
        <v>40</v>
      </c>
      <c r="F486" s="274" t="s">
        <v>123</v>
      </c>
      <c r="G486" s="274" t="s">
        <v>98</v>
      </c>
      <c r="H486" s="274" t="s">
        <v>99</v>
      </c>
      <c r="I486" s="274" t="s">
        <v>4136</v>
      </c>
      <c r="J486" s="274" t="s">
        <v>98</v>
      </c>
      <c r="K486" s="274" t="s">
        <v>98</v>
      </c>
      <c r="L486" s="274" t="s">
        <v>6269</v>
      </c>
      <c r="M486" s="281">
        <v>0</v>
      </c>
      <c r="N486" s="280"/>
      <c r="O486" s="280"/>
      <c r="P486" s="280"/>
      <c r="Q486" s="280"/>
      <c r="R486" s="280">
        <v>30000</v>
      </c>
      <c r="S486" s="280">
        <v>-30000</v>
      </c>
      <c r="T486" s="297"/>
    </row>
    <row r="487" spans="1:20" x14ac:dyDescent="0.25">
      <c r="A487" s="274" t="s">
        <v>78</v>
      </c>
      <c r="B487" s="274" t="s">
        <v>79</v>
      </c>
      <c r="C487" s="274" t="s">
        <v>3741</v>
      </c>
      <c r="D487" s="274" t="s">
        <v>3742</v>
      </c>
      <c r="E487" s="274" t="s">
        <v>40</v>
      </c>
      <c r="F487" s="274" t="s">
        <v>123</v>
      </c>
      <c r="G487" s="274" t="s">
        <v>98</v>
      </c>
      <c r="H487" s="274" t="s">
        <v>99</v>
      </c>
      <c r="I487" s="274" t="s">
        <v>4136</v>
      </c>
      <c r="J487" s="274" t="s">
        <v>98</v>
      </c>
      <c r="K487" s="274" t="s">
        <v>98</v>
      </c>
      <c r="L487" s="274" t="s">
        <v>6578</v>
      </c>
      <c r="M487" s="281">
        <v>12450.9</v>
      </c>
      <c r="N487" s="280"/>
      <c r="O487" s="280"/>
      <c r="P487" s="280"/>
      <c r="Q487" s="280"/>
      <c r="R487" s="280"/>
      <c r="S487" s="280">
        <v>12450.9</v>
      </c>
      <c r="T487" s="297"/>
    </row>
    <row r="488" spans="1:20" x14ac:dyDescent="0.25">
      <c r="A488" s="274" t="s">
        <v>78</v>
      </c>
      <c r="B488" s="274" t="s">
        <v>79</v>
      </c>
      <c r="C488" s="274" t="s">
        <v>3741</v>
      </c>
      <c r="D488" s="274" t="s">
        <v>3742</v>
      </c>
      <c r="E488" s="274" t="s">
        <v>40</v>
      </c>
      <c r="F488" s="274" t="s">
        <v>123</v>
      </c>
      <c r="G488" s="274" t="s">
        <v>98</v>
      </c>
      <c r="H488" s="274" t="s">
        <v>99</v>
      </c>
      <c r="I488" s="274" t="s">
        <v>4136</v>
      </c>
      <c r="J488" s="274" t="s">
        <v>98</v>
      </c>
      <c r="K488" s="274" t="s">
        <v>98</v>
      </c>
      <c r="L488" s="274" t="s">
        <v>6579</v>
      </c>
      <c r="M488" s="281">
        <v>17549.099999999999</v>
      </c>
      <c r="N488" s="280"/>
      <c r="O488" s="280"/>
      <c r="P488" s="280"/>
      <c r="Q488" s="280"/>
      <c r="R488" s="280"/>
      <c r="S488" s="280">
        <v>17549.099999999999</v>
      </c>
      <c r="T488" s="297"/>
    </row>
    <row r="489" spans="1:20" x14ac:dyDescent="0.25">
      <c r="A489" s="274" t="s">
        <v>78</v>
      </c>
      <c r="B489" s="274" t="s">
        <v>79</v>
      </c>
      <c r="C489" s="274" t="s">
        <v>3741</v>
      </c>
      <c r="D489" s="274" t="s">
        <v>3742</v>
      </c>
      <c r="E489" s="274" t="s">
        <v>44</v>
      </c>
      <c r="F489" s="274" t="s">
        <v>136</v>
      </c>
      <c r="G489" s="274" t="s">
        <v>93</v>
      </c>
      <c r="H489" s="274" t="s">
        <v>94</v>
      </c>
      <c r="I489" s="274" t="s">
        <v>4432</v>
      </c>
      <c r="J489" s="274" t="s">
        <v>6580</v>
      </c>
      <c r="K489" s="274" t="s">
        <v>3746</v>
      </c>
      <c r="L489" s="274" t="s">
        <v>4433</v>
      </c>
      <c r="M489" s="281">
        <v>-10000</v>
      </c>
      <c r="N489" s="280">
        <v>-10000</v>
      </c>
      <c r="O489" s="280"/>
      <c r="P489" s="280"/>
      <c r="Q489" s="280"/>
      <c r="R489" s="280"/>
      <c r="S489" s="280"/>
      <c r="T489" s="297"/>
    </row>
    <row r="490" spans="1:20" x14ac:dyDescent="0.25">
      <c r="A490" s="274" t="s">
        <v>78</v>
      </c>
      <c r="B490" s="274" t="s">
        <v>79</v>
      </c>
      <c r="C490" s="274" t="s">
        <v>3741</v>
      </c>
      <c r="D490" s="274" t="s">
        <v>3742</v>
      </c>
      <c r="E490" s="274" t="s">
        <v>44</v>
      </c>
      <c r="F490" s="274" t="s">
        <v>136</v>
      </c>
      <c r="G490" s="274" t="s">
        <v>93</v>
      </c>
      <c r="H490" s="274" t="s">
        <v>94</v>
      </c>
      <c r="I490" s="274" t="s">
        <v>4434</v>
      </c>
      <c r="J490" s="274" t="s">
        <v>6580</v>
      </c>
      <c r="K490" s="274" t="s">
        <v>3746</v>
      </c>
      <c r="L490" s="274" t="s">
        <v>4433</v>
      </c>
      <c r="M490" s="281">
        <v>7950</v>
      </c>
      <c r="N490" s="280">
        <v>7950</v>
      </c>
      <c r="O490" s="280"/>
      <c r="P490" s="280"/>
      <c r="Q490" s="280"/>
      <c r="R490" s="280"/>
      <c r="S490" s="280"/>
      <c r="T490" s="297"/>
    </row>
    <row r="491" spans="1:20" x14ac:dyDescent="0.25">
      <c r="A491" s="274" t="s">
        <v>78</v>
      </c>
      <c r="B491" s="274" t="s">
        <v>79</v>
      </c>
      <c r="C491" s="274" t="s">
        <v>3741</v>
      </c>
      <c r="D491" s="274" t="s">
        <v>3742</v>
      </c>
      <c r="E491" s="274" t="s">
        <v>44</v>
      </c>
      <c r="F491" s="274" t="s">
        <v>136</v>
      </c>
      <c r="G491" s="274" t="s">
        <v>93</v>
      </c>
      <c r="H491" s="274" t="s">
        <v>94</v>
      </c>
      <c r="I491" s="274" t="s">
        <v>4435</v>
      </c>
      <c r="J491" s="274" t="s">
        <v>6581</v>
      </c>
      <c r="K491" s="274" t="s">
        <v>3746</v>
      </c>
      <c r="L491" s="274" t="s">
        <v>4436</v>
      </c>
      <c r="M491" s="281">
        <v>45333</v>
      </c>
      <c r="N491" s="280">
        <v>45333</v>
      </c>
      <c r="O491" s="280"/>
      <c r="P491" s="280"/>
      <c r="Q491" s="280"/>
      <c r="R491" s="280"/>
      <c r="S491" s="280"/>
      <c r="T491" s="297"/>
    </row>
    <row r="492" spans="1:20" x14ac:dyDescent="0.25">
      <c r="A492" s="274" t="s">
        <v>78</v>
      </c>
      <c r="B492" s="274" t="s">
        <v>79</v>
      </c>
      <c r="C492" s="274" t="s">
        <v>3741</v>
      </c>
      <c r="D492" s="274" t="s">
        <v>3742</v>
      </c>
      <c r="E492" s="274" t="s">
        <v>44</v>
      </c>
      <c r="F492" s="274" t="s">
        <v>136</v>
      </c>
      <c r="G492" s="274" t="s">
        <v>93</v>
      </c>
      <c r="H492" s="274" t="s">
        <v>94</v>
      </c>
      <c r="I492" s="274" t="s">
        <v>4437</v>
      </c>
      <c r="J492" s="274" t="s">
        <v>6582</v>
      </c>
      <c r="K492" s="274" t="s">
        <v>6583</v>
      </c>
      <c r="L492" s="274" t="s">
        <v>4438</v>
      </c>
      <c r="M492" s="281">
        <v>1498</v>
      </c>
      <c r="N492" s="280">
        <v>1498</v>
      </c>
      <c r="O492" s="280"/>
      <c r="P492" s="280"/>
      <c r="Q492" s="280"/>
      <c r="R492" s="280"/>
      <c r="S492" s="280"/>
      <c r="T492" s="297"/>
    </row>
    <row r="493" spans="1:20" x14ac:dyDescent="0.25">
      <c r="A493" s="274" t="s">
        <v>78</v>
      </c>
      <c r="B493" s="274" t="s">
        <v>79</v>
      </c>
      <c r="C493" s="274" t="s">
        <v>3741</v>
      </c>
      <c r="D493" s="274" t="s">
        <v>3742</v>
      </c>
      <c r="E493" s="274" t="s">
        <v>44</v>
      </c>
      <c r="F493" s="274" t="s">
        <v>136</v>
      </c>
      <c r="G493" s="274" t="s">
        <v>93</v>
      </c>
      <c r="H493" s="274" t="s">
        <v>94</v>
      </c>
      <c r="I493" s="274" t="s">
        <v>4439</v>
      </c>
      <c r="J493" s="274" t="s">
        <v>6582</v>
      </c>
      <c r="K493" s="274" t="s">
        <v>6584</v>
      </c>
      <c r="L493" s="274" t="s">
        <v>4440</v>
      </c>
      <c r="M493" s="281">
        <v>-5807.16</v>
      </c>
      <c r="N493" s="280">
        <v>-5807.16</v>
      </c>
      <c r="O493" s="280"/>
      <c r="P493" s="280"/>
      <c r="Q493" s="280"/>
      <c r="R493" s="280"/>
      <c r="S493" s="280"/>
      <c r="T493" s="297"/>
    </row>
    <row r="494" spans="1:20" x14ac:dyDescent="0.25">
      <c r="A494" s="274" t="s">
        <v>78</v>
      </c>
      <c r="B494" s="274" t="s">
        <v>79</v>
      </c>
      <c r="C494" s="274" t="s">
        <v>3741</v>
      </c>
      <c r="D494" s="274" t="s">
        <v>3742</v>
      </c>
      <c r="E494" s="274" t="s">
        <v>44</v>
      </c>
      <c r="F494" s="274" t="s">
        <v>136</v>
      </c>
      <c r="G494" s="274" t="s">
        <v>93</v>
      </c>
      <c r="H494" s="274" t="s">
        <v>94</v>
      </c>
      <c r="I494" s="274" t="s">
        <v>4441</v>
      </c>
      <c r="J494" s="274" t="s">
        <v>6582</v>
      </c>
      <c r="K494" s="274" t="s">
        <v>6584</v>
      </c>
      <c r="L494" s="274" t="s">
        <v>4440</v>
      </c>
      <c r="M494" s="281">
        <v>2441.0500000000002</v>
      </c>
      <c r="N494" s="280">
        <v>2441.0500000000002</v>
      </c>
      <c r="O494" s="280"/>
      <c r="P494" s="280"/>
      <c r="Q494" s="280"/>
      <c r="R494" s="280"/>
      <c r="S494" s="280"/>
      <c r="T494" s="297"/>
    </row>
    <row r="495" spans="1:20" x14ac:dyDescent="0.25">
      <c r="A495" s="274" t="s">
        <v>78</v>
      </c>
      <c r="B495" s="274" t="s">
        <v>79</v>
      </c>
      <c r="C495" s="274" t="s">
        <v>3741</v>
      </c>
      <c r="D495" s="274" t="s">
        <v>3742</v>
      </c>
      <c r="E495" s="274" t="s">
        <v>44</v>
      </c>
      <c r="F495" s="274" t="s">
        <v>136</v>
      </c>
      <c r="G495" s="274" t="s">
        <v>93</v>
      </c>
      <c r="H495" s="274" t="s">
        <v>94</v>
      </c>
      <c r="I495" s="274" t="s">
        <v>4442</v>
      </c>
      <c r="J495" s="274" t="s">
        <v>6585</v>
      </c>
      <c r="K495" s="274" t="s">
        <v>6506</v>
      </c>
      <c r="L495" s="274" t="s">
        <v>4443</v>
      </c>
      <c r="M495" s="281">
        <v>1875</v>
      </c>
      <c r="N495" s="280">
        <v>1875</v>
      </c>
      <c r="O495" s="280"/>
      <c r="P495" s="280"/>
      <c r="Q495" s="280"/>
      <c r="R495" s="280"/>
      <c r="S495" s="280"/>
      <c r="T495" s="297"/>
    </row>
    <row r="496" spans="1:20" x14ac:dyDescent="0.25">
      <c r="A496" s="274" t="s">
        <v>78</v>
      </c>
      <c r="B496" s="274" t="s">
        <v>79</v>
      </c>
      <c r="C496" s="274" t="s">
        <v>3741</v>
      </c>
      <c r="D496" s="274" t="s">
        <v>3742</v>
      </c>
      <c r="E496" s="274" t="s">
        <v>44</v>
      </c>
      <c r="F496" s="274" t="s">
        <v>136</v>
      </c>
      <c r="G496" s="274" t="s">
        <v>93</v>
      </c>
      <c r="H496" s="274" t="s">
        <v>94</v>
      </c>
      <c r="I496" s="274" t="s">
        <v>4444</v>
      </c>
      <c r="J496" s="274" t="s">
        <v>6586</v>
      </c>
      <c r="K496" s="274" t="s">
        <v>3746</v>
      </c>
      <c r="L496" s="274" t="s">
        <v>4445</v>
      </c>
      <c r="M496" s="281">
        <v>16365.79</v>
      </c>
      <c r="N496" s="280">
        <v>16365.79</v>
      </c>
      <c r="O496" s="280"/>
      <c r="P496" s="280"/>
      <c r="Q496" s="280"/>
      <c r="R496" s="280"/>
      <c r="S496" s="280"/>
      <c r="T496" s="297"/>
    </row>
    <row r="497" spans="1:20" x14ac:dyDescent="0.25">
      <c r="A497" s="274" t="s">
        <v>78</v>
      </c>
      <c r="B497" s="274" t="s">
        <v>79</v>
      </c>
      <c r="C497" s="274" t="s">
        <v>3741</v>
      </c>
      <c r="D497" s="274" t="s">
        <v>3742</v>
      </c>
      <c r="E497" s="274" t="s">
        <v>44</v>
      </c>
      <c r="F497" s="274" t="s">
        <v>136</v>
      </c>
      <c r="G497" s="274" t="s">
        <v>93</v>
      </c>
      <c r="H497" s="274" t="s">
        <v>94</v>
      </c>
      <c r="I497" s="274" t="s">
        <v>4446</v>
      </c>
      <c r="J497" s="274" t="s">
        <v>6580</v>
      </c>
      <c r="K497" s="274" t="s">
        <v>3746</v>
      </c>
      <c r="L497" s="274" t="s">
        <v>4447</v>
      </c>
      <c r="M497" s="281">
        <v>-10000</v>
      </c>
      <c r="N497" s="280">
        <v>-10000</v>
      </c>
      <c r="O497" s="280"/>
      <c r="P497" s="280"/>
      <c r="Q497" s="280"/>
      <c r="R497" s="280"/>
      <c r="S497" s="280"/>
      <c r="T497" s="297"/>
    </row>
    <row r="498" spans="1:20" x14ac:dyDescent="0.25">
      <c r="A498" s="274" t="s">
        <v>78</v>
      </c>
      <c r="B498" s="274" t="s">
        <v>79</v>
      </c>
      <c r="C498" s="274" t="s">
        <v>3741</v>
      </c>
      <c r="D498" s="274" t="s">
        <v>3742</v>
      </c>
      <c r="E498" s="274" t="s">
        <v>44</v>
      </c>
      <c r="F498" s="274" t="s">
        <v>136</v>
      </c>
      <c r="G498" s="274" t="s">
        <v>93</v>
      </c>
      <c r="H498" s="274" t="s">
        <v>94</v>
      </c>
      <c r="I498" s="274" t="s">
        <v>4448</v>
      </c>
      <c r="J498" s="274" t="s">
        <v>6580</v>
      </c>
      <c r="K498" s="274" t="s">
        <v>3746</v>
      </c>
      <c r="L498" s="274" t="s">
        <v>4447</v>
      </c>
      <c r="M498" s="281">
        <v>7420</v>
      </c>
      <c r="N498" s="280">
        <v>7420</v>
      </c>
      <c r="O498" s="280"/>
      <c r="P498" s="280"/>
      <c r="Q498" s="280"/>
      <c r="R498" s="280"/>
      <c r="S498" s="280"/>
      <c r="T498" s="297"/>
    </row>
    <row r="499" spans="1:20" x14ac:dyDescent="0.25">
      <c r="A499" s="274" t="s">
        <v>78</v>
      </c>
      <c r="B499" s="274" t="s">
        <v>79</v>
      </c>
      <c r="C499" s="274" t="s">
        <v>3741</v>
      </c>
      <c r="D499" s="274" t="s">
        <v>3742</v>
      </c>
      <c r="E499" s="274" t="s">
        <v>44</v>
      </c>
      <c r="F499" s="274" t="s">
        <v>136</v>
      </c>
      <c r="G499" s="274" t="s">
        <v>93</v>
      </c>
      <c r="H499" s="274" t="s">
        <v>94</v>
      </c>
      <c r="I499" s="274" t="s">
        <v>4449</v>
      </c>
      <c r="J499" s="274" t="s">
        <v>6580</v>
      </c>
      <c r="K499" s="274" t="s">
        <v>3746</v>
      </c>
      <c r="L499" s="274" t="s">
        <v>4450</v>
      </c>
      <c r="M499" s="281">
        <v>10000</v>
      </c>
      <c r="N499" s="280">
        <v>10000</v>
      </c>
      <c r="O499" s="280"/>
      <c r="P499" s="280"/>
      <c r="Q499" s="280"/>
      <c r="R499" s="280"/>
      <c r="S499" s="280"/>
      <c r="T499" s="297"/>
    </row>
    <row r="500" spans="1:20" x14ac:dyDescent="0.25">
      <c r="A500" s="274" t="s">
        <v>78</v>
      </c>
      <c r="B500" s="274" t="s">
        <v>79</v>
      </c>
      <c r="C500" s="274" t="s">
        <v>3741</v>
      </c>
      <c r="D500" s="274" t="s">
        <v>3742</v>
      </c>
      <c r="E500" s="274" t="s">
        <v>44</v>
      </c>
      <c r="F500" s="274" t="s">
        <v>136</v>
      </c>
      <c r="G500" s="274" t="s">
        <v>93</v>
      </c>
      <c r="H500" s="274" t="s">
        <v>94</v>
      </c>
      <c r="I500" s="274" t="s">
        <v>4451</v>
      </c>
      <c r="J500" s="274" t="s">
        <v>6587</v>
      </c>
      <c r="K500" s="274" t="s">
        <v>3746</v>
      </c>
      <c r="L500" s="274" t="s">
        <v>4452</v>
      </c>
      <c r="M500" s="281">
        <v>-10000</v>
      </c>
      <c r="N500" s="280">
        <v>-10000</v>
      </c>
      <c r="O500" s="280"/>
      <c r="P500" s="280"/>
      <c r="Q500" s="280"/>
      <c r="R500" s="280"/>
      <c r="S500" s="280"/>
      <c r="T500" s="297"/>
    </row>
    <row r="501" spans="1:20" x14ac:dyDescent="0.25">
      <c r="A501" s="274" t="s">
        <v>78</v>
      </c>
      <c r="B501" s="274" t="s">
        <v>79</v>
      </c>
      <c r="C501" s="274" t="s">
        <v>3741</v>
      </c>
      <c r="D501" s="274" t="s">
        <v>3742</v>
      </c>
      <c r="E501" s="274" t="s">
        <v>44</v>
      </c>
      <c r="F501" s="274" t="s">
        <v>136</v>
      </c>
      <c r="G501" s="274" t="s">
        <v>93</v>
      </c>
      <c r="H501" s="274" t="s">
        <v>94</v>
      </c>
      <c r="I501" s="274" t="s">
        <v>4453</v>
      </c>
      <c r="J501" s="274" t="s">
        <v>6587</v>
      </c>
      <c r="K501" s="274" t="s">
        <v>3746</v>
      </c>
      <c r="L501" s="274" t="s">
        <v>4452</v>
      </c>
      <c r="M501" s="281">
        <v>3850</v>
      </c>
      <c r="N501" s="280">
        <v>3850</v>
      </c>
      <c r="O501" s="280"/>
      <c r="P501" s="280"/>
      <c r="Q501" s="280"/>
      <c r="R501" s="280"/>
      <c r="S501" s="280"/>
      <c r="T501" s="297"/>
    </row>
    <row r="502" spans="1:20" x14ac:dyDescent="0.25">
      <c r="A502" s="274" t="s">
        <v>78</v>
      </c>
      <c r="B502" s="274" t="s">
        <v>79</v>
      </c>
      <c r="C502" s="274" t="s">
        <v>3741</v>
      </c>
      <c r="D502" s="274" t="s">
        <v>3742</v>
      </c>
      <c r="E502" s="274" t="s">
        <v>44</v>
      </c>
      <c r="F502" s="274" t="s">
        <v>136</v>
      </c>
      <c r="G502" s="274" t="s">
        <v>93</v>
      </c>
      <c r="H502" s="274" t="s">
        <v>94</v>
      </c>
      <c r="I502" s="274" t="s">
        <v>4454</v>
      </c>
      <c r="J502" s="274" t="s">
        <v>6587</v>
      </c>
      <c r="K502" s="274" t="s">
        <v>3746</v>
      </c>
      <c r="L502" s="274" t="s">
        <v>4452</v>
      </c>
      <c r="M502" s="281">
        <v>6150</v>
      </c>
      <c r="N502" s="280">
        <v>6150</v>
      </c>
      <c r="O502" s="280"/>
      <c r="P502" s="280"/>
      <c r="Q502" s="280"/>
      <c r="R502" s="280"/>
      <c r="S502" s="280"/>
      <c r="T502" s="297"/>
    </row>
    <row r="503" spans="1:20" x14ac:dyDescent="0.25">
      <c r="A503" s="274" t="s">
        <v>78</v>
      </c>
      <c r="B503" s="274" t="s">
        <v>79</v>
      </c>
      <c r="C503" s="274" t="s">
        <v>3741</v>
      </c>
      <c r="D503" s="274" t="s">
        <v>3742</v>
      </c>
      <c r="E503" s="274" t="s">
        <v>44</v>
      </c>
      <c r="F503" s="274" t="s">
        <v>136</v>
      </c>
      <c r="G503" s="274" t="s">
        <v>93</v>
      </c>
      <c r="H503" s="274" t="s">
        <v>94</v>
      </c>
      <c r="I503" s="274" t="s">
        <v>4455</v>
      </c>
      <c r="J503" s="274" t="s">
        <v>6588</v>
      </c>
      <c r="K503" s="274" t="s">
        <v>3746</v>
      </c>
      <c r="L503" s="274" t="s">
        <v>4456</v>
      </c>
      <c r="M503" s="281">
        <v>28177.5</v>
      </c>
      <c r="N503" s="280">
        <v>28177.5</v>
      </c>
      <c r="O503" s="280"/>
      <c r="P503" s="280"/>
      <c r="Q503" s="280"/>
      <c r="R503" s="280"/>
      <c r="S503" s="280"/>
      <c r="T503" s="297"/>
    </row>
    <row r="504" spans="1:20" x14ac:dyDescent="0.25">
      <c r="A504" s="274" t="s">
        <v>78</v>
      </c>
      <c r="B504" s="274" t="s">
        <v>79</v>
      </c>
      <c r="C504" s="274" t="s">
        <v>3741</v>
      </c>
      <c r="D504" s="274" t="s">
        <v>3742</v>
      </c>
      <c r="E504" s="274" t="s">
        <v>44</v>
      </c>
      <c r="F504" s="274" t="s">
        <v>136</v>
      </c>
      <c r="G504" s="274" t="s">
        <v>93</v>
      </c>
      <c r="H504" s="274" t="s">
        <v>94</v>
      </c>
      <c r="I504" s="274" t="s">
        <v>4457</v>
      </c>
      <c r="J504" s="274" t="s">
        <v>6588</v>
      </c>
      <c r="K504" s="274" t="s">
        <v>6506</v>
      </c>
      <c r="L504" s="274" t="s">
        <v>4458</v>
      </c>
      <c r="M504" s="281">
        <v>3892</v>
      </c>
      <c r="N504" s="280">
        <v>3892</v>
      </c>
      <c r="O504" s="280"/>
      <c r="P504" s="280"/>
      <c r="Q504" s="280"/>
      <c r="R504" s="280"/>
      <c r="S504" s="280"/>
      <c r="T504" s="297"/>
    </row>
    <row r="505" spans="1:20" x14ac:dyDescent="0.25">
      <c r="A505" s="274" t="s">
        <v>78</v>
      </c>
      <c r="B505" s="274" t="s">
        <v>79</v>
      </c>
      <c r="C505" s="274" t="s">
        <v>3741</v>
      </c>
      <c r="D505" s="274" t="s">
        <v>3742</v>
      </c>
      <c r="E505" s="274" t="s">
        <v>44</v>
      </c>
      <c r="F505" s="274" t="s">
        <v>136</v>
      </c>
      <c r="G505" s="274" t="s">
        <v>93</v>
      </c>
      <c r="H505" s="274" t="s">
        <v>94</v>
      </c>
      <c r="I505" s="274" t="s">
        <v>4459</v>
      </c>
      <c r="J505" s="274" t="s">
        <v>6588</v>
      </c>
      <c r="K505" s="274" t="s">
        <v>6546</v>
      </c>
      <c r="L505" s="274" t="s">
        <v>4460</v>
      </c>
      <c r="M505" s="281">
        <v>33330.92</v>
      </c>
      <c r="N505" s="280">
        <v>33330.92</v>
      </c>
      <c r="O505" s="280"/>
      <c r="P505" s="280"/>
      <c r="Q505" s="280"/>
      <c r="R505" s="280"/>
      <c r="S505" s="280"/>
      <c r="T505" s="297"/>
    </row>
    <row r="506" spans="1:20" x14ac:dyDescent="0.25">
      <c r="A506" s="274" t="s">
        <v>78</v>
      </c>
      <c r="B506" s="274" t="s">
        <v>79</v>
      </c>
      <c r="C506" s="274" t="s">
        <v>3741</v>
      </c>
      <c r="D506" s="274" t="s">
        <v>3742</v>
      </c>
      <c r="E506" s="274" t="s">
        <v>44</v>
      </c>
      <c r="F506" s="274" t="s">
        <v>136</v>
      </c>
      <c r="G506" s="274" t="s">
        <v>93</v>
      </c>
      <c r="H506" s="274" t="s">
        <v>94</v>
      </c>
      <c r="I506" s="274" t="s">
        <v>4461</v>
      </c>
      <c r="J506" s="274" t="s">
        <v>6588</v>
      </c>
      <c r="K506" s="274" t="s">
        <v>6589</v>
      </c>
      <c r="L506" s="274" t="s">
        <v>4462</v>
      </c>
      <c r="M506" s="281">
        <v>4726.33</v>
      </c>
      <c r="N506" s="280">
        <v>4726.33</v>
      </c>
      <c r="O506" s="280"/>
      <c r="P506" s="280"/>
      <c r="Q506" s="280"/>
      <c r="R506" s="280"/>
      <c r="S506" s="280"/>
      <c r="T506" s="297"/>
    </row>
    <row r="507" spans="1:20" x14ac:dyDescent="0.25">
      <c r="A507" s="274" t="s">
        <v>78</v>
      </c>
      <c r="B507" s="274" t="s">
        <v>79</v>
      </c>
      <c r="C507" s="274" t="s">
        <v>3741</v>
      </c>
      <c r="D507" s="274" t="s">
        <v>3742</v>
      </c>
      <c r="E507" s="274" t="s">
        <v>44</v>
      </c>
      <c r="F507" s="274" t="s">
        <v>136</v>
      </c>
      <c r="G507" s="274" t="s">
        <v>93</v>
      </c>
      <c r="H507" s="274" t="s">
        <v>94</v>
      </c>
      <c r="I507" s="274" t="s">
        <v>4463</v>
      </c>
      <c r="J507" s="274" t="s">
        <v>6588</v>
      </c>
      <c r="K507" s="274" t="s">
        <v>6572</v>
      </c>
      <c r="L507" s="274" t="s">
        <v>4464</v>
      </c>
      <c r="M507" s="281">
        <v>64683.17</v>
      </c>
      <c r="N507" s="280">
        <v>64683.17</v>
      </c>
      <c r="O507" s="280"/>
      <c r="P507" s="280"/>
      <c r="Q507" s="280"/>
      <c r="R507" s="280"/>
      <c r="S507" s="280"/>
      <c r="T507" s="297"/>
    </row>
    <row r="508" spans="1:20" x14ac:dyDescent="0.25">
      <c r="A508" s="274" t="s">
        <v>78</v>
      </c>
      <c r="B508" s="274" t="s">
        <v>79</v>
      </c>
      <c r="C508" s="274" t="s">
        <v>3741</v>
      </c>
      <c r="D508" s="274" t="s">
        <v>3742</v>
      </c>
      <c r="E508" s="274" t="s">
        <v>44</v>
      </c>
      <c r="F508" s="274" t="s">
        <v>136</v>
      </c>
      <c r="G508" s="274" t="s">
        <v>93</v>
      </c>
      <c r="H508" s="274" t="s">
        <v>94</v>
      </c>
      <c r="I508" s="274" t="s">
        <v>4465</v>
      </c>
      <c r="J508" s="274" t="s">
        <v>6588</v>
      </c>
      <c r="K508" s="274" t="s">
        <v>6590</v>
      </c>
      <c r="L508" s="274" t="s">
        <v>4466</v>
      </c>
      <c r="M508" s="281">
        <v>6131</v>
      </c>
      <c r="N508" s="280">
        <v>6131</v>
      </c>
      <c r="O508" s="280"/>
      <c r="P508" s="280"/>
      <c r="Q508" s="280"/>
      <c r="R508" s="280"/>
      <c r="S508" s="280"/>
      <c r="T508" s="297"/>
    </row>
    <row r="509" spans="1:20" x14ac:dyDescent="0.25">
      <c r="A509" s="274" t="s">
        <v>78</v>
      </c>
      <c r="B509" s="274" t="s">
        <v>79</v>
      </c>
      <c r="C509" s="274" t="s">
        <v>3741</v>
      </c>
      <c r="D509" s="274" t="s">
        <v>3742</v>
      </c>
      <c r="E509" s="274" t="s">
        <v>44</v>
      </c>
      <c r="F509" s="274" t="s">
        <v>136</v>
      </c>
      <c r="G509" s="274" t="s">
        <v>93</v>
      </c>
      <c r="H509" s="274" t="s">
        <v>94</v>
      </c>
      <c r="I509" s="274" t="s">
        <v>4467</v>
      </c>
      <c r="J509" s="274" t="s">
        <v>6588</v>
      </c>
      <c r="K509" s="274" t="s">
        <v>6570</v>
      </c>
      <c r="L509" s="274" t="s">
        <v>4468</v>
      </c>
      <c r="M509" s="281">
        <v>12262</v>
      </c>
      <c r="N509" s="280">
        <v>12262</v>
      </c>
      <c r="O509" s="280"/>
      <c r="P509" s="280"/>
      <c r="Q509" s="280"/>
      <c r="R509" s="280"/>
      <c r="S509" s="280"/>
      <c r="T509" s="297"/>
    </row>
    <row r="510" spans="1:20" x14ac:dyDescent="0.25">
      <c r="A510" s="274" t="s">
        <v>78</v>
      </c>
      <c r="B510" s="274" t="s">
        <v>79</v>
      </c>
      <c r="C510" s="274" t="s">
        <v>3741</v>
      </c>
      <c r="D510" s="274" t="s">
        <v>3742</v>
      </c>
      <c r="E510" s="274" t="s">
        <v>44</v>
      </c>
      <c r="F510" s="274" t="s">
        <v>136</v>
      </c>
      <c r="G510" s="274" t="s">
        <v>93</v>
      </c>
      <c r="H510" s="274" t="s">
        <v>94</v>
      </c>
      <c r="I510" s="274" t="s">
        <v>4469</v>
      </c>
      <c r="J510" s="274" t="s">
        <v>6588</v>
      </c>
      <c r="K510" s="274" t="s">
        <v>6567</v>
      </c>
      <c r="L510" s="274" t="s">
        <v>4470</v>
      </c>
      <c r="M510" s="281">
        <v>62652.69</v>
      </c>
      <c r="N510" s="280">
        <v>62652.69</v>
      </c>
      <c r="O510" s="280"/>
      <c r="P510" s="280"/>
      <c r="Q510" s="280"/>
      <c r="R510" s="280"/>
      <c r="S510" s="280"/>
      <c r="T510" s="297"/>
    </row>
    <row r="511" spans="1:20" x14ac:dyDescent="0.25">
      <c r="A511" s="274" t="s">
        <v>78</v>
      </c>
      <c r="B511" s="274" t="s">
        <v>79</v>
      </c>
      <c r="C511" s="274" t="s">
        <v>3741</v>
      </c>
      <c r="D511" s="274" t="s">
        <v>3742</v>
      </c>
      <c r="E511" s="274" t="s">
        <v>44</v>
      </c>
      <c r="F511" s="274" t="s">
        <v>136</v>
      </c>
      <c r="G511" s="274" t="s">
        <v>93</v>
      </c>
      <c r="H511" s="274" t="s">
        <v>94</v>
      </c>
      <c r="I511" s="274" t="s">
        <v>4471</v>
      </c>
      <c r="J511" s="274" t="s">
        <v>6588</v>
      </c>
      <c r="K511" s="274" t="s">
        <v>6591</v>
      </c>
      <c r="L511" s="274" t="s">
        <v>4472</v>
      </c>
      <c r="M511" s="281">
        <v>37055.82</v>
      </c>
      <c r="N511" s="280">
        <v>37055.82</v>
      </c>
      <c r="O511" s="280"/>
      <c r="P511" s="280"/>
      <c r="Q511" s="280"/>
      <c r="R511" s="280"/>
      <c r="S511" s="280"/>
      <c r="T511" s="297"/>
    </row>
    <row r="512" spans="1:20" x14ac:dyDescent="0.25">
      <c r="A512" s="274" t="s">
        <v>78</v>
      </c>
      <c r="B512" s="274" t="s">
        <v>79</v>
      </c>
      <c r="C512" s="274" t="s">
        <v>3741</v>
      </c>
      <c r="D512" s="274" t="s">
        <v>3742</v>
      </c>
      <c r="E512" s="274" t="s">
        <v>44</v>
      </c>
      <c r="F512" s="274" t="s">
        <v>136</v>
      </c>
      <c r="G512" s="274" t="s">
        <v>93</v>
      </c>
      <c r="H512" s="274" t="s">
        <v>94</v>
      </c>
      <c r="I512" s="274" t="s">
        <v>4473</v>
      </c>
      <c r="J512" s="274" t="s">
        <v>6588</v>
      </c>
      <c r="K512" s="274" t="s">
        <v>6592</v>
      </c>
      <c r="L512" s="274" t="s">
        <v>4474</v>
      </c>
      <c r="M512" s="281">
        <v>5833.33</v>
      </c>
      <c r="N512" s="280">
        <v>5833.33</v>
      </c>
      <c r="O512" s="280"/>
      <c r="P512" s="280"/>
      <c r="Q512" s="280"/>
      <c r="R512" s="280"/>
      <c r="S512" s="280"/>
      <c r="T512" s="297"/>
    </row>
    <row r="513" spans="1:20" x14ac:dyDescent="0.25">
      <c r="A513" s="274" t="s">
        <v>78</v>
      </c>
      <c r="B513" s="274" t="s">
        <v>79</v>
      </c>
      <c r="C513" s="274" t="s">
        <v>3741</v>
      </c>
      <c r="D513" s="274" t="s">
        <v>3742</v>
      </c>
      <c r="E513" s="274" t="s">
        <v>44</v>
      </c>
      <c r="F513" s="274" t="s">
        <v>136</v>
      </c>
      <c r="G513" s="274" t="s">
        <v>93</v>
      </c>
      <c r="H513" s="274" t="s">
        <v>94</v>
      </c>
      <c r="I513" s="274" t="s">
        <v>4475</v>
      </c>
      <c r="J513" s="274" t="s">
        <v>6588</v>
      </c>
      <c r="K513" s="274" t="s">
        <v>6593</v>
      </c>
      <c r="L513" s="274" t="s">
        <v>4476</v>
      </c>
      <c r="M513" s="281">
        <v>5250</v>
      </c>
      <c r="N513" s="280">
        <v>5250</v>
      </c>
      <c r="O513" s="280"/>
      <c r="P513" s="280"/>
      <c r="Q513" s="280"/>
      <c r="R513" s="280"/>
      <c r="S513" s="280"/>
      <c r="T513" s="297"/>
    </row>
    <row r="514" spans="1:20" x14ac:dyDescent="0.25">
      <c r="A514" s="274" t="s">
        <v>78</v>
      </c>
      <c r="B514" s="274" t="s">
        <v>79</v>
      </c>
      <c r="C514" s="274" t="s">
        <v>3741</v>
      </c>
      <c r="D514" s="274" t="s">
        <v>3742</v>
      </c>
      <c r="E514" s="274" t="s">
        <v>44</v>
      </c>
      <c r="F514" s="274" t="s">
        <v>136</v>
      </c>
      <c r="G514" s="274" t="s">
        <v>93</v>
      </c>
      <c r="H514" s="274" t="s">
        <v>94</v>
      </c>
      <c r="I514" s="274" t="s">
        <v>4477</v>
      </c>
      <c r="J514" s="274" t="s">
        <v>6588</v>
      </c>
      <c r="K514" s="274" t="s">
        <v>6594</v>
      </c>
      <c r="L514" s="274" t="s">
        <v>4478</v>
      </c>
      <c r="M514" s="281">
        <v>27081.58</v>
      </c>
      <c r="N514" s="280">
        <v>27081.58</v>
      </c>
      <c r="O514" s="280"/>
      <c r="P514" s="280"/>
      <c r="Q514" s="280"/>
      <c r="R514" s="280"/>
      <c r="S514" s="280"/>
      <c r="T514" s="297"/>
    </row>
    <row r="515" spans="1:20" x14ac:dyDescent="0.25">
      <c r="A515" s="274" t="s">
        <v>78</v>
      </c>
      <c r="B515" s="274" t="s">
        <v>79</v>
      </c>
      <c r="C515" s="274" t="s">
        <v>3741</v>
      </c>
      <c r="D515" s="274" t="s">
        <v>3742</v>
      </c>
      <c r="E515" s="274" t="s">
        <v>44</v>
      </c>
      <c r="F515" s="274" t="s">
        <v>136</v>
      </c>
      <c r="G515" s="274" t="s">
        <v>93</v>
      </c>
      <c r="H515" s="274" t="s">
        <v>94</v>
      </c>
      <c r="I515" s="274" t="s">
        <v>4479</v>
      </c>
      <c r="J515" s="274" t="s">
        <v>6588</v>
      </c>
      <c r="K515" s="274" t="s">
        <v>6595</v>
      </c>
      <c r="L515" s="274" t="s">
        <v>4480</v>
      </c>
      <c r="M515" s="281">
        <v>7071.53</v>
      </c>
      <c r="N515" s="280">
        <v>7071.53</v>
      </c>
      <c r="O515" s="280"/>
      <c r="P515" s="280"/>
      <c r="Q515" s="280"/>
      <c r="R515" s="280"/>
      <c r="S515" s="280"/>
      <c r="T515" s="297"/>
    </row>
    <row r="516" spans="1:20" x14ac:dyDescent="0.25">
      <c r="A516" s="274" t="s">
        <v>78</v>
      </c>
      <c r="B516" s="274" t="s">
        <v>79</v>
      </c>
      <c r="C516" s="274" t="s">
        <v>3741</v>
      </c>
      <c r="D516" s="274" t="s">
        <v>3742</v>
      </c>
      <c r="E516" s="274" t="s">
        <v>44</v>
      </c>
      <c r="F516" s="274" t="s">
        <v>136</v>
      </c>
      <c r="G516" s="274" t="s">
        <v>93</v>
      </c>
      <c r="H516" s="274" t="s">
        <v>94</v>
      </c>
      <c r="I516" s="274" t="s">
        <v>4481</v>
      </c>
      <c r="J516" s="274" t="s">
        <v>6588</v>
      </c>
      <c r="K516" s="274" t="s">
        <v>6596</v>
      </c>
      <c r="L516" s="274" t="s">
        <v>4482</v>
      </c>
      <c r="M516" s="281">
        <v>9979.5</v>
      </c>
      <c r="N516" s="280">
        <v>9979.5</v>
      </c>
      <c r="O516" s="280"/>
      <c r="P516" s="280"/>
      <c r="Q516" s="280"/>
      <c r="R516" s="280"/>
      <c r="S516" s="280"/>
      <c r="T516" s="297"/>
    </row>
    <row r="517" spans="1:20" x14ac:dyDescent="0.25">
      <c r="A517" s="274" t="s">
        <v>78</v>
      </c>
      <c r="B517" s="274" t="s">
        <v>79</v>
      </c>
      <c r="C517" s="274" t="s">
        <v>3741</v>
      </c>
      <c r="D517" s="274" t="s">
        <v>3742</v>
      </c>
      <c r="E517" s="274" t="s">
        <v>44</v>
      </c>
      <c r="F517" s="274" t="s">
        <v>136</v>
      </c>
      <c r="G517" s="274" t="s">
        <v>93</v>
      </c>
      <c r="H517" s="274" t="s">
        <v>94</v>
      </c>
      <c r="I517" s="274" t="s">
        <v>4483</v>
      </c>
      <c r="J517" s="274" t="s">
        <v>6588</v>
      </c>
      <c r="K517" s="274" t="s">
        <v>6597</v>
      </c>
      <c r="L517" s="274" t="s">
        <v>4484</v>
      </c>
      <c r="M517" s="281">
        <v>1319.25</v>
      </c>
      <c r="N517" s="280">
        <v>1319.25</v>
      </c>
      <c r="O517" s="280"/>
      <c r="P517" s="280"/>
      <c r="Q517" s="280"/>
      <c r="R517" s="280"/>
      <c r="S517" s="280"/>
      <c r="T517" s="297"/>
    </row>
    <row r="518" spans="1:20" x14ac:dyDescent="0.25">
      <c r="A518" s="274" t="s">
        <v>78</v>
      </c>
      <c r="B518" s="274" t="s">
        <v>79</v>
      </c>
      <c r="C518" s="274" t="s">
        <v>3741</v>
      </c>
      <c r="D518" s="274" t="s">
        <v>3742</v>
      </c>
      <c r="E518" s="274" t="s">
        <v>44</v>
      </c>
      <c r="F518" s="274" t="s">
        <v>136</v>
      </c>
      <c r="G518" s="274" t="s">
        <v>93</v>
      </c>
      <c r="H518" s="274" t="s">
        <v>94</v>
      </c>
      <c r="I518" s="274" t="s">
        <v>4485</v>
      </c>
      <c r="J518" s="274" t="s">
        <v>6588</v>
      </c>
      <c r="K518" s="274" t="s">
        <v>6598</v>
      </c>
      <c r="L518" s="274" t="s">
        <v>4486</v>
      </c>
      <c r="M518" s="281">
        <v>6365.08</v>
      </c>
      <c r="N518" s="280">
        <v>6365.08</v>
      </c>
      <c r="O518" s="280"/>
      <c r="P518" s="280"/>
      <c r="Q518" s="280"/>
      <c r="R518" s="280"/>
      <c r="S518" s="280"/>
      <c r="T518" s="297"/>
    </row>
    <row r="519" spans="1:20" x14ac:dyDescent="0.25">
      <c r="A519" s="274" t="s">
        <v>78</v>
      </c>
      <c r="B519" s="274" t="s">
        <v>79</v>
      </c>
      <c r="C519" s="274" t="s">
        <v>3741</v>
      </c>
      <c r="D519" s="274" t="s">
        <v>3742</v>
      </c>
      <c r="E519" s="274" t="s">
        <v>44</v>
      </c>
      <c r="F519" s="274" t="s">
        <v>136</v>
      </c>
      <c r="G519" s="274" t="s">
        <v>93</v>
      </c>
      <c r="H519" s="274" t="s">
        <v>94</v>
      </c>
      <c r="I519" s="274" t="s">
        <v>4487</v>
      </c>
      <c r="J519" s="274" t="s">
        <v>6588</v>
      </c>
      <c r="K519" s="274" t="s">
        <v>6599</v>
      </c>
      <c r="L519" s="274" t="s">
        <v>4488</v>
      </c>
      <c r="M519" s="281">
        <v>20670.240000000002</v>
      </c>
      <c r="N519" s="280">
        <v>20670.240000000002</v>
      </c>
      <c r="O519" s="280"/>
      <c r="P519" s="280"/>
      <c r="Q519" s="280"/>
      <c r="R519" s="280"/>
      <c r="S519" s="280"/>
      <c r="T519" s="297"/>
    </row>
    <row r="520" spans="1:20" x14ac:dyDescent="0.25">
      <c r="A520" s="274" t="s">
        <v>78</v>
      </c>
      <c r="B520" s="274" t="s">
        <v>79</v>
      </c>
      <c r="C520" s="274" t="s">
        <v>3741</v>
      </c>
      <c r="D520" s="274" t="s">
        <v>3742</v>
      </c>
      <c r="E520" s="274" t="s">
        <v>44</v>
      </c>
      <c r="F520" s="274" t="s">
        <v>136</v>
      </c>
      <c r="G520" s="274" t="s">
        <v>93</v>
      </c>
      <c r="H520" s="274" t="s">
        <v>94</v>
      </c>
      <c r="I520" s="274" t="s">
        <v>4489</v>
      </c>
      <c r="J520" s="274" t="s">
        <v>6588</v>
      </c>
      <c r="K520" s="274" t="s">
        <v>6600</v>
      </c>
      <c r="L520" s="274" t="s">
        <v>4490</v>
      </c>
      <c r="M520" s="281">
        <v>33528.04</v>
      </c>
      <c r="N520" s="280">
        <v>33528.04</v>
      </c>
      <c r="O520" s="280"/>
      <c r="P520" s="280"/>
      <c r="Q520" s="280"/>
      <c r="R520" s="280"/>
      <c r="S520" s="280"/>
      <c r="T520" s="297"/>
    </row>
    <row r="521" spans="1:20" x14ac:dyDescent="0.25">
      <c r="A521" s="274" t="s">
        <v>78</v>
      </c>
      <c r="B521" s="274" t="s">
        <v>79</v>
      </c>
      <c r="C521" s="274" t="s">
        <v>3741</v>
      </c>
      <c r="D521" s="274" t="s">
        <v>3742</v>
      </c>
      <c r="E521" s="274" t="s">
        <v>44</v>
      </c>
      <c r="F521" s="274" t="s">
        <v>136</v>
      </c>
      <c r="G521" s="274" t="s">
        <v>93</v>
      </c>
      <c r="H521" s="274" t="s">
        <v>94</v>
      </c>
      <c r="I521" s="274" t="s">
        <v>4491</v>
      </c>
      <c r="J521" s="274" t="s">
        <v>6588</v>
      </c>
      <c r="K521" s="274" t="s">
        <v>6601</v>
      </c>
      <c r="L521" s="274" t="s">
        <v>4492</v>
      </c>
      <c r="M521" s="281">
        <v>27403.14</v>
      </c>
      <c r="N521" s="280">
        <v>27403.14</v>
      </c>
      <c r="O521" s="280"/>
      <c r="P521" s="280"/>
      <c r="Q521" s="280"/>
      <c r="R521" s="280"/>
      <c r="S521" s="280"/>
      <c r="T521" s="297"/>
    </row>
    <row r="522" spans="1:20" x14ac:dyDescent="0.25">
      <c r="A522" s="274" t="s">
        <v>78</v>
      </c>
      <c r="B522" s="274" t="s">
        <v>79</v>
      </c>
      <c r="C522" s="274" t="s">
        <v>3741</v>
      </c>
      <c r="D522" s="274" t="s">
        <v>3742</v>
      </c>
      <c r="E522" s="274" t="s">
        <v>44</v>
      </c>
      <c r="F522" s="274" t="s">
        <v>136</v>
      </c>
      <c r="G522" s="274" t="s">
        <v>93</v>
      </c>
      <c r="H522" s="274" t="s">
        <v>94</v>
      </c>
      <c r="I522" s="274" t="s">
        <v>4493</v>
      </c>
      <c r="J522" s="274" t="s">
        <v>6588</v>
      </c>
      <c r="K522" s="274" t="s">
        <v>6602</v>
      </c>
      <c r="L522" s="274" t="s">
        <v>4494</v>
      </c>
      <c r="M522" s="281">
        <v>5923.44</v>
      </c>
      <c r="N522" s="280">
        <v>5923.44</v>
      </c>
      <c r="O522" s="280"/>
      <c r="P522" s="280"/>
      <c r="Q522" s="280"/>
      <c r="R522" s="280"/>
      <c r="S522" s="280"/>
      <c r="T522" s="297"/>
    </row>
    <row r="523" spans="1:20" x14ac:dyDescent="0.25">
      <c r="A523" s="274" t="s">
        <v>78</v>
      </c>
      <c r="B523" s="274" t="s">
        <v>79</v>
      </c>
      <c r="C523" s="274" t="s">
        <v>3741</v>
      </c>
      <c r="D523" s="274" t="s">
        <v>3742</v>
      </c>
      <c r="E523" s="274" t="s">
        <v>44</v>
      </c>
      <c r="F523" s="274" t="s">
        <v>136</v>
      </c>
      <c r="G523" s="274" t="s">
        <v>93</v>
      </c>
      <c r="H523" s="274" t="s">
        <v>94</v>
      </c>
      <c r="I523" s="274" t="s">
        <v>4495</v>
      </c>
      <c r="J523" s="274" t="s">
        <v>6588</v>
      </c>
      <c r="K523" s="274" t="s">
        <v>6583</v>
      </c>
      <c r="L523" s="274" t="s">
        <v>4496</v>
      </c>
      <c r="M523" s="281">
        <v>3166.2</v>
      </c>
      <c r="N523" s="280">
        <v>3166.2</v>
      </c>
      <c r="O523" s="280"/>
      <c r="P523" s="280"/>
      <c r="Q523" s="280"/>
      <c r="R523" s="280"/>
      <c r="S523" s="280"/>
      <c r="T523" s="297"/>
    </row>
    <row r="524" spans="1:20" x14ac:dyDescent="0.25">
      <c r="A524" s="274" t="s">
        <v>78</v>
      </c>
      <c r="B524" s="274" t="s">
        <v>79</v>
      </c>
      <c r="C524" s="274" t="s">
        <v>3741</v>
      </c>
      <c r="D524" s="274" t="s">
        <v>3742</v>
      </c>
      <c r="E524" s="274" t="s">
        <v>44</v>
      </c>
      <c r="F524" s="274" t="s">
        <v>136</v>
      </c>
      <c r="G524" s="274" t="s">
        <v>93</v>
      </c>
      <c r="H524" s="274" t="s">
        <v>94</v>
      </c>
      <c r="I524" s="274" t="s">
        <v>4497</v>
      </c>
      <c r="J524" s="274" t="s">
        <v>6588</v>
      </c>
      <c r="K524" s="274" t="s">
        <v>6584</v>
      </c>
      <c r="L524" s="274" t="s">
        <v>4498</v>
      </c>
      <c r="M524" s="281">
        <v>16144.11</v>
      </c>
      <c r="N524" s="280">
        <v>16144.11</v>
      </c>
      <c r="O524" s="280"/>
      <c r="P524" s="280"/>
      <c r="Q524" s="280"/>
      <c r="R524" s="280"/>
      <c r="S524" s="280"/>
      <c r="T524" s="297"/>
    </row>
    <row r="525" spans="1:20" x14ac:dyDescent="0.25">
      <c r="A525" s="274" t="s">
        <v>78</v>
      </c>
      <c r="B525" s="274" t="s">
        <v>79</v>
      </c>
      <c r="C525" s="274" t="s">
        <v>3741</v>
      </c>
      <c r="D525" s="274" t="s">
        <v>3742</v>
      </c>
      <c r="E525" s="274" t="s">
        <v>44</v>
      </c>
      <c r="F525" s="274" t="s">
        <v>136</v>
      </c>
      <c r="G525" s="274" t="s">
        <v>93</v>
      </c>
      <c r="H525" s="274" t="s">
        <v>94</v>
      </c>
      <c r="I525" s="274" t="s">
        <v>4499</v>
      </c>
      <c r="J525" s="274" t="s">
        <v>6588</v>
      </c>
      <c r="K525" s="274" t="s">
        <v>6603</v>
      </c>
      <c r="L525" s="274" t="s">
        <v>4500</v>
      </c>
      <c r="M525" s="281">
        <v>10000</v>
      </c>
      <c r="N525" s="280">
        <v>10000</v>
      </c>
      <c r="O525" s="280"/>
      <c r="P525" s="280"/>
      <c r="Q525" s="280"/>
      <c r="R525" s="280"/>
      <c r="S525" s="280"/>
      <c r="T525" s="297"/>
    </row>
    <row r="526" spans="1:20" x14ac:dyDescent="0.25">
      <c r="A526" s="274" t="s">
        <v>78</v>
      </c>
      <c r="B526" s="274" t="s">
        <v>79</v>
      </c>
      <c r="C526" s="274" t="s">
        <v>3741</v>
      </c>
      <c r="D526" s="274" t="s">
        <v>3742</v>
      </c>
      <c r="E526" s="274" t="s">
        <v>44</v>
      </c>
      <c r="F526" s="274" t="s">
        <v>136</v>
      </c>
      <c r="G526" s="274" t="s">
        <v>93</v>
      </c>
      <c r="H526" s="274" t="s">
        <v>94</v>
      </c>
      <c r="I526" s="274" t="s">
        <v>4501</v>
      </c>
      <c r="J526" s="274" t="s">
        <v>6604</v>
      </c>
      <c r="K526" s="274" t="s">
        <v>6589</v>
      </c>
      <c r="L526" s="274" t="s">
        <v>4502</v>
      </c>
      <c r="M526" s="281">
        <v>16100</v>
      </c>
      <c r="N526" s="280">
        <v>16100</v>
      </c>
      <c r="O526" s="280"/>
      <c r="P526" s="280"/>
      <c r="Q526" s="280"/>
      <c r="R526" s="280"/>
      <c r="S526" s="280"/>
      <c r="T526" s="297"/>
    </row>
    <row r="527" spans="1:20" x14ac:dyDescent="0.25">
      <c r="A527" s="274" t="s">
        <v>78</v>
      </c>
      <c r="B527" s="274" t="s">
        <v>79</v>
      </c>
      <c r="C527" s="274" t="s">
        <v>3741</v>
      </c>
      <c r="D527" s="274" t="s">
        <v>3742</v>
      </c>
      <c r="E527" s="274" t="s">
        <v>44</v>
      </c>
      <c r="F527" s="274" t="s">
        <v>136</v>
      </c>
      <c r="G527" s="274" t="s">
        <v>93</v>
      </c>
      <c r="H527" s="274" t="s">
        <v>94</v>
      </c>
      <c r="I527" s="274" t="s">
        <v>4503</v>
      </c>
      <c r="J527" s="274" t="s">
        <v>6605</v>
      </c>
      <c r="K527" s="274" t="s">
        <v>6546</v>
      </c>
      <c r="L527" s="274" t="s">
        <v>4504</v>
      </c>
      <c r="M527" s="281">
        <v>1736</v>
      </c>
      <c r="N527" s="280">
        <v>1736</v>
      </c>
      <c r="O527" s="280"/>
      <c r="P527" s="280"/>
      <c r="Q527" s="280"/>
      <c r="R527" s="280"/>
      <c r="S527" s="280"/>
      <c r="T527" s="297"/>
    </row>
    <row r="528" spans="1:20" x14ac:dyDescent="0.25">
      <c r="A528" s="274" t="s">
        <v>78</v>
      </c>
      <c r="B528" s="274" t="s">
        <v>79</v>
      </c>
      <c r="C528" s="274" t="s">
        <v>3741</v>
      </c>
      <c r="D528" s="274" t="s">
        <v>3742</v>
      </c>
      <c r="E528" s="274" t="s">
        <v>44</v>
      </c>
      <c r="F528" s="274" t="s">
        <v>136</v>
      </c>
      <c r="G528" s="274" t="s">
        <v>93</v>
      </c>
      <c r="H528" s="274" t="s">
        <v>94</v>
      </c>
      <c r="I528" s="274" t="s">
        <v>4505</v>
      </c>
      <c r="J528" s="274" t="s">
        <v>6606</v>
      </c>
      <c r="K528" s="274" t="s">
        <v>3746</v>
      </c>
      <c r="L528" s="274" t="s">
        <v>4506</v>
      </c>
      <c r="M528" s="281">
        <v>11300</v>
      </c>
      <c r="N528" s="280">
        <v>11300</v>
      </c>
      <c r="O528" s="280"/>
      <c r="P528" s="280"/>
      <c r="Q528" s="280"/>
      <c r="R528" s="280"/>
      <c r="S528" s="280"/>
      <c r="T528" s="297"/>
    </row>
    <row r="529" spans="1:20" x14ac:dyDescent="0.25">
      <c r="A529" s="274" t="s">
        <v>78</v>
      </c>
      <c r="B529" s="274" t="s">
        <v>79</v>
      </c>
      <c r="C529" s="274" t="s">
        <v>3741</v>
      </c>
      <c r="D529" s="274" t="s">
        <v>3742</v>
      </c>
      <c r="E529" s="274" t="s">
        <v>44</v>
      </c>
      <c r="F529" s="274" t="s">
        <v>136</v>
      </c>
      <c r="G529" s="274" t="s">
        <v>93</v>
      </c>
      <c r="H529" s="274" t="s">
        <v>94</v>
      </c>
      <c r="I529" s="274" t="s">
        <v>4507</v>
      </c>
      <c r="J529" s="274" t="s">
        <v>6607</v>
      </c>
      <c r="K529" s="274" t="s">
        <v>3746</v>
      </c>
      <c r="L529" s="274" t="s">
        <v>4508</v>
      </c>
      <c r="M529" s="281">
        <v>18000</v>
      </c>
      <c r="N529" s="280">
        <v>18000</v>
      </c>
      <c r="O529" s="280"/>
      <c r="P529" s="280"/>
      <c r="Q529" s="280"/>
      <c r="R529" s="280"/>
      <c r="S529" s="280"/>
      <c r="T529" s="297"/>
    </row>
    <row r="530" spans="1:20" x14ac:dyDescent="0.25">
      <c r="A530" s="274" t="s">
        <v>78</v>
      </c>
      <c r="B530" s="274" t="s">
        <v>79</v>
      </c>
      <c r="C530" s="274" t="s">
        <v>3741</v>
      </c>
      <c r="D530" s="274" t="s">
        <v>3742</v>
      </c>
      <c r="E530" s="274" t="s">
        <v>44</v>
      </c>
      <c r="F530" s="274" t="s">
        <v>136</v>
      </c>
      <c r="G530" s="274" t="s">
        <v>93</v>
      </c>
      <c r="H530" s="274" t="s">
        <v>94</v>
      </c>
      <c r="I530" s="274" t="s">
        <v>4509</v>
      </c>
      <c r="J530" s="274" t="s">
        <v>6585</v>
      </c>
      <c r="K530" s="274" t="s">
        <v>6506</v>
      </c>
      <c r="L530" s="274" t="s">
        <v>4510</v>
      </c>
      <c r="M530" s="281">
        <v>1875</v>
      </c>
      <c r="N530" s="280"/>
      <c r="O530" s="280">
        <v>1875</v>
      </c>
      <c r="P530" s="280"/>
      <c r="Q530" s="280"/>
      <c r="R530" s="280"/>
      <c r="S530" s="280"/>
      <c r="T530" s="297"/>
    </row>
    <row r="531" spans="1:20" x14ac:dyDescent="0.25">
      <c r="A531" s="274" t="s">
        <v>78</v>
      </c>
      <c r="B531" s="274" t="s">
        <v>79</v>
      </c>
      <c r="C531" s="274" t="s">
        <v>3741</v>
      </c>
      <c r="D531" s="274" t="s">
        <v>3742</v>
      </c>
      <c r="E531" s="274" t="s">
        <v>44</v>
      </c>
      <c r="F531" s="274" t="s">
        <v>136</v>
      </c>
      <c r="G531" s="274" t="s">
        <v>93</v>
      </c>
      <c r="H531" s="274" t="s">
        <v>94</v>
      </c>
      <c r="I531" s="274" t="s">
        <v>4511</v>
      </c>
      <c r="J531" s="274" t="s">
        <v>6581</v>
      </c>
      <c r="K531" s="274" t="s">
        <v>3746</v>
      </c>
      <c r="L531" s="274" t="s">
        <v>4512</v>
      </c>
      <c r="M531" s="281">
        <v>45333</v>
      </c>
      <c r="N531" s="280"/>
      <c r="O531" s="280">
        <v>45333</v>
      </c>
      <c r="P531" s="280"/>
      <c r="Q531" s="280"/>
      <c r="R531" s="280"/>
      <c r="S531" s="280"/>
      <c r="T531" s="297"/>
    </row>
    <row r="532" spans="1:20" x14ac:dyDescent="0.25">
      <c r="A532" s="274" t="s">
        <v>78</v>
      </c>
      <c r="B532" s="274" t="s">
        <v>79</v>
      </c>
      <c r="C532" s="274" t="s">
        <v>3741</v>
      </c>
      <c r="D532" s="274" t="s">
        <v>3742</v>
      </c>
      <c r="E532" s="274" t="s">
        <v>44</v>
      </c>
      <c r="F532" s="274" t="s">
        <v>136</v>
      </c>
      <c r="G532" s="274" t="s">
        <v>93</v>
      </c>
      <c r="H532" s="274" t="s">
        <v>94</v>
      </c>
      <c r="I532" s="274" t="s">
        <v>4513</v>
      </c>
      <c r="J532" s="274" t="s">
        <v>6586</v>
      </c>
      <c r="K532" s="274" t="s">
        <v>3746</v>
      </c>
      <c r="L532" s="274" t="s">
        <v>4514</v>
      </c>
      <c r="M532" s="281">
        <v>8000</v>
      </c>
      <c r="N532" s="280"/>
      <c r="O532" s="280">
        <v>8000</v>
      </c>
      <c r="P532" s="280"/>
      <c r="Q532" s="280"/>
      <c r="R532" s="280"/>
      <c r="S532" s="280"/>
      <c r="T532" s="297"/>
    </row>
    <row r="533" spans="1:20" x14ac:dyDescent="0.25">
      <c r="A533" s="274" t="s">
        <v>78</v>
      </c>
      <c r="B533" s="274" t="s">
        <v>79</v>
      </c>
      <c r="C533" s="274" t="s">
        <v>3741</v>
      </c>
      <c r="D533" s="274" t="s">
        <v>3742</v>
      </c>
      <c r="E533" s="274" t="s">
        <v>44</v>
      </c>
      <c r="F533" s="274" t="s">
        <v>136</v>
      </c>
      <c r="G533" s="274" t="s">
        <v>93</v>
      </c>
      <c r="H533" s="274" t="s">
        <v>94</v>
      </c>
      <c r="I533" s="274" t="s">
        <v>4515</v>
      </c>
      <c r="J533" s="274" t="s">
        <v>6604</v>
      </c>
      <c r="K533" s="274" t="s">
        <v>6589</v>
      </c>
      <c r="L533" s="274" t="s">
        <v>4516</v>
      </c>
      <c r="M533" s="281">
        <v>16100</v>
      </c>
      <c r="N533" s="280"/>
      <c r="O533" s="280">
        <v>16100</v>
      </c>
      <c r="P533" s="280"/>
      <c r="Q533" s="280"/>
      <c r="R533" s="280"/>
      <c r="S533" s="280"/>
      <c r="T533" s="297"/>
    </row>
    <row r="534" spans="1:20" x14ac:dyDescent="0.25">
      <c r="A534" s="274" t="s">
        <v>78</v>
      </c>
      <c r="B534" s="274" t="s">
        <v>79</v>
      </c>
      <c r="C534" s="274" t="s">
        <v>3741</v>
      </c>
      <c r="D534" s="274" t="s">
        <v>3742</v>
      </c>
      <c r="E534" s="274" t="s">
        <v>44</v>
      </c>
      <c r="F534" s="274" t="s">
        <v>136</v>
      </c>
      <c r="G534" s="274" t="s">
        <v>93</v>
      </c>
      <c r="H534" s="274" t="s">
        <v>94</v>
      </c>
      <c r="I534" s="274" t="s">
        <v>4517</v>
      </c>
      <c r="J534" s="274" t="s">
        <v>6608</v>
      </c>
      <c r="K534" s="274" t="s">
        <v>6589</v>
      </c>
      <c r="L534" s="274" t="s">
        <v>4518</v>
      </c>
      <c r="M534" s="281">
        <v>2787.43</v>
      </c>
      <c r="N534" s="280"/>
      <c r="O534" s="280">
        <v>2787.43</v>
      </c>
      <c r="P534" s="280"/>
      <c r="Q534" s="280"/>
      <c r="R534" s="280"/>
      <c r="S534" s="280"/>
      <c r="T534" s="297"/>
    </row>
    <row r="535" spans="1:20" x14ac:dyDescent="0.25">
      <c r="A535" s="274" t="s">
        <v>78</v>
      </c>
      <c r="B535" s="274" t="s">
        <v>79</v>
      </c>
      <c r="C535" s="274" t="s">
        <v>3741</v>
      </c>
      <c r="D535" s="274" t="s">
        <v>3742</v>
      </c>
      <c r="E535" s="274" t="s">
        <v>44</v>
      </c>
      <c r="F535" s="274" t="s">
        <v>136</v>
      </c>
      <c r="G535" s="274" t="s">
        <v>93</v>
      </c>
      <c r="H535" s="274" t="s">
        <v>94</v>
      </c>
      <c r="I535" s="274" t="s">
        <v>4519</v>
      </c>
      <c r="J535" s="274" t="s">
        <v>6608</v>
      </c>
      <c r="K535" s="274" t="s">
        <v>6589</v>
      </c>
      <c r="L535" s="274" t="s">
        <v>4520</v>
      </c>
      <c r="M535" s="281">
        <v>2787.43</v>
      </c>
      <c r="N535" s="280"/>
      <c r="O535" s="280">
        <v>2787.43</v>
      </c>
      <c r="P535" s="280"/>
      <c r="Q535" s="280"/>
      <c r="R535" s="280"/>
      <c r="S535" s="280"/>
      <c r="T535" s="297"/>
    </row>
    <row r="536" spans="1:20" x14ac:dyDescent="0.25">
      <c r="A536" s="274" t="s">
        <v>78</v>
      </c>
      <c r="B536" s="274" t="s">
        <v>79</v>
      </c>
      <c r="C536" s="274" t="s">
        <v>3741</v>
      </c>
      <c r="D536" s="274" t="s">
        <v>3742</v>
      </c>
      <c r="E536" s="274" t="s">
        <v>44</v>
      </c>
      <c r="F536" s="274" t="s">
        <v>136</v>
      </c>
      <c r="G536" s="274" t="s">
        <v>93</v>
      </c>
      <c r="H536" s="274" t="s">
        <v>94</v>
      </c>
      <c r="I536" s="274" t="s">
        <v>4521</v>
      </c>
      <c r="J536" s="274" t="s">
        <v>6580</v>
      </c>
      <c r="K536" s="274" t="s">
        <v>3746</v>
      </c>
      <c r="L536" s="274" t="s">
        <v>4450</v>
      </c>
      <c r="M536" s="281">
        <v>1130</v>
      </c>
      <c r="N536" s="280"/>
      <c r="O536" s="280">
        <v>1130</v>
      </c>
      <c r="P536" s="280"/>
      <c r="Q536" s="280"/>
      <c r="R536" s="280"/>
      <c r="S536" s="280"/>
      <c r="T536" s="297"/>
    </row>
    <row r="537" spans="1:20" x14ac:dyDescent="0.25">
      <c r="A537" s="274" t="s">
        <v>78</v>
      </c>
      <c r="B537" s="274" t="s">
        <v>79</v>
      </c>
      <c r="C537" s="274" t="s">
        <v>3741</v>
      </c>
      <c r="D537" s="274" t="s">
        <v>3742</v>
      </c>
      <c r="E537" s="274" t="s">
        <v>44</v>
      </c>
      <c r="F537" s="274" t="s">
        <v>136</v>
      </c>
      <c r="G537" s="274" t="s">
        <v>93</v>
      </c>
      <c r="H537" s="274" t="s">
        <v>94</v>
      </c>
      <c r="I537" s="274" t="s">
        <v>4522</v>
      </c>
      <c r="J537" s="274" t="s">
        <v>6580</v>
      </c>
      <c r="K537" s="274" t="s">
        <v>3746</v>
      </c>
      <c r="L537" s="274" t="s">
        <v>4523</v>
      </c>
      <c r="M537" s="281">
        <v>10000</v>
      </c>
      <c r="N537" s="280"/>
      <c r="O537" s="280">
        <v>10000</v>
      </c>
      <c r="P537" s="280"/>
      <c r="Q537" s="280"/>
      <c r="R537" s="280"/>
      <c r="S537" s="280"/>
      <c r="T537" s="297"/>
    </row>
    <row r="538" spans="1:20" x14ac:dyDescent="0.25">
      <c r="A538" s="274" t="s">
        <v>78</v>
      </c>
      <c r="B538" s="274" t="s">
        <v>79</v>
      </c>
      <c r="C538" s="274" t="s">
        <v>3741</v>
      </c>
      <c r="D538" s="274" t="s">
        <v>3742</v>
      </c>
      <c r="E538" s="274" t="s">
        <v>44</v>
      </c>
      <c r="F538" s="274" t="s">
        <v>136</v>
      </c>
      <c r="G538" s="274" t="s">
        <v>93</v>
      </c>
      <c r="H538" s="274" t="s">
        <v>94</v>
      </c>
      <c r="I538" s="274" t="s">
        <v>4524</v>
      </c>
      <c r="J538" s="274" t="s">
        <v>6609</v>
      </c>
      <c r="K538" s="274" t="s">
        <v>3746</v>
      </c>
      <c r="L538" s="274" t="s">
        <v>4525</v>
      </c>
      <c r="M538" s="281">
        <v>7284.42</v>
      </c>
      <c r="N538" s="280"/>
      <c r="O538" s="280">
        <v>7284.42</v>
      </c>
      <c r="P538" s="280"/>
      <c r="Q538" s="280"/>
      <c r="R538" s="280"/>
      <c r="S538" s="280"/>
      <c r="T538" s="297"/>
    </row>
    <row r="539" spans="1:20" x14ac:dyDescent="0.25">
      <c r="A539" s="274" t="s">
        <v>78</v>
      </c>
      <c r="B539" s="274" t="s">
        <v>79</v>
      </c>
      <c r="C539" s="274" t="s">
        <v>3741</v>
      </c>
      <c r="D539" s="274" t="s">
        <v>3742</v>
      </c>
      <c r="E539" s="274" t="s">
        <v>44</v>
      </c>
      <c r="F539" s="274" t="s">
        <v>136</v>
      </c>
      <c r="G539" s="274" t="s">
        <v>93</v>
      </c>
      <c r="H539" s="274" t="s">
        <v>94</v>
      </c>
      <c r="I539" s="274" t="s">
        <v>4526</v>
      </c>
      <c r="J539" s="274" t="s">
        <v>6610</v>
      </c>
      <c r="K539" s="274" t="s">
        <v>3746</v>
      </c>
      <c r="L539" s="274" t="s">
        <v>4527</v>
      </c>
      <c r="M539" s="281">
        <v>8277</v>
      </c>
      <c r="N539" s="280"/>
      <c r="O539" s="280">
        <v>8277</v>
      </c>
      <c r="P539" s="280"/>
      <c r="Q539" s="280"/>
      <c r="R539" s="280"/>
      <c r="S539" s="280"/>
      <c r="T539" s="297"/>
    </row>
    <row r="540" spans="1:20" x14ac:dyDescent="0.25">
      <c r="A540" s="274" t="s">
        <v>78</v>
      </c>
      <c r="B540" s="274" t="s">
        <v>79</v>
      </c>
      <c r="C540" s="274" t="s">
        <v>3741</v>
      </c>
      <c r="D540" s="274" t="s">
        <v>3742</v>
      </c>
      <c r="E540" s="274" t="s">
        <v>44</v>
      </c>
      <c r="F540" s="274" t="s">
        <v>136</v>
      </c>
      <c r="G540" s="274" t="s">
        <v>93</v>
      </c>
      <c r="H540" s="274" t="s">
        <v>94</v>
      </c>
      <c r="I540" s="274" t="s">
        <v>4528</v>
      </c>
      <c r="J540" s="274" t="s">
        <v>6588</v>
      </c>
      <c r="K540" s="274" t="s">
        <v>3746</v>
      </c>
      <c r="L540" s="274" t="s">
        <v>4529</v>
      </c>
      <c r="M540" s="281">
        <v>28177.5</v>
      </c>
      <c r="N540" s="280"/>
      <c r="O540" s="280">
        <v>28177.5</v>
      </c>
      <c r="P540" s="280"/>
      <c r="Q540" s="280"/>
      <c r="R540" s="280"/>
      <c r="S540" s="280"/>
      <c r="T540" s="297"/>
    </row>
    <row r="541" spans="1:20" x14ac:dyDescent="0.25">
      <c r="A541" s="274" t="s">
        <v>78</v>
      </c>
      <c r="B541" s="274" t="s">
        <v>79</v>
      </c>
      <c r="C541" s="274" t="s">
        <v>3741</v>
      </c>
      <c r="D541" s="274" t="s">
        <v>3742</v>
      </c>
      <c r="E541" s="274" t="s">
        <v>44</v>
      </c>
      <c r="F541" s="274" t="s">
        <v>136</v>
      </c>
      <c r="G541" s="274" t="s">
        <v>93</v>
      </c>
      <c r="H541" s="274" t="s">
        <v>94</v>
      </c>
      <c r="I541" s="274" t="s">
        <v>4530</v>
      </c>
      <c r="J541" s="274" t="s">
        <v>6588</v>
      </c>
      <c r="K541" s="274" t="s">
        <v>6506</v>
      </c>
      <c r="L541" s="274" t="s">
        <v>4531</v>
      </c>
      <c r="M541" s="281">
        <v>3892</v>
      </c>
      <c r="N541" s="280"/>
      <c r="O541" s="280">
        <v>3892</v>
      </c>
      <c r="P541" s="280"/>
      <c r="Q541" s="280"/>
      <c r="R541" s="280"/>
      <c r="S541" s="280"/>
      <c r="T541" s="297"/>
    </row>
    <row r="542" spans="1:20" x14ac:dyDescent="0.25">
      <c r="A542" s="274" t="s">
        <v>78</v>
      </c>
      <c r="B542" s="274" t="s">
        <v>79</v>
      </c>
      <c r="C542" s="274" t="s">
        <v>3741</v>
      </c>
      <c r="D542" s="274" t="s">
        <v>3742</v>
      </c>
      <c r="E542" s="274" t="s">
        <v>44</v>
      </c>
      <c r="F542" s="274" t="s">
        <v>136</v>
      </c>
      <c r="G542" s="274" t="s">
        <v>93</v>
      </c>
      <c r="H542" s="274" t="s">
        <v>94</v>
      </c>
      <c r="I542" s="274" t="s">
        <v>4532</v>
      </c>
      <c r="J542" s="274" t="s">
        <v>6588</v>
      </c>
      <c r="K542" s="274" t="s">
        <v>6546</v>
      </c>
      <c r="L542" s="274" t="s">
        <v>4533</v>
      </c>
      <c r="M542" s="281">
        <v>33330.92</v>
      </c>
      <c r="N542" s="280"/>
      <c r="O542" s="280">
        <v>33330.92</v>
      </c>
      <c r="P542" s="280"/>
      <c r="Q542" s="280"/>
      <c r="R542" s="280"/>
      <c r="S542" s="280"/>
      <c r="T542" s="297"/>
    </row>
    <row r="543" spans="1:20" x14ac:dyDescent="0.25">
      <c r="A543" s="274" t="s">
        <v>78</v>
      </c>
      <c r="B543" s="274" t="s">
        <v>79</v>
      </c>
      <c r="C543" s="274" t="s">
        <v>3741</v>
      </c>
      <c r="D543" s="274" t="s">
        <v>3742</v>
      </c>
      <c r="E543" s="274" t="s">
        <v>44</v>
      </c>
      <c r="F543" s="274" t="s">
        <v>136</v>
      </c>
      <c r="G543" s="274" t="s">
        <v>93</v>
      </c>
      <c r="H543" s="274" t="s">
        <v>94</v>
      </c>
      <c r="I543" s="274" t="s">
        <v>4534</v>
      </c>
      <c r="J543" s="274" t="s">
        <v>6588</v>
      </c>
      <c r="K543" s="274" t="s">
        <v>6589</v>
      </c>
      <c r="L543" s="274" t="s">
        <v>4535</v>
      </c>
      <c r="M543" s="281">
        <v>4726.33</v>
      </c>
      <c r="N543" s="280"/>
      <c r="O543" s="280">
        <v>4726.33</v>
      </c>
      <c r="P543" s="280"/>
      <c r="Q543" s="280"/>
      <c r="R543" s="280"/>
      <c r="S543" s="280"/>
      <c r="T543" s="297"/>
    </row>
    <row r="544" spans="1:20" x14ac:dyDescent="0.25">
      <c r="A544" s="274" t="s">
        <v>78</v>
      </c>
      <c r="B544" s="274" t="s">
        <v>79</v>
      </c>
      <c r="C544" s="274" t="s">
        <v>3741</v>
      </c>
      <c r="D544" s="274" t="s">
        <v>3742</v>
      </c>
      <c r="E544" s="274" t="s">
        <v>44</v>
      </c>
      <c r="F544" s="274" t="s">
        <v>136</v>
      </c>
      <c r="G544" s="274" t="s">
        <v>93</v>
      </c>
      <c r="H544" s="274" t="s">
        <v>94</v>
      </c>
      <c r="I544" s="274" t="s">
        <v>4536</v>
      </c>
      <c r="J544" s="274" t="s">
        <v>6588</v>
      </c>
      <c r="K544" s="274" t="s">
        <v>6572</v>
      </c>
      <c r="L544" s="274" t="s">
        <v>4537</v>
      </c>
      <c r="M544" s="281">
        <v>64683.17</v>
      </c>
      <c r="N544" s="280"/>
      <c r="O544" s="280">
        <v>64683.17</v>
      </c>
      <c r="P544" s="280"/>
      <c r="Q544" s="280"/>
      <c r="R544" s="280"/>
      <c r="S544" s="280"/>
      <c r="T544" s="297"/>
    </row>
    <row r="545" spans="1:20" x14ac:dyDescent="0.25">
      <c r="A545" s="274" t="s">
        <v>78</v>
      </c>
      <c r="B545" s="274" t="s">
        <v>79</v>
      </c>
      <c r="C545" s="274" t="s">
        <v>3741</v>
      </c>
      <c r="D545" s="274" t="s">
        <v>3742</v>
      </c>
      <c r="E545" s="274" t="s">
        <v>44</v>
      </c>
      <c r="F545" s="274" t="s">
        <v>136</v>
      </c>
      <c r="G545" s="274" t="s">
        <v>93</v>
      </c>
      <c r="H545" s="274" t="s">
        <v>94</v>
      </c>
      <c r="I545" s="274" t="s">
        <v>4538</v>
      </c>
      <c r="J545" s="274" t="s">
        <v>6588</v>
      </c>
      <c r="K545" s="274" t="s">
        <v>6590</v>
      </c>
      <c r="L545" s="274" t="s">
        <v>4539</v>
      </c>
      <c r="M545" s="281">
        <v>6131</v>
      </c>
      <c r="N545" s="280"/>
      <c r="O545" s="280">
        <v>6131</v>
      </c>
      <c r="P545" s="280"/>
      <c r="Q545" s="280"/>
      <c r="R545" s="280"/>
      <c r="S545" s="280"/>
      <c r="T545" s="297"/>
    </row>
    <row r="546" spans="1:20" x14ac:dyDescent="0.25">
      <c r="A546" s="274" t="s">
        <v>78</v>
      </c>
      <c r="B546" s="274" t="s">
        <v>79</v>
      </c>
      <c r="C546" s="274" t="s">
        <v>3741</v>
      </c>
      <c r="D546" s="274" t="s">
        <v>3742</v>
      </c>
      <c r="E546" s="274" t="s">
        <v>44</v>
      </c>
      <c r="F546" s="274" t="s">
        <v>136</v>
      </c>
      <c r="G546" s="274" t="s">
        <v>93</v>
      </c>
      <c r="H546" s="274" t="s">
        <v>94</v>
      </c>
      <c r="I546" s="274" t="s">
        <v>4540</v>
      </c>
      <c r="J546" s="274" t="s">
        <v>6588</v>
      </c>
      <c r="K546" s="274" t="s">
        <v>6570</v>
      </c>
      <c r="L546" s="274" t="s">
        <v>4541</v>
      </c>
      <c r="M546" s="281">
        <v>12262</v>
      </c>
      <c r="N546" s="280"/>
      <c r="O546" s="280">
        <v>12262</v>
      </c>
      <c r="P546" s="280"/>
      <c r="Q546" s="280"/>
      <c r="R546" s="280"/>
      <c r="S546" s="280"/>
      <c r="T546" s="297"/>
    </row>
    <row r="547" spans="1:20" x14ac:dyDescent="0.25">
      <c r="A547" s="274" t="s">
        <v>78</v>
      </c>
      <c r="B547" s="274" t="s">
        <v>79</v>
      </c>
      <c r="C547" s="274" t="s">
        <v>3741</v>
      </c>
      <c r="D547" s="274" t="s">
        <v>3742</v>
      </c>
      <c r="E547" s="274" t="s">
        <v>44</v>
      </c>
      <c r="F547" s="274" t="s">
        <v>136</v>
      </c>
      <c r="G547" s="274" t="s">
        <v>93</v>
      </c>
      <c r="H547" s="274" t="s">
        <v>94</v>
      </c>
      <c r="I547" s="274" t="s">
        <v>4542</v>
      </c>
      <c r="J547" s="274" t="s">
        <v>6588</v>
      </c>
      <c r="K547" s="274" t="s">
        <v>6567</v>
      </c>
      <c r="L547" s="274" t="s">
        <v>4543</v>
      </c>
      <c r="M547" s="281">
        <v>62652.69</v>
      </c>
      <c r="N547" s="280"/>
      <c r="O547" s="280">
        <v>62652.69</v>
      </c>
      <c r="P547" s="280"/>
      <c r="Q547" s="280"/>
      <c r="R547" s="280"/>
      <c r="S547" s="280"/>
      <c r="T547" s="297"/>
    </row>
    <row r="548" spans="1:20" x14ac:dyDescent="0.25">
      <c r="A548" s="274" t="s">
        <v>78</v>
      </c>
      <c r="B548" s="274" t="s">
        <v>79</v>
      </c>
      <c r="C548" s="274" t="s">
        <v>3741</v>
      </c>
      <c r="D548" s="274" t="s">
        <v>3742</v>
      </c>
      <c r="E548" s="274" t="s">
        <v>44</v>
      </c>
      <c r="F548" s="274" t="s">
        <v>136</v>
      </c>
      <c r="G548" s="274" t="s">
        <v>93</v>
      </c>
      <c r="H548" s="274" t="s">
        <v>94</v>
      </c>
      <c r="I548" s="274" t="s">
        <v>4544</v>
      </c>
      <c r="J548" s="274" t="s">
        <v>6588</v>
      </c>
      <c r="K548" s="274" t="s">
        <v>6591</v>
      </c>
      <c r="L548" s="274" t="s">
        <v>4545</v>
      </c>
      <c r="M548" s="281">
        <v>37055.82</v>
      </c>
      <c r="N548" s="280"/>
      <c r="O548" s="280">
        <v>37055.82</v>
      </c>
      <c r="P548" s="280"/>
      <c r="Q548" s="280"/>
      <c r="R548" s="280"/>
      <c r="S548" s="280"/>
      <c r="T548" s="297"/>
    </row>
    <row r="549" spans="1:20" x14ac:dyDescent="0.25">
      <c r="A549" s="274" t="s">
        <v>78</v>
      </c>
      <c r="B549" s="274" t="s">
        <v>79</v>
      </c>
      <c r="C549" s="274" t="s">
        <v>3741</v>
      </c>
      <c r="D549" s="274" t="s">
        <v>3742</v>
      </c>
      <c r="E549" s="274" t="s">
        <v>44</v>
      </c>
      <c r="F549" s="274" t="s">
        <v>136</v>
      </c>
      <c r="G549" s="274" t="s">
        <v>93</v>
      </c>
      <c r="H549" s="274" t="s">
        <v>94</v>
      </c>
      <c r="I549" s="274" t="s">
        <v>4546</v>
      </c>
      <c r="J549" s="274" t="s">
        <v>6588</v>
      </c>
      <c r="K549" s="274" t="s">
        <v>6592</v>
      </c>
      <c r="L549" s="274" t="s">
        <v>4547</v>
      </c>
      <c r="M549" s="281">
        <v>5833.33</v>
      </c>
      <c r="N549" s="280"/>
      <c r="O549" s="280">
        <v>5833.33</v>
      </c>
      <c r="P549" s="280"/>
      <c r="Q549" s="280"/>
      <c r="R549" s="280"/>
      <c r="S549" s="280"/>
      <c r="T549" s="297"/>
    </row>
    <row r="550" spans="1:20" x14ac:dyDescent="0.25">
      <c r="A550" s="274" t="s">
        <v>78</v>
      </c>
      <c r="B550" s="274" t="s">
        <v>79</v>
      </c>
      <c r="C550" s="274" t="s">
        <v>3741</v>
      </c>
      <c r="D550" s="274" t="s">
        <v>3742</v>
      </c>
      <c r="E550" s="274" t="s">
        <v>44</v>
      </c>
      <c r="F550" s="274" t="s">
        <v>136</v>
      </c>
      <c r="G550" s="274" t="s">
        <v>93</v>
      </c>
      <c r="H550" s="274" t="s">
        <v>94</v>
      </c>
      <c r="I550" s="274" t="s">
        <v>4548</v>
      </c>
      <c r="J550" s="274" t="s">
        <v>6588</v>
      </c>
      <c r="K550" s="274" t="s">
        <v>6593</v>
      </c>
      <c r="L550" s="274" t="s">
        <v>4549</v>
      </c>
      <c r="M550" s="281">
        <v>5250</v>
      </c>
      <c r="N550" s="280"/>
      <c r="O550" s="280">
        <v>5250</v>
      </c>
      <c r="P550" s="280"/>
      <c r="Q550" s="280"/>
      <c r="R550" s="280"/>
      <c r="S550" s="280"/>
      <c r="T550" s="297"/>
    </row>
    <row r="551" spans="1:20" x14ac:dyDescent="0.25">
      <c r="A551" s="274" t="s">
        <v>78</v>
      </c>
      <c r="B551" s="274" t="s">
        <v>79</v>
      </c>
      <c r="C551" s="274" t="s">
        <v>3741</v>
      </c>
      <c r="D551" s="274" t="s">
        <v>3742</v>
      </c>
      <c r="E551" s="274" t="s">
        <v>44</v>
      </c>
      <c r="F551" s="274" t="s">
        <v>136</v>
      </c>
      <c r="G551" s="274" t="s">
        <v>93</v>
      </c>
      <c r="H551" s="274" t="s">
        <v>94</v>
      </c>
      <c r="I551" s="274" t="s">
        <v>4550</v>
      </c>
      <c r="J551" s="274" t="s">
        <v>6588</v>
      </c>
      <c r="K551" s="274" t="s">
        <v>6594</v>
      </c>
      <c r="L551" s="274" t="s">
        <v>4551</v>
      </c>
      <c r="M551" s="281">
        <v>27081.58</v>
      </c>
      <c r="N551" s="280"/>
      <c r="O551" s="280">
        <v>27081.58</v>
      </c>
      <c r="P551" s="280"/>
      <c r="Q551" s="280"/>
      <c r="R551" s="280"/>
      <c r="S551" s="280"/>
      <c r="T551" s="297"/>
    </row>
    <row r="552" spans="1:20" x14ac:dyDescent="0.25">
      <c r="A552" s="274" t="s">
        <v>78</v>
      </c>
      <c r="B552" s="274" t="s">
        <v>79</v>
      </c>
      <c r="C552" s="274" t="s">
        <v>3741</v>
      </c>
      <c r="D552" s="274" t="s">
        <v>3742</v>
      </c>
      <c r="E552" s="274" t="s">
        <v>44</v>
      </c>
      <c r="F552" s="274" t="s">
        <v>136</v>
      </c>
      <c r="G552" s="274" t="s">
        <v>93</v>
      </c>
      <c r="H552" s="274" t="s">
        <v>94</v>
      </c>
      <c r="I552" s="274" t="s">
        <v>4552</v>
      </c>
      <c r="J552" s="274" t="s">
        <v>6588</v>
      </c>
      <c r="K552" s="274" t="s">
        <v>6595</v>
      </c>
      <c r="L552" s="274" t="s">
        <v>4553</v>
      </c>
      <c r="M552" s="281">
        <v>7071.53</v>
      </c>
      <c r="N552" s="280"/>
      <c r="O552" s="280">
        <v>7071.53</v>
      </c>
      <c r="P552" s="280"/>
      <c r="Q552" s="280"/>
      <c r="R552" s="280"/>
      <c r="S552" s="280"/>
      <c r="T552" s="297"/>
    </row>
    <row r="553" spans="1:20" x14ac:dyDescent="0.25">
      <c r="A553" s="274" t="s">
        <v>78</v>
      </c>
      <c r="B553" s="274" t="s">
        <v>79</v>
      </c>
      <c r="C553" s="274" t="s">
        <v>3741</v>
      </c>
      <c r="D553" s="274" t="s">
        <v>3742</v>
      </c>
      <c r="E553" s="274" t="s">
        <v>44</v>
      </c>
      <c r="F553" s="274" t="s">
        <v>136</v>
      </c>
      <c r="G553" s="274" t="s">
        <v>93</v>
      </c>
      <c r="H553" s="274" t="s">
        <v>94</v>
      </c>
      <c r="I553" s="274" t="s">
        <v>4554</v>
      </c>
      <c r="J553" s="274" t="s">
        <v>6588</v>
      </c>
      <c r="K553" s="274" t="s">
        <v>6596</v>
      </c>
      <c r="L553" s="274" t="s">
        <v>4555</v>
      </c>
      <c r="M553" s="281">
        <v>9979.5</v>
      </c>
      <c r="N553" s="280"/>
      <c r="O553" s="280">
        <v>9979.5</v>
      </c>
      <c r="P553" s="280"/>
      <c r="Q553" s="280"/>
      <c r="R553" s="280"/>
      <c r="S553" s="280"/>
      <c r="T553" s="297"/>
    </row>
    <row r="554" spans="1:20" x14ac:dyDescent="0.25">
      <c r="A554" s="274" t="s">
        <v>78</v>
      </c>
      <c r="B554" s="274" t="s">
        <v>79</v>
      </c>
      <c r="C554" s="274" t="s">
        <v>3741</v>
      </c>
      <c r="D554" s="274" t="s">
        <v>3742</v>
      </c>
      <c r="E554" s="274" t="s">
        <v>44</v>
      </c>
      <c r="F554" s="274" t="s">
        <v>136</v>
      </c>
      <c r="G554" s="274" t="s">
        <v>93</v>
      </c>
      <c r="H554" s="274" t="s">
        <v>94</v>
      </c>
      <c r="I554" s="274" t="s">
        <v>4556</v>
      </c>
      <c r="J554" s="274" t="s">
        <v>6588</v>
      </c>
      <c r="K554" s="274" t="s">
        <v>6597</v>
      </c>
      <c r="L554" s="274" t="s">
        <v>4557</v>
      </c>
      <c r="M554" s="281">
        <v>1319.25</v>
      </c>
      <c r="N554" s="280"/>
      <c r="O554" s="280">
        <v>1319.25</v>
      </c>
      <c r="P554" s="280"/>
      <c r="Q554" s="280"/>
      <c r="R554" s="280"/>
      <c r="S554" s="280"/>
      <c r="T554" s="297"/>
    </row>
    <row r="555" spans="1:20" x14ac:dyDescent="0.25">
      <c r="A555" s="274" t="s">
        <v>78</v>
      </c>
      <c r="B555" s="274" t="s">
        <v>79</v>
      </c>
      <c r="C555" s="274" t="s">
        <v>3741</v>
      </c>
      <c r="D555" s="274" t="s">
        <v>3742</v>
      </c>
      <c r="E555" s="274" t="s">
        <v>44</v>
      </c>
      <c r="F555" s="274" t="s">
        <v>136</v>
      </c>
      <c r="G555" s="274" t="s">
        <v>93</v>
      </c>
      <c r="H555" s="274" t="s">
        <v>94</v>
      </c>
      <c r="I555" s="274" t="s">
        <v>4558</v>
      </c>
      <c r="J555" s="274" t="s">
        <v>6588</v>
      </c>
      <c r="K555" s="274" t="s">
        <v>6598</v>
      </c>
      <c r="L555" s="274" t="s">
        <v>4559</v>
      </c>
      <c r="M555" s="281">
        <v>6365.08</v>
      </c>
      <c r="N555" s="280"/>
      <c r="O555" s="280">
        <v>6365.08</v>
      </c>
      <c r="P555" s="280"/>
      <c r="Q555" s="280"/>
      <c r="R555" s="280"/>
      <c r="S555" s="280"/>
      <c r="T555" s="297"/>
    </row>
    <row r="556" spans="1:20" x14ac:dyDescent="0.25">
      <c r="A556" s="274" t="s">
        <v>78</v>
      </c>
      <c r="B556" s="274" t="s">
        <v>79</v>
      </c>
      <c r="C556" s="274" t="s">
        <v>3741</v>
      </c>
      <c r="D556" s="274" t="s">
        <v>3742</v>
      </c>
      <c r="E556" s="274" t="s">
        <v>44</v>
      </c>
      <c r="F556" s="274" t="s">
        <v>136</v>
      </c>
      <c r="G556" s="274" t="s">
        <v>93</v>
      </c>
      <c r="H556" s="274" t="s">
        <v>94</v>
      </c>
      <c r="I556" s="274" t="s">
        <v>4560</v>
      </c>
      <c r="J556" s="274" t="s">
        <v>6588</v>
      </c>
      <c r="K556" s="274" t="s">
        <v>6599</v>
      </c>
      <c r="L556" s="274" t="s">
        <v>4561</v>
      </c>
      <c r="M556" s="281">
        <v>20670.240000000002</v>
      </c>
      <c r="N556" s="280"/>
      <c r="O556" s="280">
        <v>20670.240000000002</v>
      </c>
      <c r="P556" s="280"/>
      <c r="Q556" s="280"/>
      <c r="R556" s="280"/>
      <c r="S556" s="280"/>
      <c r="T556" s="297"/>
    </row>
    <row r="557" spans="1:20" x14ac:dyDescent="0.25">
      <c r="A557" s="274" t="s">
        <v>78</v>
      </c>
      <c r="B557" s="274" t="s">
        <v>79</v>
      </c>
      <c r="C557" s="274" t="s">
        <v>3741</v>
      </c>
      <c r="D557" s="274" t="s">
        <v>3742</v>
      </c>
      <c r="E557" s="274" t="s">
        <v>44</v>
      </c>
      <c r="F557" s="274" t="s">
        <v>136</v>
      </c>
      <c r="G557" s="274" t="s">
        <v>93</v>
      </c>
      <c r="H557" s="274" t="s">
        <v>94</v>
      </c>
      <c r="I557" s="274" t="s">
        <v>4562</v>
      </c>
      <c r="J557" s="274" t="s">
        <v>6588</v>
      </c>
      <c r="K557" s="274" t="s">
        <v>6600</v>
      </c>
      <c r="L557" s="274" t="s">
        <v>4563</v>
      </c>
      <c r="M557" s="281">
        <v>33528.04</v>
      </c>
      <c r="N557" s="280"/>
      <c r="O557" s="280">
        <v>33528.04</v>
      </c>
      <c r="P557" s="280"/>
      <c r="Q557" s="280"/>
      <c r="R557" s="280"/>
      <c r="S557" s="280"/>
      <c r="T557" s="297"/>
    </row>
    <row r="558" spans="1:20" x14ac:dyDescent="0.25">
      <c r="A558" s="274" t="s">
        <v>78</v>
      </c>
      <c r="B558" s="274" t="s">
        <v>79</v>
      </c>
      <c r="C558" s="274" t="s">
        <v>3741</v>
      </c>
      <c r="D558" s="274" t="s">
        <v>3742</v>
      </c>
      <c r="E558" s="274" t="s">
        <v>44</v>
      </c>
      <c r="F558" s="274" t="s">
        <v>136</v>
      </c>
      <c r="G558" s="274" t="s">
        <v>93</v>
      </c>
      <c r="H558" s="274" t="s">
        <v>94</v>
      </c>
      <c r="I558" s="274" t="s">
        <v>4564</v>
      </c>
      <c r="J558" s="274" t="s">
        <v>6588</v>
      </c>
      <c r="K558" s="274" t="s">
        <v>6601</v>
      </c>
      <c r="L558" s="274" t="s">
        <v>4565</v>
      </c>
      <c r="M558" s="281">
        <v>27403.14</v>
      </c>
      <c r="N558" s="280"/>
      <c r="O558" s="280">
        <v>27403.14</v>
      </c>
      <c r="P558" s="280"/>
      <c r="Q558" s="280"/>
      <c r="R558" s="280"/>
      <c r="S558" s="280"/>
      <c r="T558" s="297"/>
    </row>
    <row r="559" spans="1:20" x14ac:dyDescent="0.25">
      <c r="A559" s="274" t="s">
        <v>78</v>
      </c>
      <c r="B559" s="274" t="s">
        <v>79</v>
      </c>
      <c r="C559" s="274" t="s">
        <v>3741</v>
      </c>
      <c r="D559" s="274" t="s">
        <v>3742</v>
      </c>
      <c r="E559" s="274" t="s">
        <v>44</v>
      </c>
      <c r="F559" s="274" t="s">
        <v>136</v>
      </c>
      <c r="G559" s="274" t="s">
        <v>93</v>
      </c>
      <c r="H559" s="274" t="s">
        <v>94</v>
      </c>
      <c r="I559" s="274" t="s">
        <v>4566</v>
      </c>
      <c r="J559" s="274" t="s">
        <v>6588</v>
      </c>
      <c r="K559" s="274" t="s">
        <v>6602</v>
      </c>
      <c r="L559" s="274" t="s">
        <v>4567</v>
      </c>
      <c r="M559" s="281">
        <v>5923.44</v>
      </c>
      <c r="N559" s="280"/>
      <c r="O559" s="280">
        <v>5923.44</v>
      </c>
      <c r="P559" s="280"/>
      <c r="Q559" s="280"/>
      <c r="R559" s="280"/>
      <c r="S559" s="280"/>
      <c r="T559" s="297"/>
    </row>
    <row r="560" spans="1:20" x14ac:dyDescent="0.25">
      <c r="A560" s="274" t="s">
        <v>78</v>
      </c>
      <c r="B560" s="274" t="s">
        <v>79</v>
      </c>
      <c r="C560" s="274" t="s">
        <v>3741</v>
      </c>
      <c r="D560" s="274" t="s">
        <v>3742</v>
      </c>
      <c r="E560" s="274" t="s">
        <v>44</v>
      </c>
      <c r="F560" s="274" t="s">
        <v>136</v>
      </c>
      <c r="G560" s="274" t="s">
        <v>93</v>
      </c>
      <c r="H560" s="274" t="s">
        <v>94</v>
      </c>
      <c r="I560" s="274" t="s">
        <v>4568</v>
      </c>
      <c r="J560" s="274" t="s">
        <v>6588</v>
      </c>
      <c r="K560" s="274" t="s">
        <v>6583</v>
      </c>
      <c r="L560" s="274" t="s">
        <v>4569</v>
      </c>
      <c r="M560" s="281">
        <v>3166.2</v>
      </c>
      <c r="N560" s="280"/>
      <c r="O560" s="280">
        <v>3166.2</v>
      </c>
      <c r="P560" s="280"/>
      <c r="Q560" s="280"/>
      <c r="R560" s="280"/>
      <c r="S560" s="280"/>
      <c r="T560" s="297"/>
    </row>
    <row r="561" spans="1:20" x14ac:dyDescent="0.25">
      <c r="A561" s="274" t="s">
        <v>78</v>
      </c>
      <c r="B561" s="274" t="s">
        <v>79</v>
      </c>
      <c r="C561" s="274" t="s">
        <v>3741</v>
      </c>
      <c r="D561" s="274" t="s">
        <v>3742</v>
      </c>
      <c r="E561" s="274" t="s">
        <v>44</v>
      </c>
      <c r="F561" s="274" t="s">
        <v>136</v>
      </c>
      <c r="G561" s="274" t="s">
        <v>93</v>
      </c>
      <c r="H561" s="274" t="s">
        <v>94</v>
      </c>
      <c r="I561" s="274" t="s">
        <v>4570</v>
      </c>
      <c r="J561" s="274" t="s">
        <v>6588</v>
      </c>
      <c r="K561" s="274" t="s">
        <v>6611</v>
      </c>
      <c r="L561" s="274" t="s">
        <v>4571</v>
      </c>
      <c r="M561" s="281">
        <v>14655.6</v>
      </c>
      <c r="N561" s="280"/>
      <c r="O561" s="280">
        <v>14655.6</v>
      </c>
      <c r="P561" s="280"/>
      <c r="Q561" s="280"/>
      <c r="R561" s="280"/>
      <c r="S561" s="280"/>
      <c r="T561" s="297"/>
    </row>
    <row r="562" spans="1:20" x14ac:dyDescent="0.25">
      <c r="A562" s="274" t="s">
        <v>78</v>
      </c>
      <c r="B562" s="274" t="s">
        <v>79</v>
      </c>
      <c r="C562" s="274" t="s">
        <v>3741</v>
      </c>
      <c r="D562" s="274" t="s">
        <v>3742</v>
      </c>
      <c r="E562" s="274" t="s">
        <v>44</v>
      </c>
      <c r="F562" s="274" t="s">
        <v>136</v>
      </c>
      <c r="G562" s="274" t="s">
        <v>93</v>
      </c>
      <c r="H562" s="274" t="s">
        <v>94</v>
      </c>
      <c r="I562" s="274" t="s">
        <v>4572</v>
      </c>
      <c r="J562" s="274" t="s">
        <v>6588</v>
      </c>
      <c r="K562" s="274" t="s">
        <v>6584</v>
      </c>
      <c r="L562" s="274" t="s">
        <v>4573</v>
      </c>
      <c r="M562" s="281">
        <v>16144.11</v>
      </c>
      <c r="N562" s="280"/>
      <c r="O562" s="280">
        <v>16144.11</v>
      </c>
      <c r="P562" s="280"/>
      <c r="Q562" s="280"/>
      <c r="R562" s="280"/>
      <c r="S562" s="280"/>
      <c r="T562" s="297"/>
    </row>
    <row r="563" spans="1:20" x14ac:dyDescent="0.25">
      <c r="A563" s="274" t="s">
        <v>78</v>
      </c>
      <c r="B563" s="274" t="s">
        <v>79</v>
      </c>
      <c r="C563" s="274" t="s">
        <v>3741</v>
      </c>
      <c r="D563" s="274" t="s">
        <v>3742</v>
      </c>
      <c r="E563" s="274" t="s">
        <v>44</v>
      </c>
      <c r="F563" s="274" t="s">
        <v>136</v>
      </c>
      <c r="G563" s="274" t="s">
        <v>93</v>
      </c>
      <c r="H563" s="274" t="s">
        <v>94</v>
      </c>
      <c r="I563" s="274" t="s">
        <v>4574</v>
      </c>
      <c r="J563" s="274" t="s">
        <v>6588</v>
      </c>
      <c r="K563" s="274" t="s">
        <v>6603</v>
      </c>
      <c r="L563" s="274" t="s">
        <v>4575</v>
      </c>
      <c r="M563" s="281">
        <v>10000</v>
      </c>
      <c r="N563" s="280"/>
      <c r="O563" s="280">
        <v>10000</v>
      </c>
      <c r="P563" s="280"/>
      <c r="Q563" s="280"/>
      <c r="R563" s="280"/>
      <c r="S563" s="280"/>
      <c r="T563" s="297"/>
    </row>
    <row r="564" spans="1:20" x14ac:dyDescent="0.25">
      <c r="A564" s="274" t="s">
        <v>78</v>
      </c>
      <c r="B564" s="274" t="s">
        <v>79</v>
      </c>
      <c r="C564" s="274" t="s">
        <v>3741</v>
      </c>
      <c r="D564" s="274" t="s">
        <v>3742</v>
      </c>
      <c r="E564" s="274" t="s">
        <v>44</v>
      </c>
      <c r="F564" s="274" t="s">
        <v>136</v>
      </c>
      <c r="G564" s="274" t="s">
        <v>93</v>
      </c>
      <c r="H564" s="274" t="s">
        <v>94</v>
      </c>
      <c r="I564" s="274" t="s">
        <v>4576</v>
      </c>
      <c r="J564" s="274" t="s">
        <v>6588</v>
      </c>
      <c r="K564" s="274" t="s">
        <v>6612</v>
      </c>
      <c r="L564" s="274" t="s">
        <v>4577</v>
      </c>
      <c r="M564" s="281">
        <v>9500</v>
      </c>
      <c r="N564" s="280"/>
      <c r="O564" s="280">
        <v>9500</v>
      </c>
      <c r="P564" s="280"/>
      <c r="Q564" s="280"/>
      <c r="R564" s="280"/>
      <c r="S564" s="280"/>
      <c r="T564" s="297"/>
    </row>
    <row r="565" spans="1:20" x14ac:dyDescent="0.25">
      <c r="A565" s="274" t="s">
        <v>78</v>
      </c>
      <c r="B565" s="274" t="s">
        <v>79</v>
      </c>
      <c r="C565" s="274" t="s">
        <v>3741</v>
      </c>
      <c r="D565" s="274" t="s">
        <v>3742</v>
      </c>
      <c r="E565" s="274" t="s">
        <v>44</v>
      </c>
      <c r="F565" s="274" t="s">
        <v>136</v>
      </c>
      <c r="G565" s="274" t="s">
        <v>93</v>
      </c>
      <c r="H565" s="274" t="s">
        <v>94</v>
      </c>
      <c r="I565" s="274" t="s">
        <v>4578</v>
      </c>
      <c r="J565" s="274" t="s">
        <v>6586</v>
      </c>
      <c r="K565" s="274" t="s">
        <v>3746</v>
      </c>
      <c r="L565" s="274" t="s">
        <v>4514</v>
      </c>
      <c r="M565" s="281">
        <v>4165.1099999999997</v>
      </c>
      <c r="N565" s="280"/>
      <c r="O565" s="280">
        <v>4165.1099999999997</v>
      </c>
      <c r="P565" s="280"/>
      <c r="Q565" s="280"/>
      <c r="R565" s="280"/>
      <c r="S565" s="280"/>
      <c r="T565" s="297"/>
    </row>
    <row r="566" spans="1:20" x14ac:dyDescent="0.25">
      <c r="A566" s="274" t="s">
        <v>78</v>
      </c>
      <c r="B566" s="274" t="s">
        <v>79</v>
      </c>
      <c r="C566" s="274" t="s">
        <v>3741</v>
      </c>
      <c r="D566" s="274" t="s">
        <v>3742</v>
      </c>
      <c r="E566" s="274" t="s">
        <v>44</v>
      </c>
      <c r="F566" s="274" t="s">
        <v>136</v>
      </c>
      <c r="G566" s="274" t="s">
        <v>93</v>
      </c>
      <c r="H566" s="274" t="s">
        <v>94</v>
      </c>
      <c r="I566" s="274" t="s">
        <v>4579</v>
      </c>
      <c r="J566" s="274" t="s">
        <v>6586</v>
      </c>
      <c r="K566" s="274" t="s">
        <v>3746</v>
      </c>
      <c r="L566" s="274" t="s">
        <v>4580</v>
      </c>
      <c r="M566" s="281">
        <v>7854.35</v>
      </c>
      <c r="N566" s="280"/>
      <c r="O566" s="280">
        <v>7854.35</v>
      </c>
      <c r="P566" s="280"/>
      <c r="Q566" s="280"/>
      <c r="R566" s="280"/>
      <c r="S566" s="280"/>
      <c r="T566" s="297"/>
    </row>
    <row r="567" spans="1:20" x14ac:dyDescent="0.25">
      <c r="A567" s="274" t="s">
        <v>78</v>
      </c>
      <c r="B567" s="274" t="s">
        <v>79</v>
      </c>
      <c r="C567" s="274" t="s">
        <v>3741</v>
      </c>
      <c r="D567" s="274" t="s">
        <v>3742</v>
      </c>
      <c r="E567" s="274" t="s">
        <v>44</v>
      </c>
      <c r="F567" s="274" t="s">
        <v>136</v>
      </c>
      <c r="G567" s="274" t="s">
        <v>93</v>
      </c>
      <c r="H567" s="274" t="s">
        <v>94</v>
      </c>
      <c r="I567" s="274" t="s">
        <v>4581</v>
      </c>
      <c r="J567" s="274" t="s">
        <v>6606</v>
      </c>
      <c r="K567" s="274" t="s">
        <v>3746</v>
      </c>
      <c r="L567" s="274" t="s">
        <v>4582</v>
      </c>
      <c r="M567" s="281">
        <v>11300</v>
      </c>
      <c r="N567" s="280"/>
      <c r="O567" s="280">
        <v>11300</v>
      </c>
      <c r="P567" s="280"/>
      <c r="Q567" s="280"/>
      <c r="R567" s="280"/>
      <c r="S567" s="280"/>
      <c r="T567" s="297"/>
    </row>
    <row r="568" spans="1:20" x14ac:dyDescent="0.25">
      <c r="A568" s="274" t="s">
        <v>78</v>
      </c>
      <c r="B568" s="274" t="s">
        <v>79</v>
      </c>
      <c r="C568" s="274" t="s">
        <v>3741</v>
      </c>
      <c r="D568" s="274" t="s">
        <v>3742</v>
      </c>
      <c r="E568" s="274" t="s">
        <v>44</v>
      </c>
      <c r="F568" s="274" t="s">
        <v>136</v>
      </c>
      <c r="G568" s="274" t="s">
        <v>93</v>
      </c>
      <c r="H568" s="274" t="s">
        <v>94</v>
      </c>
      <c r="I568" s="274" t="s">
        <v>4583</v>
      </c>
      <c r="J568" s="274" t="s">
        <v>6607</v>
      </c>
      <c r="K568" s="274" t="s">
        <v>3746</v>
      </c>
      <c r="L568" s="274" t="s">
        <v>4584</v>
      </c>
      <c r="M568" s="281">
        <v>18000</v>
      </c>
      <c r="N568" s="280"/>
      <c r="O568" s="280">
        <v>18000</v>
      </c>
      <c r="P568" s="280"/>
      <c r="Q568" s="280"/>
      <c r="R568" s="280"/>
      <c r="S568" s="280"/>
      <c r="T568" s="297"/>
    </row>
    <row r="569" spans="1:20" x14ac:dyDescent="0.25">
      <c r="A569" s="274" t="s">
        <v>78</v>
      </c>
      <c r="B569" s="274" t="s">
        <v>79</v>
      </c>
      <c r="C569" s="274" t="s">
        <v>3741</v>
      </c>
      <c r="D569" s="274" t="s">
        <v>3742</v>
      </c>
      <c r="E569" s="274" t="s">
        <v>44</v>
      </c>
      <c r="F569" s="274" t="s">
        <v>136</v>
      </c>
      <c r="G569" s="274" t="s">
        <v>93</v>
      </c>
      <c r="H569" s="274" t="s">
        <v>94</v>
      </c>
      <c r="I569" s="274" t="s">
        <v>4585</v>
      </c>
      <c r="J569" s="274" t="s">
        <v>6613</v>
      </c>
      <c r="K569" s="274" t="s">
        <v>3746</v>
      </c>
      <c r="L569" s="274" t="s">
        <v>4586</v>
      </c>
      <c r="M569" s="281">
        <v>6953.31</v>
      </c>
      <c r="N569" s="280"/>
      <c r="O569" s="280">
        <v>6953.31</v>
      </c>
      <c r="P569" s="280"/>
      <c r="Q569" s="280"/>
      <c r="R569" s="280"/>
      <c r="S569" s="280"/>
      <c r="T569" s="297"/>
    </row>
    <row r="570" spans="1:20" x14ac:dyDescent="0.25">
      <c r="A570" s="274" t="s">
        <v>78</v>
      </c>
      <c r="B570" s="274" t="s">
        <v>79</v>
      </c>
      <c r="C570" s="274" t="s">
        <v>3741</v>
      </c>
      <c r="D570" s="274" t="s">
        <v>3742</v>
      </c>
      <c r="E570" s="274" t="s">
        <v>44</v>
      </c>
      <c r="F570" s="274" t="s">
        <v>136</v>
      </c>
      <c r="G570" s="274" t="s">
        <v>93</v>
      </c>
      <c r="H570" s="274" t="s">
        <v>94</v>
      </c>
      <c r="I570" s="274" t="s">
        <v>4587</v>
      </c>
      <c r="J570" s="274" t="s">
        <v>6613</v>
      </c>
      <c r="K570" s="274" t="s">
        <v>3746</v>
      </c>
      <c r="L570" s="274" t="s">
        <v>4588</v>
      </c>
      <c r="M570" s="281">
        <v>6622.2</v>
      </c>
      <c r="N570" s="280"/>
      <c r="O570" s="280">
        <v>6622.2</v>
      </c>
      <c r="P570" s="280"/>
      <c r="Q570" s="280"/>
      <c r="R570" s="280"/>
      <c r="S570" s="280"/>
      <c r="T570" s="297"/>
    </row>
    <row r="571" spans="1:20" x14ac:dyDescent="0.25">
      <c r="A571" s="274" t="s">
        <v>78</v>
      </c>
      <c r="B571" s="274" t="s">
        <v>79</v>
      </c>
      <c r="C571" s="274" t="s">
        <v>3741</v>
      </c>
      <c r="D571" s="274" t="s">
        <v>3742</v>
      </c>
      <c r="E571" s="274" t="s">
        <v>44</v>
      </c>
      <c r="F571" s="274" t="s">
        <v>136</v>
      </c>
      <c r="G571" s="274" t="s">
        <v>93</v>
      </c>
      <c r="H571" s="274" t="s">
        <v>94</v>
      </c>
      <c r="I571" s="274" t="s">
        <v>4589</v>
      </c>
      <c r="J571" s="274" t="s">
        <v>6613</v>
      </c>
      <c r="K571" s="274" t="s">
        <v>3746</v>
      </c>
      <c r="L571" s="274" t="s">
        <v>4590</v>
      </c>
      <c r="M571" s="281">
        <v>7284.42</v>
      </c>
      <c r="N571" s="280"/>
      <c r="O571" s="280">
        <v>7284.42</v>
      </c>
      <c r="P571" s="280"/>
      <c r="Q571" s="280"/>
      <c r="R571" s="280"/>
      <c r="S571" s="280"/>
      <c r="T571" s="297"/>
    </row>
    <row r="572" spans="1:20" x14ac:dyDescent="0.25">
      <c r="A572" s="274" t="s">
        <v>78</v>
      </c>
      <c r="B572" s="274" t="s">
        <v>79</v>
      </c>
      <c r="C572" s="274" t="s">
        <v>3741</v>
      </c>
      <c r="D572" s="274" t="s">
        <v>3742</v>
      </c>
      <c r="E572" s="274" t="s">
        <v>44</v>
      </c>
      <c r="F572" s="274" t="s">
        <v>136</v>
      </c>
      <c r="G572" s="274" t="s">
        <v>93</v>
      </c>
      <c r="H572" s="274" t="s">
        <v>94</v>
      </c>
      <c r="I572" s="274" t="s">
        <v>4591</v>
      </c>
      <c r="J572" s="274" t="s">
        <v>6606</v>
      </c>
      <c r="K572" s="274" t="s">
        <v>3746</v>
      </c>
      <c r="L572" s="274" t="s">
        <v>4592</v>
      </c>
      <c r="M572" s="281">
        <v>2260</v>
      </c>
      <c r="N572" s="280"/>
      <c r="O572" s="280"/>
      <c r="P572" s="280">
        <v>2260</v>
      </c>
      <c r="Q572" s="280"/>
      <c r="R572" s="280"/>
      <c r="S572" s="280"/>
      <c r="T572" s="297"/>
    </row>
    <row r="573" spans="1:20" x14ac:dyDescent="0.25">
      <c r="A573" s="274" t="s">
        <v>78</v>
      </c>
      <c r="B573" s="274" t="s">
        <v>79</v>
      </c>
      <c r="C573" s="274" t="s">
        <v>3741</v>
      </c>
      <c r="D573" s="274" t="s">
        <v>3742</v>
      </c>
      <c r="E573" s="274" t="s">
        <v>44</v>
      </c>
      <c r="F573" s="274" t="s">
        <v>136</v>
      </c>
      <c r="G573" s="274" t="s">
        <v>93</v>
      </c>
      <c r="H573" s="274" t="s">
        <v>94</v>
      </c>
      <c r="I573" s="274" t="s">
        <v>4593</v>
      </c>
      <c r="J573" s="274" t="s">
        <v>6607</v>
      </c>
      <c r="K573" s="274" t="s">
        <v>3746</v>
      </c>
      <c r="L573" s="274" t="s">
        <v>4584</v>
      </c>
      <c r="M573" s="281">
        <v>-18000</v>
      </c>
      <c r="N573" s="280"/>
      <c r="O573" s="280"/>
      <c r="P573" s="280">
        <v>-18000</v>
      </c>
      <c r="Q573" s="280"/>
      <c r="R573" s="280"/>
      <c r="S573" s="280"/>
      <c r="T573" s="297"/>
    </row>
    <row r="574" spans="1:20" x14ac:dyDescent="0.25">
      <c r="A574" s="274" t="s">
        <v>78</v>
      </c>
      <c r="B574" s="274" t="s">
        <v>79</v>
      </c>
      <c r="C574" s="274" t="s">
        <v>3741</v>
      </c>
      <c r="D574" s="274" t="s">
        <v>3742</v>
      </c>
      <c r="E574" s="274" t="s">
        <v>44</v>
      </c>
      <c r="F574" s="274" t="s">
        <v>136</v>
      </c>
      <c r="G574" s="274" t="s">
        <v>93</v>
      </c>
      <c r="H574" s="274" t="s">
        <v>94</v>
      </c>
      <c r="I574" s="274" t="s">
        <v>4594</v>
      </c>
      <c r="J574" s="274" t="s">
        <v>6607</v>
      </c>
      <c r="K574" s="274" t="s">
        <v>3746</v>
      </c>
      <c r="L574" s="274" t="s">
        <v>4584</v>
      </c>
      <c r="M574" s="281">
        <v>17680</v>
      </c>
      <c r="N574" s="280"/>
      <c r="O574" s="280"/>
      <c r="P574" s="280">
        <v>17680</v>
      </c>
      <c r="Q574" s="280"/>
      <c r="R574" s="280"/>
      <c r="S574" s="280"/>
      <c r="T574" s="297"/>
    </row>
    <row r="575" spans="1:20" x14ac:dyDescent="0.25">
      <c r="A575" s="274" t="s">
        <v>78</v>
      </c>
      <c r="B575" s="274" t="s">
        <v>79</v>
      </c>
      <c r="C575" s="274" t="s">
        <v>3741</v>
      </c>
      <c r="D575" s="274" t="s">
        <v>3742</v>
      </c>
      <c r="E575" s="274" t="s">
        <v>44</v>
      </c>
      <c r="F575" s="274" t="s">
        <v>136</v>
      </c>
      <c r="G575" s="274" t="s">
        <v>93</v>
      </c>
      <c r="H575" s="274" t="s">
        <v>94</v>
      </c>
      <c r="I575" s="274" t="s">
        <v>4595</v>
      </c>
      <c r="J575" s="274" t="s">
        <v>6607</v>
      </c>
      <c r="K575" s="274" t="s">
        <v>3746</v>
      </c>
      <c r="L575" s="274" t="s">
        <v>4596</v>
      </c>
      <c r="M575" s="281">
        <v>17680</v>
      </c>
      <c r="N575" s="280"/>
      <c r="O575" s="280"/>
      <c r="P575" s="280">
        <v>17680</v>
      </c>
      <c r="Q575" s="280"/>
      <c r="R575" s="280"/>
      <c r="S575" s="280"/>
      <c r="T575" s="297"/>
    </row>
    <row r="576" spans="1:20" x14ac:dyDescent="0.25">
      <c r="A576" s="274" t="s">
        <v>78</v>
      </c>
      <c r="B576" s="274" t="s">
        <v>79</v>
      </c>
      <c r="C576" s="274" t="s">
        <v>3741</v>
      </c>
      <c r="D576" s="274" t="s">
        <v>3742</v>
      </c>
      <c r="E576" s="274" t="s">
        <v>44</v>
      </c>
      <c r="F576" s="274" t="s">
        <v>136</v>
      </c>
      <c r="G576" s="274" t="s">
        <v>93</v>
      </c>
      <c r="H576" s="274" t="s">
        <v>94</v>
      </c>
      <c r="I576" s="274" t="s">
        <v>4597</v>
      </c>
      <c r="J576" s="274" t="s">
        <v>6614</v>
      </c>
      <c r="K576" s="274" t="s">
        <v>3746</v>
      </c>
      <c r="L576" s="274" t="s">
        <v>4598</v>
      </c>
      <c r="M576" s="281">
        <v>13000</v>
      </c>
      <c r="N576" s="280"/>
      <c r="O576" s="280"/>
      <c r="P576" s="280">
        <v>13000</v>
      </c>
      <c r="Q576" s="280"/>
      <c r="R576" s="280"/>
      <c r="S576" s="280"/>
      <c r="T576" s="297"/>
    </row>
    <row r="577" spans="1:20" x14ac:dyDescent="0.25">
      <c r="A577" s="274" t="s">
        <v>78</v>
      </c>
      <c r="B577" s="274" t="s">
        <v>79</v>
      </c>
      <c r="C577" s="274" t="s">
        <v>3741</v>
      </c>
      <c r="D577" s="274" t="s">
        <v>3742</v>
      </c>
      <c r="E577" s="274" t="s">
        <v>44</v>
      </c>
      <c r="F577" s="274" t="s">
        <v>136</v>
      </c>
      <c r="G577" s="274" t="s">
        <v>93</v>
      </c>
      <c r="H577" s="274" t="s">
        <v>94</v>
      </c>
      <c r="I577" s="274" t="s">
        <v>4599</v>
      </c>
      <c r="J577" s="274" t="s">
        <v>6585</v>
      </c>
      <c r="K577" s="274" t="s">
        <v>6506</v>
      </c>
      <c r="L577" s="274" t="s">
        <v>4600</v>
      </c>
      <c r="M577" s="281">
        <v>1875</v>
      </c>
      <c r="N577" s="280"/>
      <c r="O577" s="280"/>
      <c r="P577" s="280">
        <v>1875</v>
      </c>
      <c r="Q577" s="280"/>
      <c r="R577" s="280"/>
      <c r="S577" s="280"/>
      <c r="T577" s="297"/>
    </row>
    <row r="578" spans="1:20" x14ac:dyDescent="0.25">
      <c r="A578" s="274" t="s">
        <v>78</v>
      </c>
      <c r="B578" s="274" t="s">
        <v>79</v>
      </c>
      <c r="C578" s="274" t="s">
        <v>3741</v>
      </c>
      <c r="D578" s="274" t="s">
        <v>3742</v>
      </c>
      <c r="E578" s="274" t="s">
        <v>44</v>
      </c>
      <c r="F578" s="274" t="s">
        <v>136</v>
      </c>
      <c r="G578" s="274" t="s">
        <v>93</v>
      </c>
      <c r="H578" s="274" t="s">
        <v>94</v>
      </c>
      <c r="I578" s="274" t="s">
        <v>4601</v>
      </c>
      <c r="J578" s="274" t="s">
        <v>6581</v>
      </c>
      <c r="K578" s="274" t="s">
        <v>3746</v>
      </c>
      <c r="L578" s="274" t="s">
        <v>4602</v>
      </c>
      <c r="M578" s="281">
        <v>45333</v>
      </c>
      <c r="N578" s="280"/>
      <c r="O578" s="280"/>
      <c r="P578" s="280">
        <v>45333</v>
      </c>
      <c r="Q578" s="280"/>
      <c r="R578" s="280"/>
      <c r="S578" s="280"/>
      <c r="T578" s="297"/>
    </row>
    <row r="579" spans="1:20" x14ac:dyDescent="0.25">
      <c r="A579" s="274" t="s">
        <v>78</v>
      </c>
      <c r="B579" s="274" t="s">
        <v>79</v>
      </c>
      <c r="C579" s="274" t="s">
        <v>3741</v>
      </c>
      <c r="D579" s="274" t="s">
        <v>3742</v>
      </c>
      <c r="E579" s="274" t="s">
        <v>44</v>
      </c>
      <c r="F579" s="274" t="s">
        <v>136</v>
      </c>
      <c r="G579" s="274" t="s">
        <v>93</v>
      </c>
      <c r="H579" s="274" t="s">
        <v>94</v>
      </c>
      <c r="I579" s="274" t="s">
        <v>4603</v>
      </c>
      <c r="J579" s="274" t="s">
        <v>6604</v>
      </c>
      <c r="K579" s="274" t="s">
        <v>6589</v>
      </c>
      <c r="L579" s="274" t="s">
        <v>4604</v>
      </c>
      <c r="M579" s="281">
        <v>16100</v>
      </c>
      <c r="N579" s="280"/>
      <c r="O579" s="280"/>
      <c r="P579" s="280">
        <v>16100</v>
      </c>
      <c r="Q579" s="280"/>
      <c r="R579" s="280"/>
      <c r="S579" s="280"/>
      <c r="T579" s="297"/>
    </row>
    <row r="580" spans="1:20" x14ac:dyDescent="0.25">
      <c r="A580" s="274" t="s">
        <v>78</v>
      </c>
      <c r="B580" s="274" t="s">
        <v>79</v>
      </c>
      <c r="C580" s="274" t="s">
        <v>3741</v>
      </c>
      <c r="D580" s="274" t="s">
        <v>3742</v>
      </c>
      <c r="E580" s="274" t="s">
        <v>44</v>
      </c>
      <c r="F580" s="274" t="s">
        <v>136</v>
      </c>
      <c r="G580" s="274" t="s">
        <v>93</v>
      </c>
      <c r="H580" s="274" t="s">
        <v>94</v>
      </c>
      <c r="I580" s="274" t="s">
        <v>4605</v>
      </c>
      <c r="J580" s="274" t="s">
        <v>6586</v>
      </c>
      <c r="K580" s="274" t="s">
        <v>3746</v>
      </c>
      <c r="L580" s="274" t="s">
        <v>4580</v>
      </c>
      <c r="M580" s="281">
        <v>1162.2</v>
      </c>
      <c r="N580" s="280"/>
      <c r="O580" s="280"/>
      <c r="P580" s="280">
        <v>1162.2</v>
      </c>
      <c r="Q580" s="280"/>
      <c r="R580" s="280"/>
      <c r="S580" s="280"/>
      <c r="T580" s="297"/>
    </row>
    <row r="581" spans="1:20" x14ac:dyDescent="0.25">
      <c r="A581" s="274" t="s">
        <v>78</v>
      </c>
      <c r="B581" s="274" t="s">
        <v>79</v>
      </c>
      <c r="C581" s="274" t="s">
        <v>3741</v>
      </c>
      <c r="D581" s="274" t="s">
        <v>3742</v>
      </c>
      <c r="E581" s="274" t="s">
        <v>44</v>
      </c>
      <c r="F581" s="274" t="s">
        <v>136</v>
      </c>
      <c r="G581" s="274" t="s">
        <v>93</v>
      </c>
      <c r="H581" s="274" t="s">
        <v>94</v>
      </c>
      <c r="I581" s="274" t="s">
        <v>4606</v>
      </c>
      <c r="J581" s="274" t="s">
        <v>6609</v>
      </c>
      <c r="K581" s="274" t="s">
        <v>3746</v>
      </c>
      <c r="L581" s="274" t="s">
        <v>4607</v>
      </c>
      <c r="M581" s="281">
        <v>7284.42</v>
      </c>
      <c r="N581" s="280"/>
      <c r="O581" s="280"/>
      <c r="P581" s="280">
        <v>7284.42</v>
      </c>
      <c r="Q581" s="280"/>
      <c r="R581" s="280"/>
      <c r="S581" s="280"/>
      <c r="T581" s="297"/>
    </row>
    <row r="582" spans="1:20" x14ac:dyDescent="0.25">
      <c r="A582" s="274" t="s">
        <v>78</v>
      </c>
      <c r="B582" s="274" t="s">
        <v>79</v>
      </c>
      <c r="C582" s="274" t="s">
        <v>3741</v>
      </c>
      <c r="D582" s="274" t="s">
        <v>3742</v>
      </c>
      <c r="E582" s="274" t="s">
        <v>44</v>
      </c>
      <c r="F582" s="274" t="s">
        <v>136</v>
      </c>
      <c r="G582" s="274" t="s">
        <v>93</v>
      </c>
      <c r="H582" s="274" t="s">
        <v>94</v>
      </c>
      <c r="I582" s="274" t="s">
        <v>4608</v>
      </c>
      <c r="J582" s="274" t="s">
        <v>6588</v>
      </c>
      <c r="K582" s="274" t="s">
        <v>3746</v>
      </c>
      <c r="L582" s="274" t="s">
        <v>4609</v>
      </c>
      <c r="M582" s="281">
        <v>28177.5</v>
      </c>
      <c r="N582" s="280"/>
      <c r="O582" s="280"/>
      <c r="P582" s="280">
        <v>28177.5</v>
      </c>
      <c r="Q582" s="280"/>
      <c r="R582" s="280"/>
      <c r="S582" s="280"/>
      <c r="T582" s="297"/>
    </row>
    <row r="583" spans="1:20" x14ac:dyDescent="0.25">
      <c r="A583" s="274" t="s">
        <v>78</v>
      </c>
      <c r="B583" s="274" t="s">
        <v>79</v>
      </c>
      <c r="C583" s="274" t="s">
        <v>3741</v>
      </c>
      <c r="D583" s="274" t="s">
        <v>3742</v>
      </c>
      <c r="E583" s="274" t="s">
        <v>44</v>
      </c>
      <c r="F583" s="274" t="s">
        <v>136</v>
      </c>
      <c r="G583" s="274" t="s">
        <v>93</v>
      </c>
      <c r="H583" s="274" t="s">
        <v>94</v>
      </c>
      <c r="I583" s="274" t="s">
        <v>4610</v>
      </c>
      <c r="J583" s="274" t="s">
        <v>6588</v>
      </c>
      <c r="K583" s="274" t="s">
        <v>6506</v>
      </c>
      <c r="L583" s="274" t="s">
        <v>4611</v>
      </c>
      <c r="M583" s="281">
        <v>3892</v>
      </c>
      <c r="N583" s="280"/>
      <c r="O583" s="280"/>
      <c r="P583" s="280">
        <v>3892</v>
      </c>
      <c r="Q583" s="280"/>
      <c r="R583" s="280"/>
      <c r="S583" s="280"/>
      <c r="T583" s="297"/>
    </row>
    <row r="584" spans="1:20" x14ac:dyDescent="0.25">
      <c r="A584" s="274" t="s">
        <v>78</v>
      </c>
      <c r="B584" s="274" t="s">
        <v>79</v>
      </c>
      <c r="C584" s="274" t="s">
        <v>3741</v>
      </c>
      <c r="D584" s="274" t="s">
        <v>3742</v>
      </c>
      <c r="E584" s="274" t="s">
        <v>44</v>
      </c>
      <c r="F584" s="274" t="s">
        <v>136</v>
      </c>
      <c r="G584" s="274" t="s">
        <v>93</v>
      </c>
      <c r="H584" s="274" t="s">
        <v>94</v>
      </c>
      <c r="I584" s="274" t="s">
        <v>4612</v>
      </c>
      <c r="J584" s="274" t="s">
        <v>6588</v>
      </c>
      <c r="K584" s="274" t="s">
        <v>6546</v>
      </c>
      <c r="L584" s="274" t="s">
        <v>4613</v>
      </c>
      <c r="M584" s="281">
        <v>33330.92</v>
      </c>
      <c r="N584" s="280"/>
      <c r="O584" s="280"/>
      <c r="P584" s="280">
        <v>33330.92</v>
      </c>
      <c r="Q584" s="280"/>
      <c r="R584" s="280"/>
      <c r="S584" s="280"/>
      <c r="T584" s="297"/>
    </row>
    <row r="585" spans="1:20" x14ac:dyDescent="0.25">
      <c r="A585" s="274" t="s">
        <v>78</v>
      </c>
      <c r="B585" s="274" t="s">
        <v>79</v>
      </c>
      <c r="C585" s="274" t="s">
        <v>3741</v>
      </c>
      <c r="D585" s="274" t="s">
        <v>3742</v>
      </c>
      <c r="E585" s="274" t="s">
        <v>44</v>
      </c>
      <c r="F585" s="274" t="s">
        <v>136</v>
      </c>
      <c r="G585" s="274" t="s">
        <v>93</v>
      </c>
      <c r="H585" s="274" t="s">
        <v>94</v>
      </c>
      <c r="I585" s="274" t="s">
        <v>4614</v>
      </c>
      <c r="J585" s="274" t="s">
        <v>6588</v>
      </c>
      <c r="K585" s="274" t="s">
        <v>6589</v>
      </c>
      <c r="L585" s="274" t="s">
        <v>4615</v>
      </c>
      <c r="M585" s="281">
        <v>4726.33</v>
      </c>
      <c r="N585" s="280"/>
      <c r="O585" s="280"/>
      <c r="P585" s="280">
        <v>4726.33</v>
      </c>
      <c r="Q585" s="280"/>
      <c r="R585" s="280"/>
      <c r="S585" s="280"/>
      <c r="T585" s="297"/>
    </row>
    <row r="586" spans="1:20" x14ac:dyDescent="0.25">
      <c r="A586" s="274" t="s">
        <v>78</v>
      </c>
      <c r="B586" s="274" t="s">
        <v>79</v>
      </c>
      <c r="C586" s="274" t="s">
        <v>3741</v>
      </c>
      <c r="D586" s="274" t="s">
        <v>3742</v>
      </c>
      <c r="E586" s="274" t="s">
        <v>44</v>
      </c>
      <c r="F586" s="274" t="s">
        <v>136</v>
      </c>
      <c r="G586" s="274" t="s">
        <v>93</v>
      </c>
      <c r="H586" s="274" t="s">
        <v>94</v>
      </c>
      <c r="I586" s="274" t="s">
        <v>4616</v>
      </c>
      <c r="J586" s="274" t="s">
        <v>6588</v>
      </c>
      <c r="K586" s="274" t="s">
        <v>6572</v>
      </c>
      <c r="L586" s="274" t="s">
        <v>4617</v>
      </c>
      <c r="M586" s="281">
        <v>64683.17</v>
      </c>
      <c r="N586" s="280"/>
      <c r="O586" s="280"/>
      <c r="P586" s="280">
        <v>64683.17</v>
      </c>
      <c r="Q586" s="280"/>
      <c r="R586" s="280"/>
      <c r="S586" s="280"/>
      <c r="T586" s="297"/>
    </row>
    <row r="587" spans="1:20" x14ac:dyDescent="0.25">
      <c r="A587" s="274" t="s">
        <v>78</v>
      </c>
      <c r="B587" s="274" t="s">
        <v>79</v>
      </c>
      <c r="C587" s="274" t="s">
        <v>3741</v>
      </c>
      <c r="D587" s="274" t="s">
        <v>3742</v>
      </c>
      <c r="E587" s="274" t="s">
        <v>44</v>
      </c>
      <c r="F587" s="274" t="s">
        <v>136</v>
      </c>
      <c r="G587" s="274" t="s">
        <v>93</v>
      </c>
      <c r="H587" s="274" t="s">
        <v>94</v>
      </c>
      <c r="I587" s="274" t="s">
        <v>4618</v>
      </c>
      <c r="J587" s="274" t="s">
        <v>6588</v>
      </c>
      <c r="K587" s="274" t="s">
        <v>6590</v>
      </c>
      <c r="L587" s="274" t="s">
        <v>4619</v>
      </c>
      <c r="M587" s="281">
        <v>6131</v>
      </c>
      <c r="N587" s="280"/>
      <c r="O587" s="280"/>
      <c r="P587" s="280">
        <v>6131</v>
      </c>
      <c r="Q587" s="280"/>
      <c r="R587" s="280"/>
      <c r="S587" s="280"/>
      <c r="T587" s="297"/>
    </row>
    <row r="588" spans="1:20" x14ac:dyDescent="0.25">
      <c r="A588" s="274" t="s">
        <v>78</v>
      </c>
      <c r="B588" s="274" t="s">
        <v>79</v>
      </c>
      <c r="C588" s="274" t="s">
        <v>3741</v>
      </c>
      <c r="D588" s="274" t="s">
        <v>3742</v>
      </c>
      <c r="E588" s="274" t="s">
        <v>44</v>
      </c>
      <c r="F588" s="274" t="s">
        <v>136</v>
      </c>
      <c r="G588" s="274" t="s">
        <v>93</v>
      </c>
      <c r="H588" s="274" t="s">
        <v>94</v>
      </c>
      <c r="I588" s="274" t="s">
        <v>4620</v>
      </c>
      <c r="J588" s="274" t="s">
        <v>6588</v>
      </c>
      <c r="K588" s="274" t="s">
        <v>6570</v>
      </c>
      <c r="L588" s="274" t="s">
        <v>4621</v>
      </c>
      <c r="M588" s="281">
        <v>12262</v>
      </c>
      <c r="N588" s="280"/>
      <c r="O588" s="280"/>
      <c r="P588" s="280">
        <v>12262</v>
      </c>
      <c r="Q588" s="280"/>
      <c r="R588" s="280"/>
      <c r="S588" s="280"/>
      <c r="T588" s="297"/>
    </row>
    <row r="589" spans="1:20" x14ac:dyDescent="0.25">
      <c r="A589" s="274" t="s">
        <v>78</v>
      </c>
      <c r="B589" s="274" t="s">
        <v>79</v>
      </c>
      <c r="C589" s="274" t="s">
        <v>3741</v>
      </c>
      <c r="D589" s="274" t="s">
        <v>3742</v>
      </c>
      <c r="E589" s="274" t="s">
        <v>44</v>
      </c>
      <c r="F589" s="274" t="s">
        <v>136</v>
      </c>
      <c r="G589" s="274" t="s">
        <v>93</v>
      </c>
      <c r="H589" s="274" t="s">
        <v>94</v>
      </c>
      <c r="I589" s="274" t="s">
        <v>4622</v>
      </c>
      <c r="J589" s="274" t="s">
        <v>6588</v>
      </c>
      <c r="K589" s="274" t="s">
        <v>6567</v>
      </c>
      <c r="L589" s="274" t="s">
        <v>4623</v>
      </c>
      <c r="M589" s="281">
        <v>62652.69</v>
      </c>
      <c r="N589" s="280"/>
      <c r="O589" s="280"/>
      <c r="P589" s="280">
        <v>62652.69</v>
      </c>
      <c r="Q589" s="280"/>
      <c r="R589" s="280"/>
      <c r="S589" s="280"/>
      <c r="T589" s="297"/>
    </row>
    <row r="590" spans="1:20" x14ac:dyDescent="0.25">
      <c r="A590" s="274" t="s">
        <v>78</v>
      </c>
      <c r="B590" s="274" t="s">
        <v>79</v>
      </c>
      <c r="C590" s="274" t="s">
        <v>3741</v>
      </c>
      <c r="D590" s="274" t="s">
        <v>3742</v>
      </c>
      <c r="E590" s="274" t="s">
        <v>44</v>
      </c>
      <c r="F590" s="274" t="s">
        <v>136</v>
      </c>
      <c r="G590" s="274" t="s">
        <v>93</v>
      </c>
      <c r="H590" s="274" t="s">
        <v>94</v>
      </c>
      <c r="I590" s="274" t="s">
        <v>4624</v>
      </c>
      <c r="J590" s="274" t="s">
        <v>6588</v>
      </c>
      <c r="K590" s="274" t="s">
        <v>6591</v>
      </c>
      <c r="L590" s="274" t="s">
        <v>4625</v>
      </c>
      <c r="M590" s="281">
        <v>37055.82</v>
      </c>
      <c r="N590" s="280"/>
      <c r="O590" s="280"/>
      <c r="P590" s="280">
        <v>37055.82</v>
      </c>
      <c r="Q590" s="280"/>
      <c r="R590" s="280"/>
      <c r="S590" s="280"/>
      <c r="T590" s="297"/>
    </row>
    <row r="591" spans="1:20" x14ac:dyDescent="0.25">
      <c r="A591" s="274" t="s">
        <v>78</v>
      </c>
      <c r="B591" s="274" t="s">
        <v>79</v>
      </c>
      <c r="C591" s="274" t="s">
        <v>3741</v>
      </c>
      <c r="D591" s="274" t="s">
        <v>3742</v>
      </c>
      <c r="E591" s="274" t="s">
        <v>44</v>
      </c>
      <c r="F591" s="274" t="s">
        <v>136</v>
      </c>
      <c r="G591" s="274" t="s">
        <v>93</v>
      </c>
      <c r="H591" s="274" t="s">
        <v>94</v>
      </c>
      <c r="I591" s="274" t="s">
        <v>4626</v>
      </c>
      <c r="J591" s="274" t="s">
        <v>6588</v>
      </c>
      <c r="K591" s="274" t="s">
        <v>6592</v>
      </c>
      <c r="L591" s="274" t="s">
        <v>4627</v>
      </c>
      <c r="M591" s="281">
        <v>5833.33</v>
      </c>
      <c r="N591" s="280"/>
      <c r="O591" s="280"/>
      <c r="P591" s="280">
        <v>5833.33</v>
      </c>
      <c r="Q591" s="280"/>
      <c r="R591" s="280"/>
      <c r="S591" s="280"/>
      <c r="T591" s="297"/>
    </row>
    <row r="592" spans="1:20" x14ac:dyDescent="0.25">
      <c r="A592" s="274" t="s">
        <v>78</v>
      </c>
      <c r="B592" s="274" t="s">
        <v>79</v>
      </c>
      <c r="C592" s="274" t="s">
        <v>3741</v>
      </c>
      <c r="D592" s="274" t="s">
        <v>3742</v>
      </c>
      <c r="E592" s="274" t="s">
        <v>44</v>
      </c>
      <c r="F592" s="274" t="s">
        <v>136</v>
      </c>
      <c r="G592" s="274" t="s">
        <v>93</v>
      </c>
      <c r="H592" s="274" t="s">
        <v>94</v>
      </c>
      <c r="I592" s="274" t="s">
        <v>4628</v>
      </c>
      <c r="J592" s="274" t="s">
        <v>6588</v>
      </c>
      <c r="K592" s="274" t="s">
        <v>6593</v>
      </c>
      <c r="L592" s="274" t="s">
        <v>4629</v>
      </c>
      <c r="M592" s="281">
        <v>5250</v>
      </c>
      <c r="N592" s="280"/>
      <c r="O592" s="280"/>
      <c r="P592" s="280">
        <v>5250</v>
      </c>
      <c r="Q592" s="280"/>
      <c r="R592" s="280"/>
      <c r="S592" s="280"/>
      <c r="T592" s="297"/>
    </row>
    <row r="593" spans="1:20" x14ac:dyDescent="0.25">
      <c r="A593" s="274" t="s">
        <v>78</v>
      </c>
      <c r="B593" s="274" t="s">
        <v>79</v>
      </c>
      <c r="C593" s="274" t="s">
        <v>3741</v>
      </c>
      <c r="D593" s="274" t="s">
        <v>3742</v>
      </c>
      <c r="E593" s="274" t="s">
        <v>44</v>
      </c>
      <c r="F593" s="274" t="s">
        <v>136</v>
      </c>
      <c r="G593" s="274" t="s">
        <v>93</v>
      </c>
      <c r="H593" s="274" t="s">
        <v>94</v>
      </c>
      <c r="I593" s="274" t="s">
        <v>4630</v>
      </c>
      <c r="J593" s="274" t="s">
        <v>6588</v>
      </c>
      <c r="K593" s="274" t="s">
        <v>6594</v>
      </c>
      <c r="L593" s="274" t="s">
        <v>4631</v>
      </c>
      <c r="M593" s="281">
        <v>27081.58</v>
      </c>
      <c r="N593" s="280"/>
      <c r="O593" s="280"/>
      <c r="P593" s="280">
        <v>27081.58</v>
      </c>
      <c r="Q593" s="280"/>
      <c r="R593" s="280"/>
      <c r="S593" s="280"/>
      <c r="T593" s="297"/>
    </row>
    <row r="594" spans="1:20" x14ac:dyDescent="0.25">
      <c r="A594" s="274" t="s">
        <v>78</v>
      </c>
      <c r="B594" s="274" t="s">
        <v>79</v>
      </c>
      <c r="C594" s="274" t="s">
        <v>3741</v>
      </c>
      <c r="D594" s="274" t="s">
        <v>3742</v>
      </c>
      <c r="E594" s="274" t="s">
        <v>44</v>
      </c>
      <c r="F594" s="274" t="s">
        <v>136</v>
      </c>
      <c r="G594" s="274" t="s">
        <v>93</v>
      </c>
      <c r="H594" s="274" t="s">
        <v>94</v>
      </c>
      <c r="I594" s="274" t="s">
        <v>4632</v>
      </c>
      <c r="J594" s="274" t="s">
        <v>6588</v>
      </c>
      <c r="K594" s="274" t="s">
        <v>6595</v>
      </c>
      <c r="L594" s="274" t="s">
        <v>4633</v>
      </c>
      <c r="M594" s="281">
        <v>7071.33</v>
      </c>
      <c r="N594" s="280"/>
      <c r="O594" s="280"/>
      <c r="P594" s="280">
        <v>7071.33</v>
      </c>
      <c r="Q594" s="280"/>
      <c r="R594" s="280"/>
      <c r="S594" s="280"/>
      <c r="T594" s="297"/>
    </row>
    <row r="595" spans="1:20" x14ac:dyDescent="0.25">
      <c r="A595" s="274" t="s">
        <v>78</v>
      </c>
      <c r="B595" s="274" t="s">
        <v>79</v>
      </c>
      <c r="C595" s="274" t="s">
        <v>3741</v>
      </c>
      <c r="D595" s="274" t="s">
        <v>3742</v>
      </c>
      <c r="E595" s="274" t="s">
        <v>44</v>
      </c>
      <c r="F595" s="274" t="s">
        <v>136</v>
      </c>
      <c r="G595" s="274" t="s">
        <v>93</v>
      </c>
      <c r="H595" s="274" t="s">
        <v>94</v>
      </c>
      <c r="I595" s="274" t="s">
        <v>4634</v>
      </c>
      <c r="J595" s="274" t="s">
        <v>6588</v>
      </c>
      <c r="K595" s="274" t="s">
        <v>6596</v>
      </c>
      <c r="L595" s="274" t="s">
        <v>4635</v>
      </c>
      <c r="M595" s="281">
        <v>9979.5</v>
      </c>
      <c r="N595" s="280"/>
      <c r="O595" s="280"/>
      <c r="P595" s="280">
        <v>9979.5</v>
      </c>
      <c r="Q595" s="280"/>
      <c r="R595" s="280"/>
      <c r="S595" s="280"/>
      <c r="T595" s="297"/>
    </row>
    <row r="596" spans="1:20" x14ac:dyDescent="0.25">
      <c r="A596" s="274" t="s">
        <v>78</v>
      </c>
      <c r="B596" s="274" t="s">
        <v>79</v>
      </c>
      <c r="C596" s="274" t="s">
        <v>3741</v>
      </c>
      <c r="D596" s="274" t="s">
        <v>3742</v>
      </c>
      <c r="E596" s="274" t="s">
        <v>44</v>
      </c>
      <c r="F596" s="274" t="s">
        <v>136</v>
      </c>
      <c r="G596" s="274" t="s">
        <v>93</v>
      </c>
      <c r="H596" s="274" t="s">
        <v>94</v>
      </c>
      <c r="I596" s="274" t="s">
        <v>4636</v>
      </c>
      <c r="J596" s="274" t="s">
        <v>6588</v>
      </c>
      <c r="K596" s="274" t="s">
        <v>6597</v>
      </c>
      <c r="L596" s="274" t="s">
        <v>4637</v>
      </c>
      <c r="M596" s="281">
        <v>1319.25</v>
      </c>
      <c r="N596" s="280"/>
      <c r="O596" s="280"/>
      <c r="P596" s="280">
        <v>1319.25</v>
      </c>
      <c r="Q596" s="280"/>
      <c r="R596" s="280"/>
      <c r="S596" s="280"/>
      <c r="T596" s="297"/>
    </row>
    <row r="597" spans="1:20" x14ac:dyDescent="0.25">
      <c r="A597" s="274" t="s">
        <v>78</v>
      </c>
      <c r="B597" s="274" t="s">
        <v>79</v>
      </c>
      <c r="C597" s="274" t="s">
        <v>3741</v>
      </c>
      <c r="D597" s="274" t="s">
        <v>3742</v>
      </c>
      <c r="E597" s="274" t="s">
        <v>44</v>
      </c>
      <c r="F597" s="274" t="s">
        <v>136</v>
      </c>
      <c r="G597" s="274" t="s">
        <v>93</v>
      </c>
      <c r="H597" s="274" t="s">
        <v>94</v>
      </c>
      <c r="I597" s="274" t="s">
        <v>4638</v>
      </c>
      <c r="J597" s="274" t="s">
        <v>6588</v>
      </c>
      <c r="K597" s="274" t="s">
        <v>6598</v>
      </c>
      <c r="L597" s="274" t="s">
        <v>4639</v>
      </c>
      <c r="M597" s="281">
        <v>6365.08</v>
      </c>
      <c r="N597" s="280"/>
      <c r="O597" s="280"/>
      <c r="P597" s="280">
        <v>6365.08</v>
      </c>
      <c r="Q597" s="280"/>
      <c r="R597" s="280"/>
      <c r="S597" s="280"/>
      <c r="T597" s="297"/>
    </row>
    <row r="598" spans="1:20" x14ac:dyDescent="0.25">
      <c r="A598" s="274" t="s">
        <v>78</v>
      </c>
      <c r="B598" s="274" t="s">
        <v>79</v>
      </c>
      <c r="C598" s="274" t="s">
        <v>3741</v>
      </c>
      <c r="D598" s="274" t="s">
        <v>3742</v>
      </c>
      <c r="E598" s="274" t="s">
        <v>44</v>
      </c>
      <c r="F598" s="274" t="s">
        <v>136</v>
      </c>
      <c r="G598" s="274" t="s">
        <v>93</v>
      </c>
      <c r="H598" s="274" t="s">
        <v>94</v>
      </c>
      <c r="I598" s="274" t="s">
        <v>4640</v>
      </c>
      <c r="J598" s="274" t="s">
        <v>6588</v>
      </c>
      <c r="K598" s="274" t="s">
        <v>6599</v>
      </c>
      <c r="L598" s="274" t="s">
        <v>4641</v>
      </c>
      <c r="M598" s="281">
        <v>20670.240000000002</v>
      </c>
      <c r="N598" s="280"/>
      <c r="O598" s="280"/>
      <c r="P598" s="280">
        <v>20670.240000000002</v>
      </c>
      <c r="Q598" s="280"/>
      <c r="R598" s="280"/>
      <c r="S598" s="280"/>
      <c r="T598" s="297"/>
    </row>
    <row r="599" spans="1:20" x14ac:dyDescent="0.25">
      <c r="A599" s="274" t="s">
        <v>78</v>
      </c>
      <c r="B599" s="274" t="s">
        <v>79</v>
      </c>
      <c r="C599" s="274" t="s">
        <v>3741</v>
      </c>
      <c r="D599" s="274" t="s">
        <v>3742</v>
      </c>
      <c r="E599" s="274" t="s">
        <v>44</v>
      </c>
      <c r="F599" s="274" t="s">
        <v>136</v>
      </c>
      <c r="G599" s="274" t="s">
        <v>93</v>
      </c>
      <c r="H599" s="274" t="s">
        <v>94</v>
      </c>
      <c r="I599" s="274" t="s">
        <v>4642</v>
      </c>
      <c r="J599" s="274" t="s">
        <v>6588</v>
      </c>
      <c r="K599" s="274" t="s">
        <v>6600</v>
      </c>
      <c r="L599" s="274" t="s">
        <v>4643</v>
      </c>
      <c r="M599" s="281">
        <v>27556.720000000001</v>
      </c>
      <c r="N599" s="280"/>
      <c r="O599" s="280"/>
      <c r="P599" s="280">
        <v>27556.720000000001</v>
      </c>
      <c r="Q599" s="280"/>
      <c r="R599" s="280"/>
      <c r="S599" s="280"/>
      <c r="T599" s="297"/>
    </row>
    <row r="600" spans="1:20" x14ac:dyDescent="0.25">
      <c r="A600" s="274" t="s">
        <v>78</v>
      </c>
      <c r="B600" s="274" t="s">
        <v>79</v>
      </c>
      <c r="C600" s="274" t="s">
        <v>3741</v>
      </c>
      <c r="D600" s="274" t="s">
        <v>3742</v>
      </c>
      <c r="E600" s="274" t="s">
        <v>44</v>
      </c>
      <c r="F600" s="274" t="s">
        <v>136</v>
      </c>
      <c r="G600" s="274" t="s">
        <v>93</v>
      </c>
      <c r="H600" s="274" t="s">
        <v>94</v>
      </c>
      <c r="I600" s="274" t="s">
        <v>4644</v>
      </c>
      <c r="J600" s="274" t="s">
        <v>6588</v>
      </c>
      <c r="K600" s="274" t="s">
        <v>6601</v>
      </c>
      <c r="L600" s="274" t="s">
        <v>4645</v>
      </c>
      <c r="M600" s="281">
        <v>27403.14</v>
      </c>
      <c r="N600" s="280"/>
      <c r="O600" s="280"/>
      <c r="P600" s="280">
        <v>27403.14</v>
      </c>
      <c r="Q600" s="280"/>
      <c r="R600" s="280"/>
      <c r="S600" s="280"/>
      <c r="T600" s="297"/>
    </row>
    <row r="601" spans="1:20" x14ac:dyDescent="0.25">
      <c r="A601" s="274" t="s">
        <v>78</v>
      </c>
      <c r="B601" s="274" t="s">
        <v>79</v>
      </c>
      <c r="C601" s="274" t="s">
        <v>3741</v>
      </c>
      <c r="D601" s="274" t="s">
        <v>3742</v>
      </c>
      <c r="E601" s="274" t="s">
        <v>44</v>
      </c>
      <c r="F601" s="274" t="s">
        <v>136</v>
      </c>
      <c r="G601" s="274" t="s">
        <v>93</v>
      </c>
      <c r="H601" s="274" t="s">
        <v>94</v>
      </c>
      <c r="I601" s="274" t="s">
        <v>4646</v>
      </c>
      <c r="J601" s="274" t="s">
        <v>6588</v>
      </c>
      <c r="K601" s="274" t="s">
        <v>6602</v>
      </c>
      <c r="L601" s="274" t="s">
        <v>4647</v>
      </c>
      <c r="M601" s="281">
        <v>5923.44</v>
      </c>
      <c r="N601" s="280"/>
      <c r="O601" s="280"/>
      <c r="P601" s="280">
        <v>5923.44</v>
      </c>
      <c r="Q601" s="280"/>
      <c r="R601" s="280"/>
      <c r="S601" s="280"/>
      <c r="T601" s="297"/>
    </row>
    <row r="602" spans="1:20" x14ac:dyDescent="0.25">
      <c r="A602" s="274" t="s">
        <v>78</v>
      </c>
      <c r="B602" s="274" t="s">
        <v>79</v>
      </c>
      <c r="C602" s="274" t="s">
        <v>3741</v>
      </c>
      <c r="D602" s="274" t="s">
        <v>3742</v>
      </c>
      <c r="E602" s="274" t="s">
        <v>44</v>
      </c>
      <c r="F602" s="274" t="s">
        <v>136</v>
      </c>
      <c r="G602" s="274" t="s">
        <v>93</v>
      </c>
      <c r="H602" s="274" t="s">
        <v>94</v>
      </c>
      <c r="I602" s="274" t="s">
        <v>4648</v>
      </c>
      <c r="J602" s="274" t="s">
        <v>6588</v>
      </c>
      <c r="K602" s="274" t="s">
        <v>6583</v>
      </c>
      <c r="L602" s="274" t="s">
        <v>4649</v>
      </c>
      <c r="M602" s="281">
        <v>3166.2</v>
      </c>
      <c r="N602" s="280"/>
      <c r="O602" s="280"/>
      <c r="P602" s="280">
        <v>3166.2</v>
      </c>
      <c r="Q602" s="280"/>
      <c r="R602" s="280"/>
      <c r="S602" s="280"/>
      <c r="T602" s="297"/>
    </row>
    <row r="603" spans="1:20" x14ac:dyDescent="0.25">
      <c r="A603" s="274" t="s">
        <v>78</v>
      </c>
      <c r="B603" s="274" t="s">
        <v>79</v>
      </c>
      <c r="C603" s="274" t="s">
        <v>3741</v>
      </c>
      <c r="D603" s="274" t="s">
        <v>3742</v>
      </c>
      <c r="E603" s="274" t="s">
        <v>44</v>
      </c>
      <c r="F603" s="274" t="s">
        <v>136</v>
      </c>
      <c r="G603" s="274" t="s">
        <v>93</v>
      </c>
      <c r="H603" s="274" t="s">
        <v>94</v>
      </c>
      <c r="I603" s="274" t="s">
        <v>4650</v>
      </c>
      <c r="J603" s="274" t="s">
        <v>6588</v>
      </c>
      <c r="K603" s="274" t="s">
        <v>6611</v>
      </c>
      <c r="L603" s="274" t="s">
        <v>4651</v>
      </c>
      <c r="M603" s="281">
        <v>7327.8</v>
      </c>
      <c r="N603" s="280"/>
      <c r="O603" s="280"/>
      <c r="P603" s="280">
        <v>7327.8</v>
      </c>
      <c r="Q603" s="280"/>
      <c r="R603" s="280"/>
      <c r="S603" s="280"/>
      <c r="T603" s="297"/>
    </row>
    <row r="604" spans="1:20" x14ac:dyDescent="0.25">
      <c r="A604" s="274" t="s">
        <v>78</v>
      </c>
      <c r="B604" s="274" t="s">
        <v>79</v>
      </c>
      <c r="C604" s="274" t="s">
        <v>3741</v>
      </c>
      <c r="D604" s="274" t="s">
        <v>3742</v>
      </c>
      <c r="E604" s="274" t="s">
        <v>44</v>
      </c>
      <c r="F604" s="274" t="s">
        <v>136</v>
      </c>
      <c r="G604" s="274" t="s">
        <v>93</v>
      </c>
      <c r="H604" s="274" t="s">
        <v>94</v>
      </c>
      <c r="I604" s="274" t="s">
        <v>4652</v>
      </c>
      <c r="J604" s="274" t="s">
        <v>6588</v>
      </c>
      <c r="K604" s="274" t="s">
        <v>6584</v>
      </c>
      <c r="L604" s="274" t="s">
        <v>4653</v>
      </c>
      <c r="M604" s="281">
        <v>16144.11</v>
      </c>
      <c r="N604" s="280"/>
      <c r="O604" s="280"/>
      <c r="P604" s="280">
        <v>16144.11</v>
      </c>
      <c r="Q604" s="280"/>
      <c r="R604" s="280"/>
      <c r="S604" s="280"/>
      <c r="T604" s="297"/>
    </row>
    <row r="605" spans="1:20" x14ac:dyDescent="0.25">
      <c r="A605" s="274" t="s">
        <v>78</v>
      </c>
      <c r="B605" s="274" t="s">
        <v>79</v>
      </c>
      <c r="C605" s="274" t="s">
        <v>3741</v>
      </c>
      <c r="D605" s="274" t="s">
        <v>3742</v>
      </c>
      <c r="E605" s="274" t="s">
        <v>44</v>
      </c>
      <c r="F605" s="274" t="s">
        <v>136</v>
      </c>
      <c r="G605" s="274" t="s">
        <v>93</v>
      </c>
      <c r="H605" s="274" t="s">
        <v>94</v>
      </c>
      <c r="I605" s="274" t="s">
        <v>4654</v>
      </c>
      <c r="J605" s="274" t="s">
        <v>6588</v>
      </c>
      <c r="K605" s="274" t="s">
        <v>6615</v>
      </c>
      <c r="L605" s="274" t="s">
        <v>4655</v>
      </c>
      <c r="M605" s="281">
        <v>7306.2</v>
      </c>
      <c r="N605" s="280"/>
      <c r="O605" s="280"/>
      <c r="P605" s="280">
        <v>7306.2</v>
      </c>
      <c r="Q605" s="280"/>
      <c r="R605" s="280"/>
      <c r="S605" s="280"/>
      <c r="T605" s="297"/>
    </row>
    <row r="606" spans="1:20" x14ac:dyDescent="0.25">
      <c r="A606" s="274" t="s">
        <v>78</v>
      </c>
      <c r="B606" s="274" t="s">
        <v>79</v>
      </c>
      <c r="C606" s="274" t="s">
        <v>3741</v>
      </c>
      <c r="D606" s="274" t="s">
        <v>3742</v>
      </c>
      <c r="E606" s="274" t="s">
        <v>44</v>
      </c>
      <c r="F606" s="274" t="s">
        <v>136</v>
      </c>
      <c r="G606" s="274" t="s">
        <v>93</v>
      </c>
      <c r="H606" s="274" t="s">
        <v>94</v>
      </c>
      <c r="I606" s="274" t="s">
        <v>4656</v>
      </c>
      <c r="J606" s="274" t="s">
        <v>6588</v>
      </c>
      <c r="K606" s="274" t="s">
        <v>6603</v>
      </c>
      <c r="L606" s="274" t="s">
        <v>4657</v>
      </c>
      <c r="M606" s="281">
        <v>10000</v>
      </c>
      <c r="N606" s="280"/>
      <c r="O606" s="280"/>
      <c r="P606" s="280">
        <v>10000</v>
      </c>
      <c r="Q606" s="280"/>
      <c r="R606" s="280"/>
      <c r="S606" s="280"/>
      <c r="T606" s="297"/>
    </row>
    <row r="607" spans="1:20" x14ac:dyDescent="0.25">
      <c r="A607" s="274" t="s">
        <v>78</v>
      </c>
      <c r="B607" s="274" t="s">
        <v>79</v>
      </c>
      <c r="C607" s="274" t="s">
        <v>3741</v>
      </c>
      <c r="D607" s="274" t="s">
        <v>3742</v>
      </c>
      <c r="E607" s="274" t="s">
        <v>44</v>
      </c>
      <c r="F607" s="274" t="s">
        <v>136</v>
      </c>
      <c r="G607" s="274" t="s">
        <v>93</v>
      </c>
      <c r="H607" s="274" t="s">
        <v>94</v>
      </c>
      <c r="I607" s="274" t="s">
        <v>4658</v>
      </c>
      <c r="J607" s="274" t="s">
        <v>6610</v>
      </c>
      <c r="K607" s="274" t="s">
        <v>3746</v>
      </c>
      <c r="L607" s="274" t="s">
        <v>4659</v>
      </c>
      <c r="M607" s="281">
        <v>8010</v>
      </c>
      <c r="N607" s="280"/>
      <c r="O607" s="280"/>
      <c r="P607" s="280">
        <v>8010</v>
      </c>
      <c r="Q607" s="280"/>
      <c r="R607" s="280"/>
      <c r="S607" s="280"/>
      <c r="T607" s="297"/>
    </row>
    <row r="608" spans="1:20" x14ac:dyDescent="0.25">
      <c r="A608" s="274" t="s">
        <v>78</v>
      </c>
      <c r="B608" s="274" t="s">
        <v>79</v>
      </c>
      <c r="C608" s="274" t="s">
        <v>3741</v>
      </c>
      <c r="D608" s="274" t="s">
        <v>3742</v>
      </c>
      <c r="E608" s="274" t="s">
        <v>44</v>
      </c>
      <c r="F608" s="274" t="s">
        <v>136</v>
      </c>
      <c r="G608" s="274" t="s">
        <v>93</v>
      </c>
      <c r="H608" s="274" t="s">
        <v>94</v>
      </c>
      <c r="I608" s="274" t="s">
        <v>4660</v>
      </c>
      <c r="J608" s="274" t="s">
        <v>6609</v>
      </c>
      <c r="K608" s="274" t="s">
        <v>3746</v>
      </c>
      <c r="L608" s="274" t="s">
        <v>4607</v>
      </c>
      <c r="M608" s="281">
        <v>-7284.42</v>
      </c>
      <c r="N608" s="280"/>
      <c r="O608" s="280"/>
      <c r="P608" s="280">
        <v>-7284.42</v>
      </c>
      <c r="Q608" s="280"/>
      <c r="R608" s="280"/>
      <c r="S608" s="280"/>
      <c r="T608" s="297"/>
    </row>
    <row r="609" spans="1:20" x14ac:dyDescent="0.25">
      <c r="A609" s="274" t="s">
        <v>78</v>
      </c>
      <c r="B609" s="274" t="s">
        <v>79</v>
      </c>
      <c r="C609" s="274" t="s">
        <v>3741</v>
      </c>
      <c r="D609" s="274" t="s">
        <v>3742</v>
      </c>
      <c r="E609" s="274" t="s">
        <v>44</v>
      </c>
      <c r="F609" s="274" t="s">
        <v>136</v>
      </c>
      <c r="G609" s="274" t="s">
        <v>93</v>
      </c>
      <c r="H609" s="274" t="s">
        <v>94</v>
      </c>
      <c r="I609" s="274" t="s">
        <v>4661</v>
      </c>
      <c r="J609" s="274" t="s">
        <v>6609</v>
      </c>
      <c r="K609" s="274" t="s">
        <v>3746</v>
      </c>
      <c r="L609" s="274" t="s">
        <v>4607</v>
      </c>
      <c r="M609" s="281">
        <v>6291.09</v>
      </c>
      <c r="N609" s="280"/>
      <c r="O609" s="280"/>
      <c r="P609" s="280">
        <v>6291.09</v>
      </c>
      <c r="Q609" s="280"/>
      <c r="R609" s="280"/>
      <c r="S609" s="280"/>
      <c r="T609" s="297"/>
    </row>
    <row r="610" spans="1:20" x14ac:dyDescent="0.25">
      <c r="A610" s="274" t="s">
        <v>78</v>
      </c>
      <c r="B610" s="274" t="s">
        <v>79</v>
      </c>
      <c r="C610" s="274" t="s">
        <v>3741</v>
      </c>
      <c r="D610" s="274" t="s">
        <v>3742</v>
      </c>
      <c r="E610" s="274" t="s">
        <v>44</v>
      </c>
      <c r="F610" s="274" t="s">
        <v>136</v>
      </c>
      <c r="G610" s="274" t="s">
        <v>93</v>
      </c>
      <c r="H610" s="274" t="s">
        <v>94</v>
      </c>
      <c r="I610" s="274" t="s">
        <v>4662</v>
      </c>
      <c r="J610" s="274" t="s">
        <v>6588</v>
      </c>
      <c r="K610" s="274" t="s">
        <v>6612</v>
      </c>
      <c r="L610" s="274" t="s">
        <v>4663</v>
      </c>
      <c r="M610" s="281">
        <v>9500</v>
      </c>
      <c r="N610" s="280"/>
      <c r="O610" s="280"/>
      <c r="P610" s="280">
        <v>9500</v>
      </c>
      <c r="Q610" s="280"/>
      <c r="R610" s="280"/>
      <c r="S610" s="280"/>
      <c r="T610" s="297"/>
    </row>
    <row r="611" spans="1:20" x14ac:dyDescent="0.25">
      <c r="A611" s="274" t="s">
        <v>78</v>
      </c>
      <c r="B611" s="274" t="s">
        <v>79</v>
      </c>
      <c r="C611" s="274" t="s">
        <v>3741</v>
      </c>
      <c r="D611" s="274" t="s">
        <v>3742</v>
      </c>
      <c r="E611" s="274" t="s">
        <v>44</v>
      </c>
      <c r="F611" s="274" t="s">
        <v>136</v>
      </c>
      <c r="G611" s="274" t="s">
        <v>93</v>
      </c>
      <c r="H611" s="274" t="s">
        <v>94</v>
      </c>
      <c r="I611" s="274" t="s">
        <v>4664</v>
      </c>
      <c r="J611" s="274" t="s">
        <v>6608</v>
      </c>
      <c r="K611" s="274" t="s">
        <v>6589</v>
      </c>
      <c r="L611" s="274" t="s">
        <v>4665</v>
      </c>
      <c r="M611" s="281">
        <v>2787.43</v>
      </c>
      <c r="N611" s="280"/>
      <c r="O611" s="280"/>
      <c r="P611" s="280">
        <v>2787.43</v>
      </c>
      <c r="Q611" s="280"/>
      <c r="R611" s="280"/>
      <c r="S611" s="280"/>
      <c r="T611" s="297"/>
    </row>
    <row r="612" spans="1:20" x14ac:dyDescent="0.25">
      <c r="A612" s="274" t="s">
        <v>78</v>
      </c>
      <c r="B612" s="274" t="s">
        <v>79</v>
      </c>
      <c r="C612" s="274" t="s">
        <v>3741</v>
      </c>
      <c r="D612" s="274" t="s">
        <v>3742</v>
      </c>
      <c r="E612" s="274" t="s">
        <v>44</v>
      </c>
      <c r="F612" s="274" t="s">
        <v>136</v>
      </c>
      <c r="G612" s="274" t="s">
        <v>93</v>
      </c>
      <c r="H612" s="274" t="s">
        <v>94</v>
      </c>
      <c r="I612" s="274" t="s">
        <v>4666</v>
      </c>
      <c r="J612" s="274" t="s">
        <v>6582</v>
      </c>
      <c r="K612" s="274" t="s">
        <v>6546</v>
      </c>
      <c r="L612" s="274" t="s">
        <v>4667</v>
      </c>
      <c r="M612" s="281">
        <v>-23240</v>
      </c>
      <c r="N612" s="280"/>
      <c r="O612" s="280"/>
      <c r="P612" s="280">
        <v>-23240</v>
      </c>
      <c r="Q612" s="280"/>
      <c r="R612" s="280"/>
      <c r="S612" s="280"/>
      <c r="T612" s="297"/>
    </row>
    <row r="613" spans="1:20" x14ac:dyDescent="0.25">
      <c r="A613" s="274" t="s">
        <v>78</v>
      </c>
      <c r="B613" s="274" t="s">
        <v>79</v>
      </c>
      <c r="C613" s="274" t="s">
        <v>3741</v>
      </c>
      <c r="D613" s="274" t="s">
        <v>3742</v>
      </c>
      <c r="E613" s="274" t="s">
        <v>44</v>
      </c>
      <c r="F613" s="274" t="s">
        <v>136</v>
      </c>
      <c r="G613" s="274" t="s">
        <v>93</v>
      </c>
      <c r="H613" s="274" t="s">
        <v>94</v>
      </c>
      <c r="I613" s="274" t="s">
        <v>4668</v>
      </c>
      <c r="J613" s="274" t="s">
        <v>6582</v>
      </c>
      <c r="K613" s="274" t="s">
        <v>6546</v>
      </c>
      <c r="L613" s="274" t="s">
        <v>4669</v>
      </c>
      <c r="M613" s="281">
        <v>-15000</v>
      </c>
      <c r="N613" s="280"/>
      <c r="O613" s="280"/>
      <c r="P613" s="280">
        <v>-15000</v>
      </c>
      <c r="Q613" s="280"/>
      <c r="R613" s="280"/>
      <c r="S613" s="280"/>
      <c r="T613" s="297"/>
    </row>
    <row r="614" spans="1:20" x14ac:dyDescent="0.25">
      <c r="A614" s="274" t="s">
        <v>78</v>
      </c>
      <c r="B614" s="274" t="s">
        <v>79</v>
      </c>
      <c r="C614" s="274" t="s">
        <v>3741</v>
      </c>
      <c r="D614" s="274" t="s">
        <v>3742</v>
      </c>
      <c r="E614" s="274" t="s">
        <v>44</v>
      </c>
      <c r="F614" s="274" t="s">
        <v>136</v>
      </c>
      <c r="G614" s="274" t="s">
        <v>93</v>
      </c>
      <c r="H614" s="274" t="s">
        <v>94</v>
      </c>
      <c r="I614" s="274" t="s">
        <v>4670</v>
      </c>
      <c r="J614" s="274" t="s">
        <v>6582</v>
      </c>
      <c r="K614" s="274" t="s">
        <v>6602</v>
      </c>
      <c r="L614" s="274" t="s">
        <v>4671</v>
      </c>
      <c r="M614" s="281">
        <v>-4297.8599999999997</v>
      </c>
      <c r="N614" s="280"/>
      <c r="O614" s="280"/>
      <c r="P614" s="280">
        <v>-4297.8599999999997</v>
      </c>
      <c r="Q614" s="280"/>
      <c r="R614" s="280"/>
      <c r="S614" s="280"/>
      <c r="T614" s="297"/>
    </row>
    <row r="615" spans="1:20" x14ac:dyDescent="0.25">
      <c r="A615" s="274" t="s">
        <v>78</v>
      </c>
      <c r="B615" s="274" t="s">
        <v>79</v>
      </c>
      <c r="C615" s="274" t="s">
        <v>3741</v>
      </c>
      <c r="D615" s="274" t="s">
        <v>3742</v>
      </c>
      <c r="E615" s="274" t="s">
        <v>44</v>
      </c>
      <c r="F615" s="274" t="s">
        <v>136</v>
      </c>
      <c r="G615" s="274" t="s">
        <v>93</v>
      </c>
      <c r="H615" s="274" t="s">
        <v>94</v>
      </c>
      <c r="I615" s="274" t="s">
        <v>4672</v>
      </c>
      <c r="J615" s="274" t="s">
        <v>6582</v>
      </c>
      <c r="K615" s="274" t="s">
        <v>6583</v>
      </c>
      <c r="L615" s="274" t="s">
        <v>4673</v>
      </c>
      <c r="M615" s="281">
        <v>-5130</v>
      </c>
      <c r="N615" s="280"/>
      <c r="O615" s="280"/>
      <c r="P615" s="280">
        <v>-5130</v>
      </c>
      <c r="Q615" s="280"/>
      <c r="R615" s="280"/>
      <c r="S615" s="280"/>
      <c r="T615" s="297"/>
    </row>
    <row r="616" spans="1:20" x14ac:dyDescent="0.25">
      <c r="A616" s="274" t="s">
        <v>78</v>
      </c>
      <c r="B616" s="274" t="s">
        <v>79</v>
      </c>
      <c r="C616" s="274" t="s">
        <v>3741</v>
      </c>
      <c r="D616" s="274" t="s">
        <v>3742</v>
      </c>
      <c r="E616" s="274" t="s">
        <v>44</v>
      </c>
      <c r="F616" s="274" t="s">
        <v>136</v>
      </c>
      <c r="G616" s="274" t="s">
        <v>93</v>
      </c>
      <c r="H616" s="274" t="s">
        <v>94</v>
      </c>
      <c r="I616" s="274" t="s">
        <v>4674</v>
      </c>
      <c r="J616" s="274" t="s">
        <v>6582</v>
      </c>
      <c r="K616" s="274" t="s">
        <v>6611</v>
      </c>
      <c r="L616" s="274" t="s">
        <v>4675</v>
      </c>
      <c r="M616" s="281">
        <v>-2200.84</v>
      </c>
      <c r="N616" s="280"/>
      <c r="O616" s="280"/>
      <c r="P616" s="280">
        <v>-2200.84</v>
      </c>
      <c r="Q616" s="280"/>
      <c r="R616" s="280"/>
      <c r="S616" s="280"/>
      <c r="T616" s="297"/>
    </row>
    <row r="617" spans="1:20" x14ac:dyDescent="0.25">
      <c r="A617" s="274" t="s">
        <v>78</v>
      </c>
      <c r="B617" s="274" t="s">
        <v>79</v>
      </c>
      <c r="C617" s="274" t="s">
        <v>3741</v>
      </c>
      <c r="D617" s="274" t="s">
        <v>3742</v>
      </c>
      <c r="E617" s="274" t="s">
        <v>44</v>
      </c>
      <c r="F617" s="274" t="s">
        <v>136</v>
      </c>
      <c r="G617" s="274" t="s">
        <v>93</v>
      </c>
      <c r="H617" s="274" t="s">
        <v>94</v>
      </c>
      <c r="I617" s="274" t="s">
        <v>4676</v>
      </c>
      <c r="J617" s="274" t="s">
        <v>6582</v>
      </c>
      <c r="K617" s="274" t="s">
        <v>6601</v>
      </c>
      <c r="L617" s="274" t="s">
        <v>4677</v>
      </c>
      <c r="M617" s="281">
        <v>-7045.71</v>
      </c>
      <c r="N617" s="280"/>
      <c r="O617" s="280"/>
      <c r="P617" s="280"/>
      <c r="Q617" s="280">
        <v>-7045.71</v>
      </c>
      <c r="R617" s="280"/>
      <c r="S617" s="280"/>
      <c r="T617" s="297"/>
    </row>
    <row r="618" spans="1:20" x14ac:dyDescent="0.25">
      <c r="A618" s="274" t="s">
        <v>78</v>
      </c>
      <c r="B618" s="274" t="s">
        <v>79</v>
      </c>
      <c r="C618" s="274" t="s">
        <v>3741</v>
      </c>
      <c r="D618" s="274" t="s">
        <v>3742</v>
      </c>
      <c r="E618" s="274" t="s">
        <v>44</v>
      </c>
      <c r="F618" s="274" t="s">
        <v>136</v>
      </c>
      <c r="G618" s="274" t="s">
        <v>93</v>
      </c>
      <c r="H618" s="274" t="s">
        <v>94</v>
      </c>
      <c r="I618" s="274" t="s">
        <v>4678</v>
      </c>
      <c r="J618" s="274" t="s">
        <v>6587</v>
      </c>
      <c r="K618" s="274" t="s">
        <v>3746</v>
      </c>
      <c r="L618" s="274" t="s">
        <v>4452</v>
      </c>
      <c r="M618" s="281">
        <v>-6150</v>
      </c>
      <c r="N618" s="280"/>
      <c r="O618" s="280"/>
      <c r="P618" s="280"/>
      <c r="Q618" s="280">
        <v>-6150</v>
      </c>
      <c r="R618" s="280"/>
      <c r="S618" s="280"/>
      <c r="T618" s="297"/>
    </row>
    <row r="619" spans="1:20" x14ac:dyDescent="0.25">
      <c r="A619" s="274" t="s">
        <v>78</v>
      </c>
      <c r="B619" s="274" t="s">
        <v>79</v>
      </c>
      <c r="C619" s="274" t="s">
        <v>3741</v>
      </c>
      <c r="D619" s="274" t="s">
        <v>3742</v>
      </c>
      <c r="E619" s="274" t="s">
        <v>44</v>
      </c>
      <c r="F619" s="274" t="s">
        <v>136</v>
      </c>
      <c r="G619" s="274" t="s">
        <v>93</v>
      </c>
      <c r="H619" s="274" t="s">
        <v>94</v>
      </c>
      <c r="I619" s="274" t="s">
        <v>4679</v>
      </c>
      <c r="J619" s="274" t="s">
        <v>6585</v>
      </c>
      <c r="K619" s="274" t="s">
        <v>6506</v>
      </c>
      <c r="L619" s="274" t="s">
        <v>4680</v>
      </c>
      <c r="M619" s="281">
        <v>1875</v>
      </c>
      <c r="N619" s="280"/>
      <c r="O619" s="280"/>
      <c r="P619" s="280"/>
      <c r="Q619" s="280">
        <v>1875</v>
      </c>
      <c r="R619" s="280"/>
      <c r="S619" s="280"/>
      <c r="T619" s="297"/>
    </row>
    <row r="620" spans="1:20" x14ac:dyDescent="0.25">
      <c r="A620" s="274" t="s">
        <v>78</v>
      </c>
      <c r="B620" s="274" t="s">
        <v>79</v>
      </c>
      <c r="C620" s="274" t="s">
        <v>3741</v>
      </c>
      <c r="D620" s="274" t="s">
        <v>3742</v>
      </c>
      <c r="E620" s="274" t="s">
        <v>44</v>
      </c>
      <c r="F620" s="274" t="s">
        <v>136</v>
      </c>
      <c r="G620" s="274" t="s">
        <v>93</v>
      </c>
      <c r="H620" s="274" t="s">
        <v>94</v>
      </c>
      <c r="I620" s="274" t="s">
        <v>4681</v>
      </c>
      <c r="J620" s="274" t="s">
        <v>6581</v>
      </c>
      <c r="K620" s="274" t="s">
        <v>3746</v>
      </c>
      <c r="L620" s="274" t="s">
        <v>4682</v>
      </c>
      <c r="M620" s="281">
        <v>45333</v>
      </c>
      <c r="N620" s="280"/>
      <c r="O620" s="280"/>
      <c r="P620" s="280"/>
      <c r="Q620" s="280">
        <v>45333</v>
      </c>
      <c r="R620" s="280"/>
      <c r="S620" s="280"/>
      <c r="T620" s="297"/>
    </row>
    <row r="621" spans="1:20" x14ac:dyDescent="0.25">
      <c r="A621" s="274" t="s">
        <v>78</v>
      </c>
      <c r="B621" s="274" t="s">
        <v>79</v>
      </c>
      <c r="C621" s="274" t="s">
        <v>3741</v>
      </c>
      <c r="D621" s="274" t="s">
        <v>3742</v>
      </c>
      <c r="E621" s="274" t="s">
        <v>44</v>
      </c>
      <c r="F621" s="274" t="s">
        <v>136</v>
      </c>
      <c r="G621" s="274" t="s">
        <v>93</v>
      </c>
      <c r="H621" s="274" t="s">
        <v>94</v>
      </c>
      <c r="I621" s="274" t="s">
        <v>4683</v>
      </c>
      <c r="J621" s="274" t="s">
        <v>6586</v>
      </c>
      <c r="K621" s="274" t="s">
        <v>3746</v>
      </c>
      <c r="L621" s="274" t="s">
        <v>4684</v>
      </c>
      <c r="M621" s="281">
        <v>10000</v>
      </c>
      <c r="N621" s="280"/>
      <c r="O621" s="280"/>
      <c r="P621" s="280"/>
      <c r="Q621" s="280">
        <v>10000</v>
      </c>
      <c r="R621" s="280"/>
      <c r="S621" s="280"/>
      <c r="T621" s="297"/>
    </row>
    <row r="622" spans="1:20" x14ac:dyDescent="0.25">
      <c r="A622" s="274" t="s">
        <v>78</v>
      </c>
      <c r="B622" s="274" t="s">
        <v>79</v>
      </c>
      <c r="C622" s="274" t="s">
        <v>3741</v>
      </c>
      <c r="D622" s="274" t="s">
        <v>3742</v>
      </c>
      <c r="E622" s="274" t="s">
        <v>44</v>
      </c>
      <c r="F622" s="274" t="s">
        <v>136</v>
      </c>
      <c r="G622" s="274" t="s">
        <v>93</v>
      </c>
      <c r="H622" s="274" t="s">
        <v>94</v>
      </c>
      <c r="I622" s="274" t="s">
        <v>4685</v>
      </c>
      <c r="J622" s="274" t="s">
        <v>6604</v>
      </c>
      <c r="K622" s="274" t="s">
        <v>6589</v>
      </c>
      <c r="L622" s="274" t="s">
        <v>4686</v>
      </c>
      <c r="M622" s="281">
        <v>16100</v>
      </c>
      <c r="N622" s="280"/>
      <c r="O622" s="280"/>
      <c r="P622" s="280"/>
      <c r="Q622" s="280">
        <v>16100</v>
      </c>
      <c r="R622" s="280"/>
      <c r="S622" s="280"/>
      <c r="T622" s="297"/>
    </row>
    <row r="623" spans="1:20" x14ac:dyDescent="0.25">
      <c r="A623" s="274" t="s">
        <v>78</v>
      </c>
      <c r="B623" s="274" t="s">
        <v>79</v>
      </c>
      <c r="C623" s="274" t="s">
        <v>3741</v>
      </c>
      <c r="D623" s="274" t="s">
        <v>3742</v>
      </c>
      <c r="E623" s="274" t="s">
        <v>44</v>
      </c>
      <c r="F623" s="274" t="s">
        <v>136</v>
      </c>
      <c r="G623" s="274" t="s">
        <v>93</v>
      </c>
      <c r="H623" s="274" t="s">
        <v>94</v>
      </c>
      <c r="I623" s="274" t="s">
        <v>4687</v>
      </c>
      <c r="J623" s="274" t="s">
        <v>6607</v>
      </c>
      <c r="K623" s="274" t="s">
        <v>3746</v>
      </c>
      <c r="L623" s="274" t="s">
        <v>4596</v>
      </c>
      <c r="M623" s="281">
        <v>884</v>
      </c>
      <c r="N623" s="280"/>
      <c r="O623" s="280"/>
      <c r="P623" s="280"/>
      <c r="Q623" s="280">
        <v>884</v>
      </c>
      <c r="R623" s="280"/>
      <c r="S623" s="280"/>
      <c r="T623" s="297"/>
    </row>
    <row r="624" spans="1:20" x14ac:dyDescent="0.25">
      <c r="A624" s="274" t="s">
        <v>78</v>
      </c>
      <c r="B624" s="274" t="s">
        <v>79</v>
      </c>
      <c r="C624" s="274" t="s">
        <v>3741</v>
      </c>
      <c r="D624" s="274" t="s">
        <v>3742</v>
      </c>
      <c r="E624" s="274" t="s">
        <v>44</v>
      </c>
      <c r="F624" s="274" t="s">
        <v>136</v>
      </c>
      <c r="G624" s="274" t="s">
        <v>93</v>
      </c>
      <c r="H624" s="274" t="s">
        <v>94</v>
      </c>
      <c r="I624" s="274" t="s">
        <v>4688</v>
      </c>
      <c r="J624" s="274" t="s">
        <v>6607</v>
      </c>
      <c r="K624" s="274" t="s">
        <v>3746</v>
      </c>
      <c r="L624" s="274" t="s">
        <v>4689</v>
      </c>
      <c r="M624" s="281">
        <v>15000</v>
      </c>
      <c r="N624" s="280"/>
      <c r="O624" s="280"/>
      <c r="P624" s="280"/>
      <c r="Q624" s="280">
        <v>15000</v>
      </c>
      <c r="R624" s="280"/>
      <c r="S624" s="280"/>
      <c r="T624" s="297"/>
    </row>
    <row r="625" spans="1:20" x14ac:dyDescent="0.25">
      <c r="A625" s="274" t="s">
        <v>78</v>
      </c>
      <c r="B625" s="274" t="s">
        <v>79</v>
      </c>
      <c r="C625" s="274" t="s">
        <v>3741</v>
      </c>
      <c r="D625" s="274" t="s">
        <v>3742</v>
      </c>
      <c r="E625" s="274" t="s">
        <v>44</v>
      </c>
      <c r="F625" s="274" t="s">
        <v>136</v>
      </c>
      <c r="G625" s="274" t="s">
        <v>93</v>
      </c>
      <c r="H625" s="274" t="s">
        <v>94</v>
      </c>
      <c r="I625" s="274" t="s">
        <v>4690</v>
      </c>
      <c r="J625" s="274" t="s">
        <v>6580</v>
      </c>
      <c r="K625" s="274" t="s">
        <v>3746</v>
      </c>
      <c r="L625" s="274" t="s">
        <v>4523</v>
      </c>
      <c r="M625" s="281">
        <v>-10000</v>
      </c>
      <c r="N625" s="280"/>
      <c r="O625" s="280"/>
      <c r="P625" s="280"/>
      <c r="Q625" s="280">
        <v>-10000</v>
      </c>
      <c r="R625" s="280"/>
      <c r="S625" s="280"/>
      <c r="T625" s="297"/>
    </row>
    <row r="626" spans="1:20" x14ac:dyDescent="0.25">
      <c r="A626" s="274" t="s">
        <v>78</v>
      </c>
      <c r="B626" s="274" t="s">
        <v>79</v>
      </c>
      <c r="C626" s="274" t="s">
        <v>3741</v>
      </c>
      <c r="D626" s="274" t="s">
        <v>3742</v>
      </c>
      <c r="E626" s="274" t="s">
        <v>44</v>
      </c>
      <c r="F626" s="274" t="s">
        <v>136</v>
      </c>
      <c r="G626" s="274" t="s">
        <v>93</v>
      </c>
      <c r="H626" s="274" t="s">
        <v>94</v>
      </c>
      <c r="I626" s="274" t="s">
        <v>4691</v>
      </c>
      <c r="J626" s="274" t="s">
        <v>6588</v>
      </c>
      <c r="K626" s="274" t="s">
        <v>3746</v>
      </c>
      <c r="L626" s="274" t="s">
        <v>4692</v>
      </c>
      <c r="M626" s="281">
        <v>28177.5</v>
      </c>
      <c r="N626" s="280"/>
      <c r="O626" s="280"/>
      <c r="P626" s="280"/>
      <c r="Q626" s="280">
        <v>28177.5</v>
      </c>
      <c r="R626" s="280"/>
      <c r="S626" s="280"/>
      <c r="T626" s="297"/>
    </row>
    <row r="627" spans="1:20" x14ac:dyDescent="0.25">
      <c r="A627" s="274" t="s">
        <v>78</v>
      </c>
      <c r="B627" s="274" t="s">
        <v>79</v>
      </c>
      <c r="C627" s="274" t="s">
        <v>3741</v>
      </c>
      <c r="D627" s="274" t="s">
        <v>3742</v>
      </c>
      <c r="E627" s="274" t="s">
        <v>44</v>
      </c>
      <c r="F627" s="274" t="s">
        <v>136</v>
      </c>
      <c r="G627" s="274" t="s">
        <v>93</v>
      </c>
      <c r="H627" s="274" t="s">
        <v>94</v>
      </c>
      <c r="I627" s="274" t="s">
        <v>4693</v>
      </c>
      <c r="J627" s="274" t="s">
        <v>6588</v>
      </c>
      <c r="K627" s="274" t="s">
        <v>6506</v>
      </c>
      <c r="L627" s="274" t="s">
        <v>4694</v>
      </c>
      <c r="M627" s="281">
        <v>3892</v>
      </c>
      <c r="N627" s="280"/>
      <c r="O627" s="280"/>
      <c r="P627" s="280"/>
      <c r="Q627" s="280">
        <v>3892</v>
      </c>
      <c r="R627" s="280"/>
      <c r="S627" s="280"/>
      <c r="T627" s="297"/>
    </row>
    <row r="628" spans="1:20" x14ac:dyDescent="0.25">
      <c r="A628" s="274" t="s">
        <v>78</v>
      </c>
      <c r="B628" s="274" t="s">
        <v>79</v>
      </c>
      <c r="C628" s="274" t="s">
        <v>3741</v>
      </c>
      <c r="D628" s="274" t="s">
        <v>3742</v>
      </c>
      <c r="E628" s="274" t="s">
        <v>44</v>
      </c>
      <c r="F628" s="274" t="s">
        <v>136</v>
      </c>
      <c r="G628" s="274" t="s">
        <v>93</v>
      </c>
      <c r="H628" s="274" t="s">
        <v>94</v>
      </c>
      <c r="I628" s="274" t="s">
        <v>4695</v>
      </c>
      <c r="J628" s="274" t="s">
        <v>6588</v>
      </c>
      <c r="K628" s="274" t="s">
        <v>6546</v>
      </c>
      <c r="L628" s="274" t="s">
        <v>4696</v>
      </c>
      <c r="M628" s="281">
        <v>33330.92</v>
      </c>
      <c r="N628" s="280"/>
      <c r="O628" s="280"/>
      <c r="P628" s="280"/>
      <c r="Q628" s="280">
        <v>33330.92</v>
      </c>
      <c r="R628" s="280"/>
      <c r="S628" s="280"/>
      <c r="T628" s="297"/>
    </row>
    <row r="629" spans="1:20" x14ac:dyDescent="0.25">
      <c r="A629" s="274" t="s">
        <v>78</v>
      </c>
      <c r="B629" s="274" t="s">
        <v>79</v>
      </c>
      <c r="C629" s="274" t="s">
        <v>3741</v>
      </c>
      <c r="D629" s="274" t="s">
        <v>3742</v>
      </c>
      <c r="E629" s="274" t="s">
        <v>44</v>
      </c>
      <c r="F629" s="274" t="s">
        <v>136</v>
      </c>
      <c r="G629" s="274" t="s">
        <v>93</v>
      </c>
      <c r="H629" s="274" t="s">
        <v>94</v>
      </c>
      <c r="I629" s="274" t="s">
        <v>4697</v>
      </c>
      <c r="J629" s="274" t="s">
        <v>6588</v>
      </c>
      <c r="K629" s="274" t="s">
        <v>6589</v>
      </c>
      <c r="L629" s="274" t="s">
        <v>4698</v>
      </c>
      <c r="M629" s="281">
        <v>4726.33</v>
      </c>
      <c r="N629" s="280"/>
      <c r="O629" s="280"/>
      <c r="P629" s="280"/>
      <c r="Q629" s="280">
        <v>4726.33</v>
      </c>
      <c r="R629" s="280"/>
      <c r="S629" s="280"/>
      <c r="T629" s="297"/>
    </row>
    <row r="630" spans="1:20" x14ac:dyDescent="0.25">
      <c r="A630" s="274" t="s">
        <v>78</v>
      </c>
      <c r="B630" s="274" t="s">
        <v>79</v>
      </c>
      <c r="C630" s="274" t="s">
        <v>3741</v>
      </c>
      <c r="D630" s="274" t="s">
        <v>3742</v>
      </c>
      <c r="E630" s="274" t="s">
        <v>44</v>
      </c>
      <c r="F630" s="274" t="s">
        <v>136</v>
      </c>
      <c r="G630" s="274" t="s">
        <v>93</v>
      </c>
      <c r="H630" s="274" t="s">
        <v>94</v>
      </c>
      <c r="I630" s="274" t="s">
        <v>4699</v>
      </c>
      <c r="J630" s="274" t="s">
        <v>6588</v>
      </c>
      <c r="K630" s="274" t="s">
        <v>6572</v>
      </c>
      <c r="L630" s="274" t="s">
        <v>4700</v>
      </c>
      <c r="M630" s="281">
        <v>64683.17</v>
      </c>
      <c r="N630" s="280"/>
      <c r="O630" s="280"/>
      <c r="P630" s="280"/>
      <c r="Q630" s="280">
        <v>64683.17</v>
      </c>
      <c r="R630" s="280"/>
      <c r="S630" s="280"/>
      <c r="T630" s="297"/>
    </row>
    <row r="631" spans="1:20" x14ac:dyDescent="0.25">
      <c r="A631" s="274" t="s">
        <v>78</v>
      </c>
      <c r="B631" s="274" t="s">
        <v>79</v>
      </c>
      <c r="C631" s="274" t="s">
        <v>3741</v>
      </c>
      <c r="D631" s="274" t="s">
        <v>3742</v>
      </c>
      <c r="E631" s="274" t="s">
        <v>44</v>
      </c>
      <c r="F631" s="274" t="s">
        <v>136</v>
      </c>
      <c r="G631" s="274" t="s">
        <v>93</v>
      </c>
      <c r="H631" s="274" t="s">
        <v>94</v>
      </c>
      <c r="I631" s="274" t="s">
        <v>4701</v>
      </c>
      <c r="J631" s="274" t="s">
        <v>6588</v>
      </c>
      <c r="K631" s="274" t="s">
        <v>6590</v>
      </c>
      <c r="L631" s="274" t="s">
        <v>4702</v>
      </c>
      <c r="M631" s="281">
        <v>6131</v>
      </c>
      <c r="N631" s="280"/>
      <c r="O631" s="280"/>
      <c r="P631" s="280"/>
      <c r="Q631" s="280">
        <v>6131</v>
      </c>
      <c r="R631" s="280"/>
      <c r="S631" s="280"/>
      <c r="T631" s="297"/>
    </row>
    <row r="632" spans="1:20" x14ac:dyDescent="0.25">
      <c r="A632" s="274" t="s">
        <v>78</v>
      </c>
      <c r="B632" s="274" t="s">
        <v>79</v>
      </c>
      <c r="C632" s="274" t="s">
        <v>3741</v>
      </c>
      <c r="D632" s="274" t="s">
        <v>3742</v>
      </c>
      <c r="E632" s="274" t="s">
        <v>44</v>
      </c>
      <c r="F632" s="274" t="s">
        <v>136</v>
      </c>
      <c r="G632" s="274" t="s">
        <v>93</v>
      </c>
      <c r="H632" s="274" t="s">
        <v>94</v>
      </c>
      <c r="I632" s="274" t="s">
        <v>4703</v>
      </c>
      <c r="J632" s="274" t="s">
        <v>6588</v>
      </c>
      <c r="K632" s="274" t="s">
        <v>6570</v>
      </c>
      <c r="L632" s="274" t="s">
        <v>4704</v>
      </c>
      <c r="M632" s="281">
        <v>12262</v>
      </c>
      <c r="N632" s="280"/>
      <c r="O632" s="280"/>
      <c r="P632" s="280"/>
      <c r="Q632" s="280">
        <v>12262</v>
      </c>
      <c r="R632" s="280"/>
      <c r="S632" s="280"/>
      <c r="T632" s="297"/>
    </row>
    <row r="633" spans="1:20" x14ac:dyDescent="0.25">
      <c r="A633" s="274" t="s">
        <v>78</v>
      </c>
      <c r="B633" s="274" t="s">
        <v>79</v>
      </c>
      <c r="C633" s="274" t="s">
        <v>3741</v>
      </c>
      <c r="D633" s="274" t="s">
        <v>3742</v>
      </c>
      <c r="E633" s="274" t="s">
        <v>44</v>
      </c>
      <c r="F633" s="274" t="s">
        <v>136</v>
      </c>
      <c r="G633" s="274" t="s">
        <v>93</v>
      </c>
      <c r="H633" s="274" t="s">
        <v>94</v>
      </c>
      <c r="I633" s="274" t="s">
        <v>4705</v>
      </c>
      <c r="J633" s="274" t="s">
        <v>6588</v>
      </c>
      <c r="K633" s="274" t="s">
        <v>6567</v>
      </c>
      <c r="L633" s="274" t="s">
        <v>4706</v>
      </c>
      <c r="M633" s="281">
        <v>62652.69</v>
      </c>
      <c r="N633" s="280"/>
      <c r="O633" s="280"/>
      <c r="P633" s="280"/>
      <c r="Q633" s="280">
        <v>62652.69</v>
      </c>
      <c r="R633" s="280"/>
      <c r="S633" s="280"/>
      <c r="T633" s="297"/>
    </row>
    <row r="634" spans="1:20" x14ac:dyDescent="0.25">
      <c r="A634" s="274" t="s">
        <v>78</v>
      </c>
      <c r="B634" s="274" t="s">
        <v>79</v>
      </c>
      <c r="C634" s="274" t="s">
        <v>3741</v>
      </c>
      <c r="D634" s="274" t="s">
        <v>3742</v>
      </c>
      <c r="E634" s="274" t="s">
        <v>44</v>
      </c>
      <c r="F634" s="274" t="s">
        <v>136</v>
      </c>
      <c r="G634" s="274" t="s">
        <v>93</v>
      </c>
      <c r="H634" s="274" t="s">
        <v>94</v>
      </c>
      <c r="I634" s="274" t="s">
        <v>4707</v>
      </c>
      <c r="J634" s="274" t="s">
        <v>6588</v>
      </c>
      <c r="K634" s="274" t="s">
        <v>6591</v>
      </c>
      <c r="L634" s="274" t="s">
        <v>4708</v>
      </c>
      <c r="M634" s="281">
        <v>37055.82</v>
      </c>
      <c r="N634" s="280"/>
      <c r="O634" s="280"/>
      <c r="P634" s="280"/>
      <c r="Q634" s="280">
        <v>37055.82</v>
      </c>
      <c r="R634" s="280"/>
      <c r="S634" s="280"/>
      <c r="T634" s="297"/>
    </row>
    <row r="635" spans="1:20" x14ac:dyDescent="0.25">
      <c r="A635" s="274" t="s">
        <v>78</v>
      </c>
      <c r="B635" s="274" t="s">
        <v>79</v>
      </c>
      <c r="C635" s="274" t="s">
        <v>3741</v>
      </c>
      <c r="D635" s="274" t="s">
        <v>3742</v>
      </c>
      <c r="E635" s="274" t="s">
        <v>44</v>
      </c>
      <c r="F635" s="274" t="s">
        <v>136</v>
      </c>
      <c r="G635" s="274" t="s">
        <v>93</v>
      </c>
      <c r="H635" s="274" t="s">
        <v>94</v>
      </c>
      <c r="I635" s="274" t="s">
        <v>4709</v>
      </c>
      <c r="J635" s="274" t="s">
        <v>6588</v>
      </c>
      <c r="K635" s="274" t="s">
        <v>6592</v>
      </c>
      <c r="L635" s="274" t="s">
        <v>4710</v>
      </c>
      <c r="M635" s="281">
        <v>5833.33</v>
      </c>
      <c r="N635" s="280"/>
      <c r="O635" s="280"/>
      <c r="P635" s="280"/>
      <c r="Q635" s="280">
        <v>5833.33</v>
      </c>
      <c r="R635" s="280"/>
      <c r="S635" s="280"/>
      <c r="T635" s="297"/>
    </row>
    <row r="636" spans="1:20" x14ac:dyDescent="0.25">
      <c r="A636" s="274" t="s">
        <v>78</v>
      </c>
      <c r="B636" s="274" t="s">
        <v>79</v>
      </c>
      <c r="C636" s="274" t="s">
        <v>3741</v>
      </c>
      <c r="D636" s="274" t="s">
        <v>3742</v>
      </c>
      <c r="E636" s="274" t="s">
        <v>44</v>
      </c>
      <c r="F636" s="274" t="s">
        <v>136</v>
      </c>
      <c r="G636" s="274" t="s">
        <v>93</v>
      </c>
      <c r="H636" s="274" t="s">
        <v>94</v>
      </c>
      <c r="I636" s="274" t="s">
        <v>4711</v>
      </c>
      <c r="J636" s="274" t="s">
        <v>6588</v>
      </c>
      <c r="K636" s="274" t="s">
        <v>6593</v>
      </c>
      <c r="L636" s="274" t="s">
        <v>4712</v>
      </c>
      <c r="M636" s="281">
        <v>5250</v>
      </c>
      <c r="N636" s="280"/>
      <c r="O636" s="280"/>
      <c r="P636" s="280"/>
      <c r="Q636" s="280">
        <v>5250</v>
      </c>
      <c r="R636" s="280"/>
      <c r="S636" s="280"/>
      <c r="T636" s="297"/>
    </row>
    <row r="637" spans="1:20" x14ac:dyDescent="0.25">
      <c r="A637" s="274" t="s">
        <v>78</v>
      </c>
      <c r="B637" s="274" t="s">
        <v>79</v>
      </c>
      <c r="C637" s="274" t="s">
        <v>3741</v>
      </c>
      <c r="D637" s="274" t="s">
        <v>3742</v>
      </c>
      <c r="E637" s="274" t="s">
        <v>44</v>
      </c>
      <c r="F637" s="274" t="s">
        <v>136</v>
      </c>
      <c r="G637" s="274" t="s">
        <v>93</v>
      </c>
      <c r="H637" s="274" t="s">
        <v>94</v>
      </c>
      <c r="I637" s="274" t="s">
        <v>4713</v>
      </c>
      <c r="J637" s="274" t="s">
        <v>6588</v>
      </c>
      <c r="K637" s="274" t="s">
        <v>6594</v>
      </c>
      <c r="L637" s="274" t="s">
        <v>4714</v>
      </c>
      <c r="M637" s="281">
        <v>14839.58</v>
      </c>
      <c r="N637" s="280"/>
      <c r="O637" s="280"/>
      <c r="P637" s="280"/>
      <c r="Q637" s="280">
        <v>14839.58</v>
      </c>
      <c r="R637" s="280"/>
      <c r="S637" s="280"/>
      <c r="T637" s="297"/>
    </row>
    <row r="638" spans="1:20" x14ac:dyDescent="0.25">
      <c r="A638" s="274" t="s">
        <v>78</v>
      </c>
      <c r="B638" s="274" t="s">
        <v>79</v>
      </c>
      <c r="C638" s="274" t="s">
        <v>3741</v>
      </c>
      <c r="D638" s="274" t="s">
        <v>3742</v>
      </c>
      <c r="E638" s="274" t="s">
        <v>44</v>
      </c>
      <c r="F638" s="274" t="s">
        <v>136</v>
      </c>
      <c r="G638" s="274" t="s">
        <v>93</v>
      </c>
      <c r="H638" s="274" t="s">
        <v>94</v>
      </c>
      <c r="I638" s="274" t="s">
        <v>4715</v>
      </c>
      <c r="J638" s="274" t="s">
        <v>6588</v>
      </c>
      <c r="K638" s="274" t="s">
        <v>6595</v>
      </c>
      <c r="L638" s="274" t="s">
        <v>4716</v>
      </c>
      <c r="M638" s="281">
        <v>7071.33</v>
      </c>
      <c r="N638" s="280"/>
      <c r="O638" s="280"/>
      <c r="P638" s="280"/>
      <c r="Q638" s="280">
        <v>7071.33</v>
      </c>
      <c r="R638" s="280"/>
      <c r="S638" s="280"/>
      <c r="T638" s="297"/>
    </row>
    <row r="639" spans="1:20" x14ac:dyDescent="0.25">
      <c r="A639" s="274" t="s">
        <v>78</v>
      </c>
      <c r="B639" s="274" t="s">
        <v>79</v>
      </c>
      <c r="C639" s="274" t="s">
        <v>3741</v>
      </c>
      <c r="D639" s="274" t="s">
        <v>3742</v>
      </c>
      <c r="E639" s="274" t="s">
        <v>44</v>
      </c>
      <c r="F639" s="274" t="s">
        <v>136</v>
      </c>
      <c r="G639" s="274" t="s">
        <v>93</v>
      </c>
      <c r="H639" s="274" t="s">
        <v>94</v>
      </c>
      <c r="I639" s="274" t="s">
        <v>4717</v>
      </c>
      <c r="J639" s="274" t="s">
        <v>6588</v>
      </c>
      <c r="K639" s="274" t="s">
        <v>6596</v>
      </c>
      <c r="L639" s="274" t="s">
        <v>4718</v>
      </c>
      <c r="M639" s="281">
        <v>9979.5</v>
      </c>
      <c r="N639" s="280"/>
      <c r="O639" s="280"/>
      <c r="P639" s="280"/>
      <c r="Q639" s="280">
        <v>9979.5</v>
      </c>
      <c r="R639" s="280"/>
      <c r="S639" s="280"/>
      <c r="T639" s="297"/>
    </row>
    <row r="640" spans="1:20" x14ac:dyDescent="0.25">
      <c r="A640" s="274" t="s">
        <v>78</v>
      </c>
      <c r="B640" s="274" t="s">
        <v>79</v>
      </c>
      <c r="C640" s="274" t="s">
        <v>3741</v>
      </c>
      <c r="D640" s="274" t="s">
        <v>3742</v>
      </c>
      <c r="E640" s="274" t="s">
        <v>44</v>
      </c>
      <c r="F640" s="274" t="s">
        <v>136</v>
      </c>
      <c r="G640" s="274" t="s">
        <v>93</v>
      </c>
      <c r="H640" s="274" t="s">
        <v>94</v>
      </c>
      <c r="I640" s="274" t="s">
        <v>4719</v>
      </c>
      <c r="J640" s="274" t="s">
        <v>6588</v>
      </c>
      <c r="K640" s="274" t="s">
        <v>6597</v>
      </c>
      <c r="L640" s="274" t="s">
        <v>4720</v>
      </c>
      <c r="M640" s="281">
        <v>1319.25</v>
      </c>
      <c r="N640" s="280"/>
      <c r="O640" s="280"/>
      <c r="P640" s="280"/>
      <c r="Q640" s="280">
        <v>1319.25</v>
      </c>
      <c r="R640" s="280"/>
      <c r="S640" s="280"/>
      <c r="T640" s="297"/>
    </row>
    <row r="641" spans="1:20" x14ac:dyDescent="0.25">
      <c r="A641" s="274" t="s">
        <v>78</v>
      </c>
      <c r="B641" s="274" t="s">
        <v>79</v>
      </c>
      <c r="C641" s="274" t="s">
        <v>3741</v>
      </c>
      <c r="D641" s="274" t="s">
        <v>3742</v>
      </c>
      <c r="E641" s="274" t="s">
        <v>44</v>
      </c>
      <c r="F641" s="274" t="s">
        <v>136</v>
      </c>
      <c r="G641" s="274" t="s">
        <v>93</v>
      </c>
      <c r="H641" s="274" t="s">
        <v>94</v>
      </c>
      <c r="I641" s="274" t="s">
        <v>4721</v>
      </c>
      <c r="J641" s="274" t="s">
        <v>6588</v>
      </c>
      <c r="K641" s="274" t="s">
        <v>6598</v>
      </c>
      <c r="L641" s="274" t="s">
        <v>4722</v>
      </c>
      <c r="M641" s="281">
        <v>6365.08</v>
      </c>
      <c r="N641" s="280"/>
      <c r="O641" s="280"/>
      <c r="P641" s="280"/>
      <c r="Q641" s="280">
        <v>6365.08</v>
      </c>
      <c r="R641" s="280"/>
      <c r="S641" s="280"/>
      <c r="T641" s="297"/>
    </row>
    <row r="642" spans="1:20" x14ac:dyDescent="0.25">
      <c r="A642" s="274" t="s">
        <v>78</v>
      </c>
      <c r="B642" s="274" t="s">
        <v>79</v>
      </c>
      <c r="C642" s="274" t="s">
        <v>3741</v>
      </c>
      <c r="D642" s="274" t="s">
        <v>3742</v>
      </c>
      <c r="E642" s="274" t="s">
        <v>44</v>
      </c>
      <c r="F642" s="274" t="s">
        <v>136</v>
      </c>
      <c r="G642" s="274" t="s">
        <v>93</v>
      </c>
      <c r="H642" s="274" t="s">
        <v>94</v>
      </c>
      <c r="I642" s="274" t="s">
        <v>4723</v>
      </c>
      <c r="J642" s="274" t="s">
        <v>6588</v>
      </c>
      <c r="K642" s="274" t="s">
        <v>6599</v>
      </c>
      <c r="L642" s="274" t="s">
        <v>4724</v>
      </c>
      <c r="M642" s="281">
        <v>20670.240000000002</v>
      </c>
      <c r="N642" s="280"/>
      <c r="O642" s="280"/>
      <c r="P642" s="280"/>
      <c r="Q642" s="280">
        <v>20670.240000000002</v>
      </c>
      <c r="R642" s="280"/>
      <c r="S642" s="280"/>
      <c r="T642" s="297"/>
    </row>
    <row r="643" spans="1:20" x14ac:dyDescent="0.25">
      <c r="A643" s="274" t="s">
        <v>78</v>
      </c>
      <c r="B643" s="274" t="s">
        <v>79</v>
      </c>
      <c r="C643" s="274" t="s">
        <v>3741</v>
      </c>
      <c r="D643" s="274" t="s">
        <v>3742</v>
      </c>
      <c r="E643" s="274" t="s">
        <v>44</v>
      </c>
      <c r="F643" s="274" t="s">
        <v>136</v>
      </c>
      <c r="G643" s="274" t="s">
        <v>93</v>
      </c>
      <c r="H643" s="274" t="s">
        <v>94</v>
      </c>
      <c r="I643" s="274" t="s">
        <v>4725</v>
      </c>
      <c r="J643" s="274" t="s">
        <v>6588</v>
      </c>
      <c r="K643" s="274" t="s">
        <v>6600</v>
      </c>
      <c r="L643" s="274" t="s">
        <v>4726</v>
      </c>
      <c r="M643" s="281">
        <v>30542.38</v>
      </c>
      <c r="N643" s="280"/>
      <c r="O643" s="280"/>
      <c r="P643" s="280"/>
      <c r="Q643" s="280">
        <v>30542.38</v>
      </c>
      <c r="R643" s="280"/>
      <c r="S643" s="280"/>
      <c r="T643" s="297"/>
    </row>
    <row r="644" spans="1:20" x14ac:dyDescent="0.25">
      <c r="A644" s="274" t="s">
        <v>78</v>
      </c>
      <c r="B644" s="274" t="s">
        <v>79</v>
      </c>
      <c r="C644" s="274" t="s">
        <v>3741</v>
      </c>
      <c r="D644" s="274" t="s">
        <v>3742</v>
      </c>
      <c r="E644" s="274" t="s">
        <v>44</v>
      </c>
      <c r="F644" s="274" t="s">
        <v>136</v>
      </c>
      <c r="G644" s="274" t="s">
        <v>93</v>
      </c>
      <c r="H644" s="274" t="s">
        <v>94</v>
      </c>
      <c r="I644" s="274" t="s">
        <v>4727</v>
      </c>
      <c r="J644" s="274" t="s">
        <v>6588</v>
      </c>
      <c r="K644" s="274" t="s">
        <v>6601</v>
      </c>
      <c r="L644" s="274" t="s">
        <v>4728</v>
      </c>
      <c r="M644" s="281">
        <v>27403.14</v>
      </c>
      <c r="N644" s="280"/>
      <c r="O644" s="280"/>
      <c r="P644" s="280"/>
      <c r="Q644" s="280">
        <v>27403.14</v>
      </c>
      <c r="R644" s="280"/>
      <c r="S644" s="280"/>
      <c r="T644" s="297"/>
    </row>
    <row r="645" spans="1:20" x14ac:dyDescent="0.25">
      <c r="A645" s="274" t="s">
        <v>78</v>
      </c>
      <c r="B645" s="274" t="s">
        <v>79</v>
      </c>
      <c r="C645" s="274" t="s">
        <v>3741</v>
      </c>
      <c r="D645" s="274" t="s">
        <v>3742</v>
      </c>
      <c r="E645" s="274" t="s">
        <v>44</v>
      </c>
      <c r="F645" s="274" t="s">
        <v>136</v>
      </c>
      <c r="G645" s="274" t="s">
        <v>93</v>
      </c>
      <c r="H645" s="274" t="s">
        <v>94</v>
      </c>
      <c r="I645" s="274" t="s">
        <v>4729</v>
      </c>
      <c r="J645" s="274" t="s">
        <v>6588</v>
      </c>
      <c r="K645" s="274" t="s">
        <v>6602</v>
      </c>
      <c r="L645" s="274" t="s">
        <v>4730</v>
      </c>
      <c r="M645" s="281">
        <v>5923.44</v>
      </c>
      <c r="N645" s="280"/>
      <c r="O645" s="280"/>
      <c r="P645" s="280"/>
      <c r="Q645" s="280">
        <v>5923.44</v>
      </c>
      <c r="R645" s="280"/>
      <c r="S645" s="280"/>
      <c r="T645" s="297"/>
    </row>
    <row r="646" spans="1:20" x14ac:dyDescent="0.25">
      <c r="A646" s="274" t="s">
        <v>78</v>
      </c>
      <c r="B646" s="274" t="s">
        <v>79</v>
      </c>
      <c r="C646" s="274" t="s">
        <v>3741</v>
      </c>
      <c r="D646" s="274" t="s">
        <v>3742</v>
      </c>
      <c r="E646" s="274" t="s">
        <v>44</v>
      </c>
      <c r="F646" s="274" t="s">
        <v>136</v>
      </c>
      <c r="G646" s="274" t="s">
        <v>93</v>
      </c>
      <c r="H646" s="274" t="s">
        <v>94</v>
      </c>
      <c r="I646" s="274" t="s">
        <v>4731</v>
      </c>
      <c r="J646" s="274" t="s">
        <v>6588</v>
      </c>
      <c r="K646" s="274" t="s">
        <v>6583</v>
      </c>
      <c r="L646" s="274" t="s">
        <v>4732</v>
      </c>
      <c r="M646" s="281">
        <v>3166.2</v>
      </c>
      <c r="N646" s="280"/>
      <c r="O646" s="280"/>
      <c r="P646" s="280"/>
      <c r="Q646" s="280">
        <v>3166.2</v>
      </c>
      <c r="R646" s="280"/>
      <c r="S646" s="280"/>
      <c r="T646" s="297"/>
    </row>
    <row r="647" spans="1:20" x14ac:dyDescent="0.25">
      <c r="A647" s="274" t="s">
        <v>78</v>
      </c>
      <c r="B647" s="274" t="s">
        <v>79</v>
      </c>
      <c r="C647" s="274" t="s">
        <v>3741</v>
      </c>
      <c r="D647" s="274" t="s">
        <v>3742</v>
      </c>
      <c r="E647" s="274" t="s">
        <v>44</v>
      </c>
      <c r="F647" s="274" t="s">
        <v>136</v>
      </c>
      <c r="G647" s="274" t="s">
        <v>93</v>
      </c>
      <c r="H647" s="274" t="s">
        <v>94</v>
      </c>
      <c r="I647" s="274" t="s">
        <v>4733</v>
      </c>
      <c r="J647" s="274" t="s">
        <v>6588</v>
      </c>
      <c r="K647" s="274" t="s">
        <v>6611</v>
      </c>
      <c r="L647" s="274" t="s">
        <v>4734</v>
      </c>
      <c r="M647" s="281">
        <v>4870.8</v>
      </c>
      <c r="N647" s="280"/>
      <c r="O647" s="280"/>
      <c r="P647" s="280"/>
      <c r="Q647" s="280">
        <v>4870.8</v>
      </c>
      <c r="R647" s="280"/>
      <c r="S647" s="280"/>
      <c r="T647" s="297"/>
    </row>
    <row r="648" spans="1:20" x14ac:dyDescent="0.25">
      <c r="A648" s="274" t="s">
        <v>78</v>
      </c>
      <c r="B648" s="274" t="s">
        <v>79</v>
      </c>
      <c r="C648" s="274" t="s">
        <v>3741</v>
      </c>
      <c r="D648" s="274" t="s">
        <v>3742</v>
      </c>
      <c r="E648" s="274" t="s">
        <v>44</v>
      </c>
      <c r="F648" s="274" t="s">
        <v>136</v>
      </c>
      <c r="G648" s="274" t="s">
        <v>93</v>
      </c>
      <c r="H648" s="274" t="s">
        <v>94</v>
      </c>
      <c r="I648" s="274" t="s">
        <v>4735</v>
      </c>
      <c r="J648" s="274" t="s">
        <v>6588</v>
      </c>
      <c r="K648" s="274" t="s">
        <v>6603</v>
      </c>
      <c r="L648" s="274" t="s">
        <v>4736</v>
      </c>
      <c r="M648" s="281">
        <v>10000</v>
      </c>
      <c r="N648" s="280"/>
      <c r="O648" s="280"/>
      <c r="P648" s="280"/>
      <c r="Q648" s="280">
        <v>10000</v>
      </c>
      <c r="R648" s="280"/>
      <c r="S648" s="280"/>
      <c r="T648" s="297"/>
    </row>
    <row r="649" spans="1:20" x14ac:dyDescent="0.25">
      <c r="A649" s="274" t="s">
        <v>78</v>
      </c>
      <c r="B649" s="274" t="s">
        <v>79</v>
      </c>
      <c r="C649" s="274" t="s">
        <v>3741</v>
      </c>
      <c r="D649" s="274" t="s">
        <v>3742</v>
      </c>
      <c r="E649" s="274" t="s">
        <v>44</v>
      </c>
      <c r="F649" s="274" t="s">
        <v>136</v>
      </c>
      <c r="G649" s="274" t="s">
        <v>93</v>
      </c>
      <c r="H649" s="274" t="s">
        <v>94</v>
      </c>
      <c r="I649" s="274" t="s">
        <v>4737</v>
      </c>
      <c r="J649" s="274" t="s">
        <v>6588</v>
      </c>
      <c r="K649" s="274" t="s">
        <v>6612</v>
      </c>
      <c r="L649" s="274" t="s">
        <v>4738</v>
      </c>
      <c r="M649" s="281">
        <v>36120</v>
      </c>
      <c r="N649" s="280"/>
      <c r="O649" s="280"/>
      <c r="P649" s="280"/>
      <c r="Q649" s="280">
        <v>36120</v>
      </c>
      <c r="R649" s="280"/>
      <c r="S649" s="280"/>
      <c r="T649" s="297"/>
    </row>
    <row r="650" spans="1:20" x14ac:dyDescent="0.25">
      <c r="A650" s="274" t="s">
        <v>78</v>
      </c>
      <c r="B650" s="274" t="s">
        <v>79</v>
      </c>
      <c r="C650" s="274" t="s">
        <v>3741</v>
      </c>
      <c r="D650" s="274" t="s">
        <v>3742</v>
      </c>
      <c r="E650" s="274" t="s">
        <v>44</v>
      </c>
      <c r="F650" s="274" t="s">
        <v>136</v>
      </c>
      <c r="G650" s="274" t="s">
        <v>93</v>
      </c>
      <c r="H650" s="274" t="s">
        <v>94</v>
      </c>
      <c r="I650" s="274" t="s">
        <v>4739</v>
      </c>
      <c r="J650" s="274" t="s">
        <v>6608</v>
      </c>
      <c r="K650" s="274" t="s">
        <v>6589</v>
      </c>
      <c r="L650" s="274" t="s">
        <v>4740</v>
      </c>
      <c r="M650" s="281">
        <v>2898.93</v>
      </c>
      <c r="N650" s="280"/>
      <c r="O650" s="280"/>
      <c r="P650" s="280"/>
      <c r="Q650" s="280">
        <v>2898.93</v>
      </c>
      <c r="R650" s="280"/>
      <c r="S650" s="280"/>
      <c r="T650" s="297"/>
    </row>
    <row r="651" spans="1:20" x14ac:dyDescent="0.25">
      <c r="A651" s="274" t="s">
        <v>78</v>
      </c>
      <c r="B651" s="274" t="s">
        <v>79</v>
      </c>
      <c r="C651" s="274" t="s">
        <v>3741</v>
      </c>
      <c r="D651" s="274" t="s">
        <v>3742</v>
      </c>
      <c r="E651" s="274" t="s">
        <v>44</v>
      </c>
      <c r="F651" s="274" t="s">
        <v>136</v>
      </c>
      <c r="G651" s="274" t="s">
        <v>93</v>
      </c>
      <c r="H651" s="274" t="s">
        <v>94</v>
      </c>
      <c r="I651" s="274" t="s">
        <v>4741</v>
      </c>
      <c r="J651" s="274" t="s">
        <v>6614</v>
      </c>
      <c r="K651" s="274" t="s">
        <v>3746</v>
      </c>
      <c r="L651" s="274" t="s">
        <v>4742</v>
      </c>
      <c r="M651" s="281">
        <v>15000</v>
      </c>
      <c r="N651" s="280"/>
      <c r="O651" s="280"/>
      <c r="P651" s="280"/>
      <c r="Q651" s="280">
        <v>15000</v>
      </c>
      <c r="R651" s="280"/>
      <c r="S651" s="280"/>
      <c r="T651" s="297"/>
    </row>
    <row r="652" spans="1:20" x14ac:dyDescent="0.25">
      <c r="A652" s="274" t="s">
        <v>78</v>
      </c>
      <c r="B652" s="274" t="s">
        <v>79</v>
      </c>
      <c r="C652" s="274" t="s">
        <v>3741</v>
      </c>
      <c r="D652" s="274" t="s">
        <v>3742</v>
      </c>
      <c r="E652" s="274" t="s">
        <v>44</v>
      </c>
      <c r="F652" s="274" t="s">
        <v>136</v>
      </c>
      <c r="G652" s="274" t="s">
        <v>93</v>
      </c>
      <c r="H652" s="274" t="s">
        <v>94</v>
      </c>
      <c r="I652" s="274" t="s">
        <v>4743</v>
      </c>
      <c r="J652" s="274" t="s">
        <v>6616</v>
      </c>
      <c r="K652" s="274" t="s">
        <v>3746</v>
      </c>
      <c r="L652" s="274" t="s">
        <v>4744</v>
      </c>
      <c r="M652" s="281">
        <v>16358.9</v>
      </c>
      <c r="N652" s="280"/>
      <c r="O652" s="280"/>
      <c r="P652" s="280"/>
      <c r="Q652" s="280">
        <v>16358.9</v>
      </c>
      <c r="R652" s="280"/>
      <c r="S652" s="280"/>
      <c r="T652" s="297"/>
    </row>
    <row r="653" spans="1:20" x14ac:dyDescent="0.25">
      <c r="A653" s="274" t="s">
        <v>78</v>
      </c>
      <c r="B653" s="274" t="s">
        <v>79</v>
      </c>
      <c r="C653" s="274" t="s">
        <v>3741</v>
      </c>
      <c r="D653" s="274" t="s">
        <v>3742</v>
      </c>
      <c r="E653" s="274" t="s">
        <v>44</v>
      </c>
      <c r="F653" s="274" t="s">
        <v>136</v>
      </c>
      <c r="G653" s="274" t="s">
        <v>93</v>
      </c>
      <c r="H653" s="274" t="s">
        <v>94</v>
      </c>
      <c r="I653" s="274" t="s">
        <v>4745</v>
      </c>
      <c r="J653" s="274" t="s">
        <v>6617</v>
      </c>
      <c r="K653" s="274" t="s">
        <v>3746</v>
      </c>
      <c r="L653" s="274" t="s">
        <v>4746</v>
      </c>
      <c r="M653" s="281">
        <v>18285</v>
      </c>
      <c r="N653" s="280"/>
      <c r="O653" s="280"/>
      <c r="P653" s="280"/>
      <c r="Q653" s="280"/>
      <c r="R653" s="280">
        <v>18285</v>
      </c>
      <c r="S653" s="280"/>
      <c r="T653" s="297"/>
    </row>
    <row r="654" spans="1:20" x14ac:dyDescent="0.25">
      <c r="A654" s="274" t="s">
        <v>78</v>
      </c>
      <c r="B654" s="274" t="s">
        <v>79</v>
      </c>
      <c r="C654" s="274" t="s">
        <v>3741</v>
      </c>
      <c r="D654" s="274" t="s">
        <v>3742</v>
      </c>
      <c r="E654" s="274" t="s">
        <v>44</v>
      </c>
      <c r="F654" s="274" t="s">
        <v>136</v>
      </c>
      <c r="G654" s="274" t="s">
        <v>93</v>
      </c>
      <c r="H654" s="274" t="s">
        <v>94</v>
      </c>
      <c r="I654" s="274" t="s">
        <v>4747</v>
      </c>
      <c r="J654" s="274" t="s">
        <v>6585</v>
      </c>
      <c r="K654" s="274" t="s">
        <v>6506</v>
      </c>
      <c r="L654" s="274" t="s">
        <v>4748</v>
      </c>
      <c r="M654" s="281">
        <v>1875</v>
      </c>
      <c r="N654" s="280"/>
      <c r="O654" s="280"/>
      <c r="P654" s="280"/>
      <c r="Q654" s="280"/>
      <c r="R654" s="280">
        <v>1875</v>
      </c>
      <c r="S654" s="280"/>
      <c r="T654" s="297"/>
    </row>
    <row r="655" spans="1:20" x14ac:dyDescent="0.25">
      <c r="A655" s="274" t="s">
        <v>78</v>
      </c>
      <c r="B655" s="274" t="s">
        <v>79</v>
      </c>
      <c r="C655" s="274" t="s">
        <v>3741</v>
      </c>
      <c r="D655" s="274" t="s">
        <v>3742</v>
      </c>
      <c r="E655" s="274" t="s">
        <v>44</v>
      </c>
      <c r="F655" s="274" t="s">
        <v>136</v>
      </c>
      <c r="G655" s="274" t="s">
        <v>93</v>
      </c>
      <c r="H655" s="274" t="s">
        <v>94</v>
      </c>
      <c r="I655" s="274" t="s">
        <v>4749</v>
      </c>
      <c r="J655" s="274" t="s">
        <v>6581</v>
      </c>
      <c r="K655" s="274" t="s">
        <v>3746</v>
      </c>
      <c r="L655" s="274" t="s">
        <v>4750</v>
      </c>
      <c r="M655" s="281">
        <v>45333</v>
      </c>
      <c r="N655" s="280"/>
      <c r="O655" s="280"/>
      <c r="P655" s="280"/>
      <c r="Q655" s="280"/>
      <c r="R655" s="280">
        <v>45333</v>
      </c>
      <c r="S655" s="280"/>
      <c r="T655" s="297"/>
    </row>
    <row r="656" spans="1:20" x14ac:dyDescent="0.25">
      <c r="A656" s="274" t="s">
        <v>78</v>
      </c>
      <c r="B656" s="274" t="s">
        <v>79</v>
      </c>
      <c r="C656" s="274" t="s">
        <v>3741</v>
      </c>
      <c r="D656" s="274" t="s">
        <v>3742</v>
      </c>
      <c r="E656" s="274" t="s">
        <v>44</v>
      </c>
      <c r="F656" s="274" t="s">
        <v>136</v>
      </c>
      <c r="G656" s="274" t="s">
        <v>93</v>
      </c>
      <c r="H656" s="274" t="s">
        <v>94</v>
      </c>
      <c r="I656" s="274" t="s">
        <v>4751</v>
      </c>
      <c r="J656" s="274" t="s">
        <v>6608</v>
      </c>
      <c r="K656" s="274" t="s">
        <v>6589</v>
      </c>
      <c r="L656" s="274" t="s">
        <v>4752</v>
      </c>
      <c r="M656" s="281">
        <v>2898.93</v>
      </c>
      <c r="N656" s="280"/>
      <c r="O656" s="280"/>
      <c r="P656" s="280"/>
      <c r="Q656" s="280"/>
      <c r="R656" s="280">
        <v>2898.93</v>
      </c>
      <c r="S656" s="280"/>
      <c r="T656" s="297"/>
    </row>
    <row r="657" spans="1:20" x14ac:dyDescent="0.25">
      <c r="A657" s="274" t="s">
        <v>78</v>
      </c>
      <c r="B657" s="274" t="s">
        <v>79</v>
      </c>
      <c r="C657" s="274" t="s">
        <v>3741</v>
      </c>
      <c r="D657" s="274" t="s">
        <v>3742</v>
      </c>
      <c r="E657" s="274" t="s">
        <v>44</v>
      </c>
      <c r="F657" s="274" t="s">
        <v>136</v>
      </c>
      <c r="G657" s="274" t="s">
        <v>93</v>
      </c>
      <c r="H657" s="274" t="s">
        <v>94</v>
      </c>
      <c r="I657" s="274" t="s">
        <v>4753</v>
      </c>
      <c r="J657" s="274" t="s">
        <v>6608</v>
      </c>
      <c r="K657" s="274" t="s">
        <v>6589</v>
      </c>
      <c r="L657" s="274" t="s">
        <v>4754</v>
      </c>
      <c r="M657" s="281">
        <v>669</v>
      </c>
      <c r="N657" s="280"/>
      <c r="O657" s="280"/>
      <c r="P657" s="280"/>
      <c r="Q657" s="280"/>
      <c r="R657" s="280">
        <v>669</v>
      </c>
      <c r="S657" s="280"/>
      <c r="T657" s="297"/>
    </row>
    <row r="658" spans="1:20" x14ac:dyDescent="0.25">
      <c r="A658" s="274" t="s">
        <v>78</v>
      </c>
      <c r="B658" s="274" t="s">
        <v>79</v>
      </c>
      <c r="C658" s="274" t="s">
        <v>3741</v>
      </c>
      <c r="D658" s="274" t="s">
        <v>3742</v>
      </c>
      <c r="E658" s="274" t="s">
        <v>44</v>
      </c>
      <c r="F658" s="274" t="s">
        <v>136</v>
      </c>
      <c r="G658" s="274" t="s">
        <v>93</v>
      </c>
      <c r="H658" s="274" t="s">
        <v>94</v>
      </c>
      <c r="I658" s="274" t="s">
        <v>4755</v>
      </c>
      <c r="J658" s="274" t="s">
        <v>6608</v>
      </c>
      <c r="K658" s="274" t="s">
        <v>6589</v>
      </c>
      <c r="L658" s="274" t="s">
        <v>4520</v>
      </c>
      <c r="M658" s="281">
        <v>111.5</v>
      </c>
      <c r="N658" s="280"/>
      <c r="O658" s="280"/>
      <c r="P658" s="280"/>
      <c r="Q658" s="280"/>
      <c r="R658" s="280">
        <v>111.5</v>
      </c>
      <c r="S658" s="280"/>
      <c r="T658" s="297"/>
    </row>
    <row r="659" spans="1:20" x14ac:dyDescent="0.25">
      <c r="A659" s="274" t="s">
        <v>78</v>
      </c>
      <c r="B659" s="274" t="s">
        <v>79</v>
      </c>
      <c r="C659" s="274" t="s">
        <v>3741</v>
      </c>
      <c r="D659" s="274" t="s">
        <v>3742</v>
      </c>
      <c r="E659" s="274" t="s">
        <v>44</v>
      </c>
      <c r="F659" s="274" t="s">
        <v>136</v>
      </c>
      <c r="G659" s="274" t="s">
        <v>93</v>
      </c>
      <c r="H659" s="274" t="s">
        <v>94</v>
      </c>
      <c r="I659" s="274" t="s">
        <v>4756</v>
      </c>
      <c r="J659" s="274" t="s">
        <v>6608</v>
      </c>
      <c r="K659" s="274" t="s">
        <v>6589</v>
      </c>
      <c r="L659" s="274" t="s">
        <v>4665</v>
      </c>
      <c r="M659" s="281">
        <v>111.5</v>
      </c>
      <c r="N659" s="280"/>
      <c r="O659" s="280"/>
      <c r="P659" s="280"/>
      <c r="Q659" s="280"/>
      <c r="R659" s="280">
        <v>111.5</v>
      </c>
      <c r="S659" s="280"/>
      <c r="T659" s="297"/>
    </row>
    <row r="660" spans="1:20" x14ac:dyDescent="0.25">
      <c r="A660" s="274" t="s">
        <v>78</v>
      </c>
      <c r="B660" s="274" t="s">
        <v>79</v>
      </c>
      <c r="C660" s="274" t="s">
        <v>3741</v>
      </c>
      <c r="D660" s="274" t="s">
        <v>3742</v>
      </c>
      <c r="E660" s="274" t="s">
        <v>44</v>
      </c>
      <c r="F660" s="274" t="s">
        <v>136</v>
      </c>
      <c r="G660" s="274" t="s">
        <v>93</v>
      </c>
      <c r="H660" s="274" t="s">
        <v>94</v>
      </c>
      <c r="I660" s="274" t="s">
        <v>4757</v>
      </c>
      <c r="J660" s="274" t="s">
        <v>6604</v>
      </c>
      <c r="K660" s="274" t="s">
        <v>6589</v>
      </c>
      <c r="L660" s="274" t="s">
        <v>4758</v>
      </c>
      <c r="M660" s="281">
        <v>16100</v>
      </c>
      <c r="N660" s="280"/>
      <c r="O660" s="280"/>
      <c r="P660" s="280"/>
      <c r="Q660" s="280"/>
      <c r="R660" s="280">
        <v>16100</v>
      </c>
      <c r="S660" s="280"/>
      <c r="T660" s="297"/>
    </row>
    <row r="661" spans="1:20" x14ac:dyDescent="0.25">
      <c r="A661" s="274" t="s">
        <v>78</v>
      </c>
      <c r="B661" s="274" t="s">
        <v>79</v>
      </c>
      <c r="C661" s="274" t="s">
        <v>3741</v>
      </c>
      <c r="D661" s="274" t="s">
        <v>3742</v>
      </c>
      <c r="E661" s="274" t="s">
        <v>44</v>
      </c>
      <c r="F661" s="274" t="s">
        <v>136</v>
      </c>
      <c r="G661" s="274" t="s">
        <v>93</v>
      </c>
      <c r="H661" s="274" t="s">
        <v>94</v>
      </c>
      <c r="I661" s="274" t="s">
        <v>4759</v>
      </c>
      <c r="J661" s="274" t="s">
        <v>6609</v>
      </c>
      <c r="K661" s="274" t="s">
        <v>3746</v>
      </c>
      <c r="L661" s="274" t="s">
        <v>4760</v>
      </c>
      <c r="M661" s="281">
        <v>6953.31</v>
      </c>
      <c r="N661" s="280"/>
      <c r="O661" s="280"/>
      <c r="P661" s="280"/>
      <c r="Q661" s="280"/>
      <c r="R661" s="280">
        <v>6953.31</v>
      </c>
      <c r="S661" s="280"/>
      <c r="T661" s="297"/>
    </row>
    <row r="662" spans="1:20" x14ac:dyDescent="0.25">
      <c r="A662" s="274" t="s">
        <v>78</v>
      </c>
      <c r="B662" s="274" t="s">
        <v>79</v>
      </c>
      <c r="C662" s="274" t="s">
        <v>3741</v>
      </c>
      <c r="D662" s="274" t="s">
        <v>3742</v>
      </c>
      <c r="E662" s="274" t="s">
        <v>44</v>
      </c>
      <c r="F662" s="274" t="s">
        <v>136</v>
      </c>
      <c r="G662" s="274" t="s">
        <v>93</v>
      </c>
      <c r="H662" s="274" t="s">
        <v>94</v>
      </c>
      <c r="I662" s="274" t="s">
        <v>4761</v>
      </c>
      <c r="J662" s="274" t="s">
        <v>6586</v>
      </c>
      <c r="K662" s="274" t="s">
        <v>3746</v>
      </c>
      <c r="L662" s="274" t="s">
        <v>4762</v>
      </c>
      <c r="M662" s="281">
        <v>10000</v>
      </c>
      <c r="N662" s="280"/>
      <c r="O662" s="280"/>
      <c r="P662" s="280"/>
      <c r="Q662" s="280"/>
      <c r="R662" s="280">
        <v>10000</v>
      </c>
      <c r="S662" s="280"/>
      <c r="T662" s="297"/>
    </row>
    <row r="663" spans="1:20" x14ac:dyDescent="0.25">
      <c r="A663" s="274" t="s">
        <v>78</v>
      </c>
      <c r="B663" s="274" t="s">
        <v>79</v>
      </c>
      <c r="C663" s="274" t="s">
        <v>3741</v>
      </c>
      <c r="D663" s="274" t="s">
        <v>3742</v>
      </c>
      <c r="E663" s="274" t="s">
        <v>44</v>
      </c>
      <c r="F663" s="274" t="s">
        <v>136</v>
      </c>
      <c r="G663" s="274" t="s">
        <v>93</v>
      </c>
      <c r="H663" s="274" t="s">
        <v>94</v>
      </c>
      <c r="I663" s="274" t="s">
        <v>4763</v>
      </c>
      <c r="J663" s="274" t="s">
        <v>6618</v>
      </c>
      <c r="K663" s="274" t="s">
        <v>3746</v>
      </c>
      <c r="L663" s="274" t="s">
        <v>4764</v>
      </c>
      <c r="M663" s="281">
        <v>28676.38</v>
      </c>
      <c r="N663" s="280"/>
      <c r="O663" s="280"/>
      <c r="P663" s="280"/>
      <c r="Q663" s="280"/>
      <c r="R663" s="280">
        <v>28676.38</v>
      </c>
      <c r="S663" s="280"/>
      <c r="T663" s="297"/>
    </row>
    <row r="664" spans="1:20" x14ac:dyDescent="0.25">
      <c r="A664" s="274" t="s">
        <v>78</v>
      </c>
      <c r="B664" s="274" t="s">
        <v>79</v>
      </c>
      <c r="C664" s="274" t="s">
        <v>3741</v>
      </c>
      <c r="D664" s="274" t="s">
        <v>3742</v>
      </c>
      <c r="E664" s="274" t="s">
        <v>44</v>
      </c>
      <c r="F664" s="274" t="s">
        <v>136</v>
      </c>
      <c r="G664" s="274" t="s">
        <v>93</v>
      </c>
      <c r="H664" s="274" t="s">
        <v>94</v>
      </c>
      <c r="I664" s="274" t="s">
        <v>4765</v>
      </c>
      <c r="J664" s="274" t="s">
        <v>6588</v>
      </c>
      <c r="K664" s="274" t="s">
        <v>3746</v>
      </c>
      <c r="L664" s="274" t="s">
        <v>4766</v>
      </c>
      <c r="M664" s="281">
        <v>28177.5</v>
      </c>
      <c r="N664" s="280"/>
      <c r="O664" s="280"/>
      <c r="P664" s="280"/>
      <c r="Q664" s="280"/>
      <c r="R664" s="280">
        <v>28177.5</v>
      </c>
      <c r="S664" s="280"/>
      <c r="T664" s="297"/>
    </row>
    <row r="665" spans="1:20" x14ac:dyDescent="0.25">
      <c r="A665" s="274" t="s">
        <v>78</v>
      </c>
      <c r="B665" s="274" t="s">
        <v>79</v>
      </c>
      <c r="C665" s="274" t="s">
        <v>3741</v>
      </c>
      <c r="D665" s="274" t="s">
        <v>3742</v>
      </c>
      <c r="E665" s="274" t="s">
        <v>44</v>
      </c>
      <c r="F665" s="274" t="s">
        <v>136</v>
      </c>
      <c r="G665" s="274" t="s">
        <v>93</v>
      </c>
      <c r="H665" s="274" t="s">
        <v>94</v>
      </c>
      <c r="I665" s="274" t="s">
        <v>4767</v>
      </c>
      <c r="J665" s="274" t="s">
        <v>6588</v>
      </c>
      <c r="K665" s="274" t="s">
        <v>6506</v>
      </c>
      <c r="L665" s="274" t="s">
        <v>4768</v>
      </c>
      <c r="M665" s="281">
        <v>3892</v>
      </c>
      <c r="N665" s="280"/>
      <c r="O665" s="280"/>
      <c r="P665" s="280"/>
      <c r="Q665" s="280"/>
      <c r="R665" s="280">
        <v>3892</v>
      </c>
      <c r="S665" s="280"/>
      <c r="T665" s="297"/>
    </row>
    <row r="666" spans="1:20" x14ac:dyDescent="0.25">
      <c r="A666" s="274" t="s">
        <v>78</v>
      </c>
      <c r="B666" s="274" t="s">
        <v>79</v>
      </c>
      <c r="C666" s="274" t="s">
        <v>3741</v>
      </c>
      <c r="D666" s="274" t="s">
        <v>3742</v>
      </c>
      <c r="E666" s="274" t="s">
        <v>44</v>
      </c>
      <c r="F666" s="274" t="s">
        <v>136</v>
      </c>
      <c r="G666" s="274" t="s">
        <v>93</v>
      </c>
      <c r="H666" s="274" t="s">
        <v>94</v>
      </c>
      <c r="I666" s="274" t="s">
        <v>4769</v>
      </c>
      <c r="J666" s="274" t="s">
        <v>6588</v>
      </c>
      <c r="K666" s="274" t="s">
        <v>6546</v>
      </c>
      <c r="L666" s="274" t="s">
        <v>4770</v>
      </c>
      <c r="M666" s="281">
        <v>33330.92</v>
      </c>
      <c r="N666" s="280"/>
      <c r="O666" s="280"/>
      <c r="P666" s="280"/>
      <c r="Q666" s="280"/>
      <c r="R666" s="280">
        <v>33330.92</v>
      </c>
      <c r="S666" s="280"/>
      <c r="T666" s="297"/>
    </row>
    <row r="667" spans="1:20" x14ac:dyDescent="0.25">
      <c r="A667" s="274" t="s">
        <v>78</v>
      </c>
      <c r="B667" s="274" t="s">
        <v>79</v>
      </c>
      <c r="C667" s="274" t="s">
        <v>3741</v>
      </c>
      <c r="D667" s="274" t="s">
        <v>3742</v>
      </c>
      <c r="E667" s="274" t="s">
        <v>44</v>
      </c>
      <c r="F667" s="274" t="s">
        <v>136</v>
      </c>
      <c r="G667" s="274" t="s">
        <v>93</v>
      </c>
      <c r="H667" s="274" t="s">
        <v>94</v>
      </c>
      <c r="I667" s="274" t="s">
        <v>4771</v>
      </c>
      <c r="J667" s="274" t="s">
        <v>6588</v>
      </c>
      <c r="K667" s="274" t="s">
        <v>6589</v>
      </c>
      <c r="L667" s="274" t="s">
        <v>4772</v>
      </c>
      <c r="M667" s="281">
        <v>4726.33</v>
      </c>
      <c r="N667" s="280"/>
      <c r="O667" s="280"/>
      <c r="P667" s="280"/>
      <c r="Q667" s="280"/>
      <c r="R667" s="280">
        <v>4726.33</v>
      </c>
      <c r="S667" s="280"/>
      <c r="T667" s="297"/>
    </row>
    <row r="668" spans="1:20" x14ac:dyDescent="0.25">
      <c r="A668" s="274" t="s">
        <v>78</v>
      </c>
      <c r="B668" s="274" t="s">
        <v>79</v>
      </c>
      <c r="C668" s="274" t="s">
        <v>3741</v>
      </c>
      <c r="D668" s="274" t="s">
        <v>3742</v>
      </c>
      <c r="E668" s="274" t="s">
        <v>44</v>
      </c>
      <c r="F668" s="274" t="s">
        <v>136</v>
      </c>
      <c r="G668" s="274" t="s">
        <v>93</v>
      </c>
      <c r="H668" s="274" t="s">
        <v>94</v>
      </c>
      <c r="I668" s="274" t="s">
        <v>4773</v>
      </c>
      <c r="J668" s="274" t="s">
        <v>6588</v>
      </c>
      <c r="K668" s="274" t="s">
        <v>6572</v>
      </c>
      <c r="L668" s="274" t="s">
        <v>4774</v>
      </c>
      <c r="M668" s="281">
        <v>64683.17</v>
      </c>
      <c r="N668" s="280"/>
      <c r="O668" s="280"/>
      <c r="P668" s="280"/>
      <c r="Q668" s="280"/>
      <c r="R668" s="280">
        <v>64683.17</v>
      </c>
      <c r="S668" s="280"/>
      <c r="T668" s="297"/>
    </row>
    <row r="669" spans="1:20" x14ac:dyDescent="0.25">
      <c r="A669" s="274" t="s">
        <v>78</v>
      </c>
      <c r="B669" s="274" t="s">
        <v>79</v>
      </c>
      <c r="C669" s="274" t="s">
        <v>3741</v>
      </c>
      <c r="D669" s="274" t="s">
        <v>3742</v>
      </c>
      <c r="E669" s="274" t="s">
        <v>44</v>
      </c>
      <c r="F669" s="274" t="s">
        <v>136</v>
      </c>
      <c r="G669" s="274" t="s">
        <v>93</v>
      </c>
      <c r="H669" s="274" t="s">
        <v>94</v>
      </c>
      <c r="I669" s="274" t="s">
        <v>4775</v>
      </c>
      <c r="J669" s="274" t="s">
        <v>6588</v>
      </c>
      <c r="K669" s="274" t="s">
        <v>6590</v>
      </c>
      <c r="L669" s="274" t="s">
        <v>4776</v>
      </c>
      <c r="M669" s="281">
        <v>6131</v>
      </c>
      <c r="N669" s="280"/>
      <c r="O669" s="280"/>
      <c r="P669" s="280"/>
      <c r="Q669" s="280"/>
      <c r="R669" s="280">
        <v>6131</v>
      </c>
      <c r="S669" s="280"/>
      <c r="T669" s="297"/>
    </row>
    <row r="670" spans="1:20" x14ac:dyDescent="0.25">
      <c r="A670" s="274" t="s">
        <v>78</v>
      </c>
      <c r="B670" s="274" t="s">
        <v>79</v>
      </c>
      <c r="C670" s="274" t="s">
        <v>3741</v>
      </c>
      <c r="D670" s="274" t="s">
        <v>3742</v>
      </c>
      <c r="E670" s="274" t="s">
        <v>44</v>
      </c>
      <c r="F670" s="274" t="s">
        <v>136</v>
      </c>
      <c r="G670" s="274" t="s">
        <v>93</v>
      </c>
      <c r="H670" s="274" t="s">
        <v>94</v>
      </c>
      <c r="I670" s="274" t="s">
        <v>4777</v>
      </c>
      <c r="J670" s="274" t="s">
        <v>6588</v>
      </c>
      <c r="K670" s="274" t="s">
        <v>6570</v>
      </c>
      <c r="L670" s="274" t="s">
        <v>4778</v>
      </c>
      <c r="M670" s="281">
        <v>12262</v>
      </c>
      <c r="N670" s="280"/>
      <c r="O670" s="280"/>
      <c r="P670" s="280"/>
      <c r="Q670" s="280"/>
      <c r="R670" s="280">
        <v>12262</v>
      </c>
      <c r="S670" s="280"/>
      <c r="T670" s="297"/>
    </row>
    <row r="671" spans="1:20" x14ac:dyDescent="0.25">
      <c r="A671" s="274" t="s">
        <v>78</v>
      </c>
      <c r="B671" s="274" t="s">
        <v>79</v>
      </c>
      <c r="C671" s="274" t="s">
        <v>3741</v>
      </c>
      <c r="D671" s="274" t="s">
        <v>3742</v>
      </c>
      <c r="E671" s="274" t="s">
        <v>44</v>
      </c>
      <c r="F671" s="274" t="s">
        <v>136</v>
      </c>
      <c r="G671" s="274" t="s">
        <v>93</v>
      </c>
      <c r="H671" s="274" t="s">
        <v>94</v>
      </c>
      <c r="I671" s="274" t="s">
        <v>4779</v>
      </c>
      <c r="J671" s="274" t="s">
        <v>6588</v>
      </c>
      <c r="K671" s="274" t="s">
        <v>6567</v>
      </c>
      <c r="L671" s="274" t="s">
        <v>4780</v>
      </c>
      <c r="M671" s="281">
        <v>62652.69</v>
      </c>
      <c r="N671" s="280"/>
      <c r="O671" s="280"/>
      <c r="P671" s="280"/>
      <c r="Q671" s="280"/>
      <c r="R671" s="280">
        <v>62652.69</v>
      </c>
      <c r="S671" s="280"/>
      <c r="T671" s="297"/>
    </row>
    <row r="672" spans="1:20" x14ac:dyDescent="0.25">
      <c r="A672" s="274" t="s">
        <v>78</v>
      </c>
      <c r="B672" s="274" t="s">
        <v>79</v>
      </c>
      <c r="C672" s="274" t="s">
        <v>3741</v>
      </c>
      <c r="D672" s="274" t="s">
        <v>3742</v>
      </c>
      <c r="E672" s="274" t="s">
        <v>44</v>
      </c>
      <c r="F672" s="274" t="s">
        <v>136</v>
      </c>
      <c r="G672" s="274" t="s">
        <v>93</v>
      </c>
      <c r="H672" s="274" t="s">
        <v>94</v>
      </c>
      <c r="I672" s="274" t="s">
        <v>4781</v>
      </c>
      <c r="J672" s="274" t="s">
        <v>6588</v>
      </c>
      <c r="K672" s="274" t="s">
        <v>6591</v>
      </c>
      <c r="L672" s="274" t="s">
        <v>4782</v>
      </c>
      <c r="M672" s="281">
        <v>37055.82</v>
      </c>
      <c r="N672" s="280"/>
      <c r="O672" s="280"/>
      <c r="P672" s="280"/>
      <c r="Q672" s="280"/>
      <c r="R672" s="280">
        <v>37055.82</v>
      </c>
      <c r="S672" s="280"/>
      <c r="T672" s="297"/>
    </row>
    <row r="673" spans="1:20" x14ac:dyDescent="0.25">
      <c r="A673" s="274" t="s">
        <v>78</v>
      </c>
      <c r="B673" s="274" t="s">
        <v>79</v>
      </c>
      <c r="C673" s="274" t="s">
        <v>3741</v>
      </c>
      <c r="D673" s="274" t="s">
        <v>3742</v>
      </c>
      <c r="E673" s="274" t="s">
        <v>44</v>
      </c>
      <c r="F673" s="274" t="s">
        <v>136</v>
      </c>
      <c r="G673" s="274" t="s">
        <v>93</v>
      </c>
      <c r="H673" s="274" t="s">
        <v>94</v>
      </c>
      <c r="I673" s="274" t="s">
        <v>4783</v>
      </c>
      <c r="J673" s="274" t="s">
        <v>6588</v>
      </c>
      <c r="K673" s="274" t="s">
        <v>6592</v>
      </c>
      <c r="L673" s="274" t="s">
        <v>4784</v>
      </c>
      <c r="M673" s="281">
        <v>5833.33</v>
      </c>
      <c r="N673" s="280"/>
      <c r="O673" s="280"/>
      <c r="P673" s="280"/>
      <c r="Q673" s="280"/>
      <c r="R673" s="280">
        <v>5833.33</v>
      </c>
      <c r="S673" s="280"/>
      <c r="T673" s="297"/>
    </row>
    <row r="674" spans="1:20" x14ac:dyDescent="0.25">
      <c r="A674" s="274" t="s">
        <v>78</v>
      </c>
      <c r="B674" s="274" t="s">
        <v>79</v>
      </c>
      <c r="C674" s="274" t="s">
        <v>3741</v>
      </c>
      <c r="D674" s="274" t="s">
        <v>3742</v>
      </c>
      <c r="E674" s="274" t="s">
        <v>44</v>
      </c>
      <c r="F674" s="274" t="s">
        <v>136</v>
      </c>
      <c r="G674" s="274" t="s">
        <v>93</v>
      </c>
      <c r="H674" s="274" t="s">
        <v>94</v>
      </c>
      <c r="I674" s="274" t="s">
        <v>4785</v>
      </c>
      <c r="J674" s="274" t="s">
        <v>6588</v>
      </c>
      <c r="K674" s="274" t="s">
        <v>6593</v>
      </c>
      <c r="L674" s="274" t="s">
        <v>4786</v>
      </c>
      <c r="M674" s="281">
        <v>5250</v>
      </c>
      <c r="N674" s="280"/>
      <c r="O674" s="280"/>
      <c r="P674" s="280"/>
      <c r="Q674" s="280"/>
      <c r="R674" s="280">
        <v>5250</v>
      </c>
      <c r="S674" s="280"/>
      <c r="T674" s="297"/>
    </row>
    <row r="675" spans="1:20" x14ac:dyDescent="0.25">
      <c r="A675" s="274" t="s">
        <v>78</v>
      </c>
      <c r="B675" s="274" t="s">
        <v>79</v>
      </c>
      <c r="C675" s="274" t="s">
        <v>3741</v>
      </c>
      <c r="D675" s="274" t="s">
        <v>3742</v>
      </c>
      <c r="E675" s="274" t="s">
        <v>44</v>
      </c>
      <c r="F675" s="274" t="s">
        <v>136</v>
      </c>
      <c r="G675" s="274" t="s">
        <v>93</v>
      </c>
      <c r="H675" s="274" t="s">
        <v>94</v>
      </c>
      <c r="I675" s="274" t="s">
        <v>4787</v>
      </c>
      <c r="J675" s="274" t="s">
        <v>6588</v>
      </c>
      <c r="K675" s="274" t="s">
        <v>6594</v>
      </c>
      <c r="L675" s="274" t="s">
        <v>4788</v>
      </c>
      <c r="M675" s="281">
        <v>14839.58</v>
      </c>
      <c r="N675" s="280"/>
      <c r="O675" s="280"/>
      <c r="P675" s="280"/>
      <c r="Q675" s="280"/>
      <c r="R675" s="280">
        <v>14839.58</v>
      </c>
      <c r="S675" s="280"/>
      <c r="T675" s="297"/>
    </row>
    <row r="676" spans="1:20" x14ac:dyDescent="0.25">
      <c r="A676" s="274" t="s">
        <v>78</v>
      </c>
      <c r="B676" s="274" t="s">
        <v>79</v>
      </c>
      <c r="C676" s="274" t="s">
        <v>3741</v>
      </c>
      <c r="D676" s="274" t="s">
        <v>3742</v>
      </c>
      <c r="E676" s="274" t="s">
        <v>44</v>
      </c>
      <c r="F676" s="274" t="s">
        <v>136</v>
      </c>
      <c r="G676" s="274" t="s">
        <v>93</v>
      </c>
      <c r="H676" s="274" t="s">
        <v>94</v>
      </c>
      <c r="I676" s="274" t="s">
        <v>4789</v>
      </c>
      <c r="J676" s="274" t="s">
        <v>6588</v>
      </c>
      <c r="K676" s="274" t="s">
        <v>6595</v>
      </c>
      <c r="L676" s="274" t="s">
        <v>4790</v>
      </c>
      <c r="M676" s="281">
        <v>7071.33</v>
      </c>
      <c r="N676" s="280"/>
      <c r="O676" s="280"/>
      <c r="P676" s="280"/>
      <c r="Q676" s="280"/>
      <c r="R676" s="280">
        <v>7071.33</v>
      </c>
      <c r="S676" s="280"/>
      <c r="T676" s="297"/>
    </row>
    <row r="677" spans="1:20" x14ac:dyDescent="0.25">
      <c r="A677" s="274" t="s">
        <v>78</v>
      </c>
      <c r="B677" s="274" t="s">
        <v>79</v>
      </c>
      <c r="C677" s="274" t="s">
        <v>3741</v>
      </c>
      <c r="D677" s="274" t="s">
        <v>3742</v>
      </c>
      <c r="E677" s="274" t="s">
        <v>44</v>
      </c>
      <c r="F677" s="274" t="s">
        <v>136</v>
      </c>
      <c r="G677" s="274" t="s">
        <v>93</v>
      </c>
      <c r="H677" s="274" t="s">
        <v>94</v>
      </c>
      <c r="I677" s="274" t="s">
        <v>4791</v>
      </c>
      <c r="J677" s="274" t="s">
        <v>6588</v>
      </c>
      <c r="K677" s="274" t="s">
        <v>6596</v>
      </c>
      <c r="L677" s="274" t="s">
        <v>4792</v>
      </c>
      <c r="M677" s="281">
        <v>9979.5</v>
      </c>
      <c r="N677" s="280"/>
      <c r="O677" s="280"/>
      <c r="P677" s="280"/>
      <c r="Q677" s="280"/>
      <c r="R677" s="280">
        <v>9979.5</v>
      </c>
      <c r="S677" s="280"/>
      <c r="T677" s="297"/>
    </row>
    <row r="678" spans="1:20" x14ac:dyDescent="0.25">
      <c r="A678" s="274" t="s">
        <v>78</v>
      </c>
      <c r="B678" s="274" t="s">
        <v>79</v>
      </c>
      <c r="C678" s="274" t="s">
        <v>3741</v>
      </c>
      <c r="D678" s="274" t="s">
        <v>3742</v>
      </c>
      <c r="E678" s="274" t="s">
        <v>44</v>
      </c>
      <c r="F678" s="274" t="s">
        <v>136</v>
      </c>
      <c r="G678" s="274" t="s">
        <v>93</v>
      </c>
      <c r="H678" s="274" t="s">
        <v>94</v>
      </c>
      <c r="I678" s="274" t="s">
        <v>4793</v>
      </c>
      <c r="J678" s="274" t="s">
        <v>6588</v>
      </c>
      <c r="K678" s="274" t="s">
        <v>6597</v>
      </c>
      <c r="L678" s="274" t="s">
        <v>4794</v>
      </c>
      <c r="M678" s="281">
        <v>1319.25</v>
      </c>
      <c r="N678" s="280"/>
      <c r="O678" s="280"/>
      <c r="P678" s="280"/>
      <c r="Q678" s="280"/>
      <c r="R678" s="280">
        <v>1319.25</v>
      </c>
      <c r="S678" s="280"/>
      <c r="T678" s="297"/>
    </row>
    <row r="679" spans="1:20" x14ac:dyDescent="0.25">
      <c r="A679" s="274" t="s">
        <v>78</v>
      </c>
      <c r="B679" s="274" t="s">
        <v>79</v>
      </c>
      <c r="C679" s="274" t="s">
        <v>3741</v>
      </c>
      <c r="D679" s="274" t="s">
        <v>3742</v>
      </c>
      <c r="E679" s="274" t="s">
        <v>44</v>
      </c>
      <c r="F679" s="274" t="s">
        <v>136</v>
      </c>
      <c r="G679" s="274" t="s">
        <v>93</v>
      </c>
      <c r="H679" s="274" t="s">
        <v>94</v>
      </c>
      <c r="I679" s="274" t="s">
        <v>4795</v>
      </c>
      <c r="J679" s="274" t="s">
        <v>6588</v>
      </c>
      <c r="K679" s="274" t="s">
        <v>6598</v>
      </c>
      <c r="L679" s="274" t="s">
        <v>4796</v>
      </c>
      <c r="M679" s="281">
        <v>6365.08</v>
      </c>
      <c r="N679" s="280"/>
      <c r="O679" s="280"/>
      <c r="P679" s="280"/>
      <c r="Q679" s="280"/>
      <c r="R679" s="280">
        <v>6365.08</v>
      </c>
      <c r="S679" s="280"/>
      <c r="T679" s="297"/>
    </row>
    <row r="680" spans="1:20" x14ac:dyDescent="0.25">
      <c r="A680" s="274" t="s">
        <v>78</v>
      </c>
      <c r="B680" s="274" t="s">
        <v>79</v>
      </c>
      <c r="C680" s="274" t="s">
        <v>3741</v>
      </c>
      <c r="D680" s="274" t="s">
        <v>3742</v>
      </c>
      <c r="E680" s="274" t="s">
        <v>44</v>
      </c>
      <c r="F680" s="274" t="s">
        <v>136</v>
      </c>
      <c r="G680" s="274" t="s">
        <v>93</v>
      </c>
      <c r="H680" s="274" t="s">
        <v>94</v>
      </c>
      <c r="I680" s="274" t="s">
        <v>4797</v>
      </c>
      <c r="J680" s="274" t="s">
        <v>6588</v>
      </c>
      <c r="K680" s="274" t="s">
        <v>6599</v>
      </c>
      <c r="L680" s="274" t="s">
        <v>4798</v>
      </c>
      <c r="M680" s="281">
        <v>20670.240000000002</v>
      </c>
      <c r="N680" s="280"/>
      <c r="O680" s="280"/>
      <c r="P680" s="280"/>
      <c r="Q680" s="280"/>
      <c r="R680" s="280">
        <v>20670.240000000002</v>
      </c>
      <c r="S680" s="280"/>
      <c r="T680" s="297"/>
    </row>
    <row r="681" spans="1:20" x14ac:dyDescent="0.25">
      <c r="A681" s="274" t="s">
        <v>78</v>
      </c>
      <c r="B681" s="274" t="s">
        <v>79</v>
      </c>
      <c r="C681" s="274" t="s">
        <v>3741</v>
      </c>
      <c r="D681" s="274" t="s">
        <v>3742</v>
      </c>
      <c r="E681" s="274" t="s">
        <v>44</v>
      </c>
      <c r="F681" s="274" t="s">
        <v>136</v>
      </c>
      <c r="G681" s="274" t="s">
        <v>93</v>
      </c>
      <c r="H681" s="274" t="s">
        <v>94</v>
      </c>
      <c r="I681" s="274" t="s">
        <v>4799</v>
      </c>
      <c r="J681" s="274" t="s">
        <v>6588</v>
      </c>
      <c r="K681" s="274" t="s">
        <v>6600</v>
      </c>
      <c r="L681" s="274" t="s">
        <v>4800</v>
      </c>
      <c r="M681" s="281">
        <v>30542.38</v>
      </c>
      <c r="N681" s="280"/>
      <c r="O681" s="280"/>
      <c r="P681" s="280"/>
      <c r="Q681" s="280"/>
      <c r="R681" s="280">
        <v>30542.38</v>
      </c>
      <c r="S681" s="280"/>
      <c r="T681" s="297"/>
    </row>
    <row r="682" spans="1:20" x14ac:dyDescent="0.25">
      <c r="A682" s="274" t="s">
        <v>78</v>
      </c>
      <c r="B682" s="274" t="s">
        <v>79</v>
      </c>
      <c r="C682" s="274" t="s">
        <v>3741</v>
      </c>
      <c r="D682" s="274" t="s">
        <v>3742</v>
      </c>
      <c r="E682" s="274" t="s">
        <v>44</v>
      </c>
      <c r="F682" s="274" t="s">
        <v>136</v>
      </c>
      <c r="G682" s="274" t="s">
        <v>93</v>
      </c>
      <c r="H682" s="274" t="s">
        <v>94</v>
      </c>
      <c r="I682" s="274" t="s">
        <v>4801</v>
      </c>
      <c r="J682" s="274" t="s">
        <v>6588</v>
      </c>
      <c r="K682" s="274" t="s">
        <v>6601</v>
      </c>
      <c r="L682" s="274" t="s">
        <v>4802</v>
      </c>
      <c r="M682" s="281">
        <v>27403.14</v>
      </c>
      <c r="N682" s="280"/>
      <c r="O682" s="280"/>
      <c r="P682" s="280"/>
      <c r="Q682" s="280"/>
      <c r="R682" s="280">
        <v>27403.14</v>
      </c>
      <c r="S682" s="280"/>
      <c r="T682" s="297"/>
    </row>
    <row r="683" spans="1:20" x14ac:dyDescent="0.25">
      <c r="A683" s="274" t="s">
        <v>78</v>
      </c>
      <c r="B683" s="274" t="s">
        <v>79</v>
      </c>
      <c r="C683" s="274" t="s">
        <v>3741</v>
      </c>
      <c r="D683" s="274" t="s">
        <v>3742</v>
      </c>
      <c r="E683" s="274" t="s">
        <v>44</v>
      </c>
      <c r="F683" s="274" t="s">
        <v>136</v>
      </c>
      <c r="G683" s="274" t="s">
        <v>93</v>
      </c>
      <c r="H683" s="274" t="s">
        <v>94</v>
      </c>
      <c r="I683" s="274" t="s">
        <v>4803</v>
      </c>
      <c r="J683" s="274" t="s">
        <v>6588</v>
      </c>
      <c r="K683" s="274" t="s">
        <v>6602</v>
      </c>
      <c r="L683" s="274" t="s">
        <v>4804</v>
      </c>
      <c r="M683" s="281">
        <v>5923.44</v>
      </c>
      <c r="N683" s="280"/>
      <c r="O683" s="280"/>
      <c r="P683" s="280"/>
      <c r="Q683" s="280"/>
      <c r="R683" s="280">
        <v>5923.44</v>
      </c>
      <c r="S683" s="280"/>
      <c r="T683" s="297"/>
    </row>
    <row r="684" spans="1:20" x14ac:dyDescent="0.25">
      <c r="A684" s="274" t="s">
        <v>78</v>
      </c>
      <c r="B684" s="274" t="s">
        <v>79</v>
      </c>
      <c r="C684" s="274" t="s">
        <v>3741</v>
      </c>
      <c r="D684" s="274" t="s">
        <v>3742</v>
      </c>
      <c r="E684" s="274" t="s">
        <v>44</v>
      </c>
      <c r="F684" s="274" t="s">
        <v>136</v>
      </c>
      <c r="G684" s="274" t="s">
        <v>93</v>
      </c>
      <c r="H684" s="274" t="s">
        <v>94</v>
      </c>
      <c r="I684" s="274" t="s">
        <v>4805</v>
      </c>
      <c r="J684" s="274" t="s">
        <v>6588</v>
      </c>
      <c r="K684" s="274" t="s">
        <v>6583</v>
      </c>
      <c r="L684" s="274" t="s">
        <v>4806</v>
      </c>
      <c r="M684" s="281">
        <v>3166.2</v>
      </c>
      <c r="N684" s="280"/>
      <c r="O684" s="280"/>
      <c r="P684" s="280"/>
      <c r="Q684" s="280"/>
      <c r="R684" s="280">
        <v>3166.2</v>
      </c>
      <c r="S684" s="280"/>
      <c r="T684" s="297"/>
    </row>
    <row r="685" spans="1:20" x14ac:dyDescent="0.25">
      <c r="A685" s="274" t="s">
        <v>78</v>
      </c>
      <c r="B685" s="274" t="s">
        <v>79</v>
      </c>
      <c r="C685" s="274" t="s">
        <v>3741</v>
      </c>
      <c r="D685" s="274" t="s">
        <v>3742</v>
      </c>
      <c r="E685" s="274" t="s">
        <v>44</v>
      </c>
      <c r="F685" s="274" t="s">
        <v>136</v>
      </c>
      <c r="G685" s="274" t="s">
        <v>93</v>
      </c>
      <c r="H685" s="274" t="s">
        <v>94</v>
      </c>
      <c r="I685" s="274" t="s">
        <v>4807</v>
      </c>
      <c r="J685" s="274" t="s">
        <v>6588</v>
      </c>
      <c r="K685" s="274" t="s">
        <v>6611</v>
      </c>
      <c r="L685" s="274" t="s">
        <v>4808</v>
      </c>
      <c r="M685" s="281">
        <v>4870.8</v>
      </c>
      <c r="N685" s="280"/>
      <c r="O685" s="280"/>
      <c r="P685" s="280"/>
      <c r="Q685" s="280"/>
      <c r="R685" s="280">
        <v>4870.8</v>
      </c>
      <c r="S685" s="280"/>
      <c r="T685" s="297"/>
    </row>
    <row r="686" spans="1:20" x14ac:dyDescent="0.25">
      <c r="A686" s="274" t="s">
        <v>78</v>
      </c>
      <c r="B686" s="274" t="s">
        <v>79</v>
      </c>
      <c r="C686" s="274" t="s">
        <v>3741</v>
      </c>
      <c r="D686" s="274" t="s">
        <v>3742</v>
      </c>
      <c r="E686" s="274" t="s">
        <v>44</v>
      </c>
      <c r="F686" s="274" t="s">
        <v>136</v>
      </c>
      <c r="G686" s="274" t="s">
        <v>93</v>
      </c>
      <c r="H686" s="274" t="s">
        <v>94</v>
      </c>
      <c r="I686" s="274" t="s">
        <v>4809</v>
      </c>
      <c r="J686" s="274" t="s">
        <v>6588</v>
      </c>
      <c r="K686" s="274" t="s">
        <v>6603</v>
      </c>
      <c r="L686" s="274" t="s">
        <v>4810</v>
      </c>
      <c r="M686" s="281">
        <v>10000</v>
      </c>
      <c r="N686" s="280"/>
      <c r="O686" s="280"/>
      <c r="P686" s="280"/>
      <c r="Q686" s="280"/>
      <c r="R686" s="280">
        <v>10000</v>
      </c>
      <c r="S686" s="280"/>
      <c r="T686" s="297"/>
    </row>
    <row r="687" spans="1:20" x14ac:dyDescent="0.25">
      <c r="A687" s="274" t="s">
        <v>78</v>
      </c>
      <c r="B687" s="274" t="s">
        <v>79</v>
      </c>
      <c r="C687" s="274" t="s">
        <v>3741</v>
      </c>
      <c r="D687" s="274" t="s">
        <v>3742</v>
      </c>
      <c r="E687" s="274" t="s">
        <v>44</v>
      </c>
      <c r="F687" s="274" t="s">
        <v>136</v>
      </c>
      <c r="G687" s="274" t="s">
        <v>93</v>
      </c>
      <c r="H687" s="274" t="s">
        <v>94</v>
      </c>
      <c r="I687" s="274" t="s">
        <v>4811</v>
      </c>
      <c r="J687" s="274" t="s">
        <v>6588</v>
      </c>
      <c r="K687" s="274" t="s">
        <v>6612</v>
      </c>
      <c r="L687" s="274" t="s">
        <v>4812</v>
      </c>
      <c r="M687" s="281">
        <v>30809.5</v>
      </c>
      <c r="N687" s="280"/>
      <c r="O687" s="280"/>
      <c r="P687" s="280"/>
      <c r="Q687" s="280"/>
      <c r="R687" s="280">
        <v>30809.5</v>
      </c>
      <c r="S687" s="280"/>
      <c r="T687" s="297"/>
    </row>
    <row r="688" spans="1:20" x14ac:dyDescent="0.25">
      <c r="A688" s="274" t="s">
        <v>78</v>
      </c>
      <c r="B688" s="274" t="s">
        <v>79</v>
      </c>
      <c r="C688" s="274" t="s">
        <v>3741</v>
      </c>
      <c r="D688" s="274" t="s">
        <v>3742</v>
      </c>
      <c r="E688" s="274" t="s">
        <v>44</v>
      </c>
      <c r="F688" s="274" t="s">
        <v>136</v>
      </c>
      <c r="G688" s="274" t="s">
        <v>93</v>
      </c>
      <c r="H688" s="274" t="s">
        <v>94</v>
      </c>
      <c r="I688" s="274" t="s">
        <v>4813</v>
      </c>
      <c r="J688" s="274" t="s">
        <v>6582</v>
      </c>
      <c r="K688" s="274" t="s">
        <v>6546</v>
      </c>
      <c r="L688" s="274" t="s">
        <v>4814</v>
      </c>
      <c r="M688" s="281">
        <v>-15000</v>
      </c>
      <c r="N688" s="280"/>
      <c r="O688" s="280"/>
      <c r="P688" s="280"/>
      <c r="Q688" s="280"/>
      <c r="R688" s="280">
        <v>-15000</v>
      </c>
      <c r="S688" s="280"/>
      <c r="T688" s="297"/>
    </row>
    <row r="689" spans="1:20" x14ac:dyDescent="0.25">
      <c r="A689" s="274" t="s">
        <v>78</v>
      </c>
      <c r="B689" s="274" t="s">
        <v>79</v>
      </c>
      <c r="C689" s="274" t="s">
        <v>3741</v>
      </c>
      <c r="D689" s="274" t="s">
        <v>3742</v>
      </c>
      <c r="E689" s="274" t="s">
        <v>44</v>
      </c>
      <c r="F689" s="274" t="s">
        <v>136</v>
      </c>
      <c r="G689" s="274" t="s">
        <v>93</v>
      </c>
      <c r="H689" s="274" t="s">
        <v>94</v>
      </c>
      <c r="I689" s="274" t="s">
        <v>6270</v>
      </c>
      <c r="J689" s="274" t="s">
        <v>6614</v>
      </c>
      <c r="K689" s="274" t="s">
        <v>3746</v>
      </c>
      <c r="L689" s="274" t="s">
        <v>6271</v>
      </c>
      <c r="M689" s="281">
        <v>60654</v>
      </c>
      <c r="N689" s="280"/>
      <c r="O689" s="280"/>
      <c r="P689" s="280"/>
      <c r="Q689" s="280"/>
      <c r="R689" s="280">
        <v>60654</v>
      </c>
      <c r="S689" s="280"/>
      <c r="T689" s="297"/>
    </row>
    <row r="690" spans="1:20" x14ac:dyDescent="0.25">
      <c r="A690" s="274" t="s">
        <v>78</v>
      </c>
      <c r="B690" s="274" t="s">
        <v>79</v>
      </c>
      <c r="C690" s="274" t="s">
        <v>3741</v>
      </c>
      <c r="D690" s="274" t="s">
        <v>3742</v>
      </c>
      <c r="E690" s="274" t="s">
        <v>44</v>
      </c>
      <c r="F690" s="274" t="s">
        <v>136</v>
      </c>
      <c r="G690" s="274" t="s">
        <v>93</v>
      </c>
      <c r="H690" s="274" t="s">
        <v>94</v>
      </c>
      <c r="I690" s="274" t="s">
        <v>6272</v>
      </c>
      <c r="J690" s="274" t="s">
        <v>6588</v>
      </c>
      <c r="K690" s="274" t="s">
        <v>6619</v>
      </c>
      <c r="L690" s="274" t="s">
        <v>6273</v>
      </c>
      <c r="M690" s="281">
        <v>15276.24</v>
      </c>
      <c r="N690" s="280"/>
      <c r="O690" s="280"/>
      <c r="P690" s="280"/>
      <c r="Q690" s="280"/>
      <c r="R690" s="280"/>
      <c r="S690" s="280">
        <v>15276.24</v>
      </c>
      <c r="T690" s="297"/>
    </row>
    <row r="691" spans="1:20" x14ac:dyDescent="0.25">
      <c r="A691" s="274" t="s">
        <v>78</v>
      </c>
      <c r="B691" s="274" t="s">
        <v>79</v>
      </c>
      <c r="C691" s="274" t="s">
        <v>3741</v>
      </c>
      <c r="D691" s="274" t="s">
        <v>3742</v>
      </c>
      <c r="E691" s="274" t="s">
        <v>44</v>
      </c>
      <c r="F691" s="274" t="s">
        <v>136</v>
      </c>
      <c r="G691" s="274" t="s">
        <v>93</v>
      </c>
      <c r="H691" s="274" t="s">
        <v>94</v>
      </c>
      <c r="I691" s="274" t="s">
        <v>6274</v>
      </c>
      <c r="J691" s="274" t="s">
        <v>6585</v>
      </c>
      <c r="K691" s="274" t="s">
        <v>6506</v>
      </c>
      <c r="L691" s="274" t="s">
        <v>6275</v>
      </c>
      <c r="M691" s="281">
        <v>1875</v>
      </c>
      <c r="N691" s="280"/>
      <c r="O691" s="280"/>
      <c r="P691" s="280"/>
      <c r="Q691" s="280"/>
      <c r="R691" s="280"/>
      <c r="S691" s="280">
        <v>1875</v>
      </c>
      <c r="T691" s="297"/>
    </row>
    <row r="692" spans="1:20" x14ac:dyDescent="0.25">
      <c r="A692" s="274" t="s">
        <v>78</v>
      </c>
      <c r="B692" s="274" t="s">
        <v>79</v>
      </c>
      <c r="C692" s="274" t="s">
        <v>3741</v>
      </c>
      <c r="D692" s="274" t="s">
        <v>3742</v>
      </c>
      <c r="E692" s="274" t="s">
        <v>44</v>
      </c>
      <c r="F692" s="274" t="s">
        <v>136</v>
      </c>
      <c r="G692" s="274" t="s">
        <v>93</v>
      </c>
      <c r="H692" s="274" t="s">
        <v>94</v>
      </c>
      <c r="I692" s="274" t="s">
        <v>6276</v>
      </c>
      <c r="J692" s="274" t="s">
        <v>6581</v>
      </c>
      <c r="K692" s="274" t="s">
        <v>3746</v>
      </c>
      <c r="L692" s="274" t="s">
        <v>6277</v>
      </c>
      <c r="M692" s="281">
        <v>27766</v>
      </c>
      <c r="N692" s="280"/>
      <c r="O692" s="280"/>
      <c r="P692" s="280"/>
      <c r="Q692" s="280"/>
      <c r="R692" s="280"/>
      <c r="S692" s="280">
        <v>27766</v>
      </c>
      <c r="T692" s="297"/>
    </row>
    <row r="693" spans="1:20" x14ac:dyDescent="0.25">
      <c r="A693" s="274" t="s">
        <v>78</v>
      </c>
      <c r="B693" s="274" t="s">
        <v>79</v>
      </c>
      <c r="C693" s="274" t="s">
        <v>3741</v>
      </c>
      <c r="D693" s="274" t="s">
        <v>3742</v>
      </c>
      <c r="E693" s="274" t="s">
        <v>44</v>
      </c>
      <c r="F693" s="274" t="s">
        <v>136</v>
      </c>
      <c r="G693" s="274" t="s">
        <v>93</v>
      </c>
      <c r="H693" s="274" t="s">
        <v>94</v>
      </c>
      <c r="I693" s="274" t="s">
        <v>6278</v>
      </c>
      <c r="J693" s="274" t="s">
        <v>6586</v>
      </c>
      <c r="K693" s="274" t="s">
        <v>3746</v>
      </c>
      <c r="L693" s="274" t="s">
        <v>6279</v>
      </c>
      <c r="M693" s="281">
        <v>10000</v>
      </c>
      <c r="N693" s="280"/>
      <c r="O693" s="280"/>
      <c r="P693" s="280"/>
      <c r="Q693" s="280"/>
      <c r="R693" s="280"/>
      <c r="S693" s="280">
        <v>10000</v>
      </c>
      <c r="T693" s="297"/>
    </row>
    <row r="694" spans="1:20" x14ac:dyDescent="0.25">
      <c r="A694" s="274" t="s">
        <v>78</v>
      </c>
      <c r="B694" s="274" t="s">
        <v>79</v>
      </c>
      <c r="C694" s="274" t="s">
        <v>3741</v>
      </c>
      <c r="D694" s="274" t="s">
        <v>3742</v>
      </c>
      <c r="E694" s="274" t="s">
        <v>44</v>
      </c>
      <c r="F694" s="274" t="s">
        <v>136</v>
      </c>
      <c r="G694" s="274" t="s">
        <v>93</v>
      </c>
      <c r="H694" s="274" t="s">
        <v>94</v>
      </c>
      <c r="I694" s="274" t="s">
        <v>6280</v>
      </c>
      <c r="J694" s="274" t="s">
        <v>6607</v>
      </c>
      <c r="K694" s="274" t="s">
        <v>3746</v>
      </c>
      <c r="L694" s="274" t="s">
        <v>4689</v>
      </c>
      <c r="M694" s="281">
        <v>2680</v>
      </c>
      <c r="N694" s="280"/>
      <c r="O694" s="280"/>
      <c r="P694" s="280"/>
      <c r="Q694" s="280"/>
      <c r="R694" s="280"/>
      <c r="S694" s="280">
        <v>2680</v>
      </c>
      <c r="T694" s="297"/>
    </row>
    <row r="695" spans="1:20" x14ac:dyDescent="0.25">
      <c r="A695" s="274" t="s">
        <v>78</v>
      </c>
      <c r="B695" s="274" t="s">
        <v>79</v>
      </c>
      <c r="C695" s="274" t="s">
        <v>3741</v>
      </c>
      <c r="D695" s="274" t="s">
        <v>3742</v>
      </c>
      <c r="E695" s="274" t="s">
        <v>44</v>
      </c>
      <c r="F695" s="274" t="s">
        <v>136</v>
      </c>
      <c r="G695" s="274" t="s">
        <v>93</v>
      </c>
      <c r="H695" s="274" t="s">
        <v>94</v>
      </c>
      <c r="I695" s="274" t="s">
        <v>6281</v>
      </c>
      <c r="J695" s="274" t="s">
        <v>6607</v>
      </c>
      <c r="K695" s="274" t="s">
        <v>3746</v>
      </c>
      <c r="L695" s="274" t="s">
        <v>6282</v>
      </c>
      <c r="M695" s="281">
        <v>17680</v>
      </c>
      <c r="N695" s="280"/>
      <c r="O695" s="280"/>
      <c r="P695" s="280"/>
      <c r="Q695" s="280"/>
      <c r="R695" s="280"/>
      <c r="S695" s="280">
        <v>17680</v>
      </c>
      <c r="T695" s="297"/>
    </row>
    <row r="696" spans="1:20" x14ac:dyDescent="0.25">
      <c r="A696" s="274" t="s">
        <v>78</v>
      </c>
      <c r="B696" s="274" t="s">
        <v>79</v>
      </c>
      <c r="C696" s="274" t="s">
        <v>3741</v>
      </c>
      <c r="D696" s="274" t="s">
        <v>3742</v>
      </c>
      <c r="E696" s="274" t="s">
        <v>44</v>
      </c>
      <c r="F696" s="274" t="s">
        <v>136</v>
      </c>
      <c r="G696" s="274" t="s">
        <v>93</v>
      </c>
      <c r="H696" s="274" t="s">
        <v>94</v>
      </c>
      <c r="I696" s="274" t="s">
        <v>6283</v>
      </c>
      <c r="J696" s="274" t="s">
        <v>6607</v>
      </c>
      <c r="K696" s="274" t="s">
        <v>3746</v>
      </c>
      <c r="L696" s="274" t="s">
        <v>6284</v>
      </c>
      <c r="M696" s="281">
        <v>17680</v>
      </c>
      <c r="N696" s="280"/>
      <c r="O696" s="280"/>
      <c r="P696" s="280"/>
      <c r="Q696" s="280"/>
      <c r="R696" s="280"/>
      <c r="S696" s="280">
        <v>17680</v>
      </c>
      <c r="T696" s="297"/>
    </row>
    <row r="697" spans="1:20" x14ac:dyDescent="0.25">
      <c r="A697" s="274" t="s">
        <v>78</v>
      </c>
      <c r="B697" s="274" t="s">
        <v>79</v>
      </c>
      <c r="C697" s="274" t="s">
        <v>3741</v>
      </c>
      <c r="D697" s="274" t="s">
        <v>3742</v>
      </c>
      <c r="E697" s="274" t="s">
        <v>44</v>
      </c>
      <c r="F697" s="274" t="s">
        <v>136</v>
      </c>
      <c r="G697" s="274" t="s">
        <v>93</v>
      </c>
      <c r="H697" s="274" t="s">
        <v>94</v>
      </c>
      <c r="I697" s="274" t="s">
        <v>6285</v>
      </c>
      <c r="J697" s="274" t="s">
        <v>6588</v>
      </c>
      <c r="K697" s="274" t="s">
        <v>3746</v>
      </c>
      <c r="L697" s="274" t="s">
        <v>6286</v>
      </c>
      <c r="M697" s="281">
        <v>28177.5</v>
      </c>
      <c r="N697" s="280"/>
      <c r="O697" s="280"/>
      <c r="P697" s="280"/>
      <c r="Q697" s="280"/>
      <c r="R697" s="280"/>
      <c r="S697" s="280">
        <v>28177.5</v>
      </c>
      <c r="T697" s="297"/>
    </row>
    <row r="698" spans="1:20" x14ac:dyDescent="0.25">
      <c r="A698" s="274" t="s">
        <v>78</v>
      </c>
      <c r="B698" s="274" t="s">
        <v>79</v>
      </c>
      <c r="C698" s="274" t="s">
        <v>3741</v>
      </c>
      <c r="D698" s="274" t="s">
        <v>3742</v>
      </c>
      <c r="E698" s="274" t="s">
        <v>44</v>
      </c>
      <c r="F698" s="274" t="s">
        <v>136</v>
      </c>
      <c r="G698" s="274" t="s">
        <v>93</v>
      </c>
      <c r="H698" s="274" t="s">
        <v>94</v>
      </c>
      <c r="I698" s="274" t="s">
        <v>6287</v>
      </c>
      <c r="J698" s="274" t="s">
        <v>6588</v>
      </c>
      <c r="K698" s="274" t="s">
        <v>6506</v>
      </c>
      <c r="L698" s="274" t="s">
        <v>6288</v>
      </c>
      <c r="M698" s="281">
        <v>3892</v>
      </c>
      <c r="N698" s="280"/>
      <c r="O698" s="280"/>
      <c r="P698" s="280"/>
      <c r="Q698" s="280"/>
      <c r="R698" s="280"/>
      <c r="S698" s="280">
        <v>3892</v>
      </c>
      <c r="T698" s="297"/>
    </row>
    <row r="699" spans="1:20" x14ac:dyDescent="0.25">
      <c r="A699" s="274" t="s">
        <v>78</v>
      </c>
      <c r="B699" s="274" t="s">
        <v>79</v>
      </c>
      <c r="C699" s="274" t="s">
        <v>3741</v>
      </c>
      <c r="D699" s="274" t="s">
        <v>3742</v>
      </c>
      <c r="E699" s="274" t="s">
        <v>44</v>
      </c>
      <c r="F699" s="274" t="s">
        <v>136</v>
      </c>
      <c r="G699" s="274" t="s">
        <v>93</v>
      </c>
      <c r="H699" s="274" t="s">
        <v>94</v>
      </c>
      <c r="I699" s="274" t="s">
        <v>6289</v>
      </c>
      <c r="J699" s="274" t="s">
        <v>6588</v>
      </c>
      <c r="K699" s="274" t="s">
        <v>6546</v>
      </c>
      <c r="L699" s="274" t="s">
        <v>6290</v>
      </c>
      <c r="M699" s="281">
        <v>33330.92</v>
      </c>
      <c r="N699" s="280"/>
      <c r="O699" s="280"/>
      <c r="P699" s="280"/>
      <c r="Q699" s="280"/>
      <c r="R699" s="280"/>
      <c r="S699" s="280">
        <v>33330.92</v>
      </c>
      <c r="T699" s="297"/>
    </row>
    <row r="700" spans="1:20" x14ac:dyDescent="0.25">
      <c r="A700" s="274" t="s">
        <v>78</v>
      </c>
      <c r="B700" s="274" t="s">
        <v>79</v>
      </c>
      <c r="C700" s="274" t="s">
        <v>3741</v>
      </c>
      <c r="D700" s="274" t="s">
        <v>3742</v>
      </c>
      <c r="E700" s="274" t="s">
        <v>44</v>
      </c>
      <c r="F700" s="274" t="s">
        <v>136</v>
      </c>
      <c r="G700" s="274" t="s">
        <v>93</v>
      </c>
      <c r="H700" s="274" t="s">
        <v>94</v>
      </c>
      <c r="I700" s="274" t="s">
        <v>6291</v>
      </c>
      <c r="J700" s="274" t="s">
        <v>6588</v>
      </c>
      <c r="K700" s="274" t="s">
        <v>6589</v>
      </c>
      <c r="L700" s="274" t="s">
        <v>6292</v>
      </c>
      <c r="M700" s="281">
        <v>4726.33</v>
      </c>
      <c r="N700" s="280"/>
      <c r="O700" s="280"/>
      <c r="P700" s="280"/>
      <c r="Q700" s="280"/>
      <c r="R700" s="280"/>
      <c r="S700" s="280">
        <v>4726.33</v>
      </c>
      <c r="T700" s="297"/>
    </row>
    <row r="701" spans="1:20" x14ac:dyDescent="0.25">
      <c r="A701" s="274" t="s">
        <v>78</v>
      </c>
      <c r="B701" s="274" t="s">
        <v>79</v>
      </c>
      <c r="C701" s="274" t="s">
        <v>3741</v>
      </c>
      <c r="D701" s="274" t="s">
        <v>3742</v>
      </c>
      <c r="E701" s="274" t="s">
        <v>44</v>
      </c>
      <c r="F701" s="274" t="s">
        <v>136</v>
      </c>
      <c r="G701" s="274" t="s">
        <v>93</v>
      </c>
      <c r="H701" s="274" t="s">
        <v>94</v>
      </c>
      <c r="I701" s="274" t="s">
        <v>6293</v>
      </c>
      <c r="J701" s="274" t="s">
        <v>6588</v>
      </c>
      <c r="K701" s="274" t="s">
        <v>6572</v>
      </c>
      <c r="L701" s="274" t="s">
        <v>6294</v>
      </c>
      <c r="M701" s="281">
        <v>64683.17</v>
      </c>
      <c r="N701" s="280"/>
      <c r="O701" s="280"/>
      <c r="P701" s="280"/>
      <c r="Q701" s="280"/>
      <c r="R701" s="280"/>
      <c r="S701" s="280">
        <v>64683.17</v>
      </c>
      <c r="T701" s="297"/>
    </row>
    <row r="702" spans="1:20" x14ac:dyDescent="0.25">
      <c r="A702" s="274" t="s">
        <v>78</v>
      </c>
      <c r="B702" s="274" t="s">
        <v>79</v>
      </c>
      <c r="C702" s="274" t="s">
        <v>3741</v>
      </c>
      <c r="D702" s="274" t="s">
        <v>3742</v>
      </c>
      <c r="E702" s="274" t="s">
        <v>44</v>
      </c>
      <c r="F702" s="274" t="s">
        <v>136</v>
      </c>
      <c r="G702" s="274" t="s">
        <v>93</v>
      </c>
      <c r="H702" s="274" t="s">
        <v>94</v>
      </c>
      <c r="I702" s="274" t="s">
        <v>6295</v>
      </c>
      <c r="J702" s="274" t="s">
        <v>6588</v>
      </c>
      <c r="K702" s="274" t="s">
        <v>6590</v>
      </c>
      <c r="L702" s="274" t="s">
        <v>6296</v>
      </c>
      <c r="M702" s="281">
        <v>6131</v>
      </c>
      <c r="N702" s="280"/>
      <c r="O702" s="280"/>
      <c r="P702" s="280"/>
      <c r="Q702" s="280"/>
      <c r="R702" s="280"/>
      <c r="S702" s="280">
        <v>6131</v>
      </c>
      <c r="T702" s="297"/>
    </row>
    <row r="703" spans="1:20" x14ac:dyDescent="0.25">
      <c r="A703" s="274" t="s">
        <v>78</v>
      </c>
      <c r="B703" s="274" t="s">
        <v>79</v>
      </c>
      <c r="C703" s="274" t="s">
        <v>3741</v>
      </c>
      <c r="D703" s="274" t="s">
        <v>3742</v>
      </c>
      <c r="E703" s="274" t="s">
        <v>44</v>
      </c>
      <c r="F703" s="274" t="s">
        <v>136</v>
      </c>
      <c r="G703" s="274" t="s">
        <v>93</v>
      </c>
      <c r="H703" s="274" t="s">
        <v>94</v>
      </c>
      <c r="I703" s="274" t="s">
        <v>6297</v>
      </c>
      <c r="J703" s="274" t="s">
        <v>6588</v>
      </c>
      <c r="K703" s="274" t="s">
        <v>6570</v>
      </c>
      <c r="L703" s="274" t="s">
        <v>6298</v>
      </c>
      <c r="M703" s="281">
        <v>12262</v>
      </c>
      <c r="N703" s="280"/>
      <c r="O703" s="280"/>
      <c r="P703" s="280"/>
      <c r="Q703" s="280"/>
      <c r="R703" s="280"/>
      <c r="S703" s="280">
        <v>12262</v>
      </c>
      <c r="T703" s="297"/>
    </row>
    <row r="704" spans="1:20" x14ac:dyDescent="0.25">
      <c r="A704" s="274" t="s">
        <v>78</v>
      </c>
      <c r="B704" s="274" t="s">
        <v>79</v>
      </c>
      <c r="C704" s="274" t="s">
        <v>3741</v>
      </c>
      <c r="D704" s="274" t="s">
        <v>3742</v>
      </c>
      <c r="E704" s="274" t="s">
        <v>44</v>
      </c>
      <c r="F704" s="274" t="s">
        <v>136</v>
      </c>
      <c r="G704" s="274" t="s">
        <v>93</v>
      </c>
      <c r="H704" s="274" t="s">
        <v>94</v>
      </c>
      <c r="I704" s="274" t="s">
        <v>6299</v>
      </c>
      <c r="J704" s="274" t="s">
        <v>6588</v>
      </c>
      <c r="K704" s="274" t="s">
        <v>6567</v>
      </c>
      <c r="L704" s="274" t="s">
        <v>6300</v>
      </c>
      <c r="M704" s="281">
        <v>62652.69</v>
      </c>
      <c r="N704" s="280"/>
      <c r="O704" s="280"/>
      <c r="P704" s="280"/>
      <c r="Q704" s="280"/>
      <c r="R704" s="280"/>
      <c r="S704" s="280">
        <v>62652.69</v>
      </c>
      <c r="T704" s="297"/>
    </row>
    <row r="705" spans="1:20" x14ac:dyDescent="0.25">
      <c r="A705" s="274" t="s">
        <v>78</v>
      </c>
      <c r="B705" s="274" t="s">
        <v>79</v>
      </c>
      <c r="C705" s="274" t="s">
        <v>3741</v>
      </c>
      <c r="D705" s="274" t="s">
        <v>3742</v>
      </c>
      <c r="E705" s="274" t="s">
        <v>44</v>
      </c>
      <c r="F705" s="274" t="s">
        <v>136</v>
      </c>
      <c r="G705" s="274" t="s">
        <v>93</v>
      </c>
      <c r="H705" s="274" t="s">
        <v>94</v>
      </c>
      <c r="I705" s="274" t="s">
        <v>6301</v>
      </c>
      <c r="J705" s="274" t="s">
        <v>6588</v>
      </c>
      <c r="K705" s="274" t="s">
        <v>6591</v>
      </c>
      <c r="L705" s="274" t="s">
        <v>6302</v>
      </c>
      <c r="M705" s="281">
        <v>37055.82</v>
      </c>
      <c r="N705" s="280"/>
      <c r="O705" s="280"/>
      <c r="P705" s="280"/>
      <c r="Q705" s="280"/>
      <c r="R705" s="280"/>
      <c r="S705" s="280">
        <v>37055.82</v>
      </c>
      <c r="T705" s="297"/>
    </row>
    <row r="706" spans="1:20" x14ac:dyDescent="0.25">
      <c r="A706" s="274" t="s">
        <v>78</v>
      </c>
      <c r="B706" s="274" t="s">
        <v>79</v>
      </c>
      <c r="C706" s="274" t="s">
        <v>3741</v>
      </c>
      <c r="D706" s="274" t="s">
        <v>3742</v>
      </c>
      <c r="E706" s="274" t="s">
        <v>44</v>
      </c>
      <c r="F706" s="274" t="s">
        <v>136</v>
      </c>
      <c r="G706" s="274" t="s">
        <v>93</v>
      </c>
      <c r="H706" s="274" t="s">
        <v>94</v>
      </c>
      <c r="I706" s="274" t="s">
        <v>6303</v>
      </c>
      <c r="J706" s="274" t="s">
        <v>6588</v>
      </c>
      <c r="K706" s="274" t="s">
        <v>6592</v>
      </c>
      <c r="L706" s="274" t="s">
        <v>6304</v>
      </c>
      <c r="M706" s="281">
        <v>5833.33</v>
      </c>
      <c r="N706" s="280"/>
      <c r="O706" s="280"/>
      <c r="P706" s="280"/>
      <c r="Q706" s="280"/>
      <c r="R706" s="280"/>
      <c r="S706" s="280">
        <v>5833.33</v>
      </c>
      <c r="T706" s="297"/>
    </row>
    <row r="707" spans="1:20" x14ac:dyDescent="0.25">
      <c r="A707" s="274" t="s">
        <v>78</v>
      </c>
      <c r="B707" s="274" t="s">
        <v>79</v>
      </c>
      <c r="C707" s="274" t="s">
        <v>3741</v>
      </c>
      <c r="D707" s="274" t="s">
        <v>3742</v>
      </c>
      <c r="E707" s="274" t="s">
        <v>44</v>
      </c>
      <c r="F707" s="274" t="s">
        <v>136</v>
      </c>
      <c r="G707" s="274" t="s">
        <v>93</v>
      </c>
      <c r="H707" s="274" t="s">
        <v>94</v>
      </c>
      <c r="I707" s="274" t="s">
        <v>6305</v>
      </c>
      <c r="J707" s="274" t="s">
        <v>6588</v>
      </c>
      <c r="K707" s="274" t="s">
        <v>6593</v>
      </c>
      <c r="L707" s="274" t="s">
        <v>6306</v>
      </c>
      <c r="M707" s="281">
        <v>5250</v>
      </c>
      <c r="N707" s="280"/>
      <c r="O707" s="280"/>
      <c r="P707" s="280"/>
      <c r="Q707" s="280"/>
      <c r="R707" s="280"/>
      <c r="S707" s="280">
        <v>5250</v>
      </c>
      <c r="T707" s="297"/>
    </row>
    <row r="708" spans="1:20" x14ac:dyDescent="0.25">
      <c r="A708" s="274" t="s">
        <v>78</v>
      </c>
      <c r="B708" s="274" t="s">
        <v>79</v>
      </c>
      <c r="C708" s="274" t="s">
        <v>3741</v>
      </c>
      <c r="D708" s="274" t="s">
        <v>3742</v>
      </c>
      <c r="E708" s="274" t="s">
        <v>44</v>
      </c>
      <c r="F708" s="274" t="s">
        <v>136</v>
      </c>
      <c r="G708" s="274" t="s">
        <v>93</v>
      </c>
      <c r="H708" s="274" t="s">
        <v>94</v>
      </c>
      <c r="I708" s="274" t="s">
        <v>6307</v>
      </c>
      <c r="J708" s="274" t="s">
        <v>6588</v>
      </c>
      <c r="K708" s="274" t="s">
        <v>6594</v>
      </c>
      <c r="L708" s="274" t="s">
        <v>6308</v>
      </c>
      <c r="M708" s="281">
        <v>14839.58</v>
      </c>
      <c r="N708" s="280"/>
      <c r="O708" s="280"/>
      <c r="P708" s="280"/>
      <c r="Q708" s="280"/>
      <c r="R708" s="280"/>
      <c r="S708" s="280">
        <v>14839.58</v>
      </c>
      <c r="T708" s="297"/>
    </row>
    <row r="709" spans="1:20" x14ac:dyDescent="0.25">
      <c r="A709" s="274" t="s">
        <v>78</v>
      </c>
      <c r="B709" s="274" t="s">
        <v>79</v>
      </c>
      <c r="C709" s="274" t="s">
        <v>3741</v>
      </c>
      <c r="D709" s="274" t="s">
        <v>3742</v>
      </c>
      <c r="E709" s="274" t="s">
        <v>44</v>
      </c>
      <c r="F709" s="274" t="s">
        <v>136</v>
      </c>
      <c r="G709" s="274" t="s">
        <v>93</v>
      </c>
      <c r="H709" s="274" t="s">
        <v>94</v>
      </c>
      <c r="I709" s="274" t="s">
        <v>6309</v>
      </c>
      <c r="J709" s="274" t="s">
        <v>6588</v>
      </c>
      <c r="K709" s="274" t="s">
        <v>6595</v>
      </c>
      <c r="L709" s="274" t="s">
        <v>6310</v>
      </c>
      <c r="M709" s="281">
        <v>7071.33</v>
      </c>
      <c r="N709" s="280"/>
      <c r="O709" s="280"/>
      <c r="P709" s="280"/>
      <c r="Q709" s="280"/>
      <c r="R709" s="280"/>
      <c r="S709" s="280">
        <v>7071.33</v>
      </c>
      <c r="T709" s="297"/>
    </row>
    <row r="710" spans="1:20" x14ac:dyDescent="0.25">
      <c r="A710" s="274" t="s">
        <v>78</v>
      </c>
      <c r="B710" s="274" t="s">
        <v>79</v>
      </c>
      <c r="C710" s="274" t="s">
        <v>3741</v>
      </c>
      <c r="D710" s="274" t="s">
        <v>3742</v>
      </c>
      <c r="E710" s="274" t="s">
        <v>44</v>
      </c>
      <c r="F710" s="274" t="s">
        <v>136</v>
      </c>
      <c r="G710" s="274" t="s">
        <v>93</v>
      </c>
      <c r="H710" s="274" t="s">
        <v>94</v>
      </c>
      <c r="I710" s="274" t="s">
        <v>6311</v>
      </c>
      <c r="J710" s="274" t="s">
        <v>6588</v>
      </c>
      <c r="K710" s="274" t="s">
        <v>6596</v>
      </c>
      <c r="L710" s="274" t="s">
        <v>6312</v>
      </c>
      <c r="M710" s="281">
        <v>9979.5</v>
      </c>
      <c r="N710" s="280"/>
      <c r="O710" s="280"/>
      <c r="P710" s="280"/>
      <c r="Q710" s="280"/>
      <c r="R710" s="280"/>
      <c r="S710" s="280">
        <v>9979.5</v>
      </c>
      <c r="T710" s="297"/>
    </row>
    <row r="711" spans="1:20" x14ac:dyDescent="0.25">
      <c r="A711" s="274" t="s">
        <v>78</v>
      </c>
      <c r="B711" s="274" t="s">
        <v>79</v>
      </c>
      <c r="C711" s="274" t="s">
        <v>3741</v>
      </c>
      <c r="D711" s="274" t="s">
        <v>3742</v>
      </c>
      <c r="E711" s="274" t="s">
        <v>44</v>
      </c>
      <c r="F711" s="274" t="s">
        <v>136</v>
      </c>
      <c r="G711" s="274" t="s">
        <v>93</v>
      </c>
      <c r="H711" s="274" t="s">
        <v>94</v>
      </c>
      <c r="I711" s="274" t="s">
        <v>6313</v>
      </c>
      <c r="J711" s="274" t="s">
        <v>6588</v>
      </c>
      <c r="K711" s="274" t="s">
        <v>6597</v>
      </c>
      <c r="L711" s="274" t="s">
        <v>6314</v>
      </c>
      <c r="M711" s="281">
        <v>1319.25</v>
      </c>
      <c r="N711" s="280"/>
      <c r="O711" s="280"/>
      <c r="P711" s="280"/>
      <c r="Q711" s="280"/>
      <c r="R711" s="280"/>
      <c r="S711" s="280">
        <v>1319.25</v>
      </c>
      <c r="T711" s="297"/>
    </row>
    <row r="712" spans="1:20" x14ac:dyDescent="0.25">
      <c r="A712" s="274" t="s">
        <v>78</v>
      </c>
      <c r="B712" s="274" t="s">
        <v>79</v>
      </c>
      <c r="C712" s="274" t="s">
        <v>3741</v>
      </c>
      <c r="D712" s="274" t="s">
        <v>3742</v>
      </c>
      <c r="E712" s="274" t="s">
        <v>44</v>
      </c>
      <c r="F712" s="274" t="s">
        <v>136</v>
      </c>
      <c r="G712" s="274" t="s">
        <v>93</v>
      </c>
      <c r="H712" s="274" t="s">
        <v>94</v>
      </c>
      <c r="I712" s="274" t="s">
        <v>6315</v>
      </c>
      <c r="J712" s="274" t="s">
        <v>6588</v>
      </c>
      <c r="K712" s="274" t="s">
        <v>6598</v>
      </c>
      <c r="L712" s="274" t="s">
        <v>6316</v>
      </c>
      <c r="M712" s="281">
        <v>6365.08</v>
      </c>
      <c r="N712" s="280"/>
      <c r="O712" s="280"/>
      <c r="P712" s="280"/>
      <c r="Q712" s="280"/>
      <c r="R712" s="280"/>
      <c r="S712" s="280">
        <v>6365.08</v>
      </c>
      <c r="T712" s="297"/>
    </row>
    <row r="713" spans="1:20" x14ac:dyDescent="0.25">
      <c r="A713" s="274" t="s">
        <v>78</v>
      </c>
      <c r="B713" s="274" t="s">
        <v>79</v>
      </c>
      <c r="C713" s="274" t="s">
        <v>3741</v>
      </c>
      <c r="D713" s="274" t="s">
        <v>3742</v>
      </c>
      <c r="E713" s="274" t="s">
        <v>44</v>
      </c>
      <c r="F713" s="274" t="s">
        <v>136</v>
      </c>
      <c r="G713" s="274" t="s">
        <v>93</v>
      </c>
      <c r="H713" s="274" t="s">
        <v>94</v>
      </c>
      <c r="I713" s="274" t="s">
        <v>6317</v>
      </c>
      <c r="J713" s="274" t="s">
        <v>6588</v>
      </c>
      <c r="K713" s="274" t="s">
        <v>6599</v>
      </c>
      <c r="L713" s="274" t="s">
        <v>6318</v>
      </c>
      <c r="M713" s="281">
        <v>20670.240000000002</v>
      </c>
      <c r="N713" s="280"/>
      <c r="O713" s="280"/>
      <c r="P713" s="280"/>
      <c r="Q713" s="280"/>
      <c r="R713" s="280"/>
      <c r="S713" s="280">
        <v>20670.240000000002</v>
      </c>
      <c r="T713" s="297"/>
    </row>
    <row r="714" spans="1:20" x14ac:dyDescent="0.25">
      <c r="A714" s="274" t="s">
        <v>78</v>
      </c>
      <c r="B714" s="274" t="s">
        <v>79</v>
      </c>
      <c r="C714" s="274" t="s">
        <v>3741</v>
      </c>
      <c r="D714" s="274" t="s">
        <v>3742</v>
      </c>
      <c r="E714" s="274" t="s">
        <v>44</v>
      </c>
      <c r="F714" s="274" t="s">
        <v>136</v>
      </c>
      <c r="G714" s="274" t="s">
        <v>93</v>
      </c>
      <c r="H714" s="274" t="s">
        <v>94</v>
      </c>
      <c r="I714" s="274" t="s">
        <v>6319</v>
      </c>
      <c r="J714" s="274" t="s">
        <v>6588</v>
      </c>
      <c r="K714" s="274" t="s">
        <v>6600</v>
      </c>
      <c r="L714" s="274" t="s">
        <v>6320</v>
      </c>
      <c r="M714" s="281">
        <v>30542.38</v>
      </c>
      <c r="N714" s="280"/>
      <c r="O714" s="280"/>
      <c r="P714" s="280"/>
      <c r="Q714" s="280"/>
      <c r="R714" s="280"/>
      <c r="S714" s="280">
        <v>30542.38</v>
      </c>
      <c r="T714" s="297"/>
    </row>
    <row r="715" spans="1:20" x14ac:dyDescent="0.25">
      <c r="A715" s="274" t="s">
        <v>78</v>
      </c>
      <c r="B715" s="274" t="s">
        <v>79</v>
      </c>
      <c r="C715" s="274" t="s">
        <v>3741</v>
      </c>
      <c r="D715" s="274" t="s">
        <v>3742</v>
      </c>
      <c r="E715" s="274" t="s">
        <v>44</v>
      </c>
      <c r="F715" s="274" t="s">
        <v>136</v>
      </c>
      <c r="G715" s="274" t="s">
        <v>93</v>
      </c>
      <c r="H715" s="274" t="s">
        <v>94</v>
      </c>
      <c r="I715" s="274" t="s">
        <v>6321</v>
      </c>
      <c r="J715" s="274" t="s">
        <v>6588</v>
      </c>
      <c r="K715" s="274" t="s">
        <v>6601</v>
      </c>
      <c r="L715" s="274" t="s">
        <v>6322</v>
      </c>
      <c r="M715" s="281">
        <v>27403.14</v>
      </c>
      <c r="N715" s="280"/>
      <c r="O715" s="280"/>
      <c r="P715" s="280"/>
      <c r="Q715" s="280"/>
      <c r="R715" s="280"/>
      <c r="S715" s="280">
        <v>27403.14</v>
      </c>
      <c r="T715" s="297"/>
    </row>
    <row r="716" spans="1:20" x14ac:dyDescent="0.25">
      <c r="A716" s="274" t="s">
        <v>78</v>
      </c>
      <c r="B716" s="274" t="s">
        <v>79</v>
      </c>
      <c r="C716" s="274" t="s">
        <v>3741</v>
      </c>
      <c r="D716" s="274" t="s">
        <v>3742</v>
      </c>
      <c r="E716" s="274" t="s">
        <v>44</v>
      </c>
      <c r="F716" s="274" t="s">
        <v>136</v>
      </c>
      <c r="G716" s="274" t="s">
        <v>93</v>
      </c>
      <c r="H716" s="274" t="s">
        <v>94</v>
      </c>
      <c r="I716" s="274" t="s">
        <v>6323</v>
      </c>
      <c r="J716" s="274" t="s">
        <v>6588</v>
      </c>
      <c r="K716" s="274" t="s">
        <v>6602</v>
      </c>
      <c r="L716" s="274" t="s">
        <v>6324</v>
      </c>
      <c r="M716" s="281">
        <v>5923.44</v>
      </c>
      <c r="N716" s="280"/>
      <c r="O716" s="280"/>
      <c r="P716" s="280"/>
      <c r="Q716" s="280"/>
      <c r="R716" s="280"/>
      <c r="S716" s="280">
        <v>5923.44</v>
      </c>
      <c r="T716" s="297"/>
    </row>
    <row r="717" spans="1:20" x14ac:dyDescent="0.25">
      <c r="A717" s="274" t="s">
        <v>78</v>
      </c>
      <c r="B717" s="274" t="s">
        <v>79</v>
      </c>
      <c r="C717" s="274" t="s">
        <v>3741</v>
      </c>
      <c r="D717" s="274" t="s">
        <v>3742</v>
      </c>
      <c r="E717" s="274" t="s">
        <v>44</v>
      </c>
      <c r="F717" s="274" t="s">
        <v>136</v>
      </c>
      <c r="G717" s="274" t="s">
        <v>93</v>
      </c>
      <c r="H717" s="274" t="s">
        <v>94</v>
      </c>
      <c r="I717" s="274" t="s">
        <v>6325</v>
      </c>
      <c r="J717" s="274" t="s">
        <v>6588</v>
      </c>
      <c r="K717" s="274" t="s">
        <v>6583</v>
      </c>
      <c r="L717" s="274" t="s">
        <v>6326</v>
      </c>
      <c r="M717" s="281">
        <v>3166.2</v>
      </c>
      <c r="N717" s="280"/>
      <c r="O717" s="280"/>
      <c r="P717" s="280"/>
      <c r="Q717" s="280"/>
      <c r="R717" s="280"/>
      <c r="S717" s="280">
        <v>3166.2</v>
      </c>
      <c r="T717" s="297"/>
    </row>
    <row r="718" spans="1:20" x14ac:dyDescent="0.25">
      <c r="A718" s="274" t="s">
        <v>78</v>
      </c>
      <c r="B718" s="274" t="s">
        <v>79</v>
      </c>
      <c r="C718" s="274" t="s">
        <v>3741</v>
      </c>
      <c r="D718" s="274" t="s">
        <v>3742</v>
      </c>
      <c r="E718" s="274" t="s">
        <v>44</v>
      </c>
      <c r="F718" s="274" t="s">
        <v>136</v>
      </c>
      <c r="G718" s="274" t="s">
        <v>93</v>
      </c>
      <c r="H718" s="274" t="s">
        <v>94</v>
      </c>
      <c r="I718" s="274" t="s">
        <v>6327</v>
      </c>
      <c r="J718" s="274" t="s">
        <v>6588</v>
      </c>
      <c r="K718" s="274" t="s">
        <v>6611</v>
      </c>
      <c r="L718" s="274" t="s">
        <v>6328</v>
      </c>
      <c r="M718" s="281">
        <v>4870.8</v>
      </c>
      <c r="N718" s="280"/>
      <c r="O718" s="280"/>
      <c r="P718" s="280"/>
      <c r="Q718" s="280"/>
      <c r="R718" s="280"/>
      <c r="S718" s="280">
        <v>4870.8</v>
      </c>
      <c r="T718" s="297"/>
    </row>
    <row r="719" spans="1:20" x14ac:dyDescent="0.25">
      <c r="A719" s="274" t="s">
        <v>78</v>
      </c>
      <c r="B719" s="274" t="s">
        <v>79</v>
      </c>
      <c r="C719" s="274" t="s">
        <v>3741</v>
      </c>
      <c r="D719" s="274" t="s">
        <v>3742</v>
      </c>
      <c r="E719" s="274" t="s">
        <v>44</v>
      </c>
      <c r="F719" s="274" t="s">
        <v>136</v>
      </c>
      <c r="G719" s="274" t="s">
        <v>93</v>
      </c>
      <c r="H719" s="274" t="s">
        <v>94</v>
      </c>
      <c r="I719" s="274" t="s">
        <v>6329</v>
      </c>
      <c r="J719" s="274" t="s">
        <v>6588</v>
      </c>
      <c r="K719" s="274" t="s">
        <v>6603</v>
      </c>
      <c r="L719" s="274" t="s">
        <v>6330</v>
      </c>
      <c r="M719" s="281">
        <v>10000</v>
      </c>
      <c r="N719" s="280"/>
      <c r="O719" s="280"/>
      <c r="P719" s="280"/>
      <c r="Q719" s="280"/>
      <c r="R719" s="280"/>
      <c r="S719" s="280">
        <v>10000</v>
      </c>
      <c r="T719" s="297"/>
    </row>
    <row r="720" spans="1:20" x14ac:dyDescent="0.25">
      <c r="A720" s="274" t="s">
        <v>78</v>
      </c>
      <c r="B720" s="274" t="s">
        <v>79</v>
      </c>
      <c r="C720" s="274" t="s">
        <v>3741</v>
      </c>
      <c r="D720" s="274" t="s">
        <v>3742</v>
      </c>
      <c r="E720" s="274" t="s">
        <v>44</v>
      </c>
      <c r="F720" s="274" t="s">
        <v>136</v>
      </c>
      <c r="G720" s="274" t="s">
        <v>93</v>
      </c>
      <c r="H720" s="274" t="s">
        <v>94</v>
      </c>
      <c r="I720" s="274" t="s">
        <v>6331</v>
      </c>
      <c r="J720" s="274" t="s">
        <v>6588</v>
      </c>
      <c r="K720" s="274" t="s">
        <v>6612</v>
      </c>
      <c r="L720" s="274" t="s">
        <v>6332</v>
      </c>
      <c r="M720" s="281">
        <v>22907.33</v>
      </c>
      <c r="N720" s="280"/>
      <c r="O720" s="280"/>
      <c r="P720" s="280"/>
      <c r="Q720" s="280"/>
      <c r="R720" s="280"/>
      <c r="S720" s="280">
        <v>22907.33</v>
      </c>
      <c r="T720" s="297"/>
    </row>
    <row r="721" spans="1:20" x14ac:dyDescent="0.25">
      <c r="A721" s="274" t="s">
        <v>78</v>
      </c>
      <c r="B721" s="274" t="s">
        <v>79</v>
      </c>
      <c r="C721" s="274" t="s">
        <v>3741</v>
      </c>
      <c r="D721" s="274" t="s">
        <v>3742</v>
      </c>
      <c r="E721" s="274" t="s">
        <v>44</v>
      </c>
      <c r="F721" s="274" t="s">
        <v>136</v>
      </c>
      <c r="G721" s="274" t="s">
        <v>93</v>
      </c>
      <c r="H721" s="274" t="s">
        <v>94</v>
      </c>
      <c r="I721" s="274" t="s">
        <v>6333</v>
      </c>
      <c r="J721" s="274" t="s">
        <v>6588</v>
      </c>
      <c r="K721" s="274" t="s">
        <v>6620</v>
      </c>
      <c r="L721" s="274" t="s">
        <v>6334</v>
      </c>
      <c r="M721" s="281">
        <v>15000</v>
      </c>
      <c r="N721" s="280"/>
      <c r="O721" s="280"/>
      <c r="P721" s="280"/>
      <c r="Q721" s="280"/>
      <c r="R721" s="280"/>
      <c r="S721" s="280">
        <v>15000</v>
      </c>
      <c r="T721" s="297"/>
    </row>
    <row r="722" spans="1:20" x14ac:dyDescent="0.25">
      <c r="A722" s="274" t="s">
        <v>78</v>
      </c>
      <c r="B722" s="274" t="s">
        <v>79</v>
      </c>
      <c r="C722" s="274" t="s">
        <v>3741</v>
      </c>
      <c r="D722" s="274" t="s">
        <v>3742</v>
      </c>
      <c r="E722" s="274" t="s">
        <v>44</v>
      </c>
      <c r="F722" s="274" t="s">
        <v>136</v>
      </c>
      <c r="G722" s="274" t="s">
        <v>93</v>
      </c>
      <c r="H722" s="274" t="s">
        <v>94</v>
      </c>
      <c r="I722" s="274" t="s">
        <v>6335</v>
      </c>
      <c r="J722" s="274" t="s">
        <v>6588</v>
      </c>
      <c r="K722" s="274" t="s">
        <v>6619</v>
      </c>
      <c r="L722" s="274" t="s">
        <v>6336</v>
      </c>
      <c r="M722" s="281">
        <v>15000</v>
      </c>
      <c r="N722" s="280"/>
      <c r="O722" s="280"/>
      <c r="P722" s="280"/>
      <c r="Q722" s="280"/>
      <c r="R722" s="280"/>
      <c r="S722" s="280">
        <v>15000</v>
      </c>
      <c r="T722" s="297"/>
    </row>
    <row r="723" spans="1:20" x14ac:dyDescent="0.25">
      <c r="A723" s="274" t="s">
        <v>78</v>
      </c>
      <c r="B723" s="274" t="s">
        <v>79</v>
      </c>
      <c r="C723" s="274" t="s">
        <v>3741</v>
      </c>
      <c r="D723" s="274" t="s">
        <v>3742</v>
      </c>
      <c r="E723" s="274" t="s">
        <v>44</v>
      </c>
      <c r="F723" s="274" t="s">
        <v>136</v>
      </c>
      <c r="G723" s="274" t="s">
        <v>93</v>
      </c>
      <c r="H723" s="274" t="s">
        <v>94</v>
      </c>
      <c r="I723" s="274" t="s">
        <v>6337</v>
      </c>
      <c r="J723" s="274" t="s">
        <v>6588</v>
      </c>
      <c r="K723" s="274" t="s">
        <v>6615</v>
      </c>
      <c r="L723" s="274" t="s">
        <v>6338</v>
      </c>
      <c r="M723" s="281">
        <v>10000</v>
      </c>
      <c r="N723" s="280"/>
      <c r="O723" s="280"/>
      <c r="P723" s="280"/>
      <c r="Q723" s="280"/>
      <c r="R723" s="280"/>
      <c r="S723" s="280">
        <v>10000</v>
      </c>
      <c r="T723" s="297"/>
    </row>
    <row r="724" spans="1:20" x14ac:dyDescent="0.25">
      <c r="A724" s="274" t="s">
        <v>78</v>
      </c>
      <c r="B724" s="274" t="s">
        <v>79</v>
      </c>
      <c r="C724" s="274" t="s">
        <v>3741</v>
      </c>
      <c r="D724" s="274" t="s">
        <v>3742</v>
      </c>
      <c r="E724" s="274" t="s">
        <v>44</v>
      </c>
      <c r="F724" s="274" t="s">
        <v>136</v>
      </c>
      <c r="G724" s="274" t="s">
        <v>93</v>
      </c>
      <c r="H724" s="274" t="s">
        <v>94</v>
      </c>
      <c r="I724" s="274" t="s">
        <v>6339</v>
      </c>
      <c r="J724" s="274" t="s">
        <v>6614</v>
      </c>
      <c r="K724" s="274" t="s">
        <v>3746</v>
      </c>
      <c r="L724" s="274" t="s">
        <v>6340</v>
      </c>
      <c r="M724" s="281">
        <v>75981</v>
      </c>
      <c r="N724" s="280"/>
      <c r="O724" s="280"/>
      <c r="P724" s="280"/>
      <c r="Q724" s="280"/>
      <c r="R724" s="280"/>
      <c r="S724" s="280">
        <v>75981</v>
      </c>
      <c r="T724" s="297"/>
    </row>
    <row r="725" spans="1:20" x14ac:dyDescent="0.25">
      <c r="A725" s="274" t="s">
        <v>78</v>
      </c>
      <c r="B725" s="274" t="s">
        <v>79</v>
      </c>
      <c r="C725" s="274" t="s">
        <v>3741</v>
      </c>
      <c r="D725" s="274" t="s">
        <v>3742</v>
      </c>
      <c r="E725" s="274" t="s">
        <v>44</v>
      </c>
      <c r="F725" s="274" t="s">
        <v>136</v>
      </c>
      <c r="G725" s="274" t="s">
        <v>93</v>
      </c>
      <c r="H725" s="274" t="s">
        <v>94</v>
      </c>
      <c r="I725" s="274" t="s">
        <v>6621</v>
      </c>
      <c r="J725" s="274" t="s">
        <v>6604</v>
      </c>
      <c r="K725" s="274" t="s">
        <v>6589</v>
      </c>
      <c r="L725" s="274" t="s">
        <v>6622</v>
      </c>
      <c r="M725" s="281">
        <v>16100</v>
      </c>
      <c r="N725" s="280"/>
      <c r="O725" s="280"/>
      <c r="P725" s="280"/>
      <c r="Q725" s="280"/>
      <c r="R725" s="280"/>
      <c r="S725" s="280">
        <v>16100</v>
      </c>
      <c r="T725" s="297"/>
    </row>
    <row r="726" spans="1:20" x14ac:dyDescent="0.25">
      <c r="A726" s="274" t="s">
        <v>78</v>
      </c>
      <c r="B726" s="274" t="s">
        <v>79</v>
      </c>
      <c r="C726" s="274" t="s">
        <v>3741</v>
      </c>
      <c r="D726" s="274" t="s">
        <v>3742</v>
      </c>
      <c r="E726" s="274" t="s">
        <v>44</v>
      </c>
      <c r="F726" s="274" t="s">
        <v>136</v>
      </c>
      <c r="G726" s="274" t="s">
        <v>93</v>
      </c>
      <c r="H726" s="274" t="s">
        <v>94</v>
      </c>
      <c r="I726" s="274" t="s">
        <v>6623</v>
      </c>
      <c r="J726" s="274" t="s">
        <v>6608</v>
      </c>
      <c r="K726" s="274" t="s">
        <v>6589</v>
      </c>
      <c r="L726" s="274" t="s">
        <v>6624</v>
      </c>
      <c r="M726" s="281">
        <v>2898.93</v>
      </c>
      <c r="N726" s="280"/>
      <c r="O726" s="280"/>
      <c r="P726" s="280"/>
      <c r="Q726" s="280"/>
      <c r="R726" s="280"/>
      <c r="S726" s="280">
        <v>2898.93</v>
      </c>
      <c r="T726" s="297"/>
    </row>
    <row r="727" spans="1:20" x14ac:dyDescent="0.25">
      <c r="A727" s="274" t="s">
        <v>78</v>
      </c>
      <c r="B727" s="274" t="s">
        <v>79</v>
      </c>
      <c r="C727" s="274" t="s">
        <v>3741</v>
      </c>
      <c r="D727" s="274" t="s">
        <v>3742</v>
      </c>
      <c r="E727" s="274" t="s">
        <v>44</v>
      </c>
      <c r="F727" s="274" t="s">
        <v>136</v>
      </c>
      <c r="G727" s="274" t="s">
        <v>93</v>
      </c>
      <c r="H727" s="274" t="s">
        <v>94</v>
      </c>
      <c r="I727" s="274" t="s">
        <v>4815</v>
      </c>
      <c r="J727" s="274" t="s">
        <v>6581</v>
      </c>
      <c r="K727" s="274" t="s">
        <v>3746</v>
      </c>
      <c r="L727" s="274" t="s">
        <v>4816</v>
      </c>
      <c r="M727" s="281">
        <v>39348</v>
      </c>
      <c r="N727" s="280">
        <v>39348</v>
      </c>
      <c r="O727" s="280"/>
      <c r="P727" s="280"/>
      <c r="Q727" s="280"/>
      <c r="R727" s="280"/>
      <c r="S727" s="280"/>
      <c r="T727" s="297"/>
    </row>
    <row r="728" spans="1:20" x14ac:dyDescent="0.25">
      <c r="A728" s="274" t="s">
        <v>78</v>
      </c>
      <c r="B728" s="274" t="s">
        <v>79</v>
      </c>
      <c r="C728" s="274" t="s">
        <v>3741</v>
      </c>
      <c r="D728" s="274" t="s">
        <v>3742</v>
      </c>
      <c r="E728" s="274" t="s">
        <v>44</v>
      </c>
      <c r="F728" s="274" t="s">
        <v>136</v>
      </c>
      <c r="G728" s="274" t="s">
        <v>93</v>
      </c>
      <c r="H728" s="274" t="s">
        <v>94</v>
      </c>
      <c r="I728" s="274" t="s">
        <v>4817</v>
      </c>
      <c r="J728" s="274" t="s">
        <v>6582</v>
      </c>
      <c r="K728" s="274" t="s">
        <v>6584</v>
      </c>
      <c r="L728" s="274" t="s">
        <v>4440</v>
      </c>
      <c r="M728" s="281">
        <v>-3366.11</v>
      </c>
      <c r="N728" s="280">
        <v>-3366.11</v>
      </c>
      <c r="O728" s="280"/>
      <c r="P728" s="280"/>
      <c r="Q728" s="280"/>
      <c r="R728" s="280"/>
      <c r="S728" s="280"/>
      <c r="T728" s="297"/>
    </row>
    <row r="729" spans="1:20" x14ac:dyDescent="0.25">
      <c r="A729" s="274" t="s">
        <v>78</v>
      </c>
      <c r="B729" s="274" t="s">
        <v>79</v>
      </c>
      <c r="C729" s="274" t="s">
        <v>3741</v>
      </c>
      <c r="D729" s="274" t="s">
        <v>3742</v>
      </c>
      <c r="E729" s="274" t="s">
        <v>44</v>
      </c>
      <c r="F729" s="274" t="s">
        <v>136</v>
      </c>
      <c r="G729" s="274" t="s">
        <v>93</v>
      </c>
      <c r="H729" s="274" t="s">
        <v>94</v>
      </c>
      <c r="I729" s="274" t="s">
        <v>4818</v>
      </c>
      <c r="J729" s="274" t="s">
        <v>6587</v>
      </c>
      <c r="K729" s="274" t="s">
        <v>3746</v>
      </c>
      <c r="L729" s="274" t="s">
        <v>4452</v>
      </c>
      <c r="M729" s="281">
        <v>-6150</v>
      </c>
      <c r="N729" s="280">
        <v>-6150</v>
      </c>
      <c r="O729" s="280"/>
      <c r="P729" s="280"/>
      <c r="Q729" s="280"/>
      <c r="R729" s="280"/>
      <c r="S729" s="280"/>
      <c r="T729" s="297"/>
    </row>
    <row r="730" spans="1:20" x14ac:dyDescent="0.25">
      <c r="A730" s="274" t="s">
        <v>78</v>
      </c>
      <c r="B730" s="274" t="s">
        <v>79</v>
      </c>
      <c r="C730" s="274" t="s">
        <v>3741</v>
      </c>
      <c r="D730" s="274" t="s">
        <v>3742</v>
      </c>
      <c r="E730" s="274" t="s">
        <v>44</v>
      </c>
      <c r="F730" s="274" t="s">
        <v>136</v>
      </c>
      <c r="G730" s="274" t="s">
        <v>93</v>
      </c>
      <c r="H730" s="274" t="s">
        <v>94</v>
      </c>
      <c r="I730" s="274" t="s">
        <v>4819</v>
      </c>
      <c r="J730" s="274" t="s">
        <v>6587</v>
      </c>
      <c r="K730" s="274" t="s">
        <v>3746</v>
      </c>
      <c r="L730" s="274" t="s">
        <v>4452</v>
      </c>
      <c r="M730" s="281">
        <v>6150</v>
      </c>
      <c r="N730" s="280">
        <v>6150</v>
      </c>
      <c r="O730" s="280"/>
      <c r="P730" s="280"/>
      <c r="Q730" s="280"/>
      <c r="R730" s="280"/>
      <c r="S730" s="280"/>
      <c r="T730" s="297"/>
    </row>
    <row r="731" spans="1:20" x14ac:dyDescent="0.25">
      <c r="A731" s="274" t="s">
        <v>78</v>
      </c>
      <c r="B731" s="274" t="s">
        <v>79</v>
      </c>
      <c r="C731" s="274" t="s">
        <v>3741</v>
      </c>
      <c r="D731" s="274" t="s">
        <v>3742</v>
      </c>
      <c r="E731" s="274" t="s">
        <v>44</v>
      </c>
      <c r="F731" s="274" t="s">
        <v>136</v>
      </c>
      <c r="G731" s="274" t="s">
        <v>93</v>
      </c>
      <c r="H731" s="274" t="s">
        <v>94</v>
      </c>
      <c r="I731" s="274" t="s">
        <v>4820</v>
      </c>
      <c r="J731" s="274" t="s">
        <v>6582</v>
      </c>
      <c r="K731" s="274" t="s">
        <v>6584</v>
      </c>
      <c r="L731" s="274" t="s">
        <v>4440</v>
      </c>
      <c r="M731" s="281">
        <v>3366.11</v>
      </c>
      <c r="N731" s="280">
        <v>3366.11</v>
      </c>
      <c r="O731" s="280"/>
      <c r="P731" s="280"/>
      <c r="Q731" s="280"/>
      <c r="R731" s="280"/>
      <c r="S731" s="280"/>
      <c r="T731" s="297"/>
    </row>
    <row r="732" spans="1:20" x14ac:dyDescent="0.25">
      <c r="A732" s="274" t="s">
        <v>78</v>
      </c>
      <c r="B732" s="274" t="s">
        <v>79</v>
      </c>
      <c r="C732" s="274" t="s">
        <v>3741</v>
      </c>
      <c r="D732" s="274" t="s">
        <v>3742</v>
      </c>
      <c r="E732" s="274" t="s">
        <v>44</v>
      </c>
      <c r="F732" s="274" t="s">
        <v>136</v>
      </c>
      <c r="G732" s="274" t="s">
        <v>93</v>
      </c>
      <c r="H732" s="274" t="s">
        <v>94</v>
      </c>
      <c r="I732" s="274" t="s">
        <v>4821</v>
      </c>
      <c r="J732" s="274" t="s">
        <v>6588</v>
      </c>
      <c r="K732" s="274" t="s">
        <v>3746</v>
      </c>
      <c r="L732" s="274" t="s">
        <v>4456</v>
      </c>
      <c r="M732" s="281">
        <v>-0.2</v>
      </c>
      <c r="N732" s="280">
        <v>-0.2</v>
      </c>
      <c r="O732" s="280"/>
      <c r="P732" s="280"/>
      <c r="Q732" s="280"/>
      <c r="R732" s="280"/>
      <c r="S732" s="280"/>
      <c r="T732" s="297"/>
    </row>
    <row r="733" spans="1:20" x14ac:dyDescent="0.25">
      <c r="A733" s="274" t="s">
        <v>78</v>
      </c>
      <c r="B733" s="274" t="s">
        <v>79</v>
      </c>
      <c r="C733" s="274" t="s">
        <v>3741</v>
      </c>
      <c r="D733" s="274" t="s">
        <v>3742</v>
      </c>
      <c r="E733" s="274" t="s">
        <v>44</v>
      </c>
      <c r="F733" s="274" t="s">
        <v>136</v>
      </c>
      <c r="G733" s="274" t="s">
        <v>93</v>
      </c>
      <c r="H733" s="274" t="s">
        <v>94</v>
      </c>
      <c r="I733" s="274" t="s">
        <v>4822</v>
      </c>
      <c r="J733" s="274" t="s">
        <v>6580</v>
      </c>
      <c r="K733" s="274" t="s">
        <v>3746</v>
      </c>
      <c r="L733" s="274" t="s">
        <v>4450</v>
      </c>
      <c r="M733" s="281">
        <v>1130</v>
      </c>
      <c r="N733" s="280"/>
      <c r="O733" s="280">
        <v>1130</v>
      </c>
      <c r="P733" s="280"/>
      <c r="Q733" s="280"/>
      <c r="R733" s="280"/>
      <c r="S733" s="280"/>
      <c r="T733" s="297"/>
    </row>
    <row r="734" spans="1:20" x14ac:dyDescent="0.25">
      <c r="A734" s="274" t="s">
        <v>78</v>
      </c>
      <c r="B734" s="274" t="s">
        <v>79</v>
      </c>
      <c r="C734" s="274" t="s">
        <v>3741</v>
      </c>
      <c r="D734" s="274" t="s">
        <v>3742</v>
      </c>
      <c r="E734" s="274" t="s">
        <v>44</v>
      </c>
      <c r="F734" s="274" t="s">
        <v>136</v>
      </c>
      <c r="G734" s="274" t="s">
        <v>93</v>
      </c>
      <c r="H734" s="274" t="s">
        <v>94</v>
      </c>
      <c r="I734" s="274" t="s">
        <v>4823</v>
      </c>
      <c r="J734" s="274" t="s">
        <v>6607</v>
      </c>
      <c r="K734" s="274" t="s">
        <v>3746</v>
      </c>
      <c r="L734" s="274" t="s">
        <v>4508</v>
      </c>
      <c r="M734" s="281">
        <v>-1204</v>
      </c>
      <c r="N734" s="280"/>
      <c r="O734" s="280">
        <v>-1204</v>
      </c>
      <c r="P734" s="280"/>
      <c r="Q734" s="280"/>
      <c r="R734" s="280"/>
      <c r="S734" s="280"/>
      <c r="T734" s="297"/>
    </row>
    <row r="735" spans="1:20" x14ac:dyDescent="0.25">
      <c r="A735" s="274" t="s">
        <v>78</v>
      </c>
      <c r="B735" s="274" t="s">
        <v>79</v>
      </c>
      <c r="C735" s="274" t="s">
        <v>3741</v>
      </c>
      <c r="D735" s="274" t="s">
        <v>3742</v>
      </c>
      <c r="E735" s="274" t="s">
        <v>44</v>
      </c>
      <c r="F735" s="274" t="s">
        <v>136</v>
      </c>
      <c r="G735" s="274" t="s">
        <v>93</v>
      </c>
      <c r="H735" s="274" t="s">
        <v>94</v>
      </c>
      <c r="I735" s="274" t="s">
        <v>4824</v>
      </c>
      <c r="J735" s="274" t="s">
        <v>6580</v>
      </c>
      <c r="K735" s="274" t="s">
        <v>3746</v>
      </c>
      <c r="L735" s="274" t="s">
        <v>4450</v>
      </c>
      <c r="M735" s="281">
        <v>-1130</v>
      </c>
      <c r="N735" s="280"/>
      <c r="O735" s="280">
        <v>-1130</v>
      </c>
      <c r="P735" s="280"/>
      <c r="Q735" s="280"/>
      <c r="R735" s="280"/>
      <c r="S735" s="280"/>
      <c r="T735" s="297"/>
    </row>
    <row r="736" spans="1:20" x14ac:dyDescent="0.25">
      <c r="A736" s="274" t="s">
        <v>78</v>
      </c>
      <c r="B736" s="274" t="s">
        <v>79</v>
      </c>
      <c r="C736" s="274" t="s">
        <v>3741</v>
      </c>
      <c r="D736" s="274" t="s">
        <v>3742</v>
      </c>
      <c r="E736" s="274" t="s">
        <v>44</v>
      </c>
      <c r="F736" s="274" t="s">
        <v>136</v>
      </c>
      <c r="G736" s="274" t="s">
        <v>93</v>
      </c>
      <c r="H736" s="274" t="s">
        <v>94</v>
      </c>
      <c r="I736" s="274" t="s">
        <v>4825</v>
      </c>
      <c r="J736" s="274" t="s">
        <v>6588</v>
      </c>
      <c r="K736" s="274" t="s">
        <v>6595</v>
      </c>
      <c r="L736" s="274" t="s">
        <v>4553</v>
      </c>
      <c r="M736" s="281">
        <v>-12.66</v>
      </c>
      <c r="N736" s="280"/>
      <c r="O736" s="280"/>
      <c r="P736" s="280">
        <v>-12.66</v>
      </c>
      <c r="Q736" s="280"/>
      <c r="R736" s="280"/>
      <c r="S736" s="280"/>
      <c r="T736" s="297"/>
    </row>
    <row r="737" spans="1:20" x14ac:dyDescent="0.25">
      <c r="A737" s="274" t="s">
        <v>78</v>
      </c>
      <c r="B737" s="274" t="s">
        <v>79</v>
      </c>
      <c r="C737" s="274" t="s">
        <v>3741</v>
      </c>
      <c r="D737" s="274" t="s">
        <v>3742</v>
      </c>
      <c r="E737" s="274" t="s">
        <v>44</v>
      </c>
      <c r="F737" s="274" t="s">
        <v>136</v>
      </c>
      <c r="G737" s="274" t="s">
        <v>93</v>
      </c>
      <c r="H737" s="274" t="s">
        <v>94</v>
      </c>
      <c r="I737" s="274" t="s">
        <v>6341</v>
      </c>
      <c r="J737" s="274" t="s">
        <v>6618</v>
      </c>
      <c r="K737" s="274" t="s">
        <v>3746</v>
      </c>
      <c r="L737" s="274" t="s">
        <v>4764</v>
      </c>
      <c r="M737" s="281">
        <v>-2461.25</v>
      </c>
      <c r="N737" s="280"/>
      <c r="O737" s="280"/>
      <c r="P737" s="280"/>
      <c r="Q737" s="280"/>
      <c r="R737" s="280"/>
      <c r="S737" s="280">
        <v>-2461.25</v>
      </c>
      <c r="T737" s="297"/>
    </row>
    <row r="738" spans="1:20" x14ac:dyDescent="0.25">
      <c r="A738" s="274" t="s">
        <v>78</v>
      </c>
      <c r="B738" s="274" t="s">
        <v>79</v>
      </c>
      <c r="C738" s="274" t="s">
        <v>3741</v>
      </c>
      <c r="D738" s="274" t="s">
        <v>3742</v>
      </c>
      <c r="E738" s="274" t="s">
        <v>44</v>
      </c>
      <c r="F738" s="274" t="s">
        <v>136</v>
      </c>
      <c r="G738" s="274" t="s">
        <v>93</v>
      </c>
      <c r="H738" s="274" t="s">
        <v>94</v>
      </c>
      <c r="I738" s="274" t="s">
        <v>6342</v>
      </c>
      <c r="J738" s="274" t="s">
        <v>6616</v>
      </c>
      <c r="K738" s="274" t="s">
        <v>3746</v>
      </c>
      <c r="L738" s="274" t="s">
        <v>4744</v>
      </c>
      <c r="M738" s="281">
        <v>-1241</v>
      </c>
      <c r="N738" s="280"/>
      <c r="O738" s="280"/>
      <c r="P738" s="280"/>
      <c r="Q738" s="280"/>
      <c r="R738" s="280"/>
      <c r="S738" s="280">
        <v>-1241</v>
      </c>
      <c r="T738" s="297"/>
    </row>
    <row r="739" spans="1:20" x14ac:dyDescent="0.25">
      <c r="A739" s="274" t="s">
        <v>78</v>
      </c>
      <c r="B739" s="274" t="s">
        <v>79</v>
      </c>
      <c r="C739" s="274" t="s">
        <v>3741</v>
      </c>
      <c r="D739" s="274" t="s">
        <v>3742</v>
      </c>
      <c r="E739" s="274" t="s">
        <v>44</v>
      </c>
      <c r="F739" s="274" t="s">
        <v>136</v>
      </c>
      <c r="G739" s="274" t="s">
        <v>93</v>
      </c>
      <c r="H739" s="274" t="s">
        <v>94</v>
      </c>
      <c r="I739" s="274" t="s">
        <v>4826</v>
      </c>
      <c r="J739" s="274" t="s">
        <v>6582</v>
      </c>
      <c r="K739" s="274" t="s">
        <v>6592</v>
      </c>
      <c r="L739" s="274" t="s">
        <v>4827</v>
      </c>
      <c r="M739" s="281">
        <v>-101124.39</v>
      </c>
      <c r="N739" s="280"/>
      <c r="O739" s="280"/>
      <c r="P739" s="280">
        <v>-101124.39</v>
      </c>
      <c r="Q739" s="280"/>
      <c r="R739" s="280"/>
      <c r="S739" s="280"/>
      <c r="T739" s="297"/>
    </row>
    <row r="740" spans="1:20" x14ac:dyDescent="0.25">
      <c r="A740" s="274" t="s">
        <v>78</v>
      </c>
      <c r="B740" s="274" t="s">
        <v>79</v>
      </c>
      <c r="C740" s="274" t="s">
        <v>3741</v>
      </c>
      <c r="D740" s="274" t="s">
        <v>3742</v>
      </c>
      <c r="E740" s="274" t="s">
        <v>44</v>
      </c>
      <c r="F740" s="274" t="s">
        <v>136</v>
      </c>
      <c r="G740" s="274" t="s">
        <v>93</v>
      </c>
      <c r="H740" s="274" t="s">
        <v>94</v>
      </c>
      <c r="I740" s="274" t="s">
        <v>4826</v>
      </c>
      <c r="J740" s="274" t="s">
        <v>6582</v>
      </c>
      <c r="K740" s="274" t="s">
        <v>6592</v>
      </c>
      <c r="L740" s="274" t="s">
        <v>4828</v>
      </c>
      <c r="M740" s="281">
        <v>-101124.38</v>
      </c>
      <c r="N740" s="280"/>
      <c r="O740" s="280"/>
      <c r="P740" s="280">
        <v>-101124.38</v>
      </c>
      <c r="Q740" s="280"/>
      <c r="R740" s="280"/>
      <c r="S740" s="280"/>
      <c r="T740" s="297"/>
    </row>
    <row r="741" spans="1:20" x14ac:dyDescent="0.25">
      <c r="A741" s="274" t="s">
        <v>78</v>
      </c>
      <c r="B741" s="274" t="s">
        <v>79</v>
      </c>
      <c r="C741" s="274" t="s">
        <v>3741</v>
      </c>
      <c r="D741" s="274" t="s">
        <v>3742</v>
      </c>
      <c r="E741" s="274" t="s">
        <v>44</v>
      </c>
      <c r="F741" s="274" t="s">
        <v>136</v>
      </c>
      <c r="G741" s="274" t="s">
        <v>98</v>
      </c>
      <c r="H741" s="274" t="s">
        <v>99</v>
      </c>
      <c r="I741" s="274" t="s">
        <v>4829</v>
      </c>
      <c r="J741" s="274" t="s">
        <v>98</v>
      </c>
      <c r="K741" s="274" t="s">
        <v>98</v>
      </c>
      <c r="L741" s="274" t="s">
        <v>4830</v>
      </c>
      <c r="M741" s="281">
        <v>7982.96</v>
      </c>
      <c r="N741" s="280"/>
      <c r="O741" s="280"/>
      <c r="P741" s="280"/>
      <c r="Q741" s="280"/>
      <c r="R741" s="280">
        <v>7982.96</v>
      </c>
      <c r="S741" s="280"/>
      <c r="T741" s="297"/>
    </row>
    <row r="742" spans="1:20" x14ac:dyDescent="0.25">
      <c r="A742" s="274" t="s">
        <v>78</v>
      </c>
      <c r="B742" s="274" t="s">
        <v>79</v>
      </c>
      <c r="C742" s="274" t="s">
        <v>3741</v>
      </c>
      <c r="D742" s="274" t="s">
        <v>3742</v>
      </c>
      <c r="E742" s="274" t="s">
        <v>44</v>
      </c>
      <c r="F742" s="274" t="s">
        <v>136</v>
      </c>
      <c r="G742" s="274" t="s">
        <v>98</v>
      </c>
      <c r="H742" s="274" t="s">
        <v>99</v>
      </c>
      <c r="I742" s="274" t="s">
        <v>4831</v>
      </c>
      <c r="J742" s="274" t="s">
        <v>98</v>
      </c>
      <c r="K742" s="274" t="s">
        <v>98</v>
      </c>
      <c r="L742" s="274" t="s">
        <v>4830</v>
      </c>
      <c r="M742" s="281">
        <v>-15965.92</v>
      </c>
      <c r="N742" s="280"/>
      <c r="O742" s="280"/>
      <c r="P742" s="280"/>
      <c r="Q742" s="280"/>
      <c r="R742" s="280">
        <v>-15965.92</v>
      </c>
      <c r="S742" s="280"/>
      <c r="T742" s="297"/>
    </row>
    <row r="743" spans="1:20" x14ac:dyDescent="0.25">
      <c r="A743" s="274" t="s">
        <v>78</v>
      </c>
      <c r="B743" s="274" t="s">
        <v>79</v>
      </c>
      <c r="C743" s="274" t="s">
        <v>3741</v>
      </c>
      <c r="D743" s="274" t="s">
        <v>3742</v>
      </c>
      <c r="E743" s="274" t="s">
        <v>44</v>
      </c>
      <c r="F743" s="274" t="s">
        <v>136</v>
      </c>
      <c r="G743" s="274" t="s">
        <v>98</v>
      </c>
      <c r="H743" s="274" t="s">
        <v>99</v>
      </c>
      <c r="I743" s="274" t="s">
        <v>5100</v>
      </c>
      <c r="J743" s="274" t="s">
        <v>98</v>
      </c>
      <c r="K743" s="274" t="s">
        <v>98</v>
      </c>
      <c r="L743" s="274" t="s">
        <v>6343</v>
      </c>
      <c r="M743" s="281">
        <v>-53040</v>
      </c>
      <c r="N743" s="280"/>
      <c r="O743" s="280"/>
      <c r="P743" s="280"/>
      <c r="Q743" s="280"/>
      <c r="R743" s="280"/>
      <c r="S743" s="280">
        <v>-53040</v>
      </c>
      <c r="T743" s="297"/>
    </row>
    <row r="744" spans="1:20" x14ac:dyDescent="0.25">
      <c r="A744" s="274" t="s">
        <v>78</v>
      </c>
      <c r="B744" s="274" t="s">
        <v>79</v>
      </c>
      <c r="C744" s="274" t="s">
        <v>3741</v>
      </c>
      <c r="D744" s="274" t="s">
        <v>3742</v>
      </c>
      <c r="E744" s="274" t="s">
        <v>44</v>
      </c>
      <c r="F744" s="274" t="s">
        <v>136</v>
      </c>
      <c r="G744" s="274" t="s">
        <v>98</v>
      </c>
      <c r="H744" s="274" t="s">
        <v>99</v>
      </c>
      <c r="I744" s="274" t="s">
        <v>5100</v>
      </c>
      <c r="J744" s="274" t="s">
        <v>98</v>
      </c>
      <c r="K744" s="274" t="s">
        <v>98</v>
      </c>
      <c r="L744" s="274" t="s">
        <v>6625</v>
      </c>
      <c r="M744" s="281">
        <v>-28676.38</v>
      </c>
      <c r="N744" s="280"/>
      <c r="O744" s="280"/>
      <c r="P744" s="280"/>
      <c r="Q744" s="280"/>
      <c r="R744" s="280"/>
      <c r="S744" s="280">
        <v>-28676.38</v>
      </c>
      <c r="T744" s="297"/>
    </row>
    <row r="745" spans="1:20" x14ac:dyDescent="0.25">
      <c r="A745" s="274" t="s">
        <v>78</v>
      </c>
      <c r="B745" s="274" t="s">
        <v>79</v>
      </c>
      <c r="C745" s="274" t="s">
        <v>3741</v>
      </c>
      <c r="D745" s="274" t="s">
        <v>3742</v>
      </c>
      <c r="E745" s="274" t="s">
        <v>44</v>
      </c>
      <c r="F745" s="274" t="s">
        <v>136</v>
      </c>
      <c r="G745" s="274" t="s">
        <v>98</v>
      </c>
      <c r="H745" s="274" t="s">
        <v>99</v>
      </c>
      <c r="I745" s="274" t="s">
        <v>4136</v>
      </c>
      <c r="J745" s="274" t="s">
        <v>98</v>
      </c>
      <c r="K745" s="274" t="s">
        <v>98</v>
      </c>
      <c r="L745" s="274" t="s">
        <v>4832</v>
      </c>
      <c r="M745" s="281">
        <v>0</v>
      </c>
      <c r="N745" s="280"/>
      <c r="O745" s="280"/>
      <c r="P745" s="280">
        <v>76680.12</v>
      </c>
      <c r="Q745" s="280">
        <v>-76680.12</v>
      </c>
      <c r="R745" s="280"/>
      <c r="S745" s="280"/>
      <c r="T745" s="297"/>
    </row>
    <row r="746" spans="1:20" x14ac:dyDescent="0.25">
      <c r="A746" s="274" t="s">
        <v>78</v>
      </c>
      <c r="B746" s="274" t="s">
        <v>79</v>
      </c>
      <c r="C746" s="274" t="s">
        <v>3741</v>
      </c>
      <c r="D746" s="274" t="s">
        <v>3742</v>
      </c>
      <c r="E746" s="274" t="s">
        <v>54</v>
      </c>
      <c r="F746" s="274" t="s">
        <v>137</v>
      </c>
      <c r="G746" s="274" t="s">
        <v>138</v>
      </c>
      <c r="H746" s="274" t="s">
        <v>139</v>
      </c>
      <c r="I746" s="274" t="s">
        <v>4833</v>
      </c>
      <c r="J746" s="274" t="s">
        <v>6626</v>
      </c>
      <c r="K746" s="274" t="s">
        <v>3746</v>
      </c>
      <c r="L746" s="274" t="s">
        <v>4834</v>
      </c>
      <c r="M746" s="281">
        <v>1695</v>
      </c>
      <c r="N746" s="280">
        <v>1695</v>
      </c>
      <c r="O746" s="280"/>
      <c r="P746" s="280"/>
      <c r="Q746" s="280"/>
      <c r="R746" s="280"/>
      <c r="S746" s="280"/>
      <c r="T746" s="297"/>
    </row>
    <row r="747" spans="1:20" x14ac:dyDescent="0.25">
      <c r="A747" s="274" t="s">
        <v>78</v>
      </c>
      <c r="B747" s="274" t="s">
        <v>79</v>
      </c>
      <c r="C747" s="274" t="s">
        <v>3741</v>
      </c>
      <c r="D747" s="274" t="s">
        <v>3742</v>
      </c>
      <c r="E747" s="274" t="s">
        <v>54</v>
      </c>
      <c r="F747" s="274" t="s">
        <v>137</v>
      </c>
      <c r="G747" s="274" t="s">
        <v>138</v>
      </c>
      <c r="H747" s="274" t="s">
        <v>139</v>
      </c>
      <c r="I747" s="274" t="s">
        <v>4835</v>
      </c>
      <c r="J747" s="274" t="s">
        <v>6626</v>
      </c>
      <c r="K747" s="274" t="s">
        <v>3746</v>
      </c>
      <c r="L747" s="274" t="s">
        <v>4836</v>
      </c>
      <c r="M747" s="281">
        <v>2002.5</v>
      </c>
      <c r="N747" s="280">
        <v>2002.5</v>
      </c>
      <c r="O747" s="280"/>
      <c r="P747" s="280"/>
      <c r="Q747" s="280"/>
      <c r="R747" s="280"/>
      <c r="S747" s="280"/>
      <c r="T747" s="297"/>
    </row>
    <row r="748" spans="1:20" x14ac:dyDescent="0.25">
      <c r="A748" s="274" t="s">
        <v>78</v>
      </c>
      <c r="B748" s="274" t="s">
        <v>79</v>
      </c>
      <c r="C748" s="274" t="s">
        <v>3741</v>
      </c>
      <c r="D748" s="274" t="s">
        <v>3742</v>
      </c>
      <c r="E748" s="274" t="s">
        <v>54</v>
      </c>
      <c r="F748" s="274" t="s">
        <v>137</v>
      </c>
      <c r="G748" s="274" t="s">
        <v>138</v>
      </c>
      <c r="H748" s="274" t="s">
        <v>139</v>
      </c>
      <c r="I748" s="274" t="s">
        <v>4837</v>
      </c>
      <c r="J748" s="274" t="s">
        <v>6627</v>
      </c>
      <c r="K748" s="274" t="s">
        <v>3746</v>
      </c>
      <c r="L748" s="274" t="s">
        <v>4838</v>
      </c>
      <c r="M748" s="281">
        <v>1610</v>
      </c>
      <c r="N748" s="280"/>
      <c r="O748" s="280">
        <v>1610</v>
      </c>
      <c r="P748" s="280"/>
      <c r="Q748" s="280"/>
      <c r="R748" s="280"/>
      <c r="S748" s="280"/>
      <c r="T748" s="297"/>
    </row>
    <row r="749" spans="1:20" x14ac:dyDescent="0.25">
      <c r="A749" s="274" t="s">
        <v>78</v>
      </c>
      <c r="B749" s="274" t="s">
        <v>79</v>
      </c>
      <c r="C749" s="274" t="s">
        <v>3741</v>
      </c>
      <c r="D749" s="274" t="s">
        <v>3742</v>
      </c>
      <c r="E749" s="274" t="s">
        <v>54</v>
      </c>
      <c r="F749" s="274" t="s">
        <v>137</v>
      </c>
      <c r="G749" s="274" t="s">
        <v>138</v>
      </c>
      <c r="H749" s="274" t="s">
        <v>139</v>
      </c>
      <c r="I749" s="274" t="s">
        <v>4839</v>
      </c>
      <c r="J749" s="274" t="s">
        <v>6627</v>
      </c>
      <c r="K749" s="274" t="s">
        <v>3746</v>
      </c>
      <c r="L749" s="274" t="s">
        <v>4840</v>
      </c>
      <c r="M749" s="281">
        <v>3124.5</v>
      </c>
      <c r="N749" s="280"/>
      <c r="O749" s="280"/>
      <c r="P749" s="280"/>
      <c r="Q749" s="280">
        <v>3124.5</v>
      </c>
      <c r="R749" s="280"/>
      <c r="S749" s="280"/>
      <c r="T749" s="297"/>
    </row>
    <row r="750" spans="1:20" x14ac:dyDescent="0.25">
      <c r="A750" s="274" t="s">
        <v>78</v>
      </c>
      <c r="B750" s="274" t="s">
        <v>79</v>
      </c>
      <c r="C750" s="274" t="s">
        <v>3741</v>
      </c>
      <c r="D750" s="274" t="s">
        <v>3742</v>
      </c>
      <c r="E750" s="274" t="s">
        <v>54</v>
      </c>
      <c r="F750" s="274" t="s">
        <v>137</v>
      </c>
      <c r="G750" s="274" t="s">
        <v>138</v>
      </c>
      <c r="H750" s="274" t="s">
        <v>139</v>
      </c>
      <c r="I750" s="274" t="s">
        <v>6628</v>
      </c>
      <c r="J750" s="274" t="s">
        <v>6627</v>
      </c>
      <c r="K750" s="274" t="s">
        <v>3746</v>
      </c>
      <c r="L750" s="274" t="s">
        <v>6629</v>
      </c>
      <c r="M750" s="281">
        <v>5973</v>
      </c>
      <c r="N750" s="280"/>
      <c r="O750" s="280"/>
      <c r="P750" s="280"/>
      <c r="Q750" s="280"/>
      <c r="R750" s="280"/>
      <c r="S750" s="280">
        <v>5973</v>
      </c>
      <c r="T750" s="297"/>
    </row>
    <row r="751" spans="1:20" x14ac:dyDescent="0.25">
      <c r="A751" s="274" t="s">
        <v>78</v>
      </c>
      <c r="B751" s="274" t="s">
        <v>79</v>
      </c>
      <c r="C751" s="274" t="s">
        <v>3741</v>
      </c>
      <c r="D751" s="274" t="s">
        <v>3742</v>
      </c>
      <c r="E751" s="274" t="s">
        <v>54</v>
      </c>
      <c r="F751" s="274" t="s">
        <v>137</v>
      </c>
      <c r="G751" s="274" t="s">
        <v>138</v>
      </c>
      <c r="H751" s="274" t="s">
        <v>139</v>
      </c>
      <c r="I751" s="274" t="s">
        <v>6630</v>
      </c>
      <c r="J751" s="274" t="s">
        <v>6627</v>
      </c>
      <c r="K751" s="274" t="s">
        <v>3746</v>
      </c>
      <c r="L751" s="274" t="s">
        <v>6629</v>
      </c>
      <c r="M751" s="281">
        <v>3971.5</v>
      </c>
      <c r="N751" s="280"/>
      <c r="O751" s="280"/>
      <c r="P751" s="280"/>
      <c r="Q751" s="280"/>
      <c r="R751" s="280"/>
      <c r="S751" s="280">
        <v>3971.5</v>
      </c>
      <c r="T751" s="297"/>
    </row>
    <row r="752" spans="1:20" x14ac:dyDescent="0.25">
      <c r="A752" s="274" t="s">
        <v>78</v>
      </c>
      <c r="B752" s="274" t="s">
        <v>79</v>
      </c>
      <c r="C752" s="274" t="s">
        <v>3741</v>
      </c>
      <c r="D752" s="274" t="s">
        <v>3742</v>
      </c>
      <c r="E752" s="274" t="s">
        <v>54</v>
      </c>
      <c r="F752" s="274" t="s">
        <v>137</v>
      </c>
      <c r="G752" s="274" t="s">
        <v>138</v>
      </c>
      <c r="H752" s="274" t="s">
        <v>139</v>
      </c>
      <c r="I752" s="274" t="s">
        <v>6631</v>
      </c>
      <c r="J752" s="274" t="s">
        <v>6627</v>
      </c>
      <c r="K752" s="274" t="s">
        <v>3746</v>
      </c>
      <c r="L752" s="274" t="s">
        <v>6629</v>
      </c>
      <c r="M752" s="281">
        <v>0.5</v>
      </c>
      <c r="N752" s="280"/>
      <c r="O752" s="280"/>
      <c r="P752" s="280"/>
      <c r="Q752" s="280"/>
      <c r="R752" s="280"/>
      <c r="S752" s="280"/>
      <c r="T752" s="297">
        <v>0.5</v>
      </c>
    </row>
    <row r="753" spans="1:20" x14ac:dyDescent="0.25">
      <c r="A753" s="274" t="s">
        <v>78</v>
      </c>
      <c r="B753" s="274" t="s">
        <v>79</v>
      </c>
      <c r="C753" s="274" t="s">
        <v>3741</v>
      </c>
      <c r="D753" s="274" t="s">
        <v>3742</v>
      </c>
      <c r="E753" s="274" t="s">
        <v>54</v>
      </c>
      <c r="F753" s="274" t="s">
        <v>137</v>
      </c>
      <c r="G753" s="274" t="s">
        <v>116</v>
      </c>
      <c r="H753" s="274" t="s">
        <v>117</v>
      </c>
      <c r="I753" s="274" t="s">
        <v>4841</v>
      </c>
      <c r="J753" s="274" t="s">
        <v>6632</v>
      </c>
      <c r="K753" s="274" t="s">
        <v>3746</v>
      </c>
      <c r="L753" s="274" t="s">
        <v>4842</v>
      </c>
      <c r="M753" s="281">
        <v>-296.95999999999998</v>
      </c>
      <c r="N753" s="280">
        <v>-296.95999999999998</v>
      </c>
      <c r="O753" s="280"/>
      <c r="P753" s="280"/>
      <c r="Q753" s="280"/>
      <c r="R753" s="280"/>
      <c r="S753" s="280"/>
      <c r="T753" s="297"/>
    </row>
    <row r="754" spans="1:20" x14ac:dyDescent="0.25">
      <c r="A754" s="274" t="s">
        <v>78</v>
      </c>
      <c r="B754" s="274" t="s">
        <v>79</v>
      </c>
      <c r="C754" s="274" t="s">
        <v>3741</v>
      </c>
      <c r="D754" s="274" t="s">
        <v>3742</v>
      </c>
      <c r="E754" s="274" t="s">
        <v>54</v>
      </c>
      <c r="F754" s="274" t="s">
        <v>137</v>
      </c>
      <c r="G754" s="274" t="s">
        <v>116</v>
      </c>
      <c r="H754" s="274" t="s">
        <v>117</v>
      </c>
      <c r="I754" s="274" t="s">
        <v>4843</v>
      </c>
      <c r="J754" s="274" t="s">
        <v>6632</v>
      </c>
      <c r="K754" s="274" t="s">
        <v>3746</v>
      </c>
      <c r="L754" s="274" t="s">
        <v>4842</v>
      </c>
      <c r="M754" s="281">
        <v>328.84</v>
      </c>
      <c r="N754" s="280">
        <v>328.84</v>
      </c>
      <c r="O754" s="280"/>
      <c r="P754" s="280"/>
      <c r="Q754" s="280"/>
      <c r="R754" s="280"/>
      <c r="S754" s="280"/>
      <c r="T754" s="297"/>
    </row>
    <row r="755" spans="1:20" x14ac:dyDescent="0.25">
      <c r="A755" s="274" t="s">
        <v>78</v>
      </c>
      <c r="B755" s="274" t="s">
        <v>79</v>
      </c>
      <c r="C755" s="274" t="s">
        <v>3741</v>
      </c>
      <c r="D755" s="274" t="s">
        <v>3742</v>
      </c>
      <c r="E755" s="274" t="s">
        <v>54</v>
      </c>
      <c r="F755" s="274" t="s">
        <v>137</v>
      </c>
      <c r="G755" s="274" t="s">
        <v>116</v>
      </c>
      <c r="H755" s="274" t="s">
        <v>117</v>
      </c>
      <c r="I755" s="274" t="s">
        <v>4844</v>
      </c>
      <c r="J755" s="274" t="s">
        <v>6632</v>
      </c>
      <c r="K755" s="274" t="s">
        <v>3746</v>
      </c>
      <c r="L755" s="274" t="s">
        <v>4842</v>
      </c>
      <c r="M755" s="281">
        <v>340.19</v>
      </c>
      <c r="N755" s="280">
        <v>340.19</v>
      </c>
      <c r="O755" s="280"/>
      <c r="P755" s="280"/>
      <c r="Q755" s="280"/>
      <c r="R755" s="280"/>
      <c r="S755" s="280"/>
      <c r="T755" s="297"/>
    </row>
    <row r="756" spans="1:20" x14ac:dyDescent="0.25">
      <c r="A756" s="274" t="s">
        <v>78</v>
      </c>
      <c r="B756" s="274" t="s">
        <v>79</v>
      </c>
      <c r="C756" s="274" t="s">
        <v>3741</v>
      </c>
      <c r="D756" s="274" t="s">
        <v>3742</v>
      </c>
      <c r="E756" s="274" t="s">
        <v>54</v>
      </c>
      <c r="F756" s="274" t="s">
        <v>137</v>
      </c>
      <c r="G756" s="274" t="s">
        <v>116</v>
      </c>
      <c r="H756" s="274" t="s">
        <v>117</v>
      </c>
      <c r="I756" s="274" t="s">
        <v>4845</v>
      </c>
      <c r="J756" s="274" t="s">
        <v>6633</v>
      </c>
      <c r="K756" s="274" t="s">
        <v>3746</v>
      </c>
      <c r="L756" s="274" t="s">
        <v>4846</v>
      </c>
      <c r="M756" s="281">
        <v>250</v>
      </c>
      <c r="N756" s="280"/>
      <c r="O756" s="280">
        <v>250</v>
      </c>
      <c r="P756" s="280"/>
      <c r="Q756" s="280"/>
      <c r="R756" s="280"/>
      <c r="S756" s="280"/>
      <c r="T756" s="297"/>
    </row>
    <row r="757" spans="1:20" x14ac:dyDescent="0.25">
      <c r="A757" s="274" t="s">
        <v>78</v>
      </c>
      <c r="B757" s="274" t="s">
        <v>79</v>
      </c>
      <c r="C757" s="274" t="s">
        <v>3741</v>
      </c>
      <c r="D757" s="274" t="s">
        <v>3742</v>
      </c>
      <c r="E757" s="274" t="s">
        <v>54</v>
      </c>
      <c r="F757" s="274" t="s">
        <v>137</v>
      </c>
      <c r="G757" s="274" t="s">
        <v>116</v>
      </c>
      <c r="H757" s="274" t="s">
        <v>117</v>
      </c>
      <c r="I757" s="274" t="s">
        <v>4847</v>
      </c>
      <c r="J757" s="274" t="s">
        <v>6633</v>
      </c>
      <c r="K757" s="274" t="s">
        <v>3746</v>
      </c>
      <c r="L757" s="274" t="s">
        <v>4848</v>
      </c>
      <c r="M757" s="281">
        <v>250</v>
      </c>
      <c r="N757" s="280"/>
      <c r="O757" s="280">
        <v>250</v>
      </c>
      <c r="P757" s="280"/>
      <c r="Q757" s="280"/>
      <c r="R757" s="280"/>
      <c r="S757" s="280"/>
      <c r="T757" s="297"/>
    </row>
    <row r="758" spans="1:20" x14ac:dyDescent="0.25">
      <c r="A758" s="274" t="s">
        <v>78</v>
      </c>
      <c r="B758" s="274" t="s">
        <v>79</v>
      </c>
      <c r="C758" s="274" t="s">
        <v>3741</v>
      </c>
      <c r="D758" s="274" t="s">
        <v>3742</v>
      </c>
      <c r="E758" s="274" t="s">
        <v>54</v>
      </c>
      <c r="F758" s="274" t="s">
        <v>137</v>
      </c>
      <c r="G758" s="274" t="s">
        <v>116</v>
      </c>
      <c r="H758" s="274" t="s">
        <v>117</v>
      </c>
      <c r="I758" s="274" t="s">
        <v>4849</v>
      </c>
      <c r="J758" s="274" t="s">
        <v>6633</v>
      </c>
      <c r="K758" s="274" t="s">
        <v>3746</v>
      </c>
      <c r="L758" s="274" t="s">
        <v>4846</v>
      </c>
      <c r="M758" s="281">
        <v>17.53</v>
      </c>
      <c r="N758" s="280"/>
      <c r="O758" s="280">
        <v>17.53</v>
      </c>
      <c r="P758" s="280"/>
      <c r="Q758" s="280"/>
      <c r="R758" s="280"/>
      <c r="S758" s="280"/>
      <c r="T758" s="297"/>
    </row>
    <row r="759" spans="1:20" x14ac:dyDescent="0.25">
      <c r="A759" s="274" t="s">
        <v>78</v>
      </c>
      <c r="B759" s="274" t="s">
        <v>79</v>
      </c>
      <c r="C759" s="274" t="s">
        <v>3741</v>
      </c>
      <c r="D759" s="274" t="s">
        <v>3742</v>
      </c>
      <c r="E759" s="274" t="s">
        <v>54</v>
      </c>
      <c r="F759" s="274" t="s">
        <v>137</v>
      </c>
      <c r="G759" s="274" t="s">
        <v>116</v>
      </c>
      <c r="H759" s="274" t="s">
        <v>117</v>
      </c>
      <c r="I759" s="274" t="s">
        <v>4850</v>
      </c>
      <c r="J759" s="274" t="s">
        <v>6633</v>
      </c>
      <c r="K759" s="274" t="s">
        <v>3746</v>
      </c>
      <c r="L759" s="274" t="s">
        <v>4848</v>
      </c>
      <c r="M759" s="281">
        <v>-250</v>
      </c>
      <c r="N759" s="280"/>
      <c r="O759" s="280"/>
      <c r="P759" s="280">
        <v>-250</v>
      </c>
      <c r="Q759" s="280"/>
      <c r="R759" s="280"/>
      <c r="S759" s="280"/>
      <c r="T759" s="297"/>
    </row>
    <row r="760" spans="1:20" x14ac:dyDescent="0.25">
      <c r="A760" s="274" t="s">
        <v>78</v>
      </c>
      <c r="B760" s="274" t="s">
        <v>79</v>
      </c>
      <c r="C760" s="274" t="s">
        <v>3741</v>
      </c>
      <c r="D760" s="274" t="s">
        <v>3742</v>
      </c>
      <c r="E760" s="274" t="s">
        <v>54</v>
      </c>
      <c r="F760" s="274" t="s">
        <v>137</v>
      </c>
      <c r="G760" s="274" t="s">
        <v>116</v>
      </c>
      <c r="H760" s="274" t="s">
        <v>117</v>
      </c>
      <c r="I760" s="274" t="s">
        <v>4851</v>
      </c>
      <c r="J760" s="274" t="s">
        <v>6633</v>
      </c>
      <c r="K760" s="274" t="s">
        <v>3746</v>
      </c>
      <c r="L760" s="274" t="s">
        <v>4848</v>
      </c>
      <c r="M760" s="281">
        <v>103.49</v>
      </c>
      <c r="N760" s="280"/>
      <c r="O760" s="280"/>
      <c r="P760" s="280">
        <v>103.49</v>
      </c>
      <c r="Q760" s="280"/>
      <c r="R760" s="280"/>
      <c r="S760" s="280"/>
      <c r="T760" s="297"/>
    </row>
    <row r="761" spans="1:20" x14ac:dyDescent="0.25">
      <c r="A761" s="274" t="s">
        <v>78</v>
      </c>
      <c r="B761" s="274" t="s">
        <v>79</v>
      </c>
      <c r="C761" s="274" t="s">
        <v>3741</v>
      </c>
      <c r="D761" s="274" t="s">
        <v>3742</v>
      </c>
      <c r="E761" s="274" t="s">
        <v>54</v>
      </c>
      <c r="F761" s="274" t="s">
        <v>137</v>
      </c>
      <c r="G761" s="274" t="s">
        <v>116</v>
      </c>
      <c r="H761" s="274" t="s">
        <v>117</v>
      </c>
      <c r="I761" s="274" t="s">
        <v>4852</v>
      </c>
      <c r="J761" s="274" t="s">
        <v>6633</v>
      </c>
      <c r="K761" s="274" t="s">
        <v>3746</v>
      </c>
      <c r="L761" s="274" t="s">
        <v>4853</v>
      </c>
      <c r="M761" s="281">
        <v>97.55</v>
      </c>
      <c r="N761" s="280"/>
      <c r="O761" s="280"/>
      <c r="P761" s="280"/>
      <c r="Q761" s="280">
        <v>97.55</v>
      </c>
      <c r="R761" s="280"/>
      <c r="S761" s="280"/>
      <c r="T761" s="297"/>
    </row>
    <row r="762" spans="1:20" x14ac:dyDescent="0.25">
      <c r="A762" s="274" t="s">
        <v>78</v>
      </c>
      <c r="B762" s="274" t="s">
        <v>79</v>
      </c>
      <c r="C762" s="274" t="s">
        <v>3741</v>
      </c>
      <c r="D762" s="274" t="s">
        <v>3742</v>
      </c>
      <c r="E762" s="274" t="s">
        <v>54</v>
      </c>
      <c r="F762" s="274" t="s">
        <v>137</v>
      </c>
      <c r="G762" s="274" t="s">
        <v>116</v>
      </c>
      <c r="H762" s="274" t="s">
        <v>117</v>
      </c>
      <c r="I762" s="274" t="s">
        <v>6344</v>
      </c>
      <c r="J762" s="274" t="s">
        <v>6633</v>
      </c>
      <c r="K762" s="274" t="s">
        <v>3746</v>
      </c>
      <c r="L762" s="274" t="s">
        <v>6345</v>
      </c>
      <c r="M762" s="281">
        <v>145.59</v>
      </c>
      <c r="N762" s="280"/>
      <c r="O762" s="280"/>
      <c r="P762" s="280"/>
      <c r="Q762" s="280"/>
      <c r="R762" s="280">
        <v>145.59</v>
      </c>
      <c r="S762" s="280"/>
      <c r="T762" s="297"/>
    </row>
    <row r="763" spans="1:20" x14ac:dyDescent="0.25">
      <c r="A763" s="274" t="s">
        <v>78</v>
      </c>
      <c r="B763" s="274" t="s">
        <v>79</v>
      </c>
      <c r="C763" s="274" t="s">
        <v>3741</v>
      </c>
      <c r="D763" s="274" t="s">
        <v>3742</v>
      </c>
      <c r="E763" s="274" t="s">
        <v>54</v>
      </c>
      <c r="F763" s="274" t="s">
        <v>137</v>
      </c>
      <c r="G763" s="274" t="s">
        <v>116</v>
      </c>
      <c r="H763" s="274" t="s">
        <v>117</v>
      </c>
      <c r="I763" s="274" t="s">
        <v>6346</v>
      </c>
      <c r="J763" s="274" t="s">
        <v>6633</v>
      </c>
      <c r="K763" s="274" t="s">
        <v>3746</v>
      </c>
      <c r="L763" s="274" t="s">
        <v>6347</v>
      </c>
      <c r="M763" s="281">
        <v>79.47</v>
      </c>
      <c r="N763" s="280"/>
      <c r="O763" s="280"/>
      <c r="P763" s="280"/>
      <c r="Q763" s="280"/>
      <c r="R763" s="280"/>
      <c r="S763" s="280">
        <v>79.47</v>
      </c>
      <c r="T763" s="297"/>
    </row>
    <row r="764" spans="1:20" x14ac:dyDescent="0.25">
      <c r="A764" s="274" t="s">
        <v>78</v>
      </c>
      <c r="B764" s="274" t="s">
        <v>79</v>
      </c>
      <c r="C764" s="274" t="s">
        <v>3741</v>
      </c>
      <c r="D764" s="274" t="s">
        <v>3742</v>
      </c>
      <c r="E764" s="274" t="s">
        <v>54</v>
      </c>
      <c r="F764" s="274" t="s">
        <v>137</v>
      </c>
      <c r="G764" s="274" t="s">
        <v>140</v>
      </c>
      <c r="H764" s="274" t="s">
        <v>141</v>
      </c>
      <c r="I764" s="274" t="s">
        <v>4854</v>
      </c>
      <c r="J764" s="274" t="s">
        <v>6634</v>
      </c>
      <c r="K764" s="274" t="s">
        <v>3746</v>
      </c>
      <c r="L764" s="274" t="s">
        <v>4855</v>
      </c>
      <c r="M764" s="281">
        <v>4000</v>
      </c>
      <c r="N764" s="280">
        <v>4000</v>
      </c>
      <c r="O764" s="280"/>
      <c r="P764" s="280"/>
      <c r="Q764" s="280"/>
      <c r="R764" s="280"/>
      <c r="S764" s="280"/>
      <c r="T764" s="297"/>
    </row>
    <row r="765" spans="1:20" x14ac:dyDescent="0.25">
      <c r="A765" s="274" t="s">
        <v>78</v>
      </c>
      <c r="B765" s="274" t="s">
        <v>79</v>
      </c>
      <c r="C765" s="274" t="s">
        <v>3741</v>
      </c>
      <c r="D765" s="274" t="s">
        <v>3742</v>
      </c>
      <c r="E765" s="274" t="s">
        <v>54</v>
      </c>
      <c r="F765" s="274" t="s">
        <v>137</v>
      </c>
      <c r="G765" s="274" t="s">
        <v>140</v>
      </c>
      <c r="H765" s="274" t="s">
        <v>141</v>
      </c>
      <c r="I765" s="274" t="s">
        <v>4856</v>
      </c>
      <c r="J765" s="274" t="s">
        <v>6634</v>
      </c>
      <c r="K765" s="274" t="s">
        <v>3746</v>
      </c>
      <c r="L765" s="274" t="s">
        <v>4857</v>
      </c>
      <c r="M765" s="281">
        <v>4000</v>
      </c>
      <c r="N765" s="280"/>
      <c r="O765" s="280"/>
      <c r="P765" s="280"/>
      <c r="Q765" s="280">
        <v>4000</v>
      </c>
      <c r="R765" s="280"/>
      <c r="S765" s="280"/>
      <c r="T765" s="297"/>
    </row>
    <row r="766" spans="1:20" x14ac:dyDescent="0.25">
      <c r="A766" s="274" t="s">
        <v>78</v>
      </c>
      <c r="B766" s="274" t="s">
        <v>79</v>
      </c>
      <c r="C766" s="274" t="s">
        <v>3741</v>
      </c>
      <c r="D766" s="274" t="s">
        <v>3742</v>
      </c>
      <c r="E766" s="274" t="s">
        <v>54</v>
      </c>
      <c r="F766" s="274" t="s">
        <v>137</v>
      </c>
      <c r="G766" s="274" t="s">
        <v>140</v>
      </c>
      <c r="H766" s="274" t="s">
        <v>141</v>
      </c>
      <c r="I766" s="274" t="s">
        <v>4858</v>
      </c>
      <c r="J766" s="274" t="s">
        <v>6634</v>
      </c>
      <c r="K766" s="274" t="s">
        <v>3746</v>
      </c>
      <c r="L766" s="274" t="s">
        <v>4855</v>
      </c>
      <c r="M766" s="281">
        <v>-4000</v>
      </c>
      <c r="N766" s="280"/>
      <c r="O766" s="280"/>
      <c r="P766" s="280"/>
      <c r="Q766" s="280"/>
      <c r="R766" s="280">
        <v>-4000</v>
      </c>
      <c r="S766" s="280"/>
      <c r="T766" s="297"/>
    </row>
    <row r="767" spans="1:20" x14ac:dyDescent="0.25">
      <c r="A767" s="274" t="s">
        <v>78</v>
      </c>
      <c r="B767" s="274" t="s">
        <v>79</v>
      </c>
      <c r="C767" s="274" t="s">
        <v>3741</v>
      </c>
      <c r="D767" s="274" t="s">
        <v>3742</v>
      </c>
      <c r="E767" s="274" t="s">
        <v>54</v>
      </c>
      <c r="F767" s="274" t="s">
        <v>137</v>
      </c>
      <c r="G767" s="274" t="s">
        <v>140</v>
      </c>
      <c r="H767" s="274" t="s">
        <v>141</v>
      </c>
      <c r="I767" s="274" t="s">
        <v>4859</v>
      </c>
      <c r="J767" s="274" t="s">
        <v>6634</v>
      </c>
      <c r="K767" s="274" t="s">
        <v>3746</v>
      </c>
      <c r="L767" s="274" t="s">
        <v>4855</v>
      </c>
      <c r="M767" s="281">
        <v>2600</v>
      </c>
      <c r="N767" s="280"/>
      <c r="O767" s="280"/>
      <c r="P767" s="280"/>
      <c r="Q767" s="280"/>
      <c r="R767" s="280">
        <v>2600</v>
      </c>
      <c r="S767" s="280"/>
      <c r="T767" s="297"/>
    </row>
    <row r="768" spans="1:20" x14ac:dyDescent="0.25">
      <c r="A768" s="274" t="s">
        <v>78</v>
      </c>
      <c r="B768" s="274" t="s">
        <v>79</v>
      </c>
      <c r="C768" s="274" t="s">
        <v>3741</v>
      </c>
      <c r="D768" s="274" t="s">
        <v>3742</v>
      </c>
      <c r="E768" s="274" t="s">
        <v>54</v>
      </c>
      <c r="F768" s="274" t="s">
        <v>137</v>
      </c>
      <c r="G768" s="274" t="s">
        <v>142</v>
      </c>
      <c r="H768" s="274" t="s">
        <v>143</v>
      </c>
      <c r="I768" s="274" t="s">
        <v>4860</v>
      </c>
      <c r="J768" s="274" t="s">
        <v>6635</v>
      </c>
      <c r="K768" s="274" t="s">
        <v>3746</v>
      </c>
      <c r="L768" s="274" t="s">
        <v>4861</v>
      </c>
      <c r="M768" s="281">
        <v>-174966.67</v>
      </c>
      <c r="N768" s="280">
        <v>-174966.67</v>
      </c>
      <c r="O768" s="280"/>
      <c r="P768" s="280"/>
      <c r="Q768" s="280"/>
      <c r="R768" s="280"/>
      <c r="S768" s="280"/>
      <c r="T768" s="297"/>
    </row>
    <row r="769" spans="1:20" x14ac:dyDescent="0.25">
      <c r="A769" s="274" t="s">
        <v>78</v>
      </c>
      <c r="B769" s="274" t="s">
        <v>79</v>
      </c>
      <c r="C769" s="274" t="s">
        <v>3741</v>
      </c>
      <c r="D769" s="274" t="s">
        <v>3742</v>
      </c>
      <c r="E769" s="274" t="s">
        <v>54</v>
      </c>
      <c r="F769" s="274" t="s">
        <v>137</v>
      </c>
      <c r="G769" s="274" t="s">
        <v>142</v>
      </c>
      <c r="H769" s="274" t="s">
        <v>143</v>
      </c>
      <c r="I769" s="274" t="s">
        <v>4862</v>
      </c>
      <c r="J769" s="274" t="s">
        <v>6636</v>
      </c>
      <c r="K769" s="274" t="s">
        <v>6589</v>
      </c>
      <c r="L769" s="274" t="s">
        <v>4863</v>
      </c>
      <c r="M769" s="281">
        <v>-39608</v>
      </c>
      <c r="N769" s="280"/>
      <c r="O769" s="280"/>
      <c r="P769" s="280"/>
      <c r="Q769" s="280">
        <v>-39608</v>
      </c>
      <c r="R769" s="280"/>
      <c r="S769" s="280"/>
      <c r="T769" s="297"/>
    </row>
    <row r="770" spans="1:20" x14ac:dyDescent="0.25">
      <c r="A770" s="274" t="s">
        <v>78</v>
      </c>
      <c r="B770" s="274" t="s">
        <v>79</v>
      </c>
      <c r="C770" s="274" t="s">
        <v>3741</v>
      </c>
      <c r="D770" s="274" t="s">
        <v>3742</v>
      </c>
      <c r="E770" s="274" t="s">
        <v>54</v>
      </c>
      <c r="F770" s="274" t="s">
        <v>137</v>
      </c>
      <c r="G770" s="274" t="s">
        <v>144</v>
      </c>
      <c r="H770" s="274" t="s">
        <v>145</v>
      </c>
      <c r="I770" s="274" t="s">
        <v>4864</v>
      </c>
      <c r="J770" s="274" t="s">
        <v>6637</v>
      </c>
      <c r="K770" s="274" t="s">
        <v>3746</v>
      </c>
      <c r="L770" s="274" t="s">
        <v>4865</v>
      </c>
      <c r="M770" s="281">
        <v>69752</v>
      </c>
      <c r="N770" s="280">
        <v>69752</v>
      </c>
      <c r="O770" s="280"/>
      <c r="P770" s="280"/>
      <c r="Q770" s="280"/>
      <c r="R770" s="280"/>
      <c r="S770" s="280"/>
      <c r="T770" s="297"/>
    </row>
    <row r="771" spans="1:20" x14ac:dyDescent="0.25">
      <c r="A771" s="274" t="s">
        <v>78</v>
      </c>
      <c r="B771" s="274" t="s">
        <v>79</v>
      </c>
      <c r="C771" s="274" t="s">
        <v>3741</v>
      </c>
      <c r="D771" s="274" t="s">
        <v>3742</v>
      </c>
      <c r="E771" s="274" t="s">
        <v>54</v>
      </c>
      <c r="F771" s="274" t="s">
        <v>137</v>
      </c>
      <c r="G771" s="274" t="s">
        <v>146</v>
      </c>
      <c r="H771" s="274" t="s">
        <v>147</v>
      </c>
      <c r="I771" s="274" t="s">
        <v>4866</v>
      </c>
      <c r="J771" s="274" t="s">
        <v>6638</v>
      </c>
      <c r="K771" s="274" t="s">
        <v>3746</v>
      </c>
      <c r="L771" s="274" t="s">
        <v>4867</v>
      </c>
      <c r="M771" s="281">
        <v>1054</v>
      </c>
      <c r="N771" s="280">
        <v>1054</v>
      </c>
      <c r="O771" s="280"/>
      <c r="P771" s="280"/>
      <c r="Q771" s="280"/>
      <c r="R771" s="280"/>
      <c r="S771" s="280"/>
      <c r="T771" s="297"/>
    </row>
    <row r="772" spans="1:20" x14ac:dyDescent="0.25">
      <c r="A772" s="274" t="s">
        <v>78</v>
      </c>
      <c r="B772" s="274" t="s">
        <v>79</v>
      </c>
      <c r="C772" s="274" t="s">
        <v>3741</v>
      </c>
      <c r="D772" s="274" t="s">
        <v>3742</v>
      </c>
      <c r="E772" s="274" t="s">
        <v>54</v>
      </c>
      <c r="F772" s="274" t="s">
        <v>137</v>
      </c>
      <c r="G772" s="274" t="s">
        <v>146</v>
      </c>
      <c r="H772" s="274" t="s">
        <v>147</v>
      </c>
      <c r="I772" s="274" t="s">
        <v>4868</v>
      </c>
      <c r="J772" s="274" t="s">
        <v>6638</v>
      </c>
      <c r="K772" s="274" t="s">
        <v>3746</v>
      </c>
      <c r="L772" s="274" t="s">
        <v>4867</v>
      </c>
      <c r="M772" s="281">
        <v>85.5</v>
      </c>
      <c r="N772" s="280">
        <v>85.5</v>
      </c>
      <c r="O772" s="280"/>
      <c r="P772" s="280"/>
      <c r="Q772" s="280"/>
      <c r="R772" s="280"/>
      <c r="S772" s="280"/>
      <c r="T772" s="297"/>
    </row>
    <row r="773" spans="1:20" x14ac:dyDescent="0.25">
      <c r="A773" s="274" t="s">
        <v>78</v>
      </c>
      <c r="B773" s="274" t="s">
        <v>79</v>
      </c>
      <c r="C773" s="274" t="s">
        <v>3741</v>
      </c>
      <c r="D773" s="274" t="s">
        <v>3742</v>
      </c>
      <c r="E773" s="274" t="s">
        <v>54</v>
      </c>
      <c r="F773" s="274" t="s">
        <v>137</v>
      </c>
      <c r="G773" s="274" t="s">
        <v>146</v>
      </c>
      <c r="H773" s="274" t="s">
        <v>147</v>
      </c>
      <c r="I773" s="274" t="s">
        <v>4869</v>
      </c>
      <c r="J773" s="274" t="s">
        <v>6638</v>
      </c>
      <c r="K773" s="274" t="s">
        <v>3746</v>
      </c>
      <c r="L773" s="274" t="s">
        <v>4867</v>
      </c>
      <c r="M773" s="281">
        <v>4914.5</v>
      </c>
      <c r="N773" s="280">
        <v>4914.5</v>
      </c>
      <c r="O773" s="280"/>
      <c r="P773" s="280"/>
      <c r="Q773" s="280"/>
      <c r="R773" s="280"/>
      <c r="S773" s="280"/>
      <c r="T773" s="297"/>
    </row>
    <row r="774" spans="1:20" x14ac:dyDescent="0.25">
      <c r="A774" s="274" t="s">
        <v>78</v>
      </c>
      <c r="B774" s="274" t="s">
        <v>79</v>
      </c>
      <c r="C774" s="274" t="s">
        <v>3741</v>
      </c>
      <c r="D774" s="274" t="s">
        <v>3742</v>
      </c>
      <c r="E774" s="274" t="s">
        <v>54</v>
      </c>
      <c r="F774" s="274" t="s">
        <v>137</v>
      </c>
      <c r="G774" s="274" t="s">
        <v>148</v>
      </c>
      <c r="H774" s="274" t="s">
        <v>149</v>
      </c>
      <c r="I774" s="274" t="s">
        <v>4870</v>
      </c>
      <c r="J774" s="274" t="s">
        <v>6639</v>
      </c>
      <c r="K774" s="274" t="s">
        <v>6546</v>
      </c>
      <c r="L774" s="274" t="s">
        <v>4871</v>
      </c>
      <c r="M774" s="281">
        <v>23175.25</v>
      </c>
      <c r="N774" s="280">
        <v>23175.25</v>
      </c>
      <c r="O774" s="280"/>
      <c r="P774" s="280"/>
      <c r="Q774" s="280"/>
      <c r="R774" s="280"/>
      <c r="S774" s="280"/>
      <c r="T774" s="297"/>
    </row>
    <row r="775" spans="1:20" x14ac:dyDescent="0.25">
      <c r="A775" s="274" t="s">
        <v>78</v>
      </c>
      <c r="B775" s="274" t="s">
        <v>79</v>
      </c>
      <c r="C775" s="274" t="s">
        <v>3741</v>
      </c>
      <c r="D775" s="274" t="s">
        <v>3742</v>
      </c>
      <c r="E775" s="274" t="s">
        <v>54</v>
      </c>
      <c r="F775" s="274" t="s">
        <v>137</v>
      </c>
      <c r="G775" s="274" t="s">
        <v>148</v>
      </c>
      <c r="H775" s="274" t="s">
        <v>149</v>
      </c>
      <c r="I775" s="274" t="s">
        <v>4872</v>
      </c>
      <c r="J775" s="274" t="s">
        <v>6639</v>
      </c>
      <c r="K775" s="274" t="s">
        <v>6546</v>
      </c>
      <c r="L775" s="274" t="s">
        <v>4871</v>
      </c>
      <c r="M775" s="281">
        <v>3040</v>
      </c>
      <c r="N775" s="280">
        <v>3040</v>
      </c>
      <c r="O775" s="280"/>
      <c r="P775" s="280"/>
      <c r="Q775" s="280"/>
      <c r="R775" s="280"/>
      <c r="S775" s="280"/>
      <c r="T775" s="297"/>
    </row>
    <row r="776" spans="1:20" x14ac:dyDescent="0.25">
      <c r="A776" s="274" t="s">
        <v>78</v>
      </c>
      <c r="B776" s="274" t="s">
        <v>79</v>
      </c>
      <c r="C776" s="274" t="s">
        <v>3741</v>
      </c>
      <c r="D776" s="274" t="s">
        <v>3742</v>
      </c>
      <c r="E776" s="274" t="s">
        <v>54</v>
      </c>
      <c r="F776" s="274" t="s">
        <v>137</v>
      </c>
      <c r="G776" s="274" t="s">
        <v>148</v>
      </c>
      <c r="H776" s="274" t="s">
        <v>149</v>
      </c>
      <c r="I776" s="274" t="s">
        <v>4873</v>
      </c>
      <c r="J776" s="274" t="s">
        <v>6640</v>
      </c>
      <c r="K776" s="274" t="s">
        <v>6506</v>
      </c>
      <c r="L776" s="274" t="s">
        <v>4874</v>
      </c>
      <c r="M776" s="281">
        <v>5000</v>
      </c>
      <c r="N776" s="280"/>
      <c r="O776" s="280">
        <v>5000</v>
      </c>
      <c r="P776" s="280"/>
      <c r="Q776" s="280"/>
      <c r="R776" s="280"/>
      <c r="S776" s="280"/>
      <c r="T776" s="297"/>
    </row>
    <row r="777" spans="1:20" x14ac:dyDescent="0.25">
      <c r="A777" s="274" t="s">
        <v>78</v>
      </c>
      <c r="B777" s="274" t="s">
        <v>79</v>
      </c>
      <c r="C777" s="274" t="s">
        <v>3741</v>
      </c>
      <c r="D777" s="274" t="s">
        <v>3742</v>
      </c>
      <c r="E777" s="274" t="s">
        <v>54</v>
      </c>
      <c r="F777" s="274" t="s">
        <v>137</v>
      </c>
      <c r="G777" s="274" t="s">
        <v>148</v>
      </c>
      <c r="H777" s="274" t="s">
        <v>149</v>
      </c>
      <c r="I777" s="274" t="s">
        <v>4875</v>
      </c>
      <c r="J777" s="274" t="s">
        <v>6639</v>
      </c>
      <c r="K777" s="274" t="s">
        <v>6546</v>
      </c>
      <c r="L777" s="274" t="s">
        <v>4876</v>
      </c>
      <c r="M777" s="281">
        <v>23175.25</v>
      </c>
      <c r="N777" s="280"/>
      <c r="O777" s="280">
        <v>23175.25</v>
      </c>
      <c r="P777" s="280"/>
      <c r="Q777" s="280"/>
      <c r="R777" s="280"/>
      <c r="S777" s="280"/>
      <c r="T777" s="297"/>
    </row>
    <row r="778" spans="1:20" x14ac:dyDescent="0.25">
      <c r="A778" s="274" t="s">
        <v>78</v>
      </c>
      <c r="B778" s="274" t="s">
        <v>79</v>
      </c>
      <c r="C778" s="274" t="s">
        <v>3741</v>
      </c>
      <c r="D778" s="274" t="s">
        <v>3742</v>
      </c>
      <c r="E778" s="274" t="s">
        <v>54</v>
      </c>
      <c r="F778" s="274" t="s">
        <v>137</v>
      </c>
      <c r="G778" s="274" t="s">
        <v>148</v>
      </c>
      <c r="H778" s="274" t="s">
        <v>149</v>
      </c>
      <c r="I778" s="274" t="s">
        <v>4877</v>
      </c>
      <c r="J778" s="274" t="s">
        <v>6640</v>
      </c>
      <c r="K778" s="274" t="s">
        <v>6506</v>
      </c>
      <c r="L778" s="274" t="s">
        <v>4878</v>
      </c>
      <c r="M778" s="281">
        <v>5000</v>
      </c>
      <c r="N778" s="280"/>
      <c r="O778" s="280">
        <v>5000</v>
      </c>
      <c r="P778" s="280"/>
      <c r="Q778" s="280"/>
      <c r="R778" s="280"/>
      <c r="S778" s="280"/>
      <c r="T778" s="297"/>
    </row>
    <row r="779" spans="1:20" x14ac:dyDescent="0.25">
      <c r="A779" s="274" t="s">
        <v>78</v>
      </c>
      <c r="B779" s="274" t="s">
        <v>79</v>
      </c>
      <c r="C779" s="274" t="s">
        <v>3741</v>
      </c>
      <c r="D779" s="274" t="s">
        <v>3742</v>
      </c>
      <c r="E779" s="274" t="s">
        <v>54</v>
      </c>
      <c r="F779" s="274" t="s">
        <v>137</v>
      </c>
      <c r="G779" s="274" t="s">
        <v>148</v>
      </c>
      <c r="H779" s="274" t="s">
        <v>149</v>
      </c>
      <c r="I779" s="274" t="s">
        <v>4879</v>
      </c>
      <c r="J779" s="274" t="s">
        <v>6639</v>
      </c>
      <c r="K779" s="274" t="s">
        <v>6546</v>
      </c>
      <c r="L779" s="274" t="s">
        <v>4876</v>
      </c>
      <c r="M779" s="281">
        <v>695.26</v>
      </c>
      <c r="N779" s="280"/>
      <c r="O779" s="280">
        <v>695.26</v>
      </c>
      <c r="P779" s="280"/>
      <c r="Q779" s="280"/>
      <c r="R779" s="280"/>
      <c r="S779" s="280"/>
      <c r="T779" s="297"/>
    </row>
    <row r="780" spans="1:20" x14ac:dyDescent="0.25">
      <c r="A780" s="274" t="s">
        <v>78</v>
      </c>
      <c r="B780" s="274" t="s">
        <v>79</v>
      </c>
      <c r="C780" s="274" t="s">
        <v>3741</v>
      </c>
      <c r="D780" s="274" t="s">
        <v>3742</v>
      </c>
      <c r="E780" s="274" t="s">
        <v>54</v>
      </c>
      <c r="F780" s="274" t="s">
        <v>137</v>
      </c>
      <c r="G780" s="274" t="s">
        <v>148</v>
      </c>
      <c r="H780" s="274" t="s">
        <v>149</v>
      </c>
      <c r="I780" s="274" t="s">
        <v>4880</v>
      </c>
      <c r="J780" s="274" t="s">
        <v>6639</v>
      </c>
      <c r="K780" s="274" t="s">
        <v>6546</v>
      </c>
      <c r="L780" s="274" t="s">
        <v>4881</v>
      </c>
      <c r="M780" s="281">
        <v>23870.51</v>
      </c>
      <c r="N780" s="280"/>
      <c r="O780" s="280"/>
      <c r="P780" s="280">
        <v>23870.51</v>
      </c>
      <c r="Q780" s="280"/>
      <c r="R780" s="280"/>
      <c r="S780" s="280"/>
      <c r="T780" s="297"/>
    </row>
    <row r="781" spans="1:20" x14ac:dyDescent="0.25">
      <c r="A781" s="274" t="s">
        <v>78</v>
      </c>
      <c r="B781" s="274" t="s">
        <v>79</v>
      </c>
      <c r="C781" s="274" t="s">
        <v>3741</v>
      </c>
      <c r="D781" s="274" t="s">
        <v>3742</v>
      </c>
      <c r="E781" s="274" t="s">
        <v>54</v>
      </c>
      <c r="F781" s="274" t="s">
        <v>137</v>
      </c>
      <c r="G781" s="274" t="s">
        <v>148</v>
      </c>
      <c r="H781" s="274" t="s">
        <v>149</v>
      </c>
      <c r="I781" s="274" t="s">
        <v>4882</v>
      </c>
      <c r="J781" s="274" t="s">
        <v>6640</v>
      </c>
      <c r="K781" s="274" t="s">
        <v>6506</v>
      </c>
      <c r="L781" s="274" t="s">
        <v>4883</v>
      </c>
      <c r="M781" s="281">
        <v>5000</v>
      </c>
      <c r="N781" s="280"/>
      <c r="O781" s="280"/>
      <c r="P781" s="280">
        <v>5000</v>
      </c>
      <c r="Q781" s="280"/>
      <c r="R781" s="280"/>
      <c r="S781" s="280"/>
      <c r="T781" s="297"/>
    </row>
    <row r="782" spans="1:20" x14ac:dyDescent="0.25">
      <c r="A782" s="274" t="s">
        <v>78</v>
      </c>
      <c r="B782" s="274" t="s">
        <v>79</v>
      </c>
      <c r="C782" s="274" t="s">
        <v>3741</v>
      </c>
      <c r="D782" s="274" t="s">
        <v>3742</v>
      </c>
      <c r="E782" s="274" t="s">
        <v>54</v>
      </c>
      <c r="F782" s="274" t="s">
        <v>137</v>
      </c>
      <c r="G782" s="274" t="s">
        <v>148</v>
      </c>
      <c r="H782" s="274" t="s">
        <v>149</v>
      </c>
      <c r="I782" s="274" t="s">
        <v>4884</v>
      </c>
      <c r="J782" s="274" t="s">
        <v>6640</v>
      </c>
      <c r="K782" s="274" t="s">
        <v>6506</v>
      </c>
      <c r="L782" s="274" t="s">
        <v>4885</v>
      </c>
      <c r="M782" s="281">
        <v>150</v>
      </c>
      <c r="N782" s="280"/>
      <c r="O782" s="280"/>
      <c r="P782" s="280">
        <v>150</v>
      </c>
      <c r="Q782" s="280"/>
      <c r="R782" s="280"/>
      <c r="S782" s="280"/>
      <c r="T782" s="297"/>
    </row>
    <row r="783" spans="1:20" x14ac:dyDescent="0.25">
      <c r="A783" s="274" t="s">
        <v>78</v>
      </c>
      <c r="B783" s="274" t="s">
        <v>79</v>
      </c>
      <c r="C783" s="274" t="s">
        <v>3741</v>
      </c>
      <c r="D783" s="274" t="s">
        <v>3742</v>
      </c>
      <c r="E783" s="274" t="s">
        <v>54</v>
      </c>
      <c r="F783" s="274" t="s">
        <v>137</v>
      </c>
      <c r="G783" s="274" t="s">
        <v>148</v>
      </c>
      <c r="H783" s="274" t="s">
        <v>149</v>
      </c>
      <c r="I783" s="274" t="s">
        <v>4886</v>
      </c>
      <c r="J783" s="274" t="s">
        <v>6639</v>
      </c>
      <c r="K783" s="274" t="s">
        <v>6546</v>
      </c>
      <c r="L783" s="274" t="s">
        <v>4881</v>
      </c>
      <c r="M783" s="281">
        <v>760</v>
      </c>
      <c r="N783" s="280"/>
      <c r="O783" s="280"/>
      <c r="P783" s="280">
        <v>760</v>
      </c>
      <c r="Q783" s="280"/>
      <c r="R783" s="280"/>
      <c r="S783" s="280"/>
      <c r="T783" s="297"/>
    </row>
    <row r="784" spans="1:20" x14ac:dyDescent="0.25">
      <c r="A784" s="274" t="s">
        <v>78</v>
      </c>
      <c r="B784" s="274" t="s">
        <v>79</v>
      </c>
      <c r="C784" s="274" t="s">
        <v>3741</v>
      </c>
      <c r="D784" s="274" t="s">
        <v>3742</v>
      </c>
      <c r="E784" s="274" t="s">
        <v>54</v>
      </c>
      <c r="F784" s="274" t="s">
        <v>137</v>
      </c>
      <c r="G784" s="274" t="s">
        <v>148</v>
      </c>
      <c r="H784" s="274" t="s">
        <v>149</v>
      </c>
      <c r="I784" s="274" t="s">
        <v>4887</v>
      </c>
      <c r="J784" s="274" t="s">
        <v>6639</v>
      </c>
      <c r="K784" s="274" t="s">
        <v>6546</v>
      </c>
      <c r="L784" s="274" t="s">
        <v>4888</v>
      </c>
      <c r="M784" s="281">
        <v>23870.51</v>
      </c>
      <c r="N784" s="280"/>
      <c r="O784" s="280"/>
      <c r="P784" s="280"/>
      <c r="Q784" s="280">
        <v>23870.51</v>
      </c>
      <c r="R784" s="280"/>
      <c r="S784" s="280"/>
      <c r="T784" s="297"/>
    </row>
    <row r="785" spans="1:20" x14ac:dyDescent="0.25">
      <c r="A785" s="274" t="s">
        <v>78</v>
      </c>
      <c r="B785" s="274" t="s">
        <v>79</v>
      </c>
      <c r="C785" s="274" t="s">
        <v>3741</v>
      </c>
      <c r="D785" s="274" t="s">
        <v>3742</v>
      </c>
      <c r="E785" s="274" t="s">
        <v>54</v>
      </c>
      <c r="F785" s="274" t="s">
        <v>137</v>
      </c>
      <c r="G785" s="274" t="s">
        <v>148</v>
      </c>
      <c r="H785" s="274" t="s">
        <v>149</v>
      </c>
      <c r="I785" s="274" t="s">
        <v>4889</v>
      </c>
      <c r="J785" s="274" t="s">
        <v>6640</v>
      </c>
      <c r="K785" s="274" t="s">
        <v>6506</v>
      </c>
      <c r="L785" s="274" t="s">
        <v>4890</v>
      </c>
      <c r="M785" s="281">
        <v>5150</v>
      </c>
      <c r="N785" s="280"/>
      <c r="O785" s="280"/>
      <c r="P785" s="280"/>
      <c r="Q785" s="280">
        <v>5150</v>
      </c>
      <c r="R785" s="280"/>
      <c r="S785" s="280"/>
      <c r="T785" s="297"/>
    </row>
    <row r="786" spans="1:20" x14ac:dyDescent="0.25">
      <c r="A786" s="274" t="s">
        <v>78</v>
      </c>
      <c r="B786" s="274" t="s">
        <v>79</v>
      </c>
      <c r="C786" s="274" t="s">
        <v>3741</v>
      </c>
      <c r="D786" s="274" t="s">
        <v>3742</v>
      </c>
      <c r="E786" s="274" t="s">
        <v>54</v>
      </c>
      <c r="F786" s="274" t="s">
        <v>137</v>
      </c>
      <c r="G786" s="274" t="s">
        <v>148</v>
      </c>
      <c r="H786" s="274" t="s">
        <v>149</v>
      </c>
      <c r="I786" s="274" t="s">
        <v>4891</v>
      </c>
      <c r="J786" s="274" t="s">
        <v>6639</v>
      </c>
      <c r="K786" s="274" t="s">
        <v>6546</v>
      </c>
      <c r="L786" s="274" t="s">
        <v>4892</v>
      </c>
      <c r="M786" s="281">
        <v>23870.51</v>
      </c>
      <c r="N786" s="280"/>
      <c r="O786" s="280"/>
      <c r="P786" s="280"/>
      <c r="Q786" s="280"/>
      <c r="R786" s="280">
        <v>23870.51</v>
      </c>
      <c r="S786" s="280"/>
      <c r="T786" s="297"/>
    </row>
    <row r="787" spans="1:20" x14ac:dyDescent="0.25">
      <c r="A787" s="274" t="s">
        <v>78</v>
      </c>
      <c r="B787" s="274" t="s">
        <v>79</v>
      </c>
      <c r="C787" s="274" t="s">
        <v>3741</v>
      </c>
      <c r="D787" s="274" t="s">
        <v>3742</v>
      </c>
      <c r="E787" s="274" t="s">
        <v>54</v>
      </c>
      <c r="F787" s="274" t="s">
        <v>137</v>
      </c>
      <c r="G787" s="274" t="s">
        <v>148</v>
      </c>
      <c r="H787" s="274" t="s">
        <v>149</v>
      </c>
      <c r="I787" s="274" t="s">
        <v>4893</v>
      </c>
      <c r="J787" s="274" t="s">
        <v>6640</v>
      </c>
      <c r="K787" s="274" t="s">
        <v>6506</v>
      </c>
      <c r="L787" s="274" t="s">
        <v>4894</v>
      </c>
      <c r="M787" s="281">
        <v>5150</v>
      </c>
      <c r="N787" s="280"/>
      <c r="O787" s="280"/>
      <c r="P787" s="280"/>
      <c r="Q787" s="280"/>
      <c r="R787" s="280">
        <v>5150</v>
      </c>
      <c r="S787" s="280"/>
      <c r="T787" s="297"/>
    </row>
    <row r="788" spans="1:20" x14ac:dyDescent="0.25">
      <c r="A788" s="274" t="s">
        <v>78</v>
      </c>
      <c r="B788" s="274" t="s">
        <v>79</v>
      </c>
      <c r="C788" s="274" t="s">
        <v>3741</v>
      </c>
      <c r="D788" s="274" t="s">
        <v>3742</v>
      </c>
      <c r="E788" s="274" t="s">
        <v>54</v>
      </c>
      <c r="F788" s="274" t="s">
        <v>137</v>
      </c>
      <c r="G788" s="274" t="s">
        <v>148</v>
      </c>
      <c r="H788" s="274" t="s">
        <v>149</v>
      </c>
      <c r="I788" s="274" t="s">
        <v>6348</v>
      </c>
      <c r="J788" s="274" t="s">
        <v>6639</v>
      </c>
      <c r="K788" s="274" t="s">
        <v>6546</v>
      </c>
      <c r="L788" s="274" t="s">
        <v>6349</v>
      </c>
      <c r="M788" s="281">
        <v>23870.51</v>
      </c>
      <c r="N788" s="280"/>
      <c r="O788" s="280"/>
      <c r="P788" s="280"/>
      <c r="Q788" s="280"/>
      <c r="R788" s="280"/>
      <c r="S788" s="280">
        <v>23870.51</v>
      </c>
      <c r="T788" s="297"/>
    </row>
    <row r="789" spans="1:20" x14ac:dyDescent="0.25">
      <c r="A789" s="274" t="s">
        <v>78</v>
      </c>
      <c r="B789" s="274" t="s">
        <v>79</v>
      </c>
      <c r="C789" s="274" t="s">
        <v>3741</v>
      </c>
      <c r="D789" s="274" t="s">
        <v>3742</v>
      </c>
      <c r="E789" s="274" t="s">
        <v>54</v>
      </c>
      <c r="F789" s="274" t="s">
        <v>137</v>
      </c>
      <c r="G789" s="274" t="s">
        <v>148</v>
      </c>
      <c r="H789" s="274" t="s">
        <v>149</v>
      </c>
      <c r="I789" s="274" t="s">
        <v>6350</v>
      </c>
      <c r="J789" s="274" t="s">
        <v>6640</v>
      </c>
      <c r="K789" s="274" t="s">
        <v>6506</v>
      </c>
      <c r="L789" s="274" t="s">
        <v>6351</v>
      </c>
      <c r="M789" s="281">
        <v>150</v>
      </c>
      <c r="N789" s="280"/>
      <c r="O789" s="280"/>
      <c r="P789" s="280"/>
      <c r="Q789" s="280"/>
      <c r="R789" s="280"/>
      <c r="S789" s="280">
        <v>150</v>
      </c>
      <c r="T789" s="297"/>
    </row>
    <row r="790" spans="1:20" x14ac:dyDescent="0.25">
      <c r="A790" s="274" t="s">
        <v>78</v>
      </c>
      <c r="B790" s="274" t="s">
        <v>79</v>
      </c>
      <c r="C790" s="274" t="s">
        <v>3741</v>
      </c>
      <c r="D790" s="274" t="s">
        <v>3742</v>
      </c>
      <c r="E790" s="274" t="s">
        <v>54</v>
      </c>
      <c r="F790" s="274" t="s">
        <v>137</v>
      </c>
      <c r="G790" s="274" t="s">
        <v>148</v>
      </c>
      <c r="H790" s="274" t="s">
        <v>149</v>
      </c>
      <c r="I790" s="274" t="s">
        <v>6352</v>
      </c>
      <c r="J790" s="274" t="s">
        <v>6640</v>
      </c>
      <c r="K790" s="274" t="s">
        <v>6506</v>
      </c>
      <c r="L790" s="274" t="s">
        <v>6353</v>
      </c>
      <c r="M790" s="281">
        <v>5150</v>
      </c>
      <c r="N790" s="280"/>
      <c r="O790" s="280"/>
      <c r="P790" s="280"/>
      <c r="Q790" s="280"/>
      <c r="R790" s="280"/>
      <c r="S790" s="280">
        <v>5150</v>
      </c>
      <c r="T790" s="297"/>
    </row>
    <row r="791" spans="1:20" x14ac:dyDescent="0.25">
      <c r="A791" s="274" t="s">
        <v>78</v>
      </c>
      <c r="B791" s="274" t="s">
        <v>79</v>
      </c>
      <c r="C791" s="274" t="s">
        <v>3741</v>
      </c>
      <c r="D791" s="274" t="s">
        <v>3742</v>
      </c>
      <c r="E791" s="274" t="s">
        <v>54</v>
      </c>
      <c r="F791" s="274" t="s">
        <v>137</v>
      </c>
      <c r="G791" s="274" t="s">
        <v>148</v>
      </c>
      <c r="H791" s="274" t="s">
        <v>149</v>
      </c>
      <c r="I791" s="274" t="s">
        <v>4895</v>
      </c>
      <c r="J791" s="274" t="s">
        <v>6639</v>
      </c>
      <c r="K791" s="274" t="s">
        <v>6546</v>
      </c>
      <c r="L791" s="274" t="s">
        <v>4876</v>
      </c>
      <c r="M791" s="281">
        <v>-0.01</v>
      </c>
      <c r="N791" s="280"/>
      <c r="O791" s="280">
        <v>-0.01</v>
      </c>
      <c r="P791" s="280"/>
      <c r="Q791" s="280"/>
      <c r="R791" s="280"/>
      <c r="S791" s="280"/>
      <c r="T791" s="297"/>
    </row>
    <row r="792" spans="1:20" x14ac:dyDescent="0.25">
      <c r="A792" s="274" t="s">
        <v>78</v>
      </c>
      <c r="B792" s="274" t="s">
        <v>79</v>
      </c>
      <c r="C792" s="274" t="s">
        <v>3741</v>
      </c>
      <c r="D792" s="274" t="s">
        <v>3742</v>
      </c>
      <c r="E792" s="274" t="s">
        <v>54</v>
      </c>
      <c r="F792" s="274" t="s">
        <v>137</v>
      </c>
      <c r="G792" s="274" t="s">
        <v>148</v>
      </c>
      <c r="H792" s="274" t="s">
        <v>149</v>
      </c>
      <c r="I792" s="274" t="s">
        <v>4896</v>
      </c>
      <c r="J792" s="274" t="s">
        <v>6639</v>
      </c>
      <c r="K792" s="274" t="s">
        <v>6546</v>
      </c>
      <c r="L792" s="274" t="s">
        <v>4888</v>
      </c>
      <c r="M792" s="281">
        <v>-0.01</v>
      </c>
      <c r="N792" s="280"/>
      <c r="O792" s="280"/>
      <c r="P792" s="280"/>
      <c r="Q792" s="280">
        <v>-0.01</v>
      </c>
      <c r="R792" s="280"/>
      <c r="S792" s="280"/>
      <c r="T792" s="297"/>
    </row>
    <row r="793" spans="1:20" x14ac:dyDescent="0.25">
      <c r="A793" s="274" t="s">
        <v>78</v>
      </c>
      <c r="B793" s="274" t="s">
        <v>79</v>
      </c>
      <c r="C793" s="274" t="s">
        <v>3741</v>
      </c>
      <c r="D793" s="274" t="s">
        <v>3742</v>
      </c>
      <c r="E793" s="274" t="s">
        <v>54</v>
      </c>
      <c r="F793" s="274" t="s">
        <v>137</v>
      </c>
      <c r="G793" s="274" t="s">
        <v>148</v>
      </c>
      <c r="H793" s="274" t="s">
        <v>149</v>
      </c>
      <c r="I793" s="274" t="s">
        <v>6354</v>
      </c>
      <c r="J793" s="274" t="s">
        <v>6639</v>
      </c>
      <c r="K793" s="274" t="s">
        <v>6546</v>
      </c>
      <c r="L793" s="274" t="s">
        <v>4892</v>
      </c>
      <c r="M793" s="281">
        <v>-0.01</v>
      </c>
      <c r="N793" s="280"/>
      <c r="O793" s="280"/>
      <c r="P793" s="280"/>
      <c r="Q793" s="280"/>
      <c r="R793" s="280"/>
      <c r="S793" s="280">
        <v>-0.01</v>
      </c>
      <c r="T793" s="297"/>
    </row>
    <row r="794" spans="1:20" x14ac:dyDescent="0.25">
      <c r="A794" s="274" t="s">
        <v>78</v>
      </c>
      <c r="B794" s="274" t="s">
        <v>79</v>
      </c>
      <c r="C794" s="274" t="s">
        <v>3741</v>
      </c>
      <c r="D794" s="274" t="s">
        <v>3742</v>
      </c>
      <c r="E794" s="274" t="s">
        <v>54</v>
      </c>
      <c r="F794" s="274" t="s">
        <v>137</v>
      </c>
      <c r="G794" s="274" t="s">
        <v>148</v>
      </c>
      <c r="H794" s="274" t="s">
        <v>149</v>
      </c>
      <c r="I794" s="274" t="s">
        <v>6355</v>
      </c>
      <c r="J794" s="274" t="s">
        <v>6639</v>
      </c>
      <c r="K794" s="274" t="s">
        <v>6546</v>
      </c>
      <c r="L794" s="274" t="s">
        <v>6349</v>
      </c>
      <c r="M794" s="281">
        <v>-0.01</v>
      </c>
      <c r="N794" s="280"/>
      <c r="O794" s="280"/>
      <c r="P794" s="280"/>
      <c r="Q794" s="280"/>
      <c r="R794" s="280"/>
      <c r="S794" s="280">
        <v>-0.01</v>
      </c>
      <c r="T794" s="297"/>
    </row>
    <row r="795" spans="1:20" x14ac:dyDescent="0.25">
      <c r="A795" s="274" t="s">
        <v>78</v>
      </c>
      <c r="B795" s="274" t="s">
        <v>79</v>
      </c>
      <c r="C795" s="274" t="s">
        <v>3741</v>
      </c>
      <c r="D795" s="274" t="s">
        <v>3742</v>
      </c>
      <c r="E795" s="274" t="s">
        <v>54</v>
      </c>
      <c r="F795" s="274" t="s">
        <v>137</v>
      </c>
      <c r="G795" s="274" t="s">
        <v>6164</v>
      </c>
      <c r="H795" s="274" t="s">
        <v>6165</v>
      </c>
      <c r="I795" s="274" t="s">
        <v>6356</v>
      </c>
      <c r="J795" s="274" t="s">
        <v>6641</v>
      </c>
      <c r="K795" s="274" t="s">
        <v>3746</v>
      </c>
      <c r="L795" s="274" t="s">
        <v>6357</v>
      </c>
      <c r="M795" s="281">
        <v>47000</v>
      </c>
      <c r="N795" s="280"/>
      <c r="O795" s="280"/>
      <c r="P795" s="280"/>
      <c r="Q795" s="280"/>
      <c r="R795" s="280"/>
      <c r="S795" s="280">
        <v>47000</v>
      </c>
      <c r="T795" s="297"/>
    </row>
    <row r="796" spans="1:20" x14ac:dyDescent="0.25">
      <c r="A796" s="274" t="s">
        <v>78</v>
      </c>
      <c r="B796" s="274" t="s">
        <v>79</v>
      </c>
      <c r="C796" s="274" t="s">
        <v>3741</v>
      </c>
      <c r="D796" s="274" t="s">
        <v>3742</v>
      </c>
      <c r="E796" s="274" t="s">
        <v>54</v>
      </c>
      <c r="F796" s="274" t="s">
        <v>137</v>
      </c>
      <c r="G796" s="274" t="s">
        <v>93</v>
      </c>
      <c r="H796" s="274" t="s">
        <v>94</v>
      </c>
      <c r="I796" s="274" t="s">
        <v>4897</v>
      </c>
      <c r="J796" s="274" t="s">
        <v>6642</v>
      </c>
      <c r="K796" s="274" t="s">
        <v>6589</v>
      </c>
      <c r="L796" s="274" t="s">
        <v>4898</v>
      </c>
      <c r="M796" s="281">
        <v>10492.74</v>
      </c>
      <c r="N796" s="280">
        <v>10492.74</v>
      </c>
      <c r="O796" s="280"/>
      <c r="P796" s="280"/>
      <c r="Q796" s="280"/>
      <c r="R796" s="280"/>
      <c r="S796" s="280"/>
      <c r="T796" s="297"/>
    </row>
    <row r="797" spans="1:20" x14ac:dyDescent="0.25">
      <c r="A797" s="274" t="s">
        <v>78</v>
      </c>
      <c r="B797" s="274" t="s">
        <v>79</v>
      </c>
      <c r="C797" s="274" t="s">
        <v>3741</v>
      </c>
      <c r="D797" s="274" t="s">
        <v>3742</v>
      </c>
      <c r="E797" s="274" t="s">
        <v>54</v>
      </c>
      <c r="F797" s="274" t="s">
        <v>137</v>
      </c>
      <c r="G797" s="274" t="s">
        <v>93</v>
      </c>
      <c r="H797" s="274" t="s">
        <v>94</v>
      </c>
      <c r="I797" s="274" t="s">
        <v>4899</v>
      </c>
      <c r="J797" s="274" t="s">
        <v>6642</v>
      </c>
      <c r="K797" s="274" t="s">
        <v>6589</v>
      </c>
      <c r="L797" s="274" t="s">
        <v>4900</v>
      </c>
      <c r="M797" s="281">
        <v>10492.74</v>
      </c>
      <c r="N797" s="280"/>
      <c r="O797" s="280">
        <v>10492.74</v>
      </c>
      <c r="P797" s="280"/>
      <c r="Q797" s="280"/>
      <c r="R797" s="280"/>
      <c r="S797" s="280"/>
      <c r="T797" s="297"/>
    </row>
    <row r="798" spans="1:20" x14ac:dyDescent="0.25">
      <c r="A798" s="274" t="s">
        <v>78</v>
      </c>
      <c r="B798" s="274" t="s">
        <v>79</v>
      </c>
      <c r="C798" s="274" t="s">
        <v>3741</v>
      </c>
      <c r="D798" s="274" t="s">
        <v>3742</v>
      </c>
      <c r="E798" s="274" t="s">
        <v>54</v>
      </c>
      <c r="F798" s="274" t="s">
        <v>137</v>
      </c>
      <c r="G798" s="274" t="s">
        <v>93</v>
      </c>
      <c r="H798" s="274" t="s">
        <v>94</v>
      </c>
      <c r="I798" s="274" t="s">
        <v>4901</v>
      </c>
      <c r="J798" s="274" t="s">
        <v>6642</v>
      </c>
      <c r="K798" s="274" t="s">
        <v>6589</v>
      </c>
      <c r="L798" s="274" t="s">
        <v>4902</v>
      </c>
      <c r="M798" s="281">
        <v>10492.74</v>
      </c>
      <c r="N798" s="280"/>
      <c r="O798" s="280"/>
      <c r="P798" s="280">
        <v>10492.74</v>
      </c>
      <c r="Q798" s="280"/>
      <c r="R798" s="280"/>
      <c r="S798" s="280"/>
      <c r="T798" s="297"/>
    </row>
    <row r="799" spans="1:20" x14ac:dyDescent="0.25">
      <c r="A799" s="274" t="s">
        <v>78</v>
      </c>
      <c r="B799" s="274" t="s">
        <v>79</v>
      </c>
      <c r="C799" s="274" t="s">
        <v>3741</v>
      </c>
      <c r="D799" s="274" t="s">
        <v>3742</v>
      </c>
      <c r="E799" s="274" t="s">
        <v>54</v>
      </c>
      <c r="F799" s="274" t="s">
        <v>137</v>
      </c>
      <c r="G799" s="274" t="s">
        <v>93</v>
      </c>
      <c r="H799" s="274" t="s">
        <v>94</v>
      </c>
      <c r="I799" s="274" t="s">
        <v>4903</v>
      </c>
      <c r="J799" s="274" t="s">
        <v>6642</v>
      </c>
      <c r="K799" s="274" t="s">
        <v>6589</v>
      </c>
      <c r="L799" s="274" t="s">
        <v>4904</v>
      </c>
      <c r="M799" s="281">
        <v>10492.74</v>
      </c>
      <c r="N799" s="280"/>
      <c r="O799" s="280"/>
      <c r="P799" s="280"/>
      <c r="Q799" s="280">
        <v>10492.74</v>
      </c>
      <c r="R799" s="280"/>
      <c r="S799" s="280"/>
      <c r="T799" s="297"/>
    </row>
    <row r="800" spans="1:20" x14ac:dyDescent="0.25">
      <c r="A800" s="274" t="s">
        <v>78</v>
      </c>
      <c r="B800" s="274" t="s">
        <v>79</v>
      </c>
      <c r="C800" s="274" t="s">
        <v>3741</v>
      </c>
      <c r="D800" s="274" t="s">
        <v>3742</v>
      </c>
      <c r="E800" s="274" t="s">
        <v>54</v>
      </c>
      <c r="F800" s="274" t="s">
        <v>137</v>
      </c>
      <c r="G800" s="274" t="s">
        <v>93</v>
      </c>
      <c r="H800" s="274" t="s">
        <v>94</v>
      </c>
      <c r="I800" s="274" t="s">
        <v>4905</v>
      </c>
      <c r="J800" s="274" t="s">
        <v>6642</v>
      </c>
      <c r="K800" s="274" t="s">
        <v>6589</v>
      </c>
      <c r="L800" s="274" t="s">
        <v>4906</v>
      </c>
      <c r="M800" s="281">
        <v>10492.74</v>
      </c>
      <c r="N800" s="280"/>
      <c r="O800" s="280"/>
      <c r="P800" s="280"/>
      <c r="Q800" s="280"/>
      <c r="R800" s="280">
        <v>10492.74</v>
      </c>
      <c r="S800" s="280"/>
      <c r="T800" s="297"/>
    </row>
    <row r="801" spans="1:20" x14ac:dyDescent="0.25">
      <c r="A801" s="274" t="s">
        <v>78</v>
      </c>
      <c r="B801" s="274" t="s">
        <v>79</v>
      </c>
      <c r="C801" s="274" t="s">
        <v>3741</v>
      </c>
      <c r="D801" s="274" t="s">
        <v>3742</v>
      </c>
      <c r="E801" s="274" t="s">
        <v>54</v>
      </c>
      <c r="F801" s="274" t="s">
        <v>137</v>
      </c>
      <c r="G801" s="274" t="s">
        <v>93</v>
      </c>
      <c r="H801" s="274" t="s">
        <v>94</v>
      </c>
      <c r="I801" s="274" t="s">
        <v>6358</v>
      </c>
      <c r="J801" s="274" t="s">
        <v>6642</v>
      </c>
      <c r="K801" s="274" t="s">
        <v>6589</v>
      </c>
      <c r="L801" s="274" t="s">
        <v>6359</v>
      </c>
      <c r="M801" s="281">
        <v>10492.74</v>
      </c>
      <c r="N801" s="280"/>
      <c r="O801" s="280"/>
      <c r="P801" s="280"/>
      <c r="Q801" s="280"/>
      <c r="R801" s="280"/>
      <c r="S801" s="280">
        <v>10492.74</v>
      </c>
      <c r="T801" s="297"/>
    </row>
    <row r="802" spans="1:20" x14ac:dyDescent="0.25">
      <c r="A802" s="274" t="s">
        <v>78</v>
      </c>
      <c r="B802" s="274" t="s">
        <v>79</v>
      </c>
      <c r="C802" s="274" t="s">
        <v>3741</v>
      </c>
      <c r="D802" s="274" t="s">
        <v>3742</v>
      </c>
      <c r="E802" s="274" t="s">
        <v>54</v>
      </c>
      <c r="F802" s="274" t="s">
        <v>137</v>
      </c>
      <c r="G802" s="274" t="s">
        <v>150</v>
      </c>
      <c r="H802" s="274" t="s">
        <v>151</v>
      </c>
      <c r="I802" s="274" t="s">
        <v>4907</v>
      </c>
      <c r="J802" s="274" t="s">
        <v>6643</v>
      </c>
      <c r="K802" s="274" t="s">
        <v>3746</v>
      </c>
      <c r="L802" s="274" t="s">
        <v>4908</v>
      </c>
      <c r="M802" s="281">
        <v>16000</v>
      </c>
      <c r="N802" s="280">
        <v>16000</v>
      </c>
      <c r="O802" s="280"/>
      <c r="P802" s="280"/>
      <c r="Q802" s="280"/>
      <c r="R802" s="280"/>
      <c r="S802" s="280"/>
      <c r="T802" s="297"/>
    </row>
    <row r="803" spans="1:20" x14ac:dyDescent="0.25">
      <c r="A803" s="274" t="s">
        <v>78</v>
      </c>
      <c r="B803" s="274" t="s">
        <v>79</v>
      </c>
      <c r="C803" s="274" t="s">
        <v>3741</v>
      </c>
      <c r="D803" s="274" t="s">
        <v>3742</v>
      </c>
      <c r="E803" s="274" t="s">
        <v>54</v>
      </c>
      <c r="F803" s="274" t="s">
        <v>137</v>
      </c>
      <c r="G803" s="274" t="s">
        <v>150</v>
      </c>
      <c r="H803" s="274" t="s">
        <v>151</v>
      </c>
      <c r="I803" s="274" t="s">
        <v>4909</v>
      </c>
      <c r="J803" s="274" t="s">
        <v>6643</v>
      </c>
      <c r="K803" s="274" t="s">
        <v>3746</v>
      </c>
      <c r="L803" s="274" t="s">
        <v>4910</v>
      </c>
      <c r="M803" s="281">
        <v>146475</v>
      </c>
      <c r="N803" s="280"/>
      <c r="O803" s="280">
        <v>146475</v>
      </c>
      <c r="P803" s="280"/>
      <c r="Q803" s="280"/>
      <c r="R803" s="280"/>
      <c r="S803" s="280"/>
      <c r="T803" s="297"/>
    </row>
    <row r="804" spans="1:20" x14ac:dyDescent="0.25">
      <c r="A804" s="274" t="s">
        <v>78</v>
      </c>
      <c r="B804" s="274" t="s">
        <v>79</v>
      </c>
      <c r="C804" s="274" t="s">
        <v>3741</v>
      </c>
      <c r="D804" s="274" t="s">
        <v>3742</v>
      </c>
      <c r="E804" s="274" t="s">
        <v>54</v>
      </c>
      <c r="F804" s="274" t="s">
        <v>137</v>
      </c>
      <c r="G804" s="274" t="s">
        <v>152</v>
      </c>
      <c r="H804" s="274" t="s">
        <v>153</v>
      </c>
      <c r="I804" s="274" t="s">
        <v>4911</v>
      </c>
      <c r="J804" s="274" t="s">
        <v>6644</v>
      </c>
      <c r="K804" s="274" t="s">
        <v>6589</v>
      </c>
      <c r="L804" s="274" t="s">
        <v>4912</v>
      </c>
      <c r="M804" s="281">
        <v>-80000</v>
      </c>
      <c r="N804" s="280"/>
      <c r="O804" s="280"/>
      <c r="P804" s="280">
        <v>-80000</v>
      </c>
      <c r="Q804" s="280"/>
      <c r="R804" s="280"/>
      <c r="S804" s="280"/>
      <c r="T804" s="297"/>
    </row>
    <row r="805" spans="1:20" x14ac:dyDescent="0.25">
      <c r="A805" s="274" t="s">
        <v>78</v>
      </c>
      <c r="B805" s="274" t="s">
        <v>79</v>
      </c>
      <c r="C805" s="274" t="s">
        <v>3741</v>
      </c>
      <c r="D805" s="274" t="s">
        <v>3742</v>
      </c>
      <c r="E805" s="274" t="s">
        <v>54</v>
      </c>
      <c r="F805" s="274" t="s">
        <v>137</v>
      </c>
      <c r="G805" s="274" t="s">
        <v>152</v>
      </c>
      <c r="H805" s="274" t="s">
        <v>153</v>
      </c>
      <c r="I805" s="274" t="s">
        <v>4913</v>
      </c>
      <c r="J805" s="274" t="s">
        <v>6644</v>
      </c>
      <c r="K805" s="274" t="s">
        <v>6589</v>
      </c>
      <c r="L805" s="274" t="s">
        <v>4912</v>
      </c>
      <c r="M805" s="281">
        <v>29148.16</v>
      </c>
      <c r="N805" s="280"/>
      <c r="O805" s="280"/>
      <c r="P805" s="280">
        <v>29148.16</v>
      </c>
      <c r="Q805" s="280"/>
      <c r="R805" s="280"/>
      <c r="S805" s="280"/>
      <c r="T805" s="297"/>
    </row>
    <row r="806" spans="1:20" x14ac:dyDescent="0.25">
      <c r="A806" s="274" t="s">
        <v>78</v>
      </c>
      <c r="B806" s="274" t="s">
        <v>79</v>
      </c>
      <c r="C806" s="274" t="s">
        <v>3741</v>
      </c>
      <c r="D806" s="274" t="s">
        <v>3742</v>
      </c>
      <c r="E806" s="274" t="s">
        <v>54</v>
      </c>
      <c r="F806" s="274" t="s">
        <v>137</v>
      </c>
      <c r="G806" s="274" t="s">
        <v>154</v>
      </c>
      <c r="H806" s="274" t="s">
        <v>155</v>
      </c>
      <c r="I806" s="274" t="s">
        <v>4914</v>
      </c>
      <c r="J806" s="274" t="s">
        <v>6645</v>
      </c>
      <c r="K806" s="274" t="s">
        <v>3746</v>
      </c>
      <c r="L806" s="274" t="s">
        <v>4915</v>
      </c>
      <c r="M806" s="281">
        <v>45725.46</v>
      </c>
      <c r="N806" s="280">
        <v>45725.46</v>
      </c>
      <c r="O806" s="280"/>
      <c r="P806" s="280"/>
      <c r="Q806" s="280"/>
      <c r="R806" s="280"/>
      <c r="S806" s="280"/>
      <c r="T806" s="297"/>
    </row>
    <row r="807" spans="1:20" x14ac:dyDescent="0.25">
      <c r="A807" s="274" t="s">
        <v>78</v>
      </c>
      <c r="B807" s="274" t="s">
        <v>79</v>
      </c>
      <c r="C807" s="274" t="s">
        <v>3741</v>
      </c>
      <c r="D807" s="274" t="s">
        <v>3742</v>
      </c>
      <c r="E807" s="274" t="s">
        <v>54</v>
      </c>
      <c r="F807" s="274" t="s">
        <v>137</v>
      </c>
      <c r="G807" s="274" t="s">
        <v>154</v>
      </c>
      <c r="H807" s="274" t="s">
        <v>155</v>
      </c>
      <c r="I807" s="274" t="s">
        <v>6360</v>
      </c>
      <c r="J807" s="274" t="s">
        <v>6645</v>
      </c>
      <c r="K807" s="274" t="s">
        <v>3746</v>
      </c>
      <c r="L807" s="274" t="s">
        <v>6361</v>
      </c>
      <c r="M807" s="281">
        <v>2032.72</v>
      </c>
      <c r="N807" s="280"/>
      <c r="O807" s="280"/>
      <c r="P807" s="280"/>
      <c r="Q807" s="280"/>
      <c r="R807" s="280">
        <v>2032.72</v>
      </c>
      <c r="S807" s="280"/>
      <c r="T807" s="297"/>
    </row>
    <row r="808" spans="1:20" x14ac:dyDescent="0.25">
      <c r="A808" s="274" t="s">
        <v>78</v>
      </c>
      <c r="B808" s="274" t="s">
        <v>79</v>
      </c>
      <c r="C808" s="274" t="s">
        <v>3741</v>
      </c>
      <c r="D808" s="274" t="s">
        <v>3742</v>
      </c>
      <c r="E808" s="274" t="s">
        <v>54</v>
      </c>
      <c r="F808" s="274" t="s">
        <v>137</v>
      </c>
      <c r="G808" s="274" t="s">
        <v>156</v>
      </c>
      <c r="H808" s="274" t="s">
        <v>157</v>
      </c>
      <c r="I808" s="274" t="s">
        <v>4916</v>
      </c>
      <c r="J808" s="274" t="s">
        <v>6646</v>
      </c>
      <c r="K808" s="274" t="s">
        <v>3746</v>
      </c>
      <c r="L808" s="274" t="s">
        <v>4917</v>
      </c>
      <c r="M808" s="281">
        <v>109500</v>
      </c>
      <c r="N808" s="280">
        <v>109500</v>
      </c>
      <c r="O808" s="280"/>
      <c r="P808" s="280"/>
      <c r="Q808" s="280"/>
      <c r="R808" s="280"/>
      <c r="S808" s="280"/>
      <c r="T808" s="297"/>
    </row>
    <row r="809" spans="1:20" x14ac:dyDescent="0.25">
      <c r="A809" s="274" t="s">
        <v>78</v>
      </c>
      <c r="B809" s="274" t="s">
        <v>79</v>
      </c>
      <c r="C809" s="274" t="s">
        <v>3741</v>
      </c>
      <c r="D809" s="274" t="s">
        <v>3742</v>
      </c>
      <c r="E809" s="274" t="s">
        <v>54</v>
      </c>
      <c r="F809" s="274" t="s">
        <v>137</v>
      </c>
      <c r="G809" s="274" t="s">
        <v>156</v>
      </c>
      <c r="H809" s="274" t="s">
        <v>157</v>
      </c>
      <c r="I809" s="274" t="s">
        <v>4918</v>
      </c>
      <c r="J809" s="274" t="s">
        <v>6647</v>
      </c>
      <c r="K809" s="274" t="s">
        <v>3746</v>
      </c>
      <c r="L809" s="274" t="s">
        <v>4919</v>
      </c>
      <c r="M809" s="281">
        <v>152100</v>
      </c>
      <c r="N809" s="280">
        <v>152100</v>
      </c>
      <c r="O809" s="280"/>
      <c r="P809" s="280"/>
      <c r="Q809" s="280"/>
      <c r="R809" s="280"/>
      <c r="S809" s="280"/>
      <c r="T809" s="297"/>
    </row>
    <row r="810" spans="1:20" x14ac:dyDescent="0.25">
      <c r="A810" s="274" t="s">
        <v>78</v>
      </c>
      <c r="B810" s="274" t="s">
        <v>79</v>
      </c>
      <c r="C810" s="274" t="s">
        <v>3741</v>
      </c>
      <c r="D810" s="274" t="s">
        <v>3742</v>
      </c>
      <c r="E810" s="274" t="s">
        <v>54</v>
      </c>
      <c r="F810" s="274" t="s">
        <v>137</v>
      </c>
      <c r="G810" s="274" t="s">
        <v>156</v>
      </c>
      <c r="H810" s="274" t="s">
        <v>157</v>
      </c>
      <c r="I810" s="274" t="s">
        <v>4920</v>
      </c>
      <c r="J810" s="274" t="s">
        <v>6646</v>
      </c>
      <c r="K810" s="274" t="s">
        <v>3746</v>
      </c>
      <c r="L810" s="274" t="s">
        <v>4921</v>
      </c>
      <c r="M810" s="281">
        <v>39900</v>
      </c>
      <c r="N810" s="280">
        <v>39900</v>
      </c>
      <c r="O810" s="280"/>
      <c r="P810" s="280"/>
      <c r="Q810" s="280"/>
      <c r="R810" s="280"/>
      <c r="S810" s="280"/>
      <c r="T810" s="297"/>
    </row>
    <row r="811" spans="1:20" x14ac:dyDescent="0.25">
      <c r="A811" s="274" t="s">
        <v>78</v>
      </c>
      <c r="B811" s="274" t="s">
        <v>79</v>
      </c>
      <c r="C811" s="274" t="s">
        <v>3741</v>
      </c>
      <c r="D811" s="274" t="s">
        <v>3742</v>
      </c>
      <c r="E811" s="274" t="s">
        <v>54</v>
      </c>
      <c r="F811" s="274" t="s">
        <v>137</v>
      </c>
      <c r="G811" s="274" t="s">
        <v>156</v>
      </c>
      <c r="H811" s="274" t="s">
        <v>157</v>
      </c>
      <c r="I811" s="274" t="s">
        <v>4922</v>
      </c>
      <c r="J811" s="274" t="s">
        <v>6646</v>
      </c>
      <c r="K811" s="274" t="s">
        <v>3746</v>
      </c>
      <c r="L811" s="274" t="s">
        <v>4917</v>
      </c>
      <c r="M811" s="281">
        <v>109500</v>
      </c>
      <c r="N811" s="280"/>
      <c r="O811" s="280"/>
      <c r="P811" s="280"/>
      <c r="Q811" s="280">
        <v>109500</v>
      </c>
      <c r="R811" s="280"/>
      <c r="S811" s="280"/>
      <c r="T811" s="297"/>
    </row>
    <row r="812" spans="1:20" x14ac:dyDescent="0.25">
      <c r="A812" s="274" t="s">
        <v>78</v>
      </c>
      <c r="B812" s="274" t="s">
        <v>79</v>
      </c>
      <c r="C812" s="274" t="s">
        <v>3741</v>
      </c>
      <c r="D812" s="274" t="s">
        <v>3742</v>
      </c>
      <c r="E812" s="274" t="s">
        <v>54</v>
      </c>
      <c r="F812" s="274" t="s">
        <v>137</v>
      </c>
      <c r="G812" s="274" t="s">
        <v>158</v>
      </c>
      <c r="H812" s="274" t="s">
        <v>159</v>
      </c>
      <c r="I812" s="274" t="s">
        <v>4923</v>
      </c>
      <c r="J812" s="274" t="s">
        <v>6648</v>
      </c>
      <c r="K812" s="274" t="s">
        <v>3746</v>
      </c>
      <c r="L812" s="274" t="s">
        <v>4924</v>
      </c>
      <c r="M812" s="281">
        <v>174886.8</v>
      </c>
      <c r="N812" s="280"/>
      <c r="O812" s="280"/>
      <c r="P812" s="280"/>
      <c r="Q812" s="280"/>
      <c r="R812" s="280">
        <v>174886.8</v>
      </c>
      <c r="S812" s="280"/>
      <c r="T812" s="297"/>
    </row>
    <row r="813" spans="1:20" x14ac:dyDescent="0.25">
      <c r="A813" s="274" t="s">
        <v>78</v>
      </c>
      <c r="B813" s="274" t="s">
        <v>79</v>
      </c>
      <c r="C813" s="274" t="s">
        <v>3741</v>
      </c>
      <c r="D813" s="274" t="s">
        <v>3742</v>
      </c>
      <c r="E813" s="274" t="s">
        <v>54</v>
      </c>
      <c r="F813" s="274" t="s">
        <v>137</v>
      </c>
      <c r="G813" s="274" t="s">
        <v>158</v>
      </c>
      <c r="H813" s="274" t="s">
        <v>159</v>
      </c>
      <c r="I813" s="274" t="s">
        <v>4925</v>
      </c>
      <c r="J813" s="274" t="s">
        <v>6648</v>
      </c>
      <c r="K813" s="274" t="s">
        <v>3746</v>
      </c>
      <c r="L813" s="274" t="s">
        <v>4924</v>
      </c>
      <c r="M813" s="281">
        <v>693.2</v>
      </c>
      <c r="N813" s="280"/>
      <c r="O813" s="280"/>
      <c r="P813" s="280"/>
      <c r="Q813" s="280"/>
      <c r="R813" s="280">
        <v>693.2</v>
      </c>
      <c r="S813" s="280"/>
      <c r="T813" s="297"/>
    </row>
    <row r="814" spans="1:20" x14ac:dyDescent="0.25">
      <c r="A814" s="274" t="s">
        <v>78</v>
      </c>
      <c r="B814" s="274" t="s">
        <v>79</v>
      </c>
      <c r="C814" s="274" t="s">
        <v>3741</v>
      </c>
      <c r="D814" s="274" t="s">
        <v>3742</v>
      </c>
      <c r="E814" s="274" t="s">
        <v>54</v>
      </c>
      <c r="F814" s="274" t="s">
        <v>137</v>
      </c>
      <c r="G814" s="274" t="s">
        <v>160</v>
      </c>
      <c r="H814" s="274" t="s">
        <v>161</v>
      </c>
      <c r="I814" s="274" t="s">
        <v>4926</v>
      </c>
      <c r="J814" s="274" t="s">
        <v>6649</v>
      </c>
      <c r="K814" s="274" t="s">
        <v>3746</v>
      </c>
      <c r="L814" s="274" t="s">
        <v>4927</v>
      </c>
      <c r="M814" s="281">
        <v>8613</v>
      </c>
      <c r="N814" s="280">
        <v>8613</v>
      </c>
      <c r="O814" s="280"/>
      <c r="P814" s="280"/>
      <c r="Q814" s="280"/>
      <c r="R814" s="280"/>
      <c r="S814" s="280"/>
      <c r="T814" s="297"/>
    </row>
    <row r="815" spans="1:20" x14ac:dyDescent="0.25">
      <c r="A815" s="274" t="s">
        <v>78</v>
      </c>
      <c r="B815" s="274" t="s">
        <v>79</v>
      </c>
      <c r="C815" s="274" t="s">
        <v>3741</v>
      </c>
      <c r="D815" s="274" t="s">
        <v>3742</v>
      </c>
      <c r="E815" s="274" t="s">
        <v>54</v>
      </c>
      <c r="F815" s="274" t="s">
        <v>137</v>
      </c>
      <c r="G815" s="274" t="s">
        <v>160</v>
      </c>
      <c r="H815" s="274" t="s">
        <v>161</v>
      </c>
      <c r="I815" s="274" t="s">
        <v>4928</v>
      </c>
      <c r="J815" s="274" t="s">
        <v>6649</v>
      </c>
      <c r="K815" s="274" t="s">
        <v>3746</v>
      </c>
      <c r="L815" s="274" t="s">
        <v>4929</v>
      </c>
      <c r="M815" s="281">
        <v>8613</v>
      </c>
      <c r="N815" s="280"/>
      <c r="O815" s="280">
        <v>8613</v>
      </c>
      <c r="P815" s="280"/>
      <c r="Q815" s="280"/>
      <c r="R815" s="280"/>
      <c r="S815" s="280"/>
      <c r="T815" s="297"/>
    </row>
    <row r="816" spans="1:20" x14ac:dyDescent="0.25">
      <c r="A816" s="274" t="s">
        <v>78</v>
      </c>
      <c r="B816" s="274" t="s">
        <v>79</v>
      </c>
      <c r="C816" s="274" t="s">
        <v>3741</v>
      </c>
      <c r="D816" s="274" t="s">
        <v>3742</v>
      </c>
      <c r="E816" s="274" t="s">
        <v>54</v>
      </c>
      <c r="F816" s="274" t="s">
        <v>137</v>
      </c>
      <c r="G816" s="274" t="s">
        <v>160</v>
      </c>
      <c r="H816" s="274" t="s">
        <v>161</v>
      </c>
      <c r="I816" s="274" t="s">
        <v>4930</v>
      </c>
      <c r="J816" s="274" t="s">
        <v>6649</v>
      </c>
      <c r="K816" s="274" t="s">
        <v>3746</v>
      </c>
      <c r="L816" s="274" t="s">
        <v>4931</v>
      </c>
      <c r="M816" s="281">
        <v>86133</v>
      </c>
      <c r="N816" s="280"/>
      <c r="O816" s="280"/>
      <c r="P816" s="280">
        <v>86133</v>
      </c>
      <c r="Q816" s="280"/>
      <c r="R816" s="280"/>
      <c r="S816" s="280"/>
      <c r="T816" s="297"/>
    </row>
    <row r="817" spans="1:20" x14ac:dyDescent="0.25">
      <c r="A817" s="274" t="s">
        <v>78</v>
      </c>
      <c r="B817" s="274" t="s">
        <v>79</v>
      </c>
      <c r="C817" s="274" t="s">
        <v>3741</v>
      </c>
      <c r="D817" s="274" t="s">
        <v>3742</v>
      </c>
      <c r="E817" s="274" t="s">
        <v>54</v>
      </c>
      <c r="F817" s="274" t="s">
        <v>137</v>
      </c>
      <c r="G817" s="274" t="s">
        <v>162</v>
      </c>
      <c r="H817" s="274" t="s">
        <v>163</v>
      </c>
      <c r="I817" s="274" t="s">
        <v>4932</v>
      </c>
      <c r="J817" s="274" t="s">
        <v>6650</v>
      </c>
      <c r="K817" s="274" t="s">
        <v>6506</v>
      </c>
      <c r="L817" s="274" t="s">
        <v>4933</v>
      </c>
      <c r="M817" s="281">
        <v>-15000</v>
      </c>
      <c r="N817" s="280">
        <v>-15000</v>
      </c>
      <c r="O817" s="280"/>
      <c r="P817" s="280"/>
      <c r="Q817" s="280"/>
      <c r="R817" s="280"/>
      <c r="S817" s="280"/>
      <c r="T817" s="297"/>
    </row>
    <row r="818" spans="1:20" x14ac:dyDescent="0.25">
      <c r="A818" s="274" t="s">
        <v>78</v>
      </c>
      <c r="B818" s="274" t="s">
        <v>79</v>
      </c>
      <c r="C818" s="274" t="s">
        <v>3741</v>
      </c>
      <c r="D818" s="274" t="s">
        <v>3742</v>
      </c>
      <c r="E818" s="274" t="s">
        <v>54</v>
      </c>
      <c r="F818" s="274" t="s">
        <v>137</v>
      </c>
      <c r="G818" s="274" t="s">
        <v>162</v>
      </c>
      <c r="H818" s="274" t="s">
        <v>163</v>
      </c>
      <c r="I818" s="274" t="s">
        <v>4934</v>
      </c>
      <c r="J818" s="274" t="s">
        <v>6650</v>
      </c>
      <c r="K818" s="274" t="s">
        <v>6506</v>
      </c>
      <c r="L818" s="274" t="s">
        <v>4933</v>
      </c>
      <c r="M818" s="281">
        <v>28652.560000000001</v>
      </c>
      <c r="N818" s="280">
        <v>28652.560000000001</v>
      </c>
      <c r="O818" s="280"/>
      <c r="P818" s="280"/>
      <c r="Q818" s="280"/>
      <c r="R818" s="280"/>
      <c r="S818" s="280"/>
      <c r="T818" s="297"/>
    </row>
    <row r="819" spans="1:20" x14ac:dyDescent="0.25">
      <c r="A819" s="274" t="s">
        <v>78</v>
      </c>
      <c r="B819" s="274" t="s">
        <v>79</v>
      </c>
      <c r="C819" s="274" t="s">
        <v>3741</v>
      </c>
      <c r="D819" s="274" t="s">
        <v>3742</v>
      </c>
      <c r="E819" s="274" t="s">
        <v>54</v>
      </c>
      <c r="F819" s="274" t="s">
        <v>137</v>
      </c>
      <c r="G819" s="274" t="s">
        <v>162</v>
      </c>
      <c r="H819" s="274" t="s">
        <v>163</v>
      </c>
      <c r="I819" s="274" t="s">
        <v>4935</v>
      </c>
      <c r="J819" s="274" t="s">
        <v>6650</v>
      </c>
      <c r="K819" s="274" t="s">
        <v>6506</v>
      </c>
      <c r="L819" s="274" t="s">
        <v>4933</v>
      </c>
      <c r="M819" s="281">
        <v>7982.96</v>
      </c>
      <c r="N819" s="280">
        <v>7982.96</v>
      </c>
      <c r="O819" s="280"/>
      <c r="P819" s="280"/>
      <c r="Q819" s="280"/>
      <c r="R819" s="280"/>
      <c r="S819" s="280"/>
      <c r="T819" s="297"/>
    </row>
    <row r="820" spans="1:20" x14ac:dyDescent="0.25">
      <c r="A820" s="274" t="s">
        <v>78</v>
      </c>
      <c r="B820" s="274" t="s">
        <v>79</v>
      </c>
      <c r="C820" s="274" t="s">
        <v>3741</v>
      </c>
      <c r="D820" s="274" t="s">
        <v>3742</v>
      </c>
      <c r="E820" s="274" t="s">
        <v>54</v>
      </c>
      <c r="F820" s="274" t="s">
        <v>137</v>
      </c>
      <c r="G820" s="274" t="s">
        <v>162</v>
      </c>
      <c r="H820" s="274" t="s">
        <v>163</v>
      </c>
      <c r="I820" s="274" t="s">
        <v>4936</v>
      </c>
      <c r="J820" s="274" t="s">
        <v>6650</v>
      </c>
      <c r="K820" s="274" t="s">
        <v>6546</v>
      </c>
      <c r="L820" s="274" t="s">
        <v>4937</v>
      </c>
      <c r="M820" s="281">
        <v>15000</v>
      </c>
      <c r="N820" s="280">
        <v>15000</v>
      </c>
      <c r="O820" s="280"/>
      <c r="P820" s="280"/>
      <c r="Q820" s="280"/>
      <c r="R820" s="280"/>
      <c r="S820" s="280"/>
      <c r="T820" s="297"/>
    </row>
    <row r="821" spans="1:20" x14ac:dyDescent="0.25">
      <c r="A821" s="274" t="s">
        <v>78</v>
      </c>
      <c r="B821" s="274" t="s">
        <v>79</v>
      </c>
      <c r="C821" s="274" t="s">
        <v>3741</v>
      </c>
      <c r="D821" s="274" t="s">
        <v>3742</v>
      </c>
      <c r="E821" s="274" t="s">
        <v>54</v>
      </c>
      <c r="F821" s="274" t="s">
        <v>137</v>
      </c>
      <c r="G821" s="274" t="s">
        <v>162</v>
      </c>
      <c r="H821" s="274" t="s">
        <v>163</v>
      </c>
      <c r="I821" s="274" t="s">
        <v>4938</v>
      </c>
      <c r="J821" s="274" t="s">
        <v>6650</v>
      </c>
      <c r="K821" s="274" t="s">
        <v>6546</v>
      </c>
      <c r="L821" s="274" t="s">
        <v>4937</v>
      </c>
      <c r="M821" s="281">
        <v>15830</v>
      </c>
      <c r="N821" s="280"/>
      <c r="O821" s="280">
        <v>15830</v>
      </c>
      <c r="P821" s="280"/>
      <c r="Q821" s="280"/>
      <c r="R821" s="280"/>
      <c r="S821" s="280"/>
      <c r="T821" s="297"/>
    </row>
    <row r="822" spans="1:20" x14ac:dyDescent="0.25">
      <c r="A822" s="274" t="s">
        <v>78</v>
      </c>
      <c r="B822" s="274" t="s">
        <v>79</v>
      </c>
      <c r="C822" s="274" t="s">
        <v>3741</v>
      </c>
      <c r="D822" s="274" t="s">
        <v>3742</v>
      </c>
      <c r="E822" s="274" t="s">
        <v>54</v>
      </c>
      <c r="F822" s="274" t="s">
        <v>137</v>
      </c>
      <c r="G822" s="274" t="s">
        <v>162</v>
      </c>
      <c r="H822" s="274" t="s">
        <v>163</v>
      </c>
      <c r="I822" s="274" t="s">
        <v>4939</v>
      </c>
      <c r="J822" s="274" t="s">
        <v>6650</v>
      </c>
      <c r="K822" s="274" t="s">
        <v>6546</v>
      </c>
      <c r="L822" s="274" t="s">
        <v>4940</v>
      </c>
      <c r="M822" s="281">
        <v>20000</v>
      </c>
      <c r="N822" s="280"/>
      <c r="O822" s="280">
        <v>20000</v>
      </c>
      <c r="P822" s="280"/>
      <c r="Q822" s="280"/>
      <c r="R822" s="280"/>
      <c r="S822" s="280"/>
      <c r="T822" s="297"/>
    </row>
    <row r="823" spans="1:20" x14ac:dyDescent="0.25">
      <c r="A823" s="274" t="s">
        <v>78</v>
      </c>
      <c r="B823" s="274" t="s">
        <v>79</v>
      </c>
      <c r="C823" s="274" t="s">
        <v>3741</v>
      </c>
      <c r="D823" s="274" t="s">
        <v>3742</v>
      </c>
      <c r="E823" s="274" t="s">
        <v>54</v>
      </c>
      <c r="F823" s="274" t="s">
        <v>137</v>
      </c>
      <c r="G823" s="274" t="s">
        <v>162</v>
      </c>
      <c r="H823" s="274" t="s">
        <v>163</v>
      </c>
      <c r="I823" s="274" t="s">
        <v>4941</v>
      </c>
      <c r="J823" s="274" t="s">
        <v>6650</v>
      </c>
      <c r="K823" s="274" t="s">
        <v>6546</v>
      </c>
      <c r="L823" s="274" t="s">
        <v>4942</v>
      </c>
      <c r="M823" s="281">
        <v>10675.4</v>
      </c>
      <c r="N823" s="280"/>
      <c r="O823" s="280"/>
      <c r="P823" s="280">
        <v>10675.4</v>
      </c>
      <c r="Q823" s="280"/>
      <c r="R823" s="280"/>
      <c r="S823" s="280"/>
      <c r="T823" s="297"/>
    </row>
    <row r="824" spans="1:20" x14ac:dyDescent="0.25">
      <c r="A824" s="274" t="s">
        <v>78</v>
      </c>
      <c r="B824" s="274" t="s">
        <v>79</v>
      </c>
      <c r="C824" s="274" t="s">
        <v>3741</v>
      </c>
      <c r="D824" s="274" t="s">
        <v>3742</v>
      </c>
      <c r="E824" s="274" t="s">
        <v>54</v>
      </c>
      <c r="F824" s="274" t="s">
        <v>137</v>
      </c>
      <c r="G824" s="274" t="s">
        <v>162</v>
      </c>
      <c r="H824" s="274" t="s">
        <v>163</v>
      </c>
      <c r="I824" s="274" t="s">
        <v>4943</v>
      </c>
      <c r="J824" s="274" t="s">
        <v>6650</v>
      </c>
      <c r="K824" s="274" t="s">
        <v>6546</v>
      </c>
      <c r="L824" s="274" t="s">
        <v>4944</v>
      </c>
      <c r="M824" s="281">
        <v>20000</v>
      </c>
      <c r="N824" s="280"/>
      <c r="O824" s="280"/>
      <c r="P824" s="280">
        <v>20000</v>
      </c>
      <c r="Q824" s="280"/>
      <c r="R824" s="280"/>
      <c r="S824" s="280"/>
      <c r="T824" s="297"/>
    </row>
    <row r="825" spans="1:20" x14ac:dyDescent="0.25">
      <c r="A825" s="274" t="s">
        <v>78</v>
      </c>
      <c r="B825" s="274" t="s">
        <v>79</v>
      </c>
      <c r="C825" s="274" t="s">
        <v>3741</v>
      </c>
      <c r="D825" s="274" t="s">
        <v>3742</v>
      </c>
      <c r="E825" s="274" t="s">
        <v>54</v>
      </c>
      <c r="F825" s="274" t="s">
        <v>137</v>
      </c>
      <c r="G825" s="274" t="s">
        <v>162</v>
      </c>
      <c r="H825" s="274" t="s">
        <v>163</v>
      </c>
      <c r="I825" s="274" t="s">
        <v>4945</v>
      </c>
      <c r="J825" s="274" t="s">
        <v>6650</v>
      </c>
      <c r="K825" s="274" t="s">
        <v>6546</v>
      </c>
      <c r="L825" s="274" t="s">
        <v>4944</v>
      </c>
      <c r="M825" s="281">
        <v>7225.02</v>
      </c>
      <c r="N825" s="280"/>
      <c r="O825" s="280"/>
      <c r="P825" s="280"/>
      <c r="Q825" s="280">
        <v>7225.02</v>
      </c>
      <c r="R825" s="280"/>
      <c r="S825" s="280"/>
      <c r="T825" s="297"/>
    </row>
    <row r="826" spans="1:20" x14ac:dyDescent="0.25">
      <c r="A826" s="274" t="s">
        <v>78</v>
      </c>
      <c r="B826" s="274" t="s">
        <v>79</v>
      </c>
      <c r="C826" s="274" t="s">
        <v>3741</v>
      </c>
      <c r="D826" s="274" t="s">
        <v>3742</v>
      </c>
      <c r="E826" s="274" t="s">
        <v>54</v>
      </c>
      <c r="F826" s="274" t="s">
        <v>137</v>
      </c>
      <c r="G826" s="274" t="s">
        <v>162</v>
      </c>
      <c r="H826" s="274" t="s">
        <v>163</v>
      </c>
      <c r="I826" s="274" t="s">
        <v>4946</v>
      </c>
      <c r="J826" s="274" t="s">
        <v>6650</v>
      </c>
      <c r="K826" s="274" t="s">
        <v>6546</v>
      </c>
      <c r="L826" s="274" t="s">
        <v>4947</v>
      </c>
      <c r="M826" s="281">
        <v>20000</v>
      </c>
      <c r="N826" s="280"/>
      <c r="O826" s="280"/>
      <c r="P826" s="280"/>
      <c r="Q826" s="280">
        <v>20000</v>
      </c>
      <c r="R826" s="280"/>
      <c r="S826" s="280"/>
      <c r="T826" s="297"/>
    </row>
    <row r="827" spans="1:20" x14ac:dyDescent="0.25">
      <c r="A827" s="274" t="s">
        <v>78</v>
      </c>
      <c r="B827" s="274" t="s">
        <v>79</v>
      </c>
      <c r="C827" s="274" t="s">
        <v>3741</v>
      </c>
      <c r="D827" s="274" t="s">
        <v>3742</v>
      </c>
      <c r="E827" s="274" t="s">
        <v>54</v>
      </c>
      <c r="F827" s="274" t="s">
        <v>137</v>
      </c>
      <c r="G827" s="274" t="s">
        <v>162</v>
      </c>
      <c r="H827" s="274" t="s">
        <v>163</v>
      </c>
      <c r="I827" s="274" t="s">
        <v>4948</v>
      </c>
      <c r="J827" s="274" t="s">
        <v>6650</v>
      </c>
      <c r="K827" s="274" t="s">
        <v>6546</v>
      </c>
      <c r="L827" s="274" t="s">
        <v>4947</v>
      </c>
      <c r="M827" s="281">
        <v>8143.63</v>
      </c>
      <c r="N827" s="280"/>
      <c r="O827" s="280"/>
      <c r="P827" s="280"/>
      <c r="Q827" s="280"/>
      <c r="R827" s="280">
        <v>8143.63</v>
      </c>
      <c r="S827" s="280"/>
      <c r="T827" s="297"/>
    </row>
    <row r="828" spans="1:20" x14ac:dyDescent="0.25">
      <c r="A828" s="274" t="s">
        <v>78</v>
      </c>
      <c r="B828" s="274" t="s">
        <v>79</v>
      </c>
      <c r="C828" s="274" t="s">
        <v>3741</v>
      </c>
      <c r="D828" s="274" t="s">
        <v>3742</v>
      </c>
      <c r="E828" s="274" t="s">
        <v>54</v>
      </c>
      <c r="F828" s="274" t="s">
        <v>137</v>
      </c>
      <c r="G828" s="274" t="s">
        <v>162</v>
      </c>
      <c r="H828" s="274" t="s">
        <v>163</v>
      </c>
      <c r="I828" s="274" t="s">
        <v>4949</v>
      </c>
      <c r="J828" s="274" t="s">
        <v>6650</v>
      </c>
      <c r="K828" s="274" t="s">
        <v>6546</v>
      </c>
      <c r="L828" s="274" t="s">
        <v>4950</v>
      </c>
      <c r="M828" s="281">
        <v>20000</v>
      </c>
      <c r="N828" s="280"/>
      <c r="O828" s="280"/>
      <c r="P828" s="280"/>
      <c r="Q828" s="280"/>
      <c r="R828" s="280">
        <v>20000</v>
      </c>
      <c r="S828" s="280"/>
      <c r="T828" s="297"/>
    </row>
    <row r="829" spans="1:20" x14ac:dyDescent="0.25">
      <c r="A829" s="274" t="s">
        <v>78</v>
      </c>
      <c r="B829" s="274" t="s">
        <v>79</v>
      </c>
      <c r="C829" s="274" t="s">
        <v>3741</v>
      </c>
      <c r="D829" s="274" t="s">
        <v>3742</v>
      </c>
      <c r="E829" s="274" t="s">
        <v>54</v>
      </c>
      <c r="F829" s="274" t="s">
        <v>137</v>
      </c>
      <c r="G829" s="274" t="s">
        <v>162</v>
      </c>
      <c r="H829" s="274" t="s">
        <v>163</v>
      </c>
      <c r="I829" s="274" t="s">
        <v>6362</v>
      </c>
      <c r="J829" s="274" t="s">
        <v>6650</v>
      </c>
      <c r="K829" s="274" t="s">
        <v>6546</v>
      </c>
      <c r="L829" s="274" t="s">
        <v>4950</v>
      </c>
      <c r="M829" s="281">
        <v>8473.5400000000009</v>
      </c>
      <c r="N829" s="280"/>
      <c r="O829" s="280"/>
      <c r="P829" s="280"/>
      <c r="Q829" s="280"/>
      <c r="R829" s="280"/>
      <c r="S829" s="280">
        <v>8473.5400000000009</v>
      </c>
      <c r="T829" s="297"/>
    </row>
    <row r="830" spans="1:20" x14ac:dyDescent="0.25">
      <c r="A830" s="274" t="s">
        <v>78</v>
      </c>
      <c r="B830" s="274" t="s">
        <v>79</v>
      </c>
      <c r="C830" s="274" t="s">
        <v>3741</v>
      </c>
      <c r="D830" s="274" t="s">
        <v>3742</v>
      </c>
      <c r="E830" s="274" t="s">
        <v>54</v>
      </c>
      <c r="F830" s="274" t="s">
        <v>137</v>
      </c>
      <c r="G830" s="274" t="s">
        <v>162</v>
      </c>
      <c r="H830" s="274" t="s">
        <v>163</v>
      </c>
      <c r="I830" s="274" t="s">
        <v>6363</v>
      </c>
      <c r="J830" s="274" t="s">
        <v>6650</v>
      </c>
      <c r="K830" s="274" t="s">
        <v>6546</v>
      </c>
      <c r="L830" s="274" t="s">
        <v>6364</v>
      </c>
      <c r="M830" s="281">
        <v>20000</v>
      </c>
      <c r="N830" s="280"/>
      <c r="O830" s="280"/>
      <c r="P830" s="280"/>
      <c r="Q830" s="280"/>
      <c r="R830" s="280"/>
      <c r="S830" s="280">
        <v>20000</v>
      </c>
      <c r="T830" s="297"/>
    </row>
    <row r="831" spans="1:20" x14ac:dyDescent="0.25">
      <c r="A831" s="274" t="s">
        <v>78</v>
      </c>
      <c r="B831" s="274" t="s">
        <v>79</v>
      </c>
      <c r="C831" s="274" t="s">
        <v>3741</v>
      </c>
      <c r="D831" s="274" t="s">
        <v>3742</v>
      </c>
      <c r="E831" s="274" t="s">
        <v>54</v>
      </c>
      <c r="F831" s="274" t="s">
        <v>137</v>
      </c>
      <c r="G831" s="274" t="s">
        <v>162</v>
      </c>
      <c r="H831" s="274" t="s">
        <v>163</v>
      </c>
      <c r="I831" s="274" t="s">
        <v>4951</v>
      </c>
      <c r="J831" s="274" t="s">
        <v>6650</v>
      </c>
      <c r="K831" s="274" t="s">
        <v>6546</v>
      </c>
      <c r="L831" s="274" t="s">
        <v>4937</v>
      </c>
      <c r="M831" s="281">
        <v>0.8</v>
      </c>
      <c r="N831" s="280"/>
      <c r="O831" s="280">
        <v>0.8</v>
      </c>
      <c r="P831" s="280"/>
      <c r="Q831" s="280"/>
      <c r="R831" s="280"/>
      <c r="S831" s="280"/>
      <c r="T831" s="297"/>
    </row>
    <row r="832" spans="1:20" x14ac:dyDescent="0.25">
      <c r="A832" s="274" t="s">
        <v>78</v>
      </c>
      <c r="B832" s="274" t="s">
        <v>79</v>
      </c>
      <c r="C832" s="274" t="s">
        <v>3741</v>
      </c>
      <c r="D832" s="274" t="s">
        <v>3742</v>
      </c>
      <c r="E832" s="274" t="s">
        <v>54</v>
      </c>
      <c r="F832" s="274" t="s">
        <v>137</v>
      </c>
      <c r="G832" s="274" t="s">
        <v>101</v>
      </c>
      <c r="H832" s="274" t="s">
        <v>102</v>
      </c>
      <c r="I832" s="274" t="s">
        <v>4952</v>
      </c>
      <c r="J832" s="274" t="s">
        <v>6651</v>
      </c>
      <c r="K832" s="274" t="s">
        <v>6506</v>
      </c>
      <c r="L832" s="274" t="s">
        <v>4953</v>
      </c>
      <c r="M832" s="281">
        <v>33468.639999999999</v>
      </c>
      <c r="N832" s="280">
        <v>33468.639999999999</v>
      </c>
      <c r="O832" s="280"/>
      <c r="P832" s="280"/>
      <c r="Q832" s="280"/>
      <c r="R832" s="280"/>
      <c r="S832" s="280"/>
      <c r="T832" s="297"/>
    </row>
    <row r="833" spans="1:20" x14ac:dyDescent="0.25">
      <c r="A833" s="274" t="s">
        <v>78</v>
      </c>
      <c r="B833" s="274" t="s">
        <v>79</v>
      </c>
      <c r="C833" s="274" t="s">
        <v>3741</v>
      </c>
      <c r="D833" s="274" t="s">
        <v>3742</v>
      </c>
      <c r="E833" s="274" t="s">
        <v>54</v>
      </c>
      <c r="F833" s="274" t="s">
        <v>137</v>
      </c>
      <c r="G833" s="274" t="s">
        <v>101</v>
      </c>
      <c r="H833" s="274" t="s">
        <v>102</v>
      </c>
      <c r="I833" s="274" t="s">
        <v>4954</v>
      </c>
      <c r="J833" s="274" t="s">
        <v>6652</v>
      </c>
      <c r="K833" s="274" t="s">
        <v>6506</v>
      </c>
      <c r="L833" s="274" t="s">
        <v>4863</v>
      </c>
      <c r="M833" s="281">
        <v>-35979</v>
      </c>
      <c r="N833" s="280">
        <v>-35979</v>
      </c>
      <c r="O833" s="280"/>
      <c r="P833" s="280"/>
      <c r="Q833" s="280"/>
      <c r="R833" s="280"/>
      <c r="S833" s="280"/>
      <c r="T833" s="297"/>
    </row>
    <row r="834" spans="1:20" x14ac:dyDescent="0.25">
      <c r="A834" s="274" t="s">
        <v>78</v>
      </c>
      <c r="B834" s="274" t="s">
        <v>79</v>
      </c>
      <c r="C834" s="274" t="s">
        <v>3741</v>
      </c>
      <c r="D834" s="274" t="s">
        <v>3742</v>
      </c>
      <c r="E834" s="274" t="s">
        <v>54</v>
      </c>
      <c r="F834" s="274" t="s">
        <v>137</v>
      </c>
      <c r="G834" s="274" t="s">
        <v>101</v>
      </c>
      <c r="H834" s="274" t="s">
        <v>102</v>
      </c>
      <c r="I834" s="274" t="s">
        <v>4955</v>
      </c>
      <c r="J834" s="274" t="s">
        <v>6652</v>
      </c>
      <c r="K834" s="274" t="s">
        <v>6506</v>
      </c>
      <c r="L834" s="274" t="s">
        <v>4863</v>
      </c>
      <c r="M834" s="281">
        <v>23639.78</v>
      </c>
      <c r="N834" s="280">
        <v>23639.78</v>
      </c>
      <c r="O834" s="280"/>
      <c r="P834" s="280"/>
      <c r="Q834" s="280"/>
      <c r="R834" s="280"/>
      <c r="S834" s="280"/>
      <c r="T834" s="297"/>
    </row>
    <row r="835" spans="1:20" x14ac:dyDescent="0.25">
      <c r="A835" s="274" t="s">
        <v>78</v>
      </c>
      <c r="B835" s="274" t="s">
        <v>79</v>
      </c>
      <c r="C835" s="274" t="s">
        <v>3741</v>
      </c>
      <c r="D835" s="274" t="s">
        <v>3742</v>
      </c>
      <c r="E835" s="274" t="s">
        <v>54</v>
      </c>
      <c r="F835" s="274" t="s">
        <v>137</v>
      </c>
      <c r="G835" s="274" t="s">
        <v>101</v>
      </c>
      <c r="H835" s="274" t="s">
        <v>102</v>
      </c>
      <c r="I835" s="274" t="s">
        <v>4956</v>
      </c>
      <c r="J835" s="274" t="s">
        <v>6652</v>
      </c>
      <c r="K835" s="274" t="s">
        <v>6506</v>
      </c>
      <c r="L835" s="274" t="s">
        <v>4957</v>
      </c>
      <c r="M835" s="281">
        <v>216</v>
      </c>
      <c r="N835" s="280"/>
      <c r="O835" s="280"/>
      <c r="P835" s="280">
        <v>216</v>
      </c>
      <c r="Q835" s="280"/>
      <c r="R835" s="280"/>
      <c r="S835" s="280"/>
      <c r="T835" s="297"/>
    </row>
    <row r="836" spans="1:20" x14ac:dyDescent="0.25">
      <c r="A836" s="274" t="s">
        <v>78</v>
      </c>
      <c r="B836" s="274" t="s">
        <v>79</v>
      </c>
      <c r="C836" s="274" t="s">
        <v>3741</v>
      </c>
      <c r="D836" s="274" t="s">
        <v>3742</v>
      </c>
      <c r="E836" s="274" t="s">
        <v>54</v>
      </c>
      <c r="F836" s="274" t="s">
        <v>137</v>
      </c>
      <c r="G836" s="274" t="s">
        <v>101</v>
      </c>
      <c r="H836" s="274" t="s">
        <v>102</v>
      </c>
      <c r="I836" s="274" t="s">
        <v>4958</v>
      </c>
      <c r="J836" s="274" t="s">
        <v>6651</v>
      </c>
      <c r="K836" s="274" t="s">
        <v>6506</v>
      </c>
      <c r="L836" s="274" t="s">
        <v>4959</v>
      </c>
      <c r="M836" s="281">
        <v>306</v>
      </c>
      <c r="N836" s="280"/>
      <c r="O836" s="280"/>
      <c r="P836" s="280">
        <v>306</v>
      </c>
      <c r="Q836" s="280"/>
      <c r="R836" s="280"/>
      <c r="S836" s="280"/>
      <c r="T836" s="297"/>
    </row>
    <row r="837" spans="1:20" x14ac:dyDescent="0.25">
      <c r="A837" s="274" t="s">
        <v>78</v>
      </c>
      <c r="B837" s="274" t="s">
        <v>79</v>
      </c>
      <c r="C837" s="274" t="s">
        <v>3741</v>
      </c>
      <c r="D837" s="274" t="s">
        <v>3742</v>
      </c>
      <c r="E837" s="274" t="s">
        <v>54</v>
      </c>
      <c r="F837" s="274" t="s">
        <v>137</v>
      </c>
      <c r="G837" s="274" t="s">
        <v>101</v>
      </c>
      <c r="H837" s="274" t="s">
        <v>102</v>
      </c>
      <c r="I837" s="274" t="s">
        <v>6365</v>
      </c>
      <c r="J837" s="274" t="s">
        <v>6653</v>
      </c>
      <c r="K837" s="274" t="s">
        <v>3746</v>
      </c>
      <c r="L837" s="274" t="s">
        <v>6366</v>
      </c>
      <c r="M837" s="281">
        <v>21349</v>
      </c>
      <c r="N837" s="280"/>
      <c r="O837" s="280"/>
      <c r="P837" s="280"/>
      <c r="Q837" s="280"/>
      <c r="R837" s="280">
        <v>21349</v>
      </c>
      <c r="S837" s="280"/>
      <c r="T837" s="297"/>
    </row>
    <row r="838" spans="1:20" x14ac:dyDescent="0.25">
      <c r="A838" s="274" t="s">
        <v>78</v>
      </c>
      <c r="B838" s="274" t="s">
        <v>79</v>
      </c>
      <c r="C838" s="274" t="s">
        <v>3741</v>
      </c>
      <c r="D838" s="274" t="s">
        <v>3742</v>
      </c>
      <c r="E838" s="274" t="s">
        <v>54</v>
      </c>
      <c r="F838" s="274" t="s">
        <v>137</v>
      </c>
      <c r="G838" s="274" t="s">
        <v>164</v>
      </c>
      <c r="H838" s="274" t="s">
        <v>165</v>
      </c>
      <c r="I838" s="274" t="s">
        <v>4960</v>
      </c>
      <c r="J838" s="274" t="s">
        <v>6654</v>
      </c>
      <c r="K838" s="274" t="s">
        <v>3746</v>
      </c>
      <c r="L838" s="274" t="s">
        <v>4961</v>
      </c>
      <c r="M838" s="281">
        <v>600</v>
      </c>
      <c r="N838" s="280">
        <v>600</v>
      </c>
      <c r="O838" s="280"/>
      <c r="P838" s="280"/>
      <c r="Q838" s="280"/>
      <c r="R838" s="280"/>
      <c r="S838" s="280"/>
      <c r="T838" s="297"/>
    </row>
    <row r="839" spans="1:20" x14ac:dyDescent="0.25">
      <c r="A839" s="274" t="s">
        <v>78</v>
      </c>
      <c r="B839" s="274" t="s">
        <v>79</v>
      </c>
      <c r="C839" s="274" t="s">
        <v>3741</v>
      </c>
      <c r="D839" s="274" t="s">
        <v>3742</v>
      </c>
      <c r="E839" s="274" t="s">
        <v>54</v>
      </c>
      <c r="F839" s="274" t="s">
        <v>137</v>
      </c>
      <c r="G839" s="274" t="s">
        <v>164</v>
      </c>
      <c r="H839" s="274" t="s">
        <v>165</v>
      </c>
      <c r="I839" s="274" t="s">
        <v>4962</v>
      </c>
      <c r="J839" s="274" t="s">
        <v>6654</v>
      </c>
      <c r="K839" s="274" t="s">
        <v>6506</v>
      </c>
      <c r="L839" s="274" t="s">
        <v>4963</v>
      </c>
      <c r="M839" s="281">
        <v>790</v>
      </c>
      <c r="N839" s="280">
        <v>790</v>
      </c>
      <c r="O839" s="280"/>
      <c r="P839" s="280"/>
      <c r="Q839" s="280"/>
      <c r="R839" s="280"/>
      <c r="S839" s="280"/>
      <c r="T839" s="297"/>
    </row>
    <row r="840" spans="1:20" x14ac:dyDescent="0.25">
      <c r="A840" s="274" t="s">
        <v>78</v>
      </c>
      <c r="B840" s="274" t="s">
        <v>79</v>
      </c>
      <c r="C840" s="274" t="s">
        <v>3741</v>
      </c>
      <c r="D840" s="274" t="s">
        <v>3742</v>
      </c>
      <c r="E840" s="274" t="s">
        <v>54</v>
      </c>
      <c r="F840" s="274" t="s">
        <v>137</v>
      </c>
      <c r="G840" s="274" t="s">
        <v>164</v>
      </c>
      <c r="H840" s="274" t="s">
        <v>165</v>
      </c>
      <c r="I840" s="274" t="s">
        <v>4964</v>
      </c>
      <c r="J840" s="274" t="s">
        <v>6654</v>
      </c>
      <c r="K840" s="274" t="s">
        <v>6590</v>
      </c>
      <c r="L840" s="274" t="s">
        <v>4965</v>
      </c>
      <c r="M840" s="281">
        <v>300</v>
      </c>
      <c r="N840" s="280">
        <v>300</v>
      </c>
      <c r="O840" s="280"/>
      <c r="P840" s="280"/>
      <c r="Q840" s="280"/>
      <c r="R840" s="280"/>
      <c r="S840" s="280"/>
      <c r="T840" s="297"/>
    </row>
    <row r="841" spans="1:20" x14ac:dyDescent="0.25">
      <c r="A841" s="274" t="s">
        <v>78</v>
      </c>
      <c r="B841" s="274" t="s">
        <v>79</v>
      </c>
      <c r="C841" s="274" t="s">
        <v>3741</v>
      </c>
      <c r="D841" s="274" t="s">
        <v>3742</v>
      </c>
      <c r="E841" s="274" t="s">
        <v>54</v>
      </c>
      <c r="F841" s="274" t="s">
        <v>137</v>
      </c>
      <c r="G841" s="274" t="s">
        <v>164</v>
      </c>
      <c r="H841" s="274" t="s">
        <v>165</v>
      </c>
      <c r="I841" s="274" t="s">
        <v>4966</v>
      </c>
      <c r="J841" s="274" t="s">
        <v>6654</v>
      </c>
      <c r="K841" s="274" t="s">
        <v>6589</v>
      </c>
      <c r="L841" s="274" t="s">
        <v>4967</v>
      </c>
      <c r="M841" s="281">
        <v>500</v>
      </c>
      <c r="N841" s="280">
        <v>500</v>
      </c>
      <c r="O841" s="280"/>
      <c r="P841" s="280"/>
      <c r="Q841" s="280"/>
      <c r="R841" s="280"/>
      <c r="S841" s="280"/>
      <c r="T841" s="297"/>
    </row>
    <row r="842" spans="1:20" x14ac:dyDescent="0.25">
      <c r="A842" s="274" t="s">
        <v>78</v>
      </c>
      <c r="B842" s="274" t="s">
        <v>79</v>
      </c>
      <c r="C842" s="274" t="s">
        <v>3741</v>
      </c>
      <c r="D842" s="274" t="s">
        <v>3742</v>
      </c>
      <c r="E842" s="274" t="s">
        <v>54</v>
      </c>
      <c r="F842" s="274" t="s">
        <v>137</v>
      </c>
      <c r="G842" s="274" t="s">
        <v>164</v>
      </c>
      <c r="H842" s="274" t="s">
        <v>165</v>
      </c>
      <c r="I842" s="274" t="s">
        <v>4968</v>
      </c>
      <c r="J842" s="274" t="s">
        <v>6654</v>
      </c>
      <c r="K842" s="274" t="s">
        <v>3746</v>
      </c>
      <c r="L842" s="274" t="s">
        <v>4969</v>
      </c>
      <c r="M842" s="281">
        <v>600</v>
      </c>
      <c r="N842" s="280"/>
      <c r="O842" s="280">
        <v>600</v>
      </c>
      <c r="P842" s="280"/>
      <c r="Q842" s="280"/>
      <c r="R842" s="280"/>
      <c r="S842" s="280"/>
      <c r="T842" s="297"/>
    </row>
    <row r="843" spans="1:20" x14ac:dyDescent="0.25">
      <c r="A843" s="274" t="s">
        <v>78</v>
      </c>
      <c r="B843" s="274" t="s">
        <v>79</v>
      </c>
      <c r="C843" s="274" t="s">
        <v>3741</v>
      </c>
      <c r="D843" s="274" t="s">
        <v>3742</v>
      </c>
      <c r="E843" s="274" t="s">
        <v>54</v>
      </c>
      <c r="F843" s="274" t="s">
        <v>137</v>
      </c>
      <c r="G843" s="274" t="s">
        <v>164</v>
      </c>
      <c r="H843" s="274" t="s">
        <v>165</v>
      </c>
      <c r="I843" s="274" t="s">
        <v>4970</v>
      </c>
      <c r="J843" s="274" t="s">
        <v>6654</v>
      </c>
      <c r="K843" s="274" t="s">
        <v>6506</v>
      </c>
      <c r="L843" s="274" t="s">
        <v>4971</v>
      </c>
      <c r="M843" s="281">
        <v>790</v>
      </c>
      <c r="N843" s="280"/>
      <c r="O843" s="280">
        <v>790</v>
      </c>
      <c r="P843" s="280"/>
      <c r="Q843" s="280"/>
      <c r="R843" s="280"/>
      <c r="S843" s="280"/>
      <c r="T843" s="297"/>
    </row>
    <row r="844" spans="1:20" x14ac:dyDescent="0.25">
      <c r="A844" s="274" t="s">
        <v>78</v>
      </c>
      <c r="B844" s="274" t="s">
        <v>79</v>
      </c>
      <c r="C844" s="274" t="s">
        <v>3741</v>
      </c>
      <c r="D844" s="274" t="s">
        <v>3742</v>
      </c>
      <c r="E844" s="274" t="s">
        <v>54</v>
      </c>
      <c r="F844" s="274" t="s">
        <v>137</v>
      </c>
      <c r="G844" s="274" t="s">
        <v>164</v>
      </c>
      <c r="H844" s="274" t="s">
        <v>165</v>
      </c>
      <c r="I844" s="274" t="s">
        <v>4972</v>
      </c>
      <c r="J844" s="274" t="s">
        <v>6654</v>
      </c>
      <c r="K844" s="274" t="s">
        <v>6589</v>
      </c>
      <c r="L844" s="274" t="s">
        <v>4973</v>
      </c>
      <c r="M844" s="281">
        <v>500</v>
      </c>
      <c r="N844" s="280"/>
      <c r="O844" s="280">
        <v>500</v>
      </c>
      <c r="P844" s="280"/>
      <c r="Q844" s="280"/>
      <c r="R844" s="280"/>
      <c r="S844" s="280"/>
      <c r="T844" s="297"/>
    </row>
    <row r="845" spans="1:20" x14ac:dyDescent="0.25">
      <c r="A845" s="274" t="s">
        <v>78</v>
      </c>
      <c r="B845" s="274" t="s">
        <v>79</v>
      </c>
      <c r="C845" s="274" t="s">
        <v>3741</v>
      </c>
      <c r="D845" s="274" t="s">
        <v>3742</v>
      </c>
      <c r="E845" s="274" t="s">
        <v>54</v>
      </c>
      <c r="F845" s="274" t="s">
        <v>137</v>
      </c>
      <c r="G845" s="274" t="s">
        <v>164</v>
      </c>
      <c r="H845" s="274" t="s">
        <v>165</v>
      </c>
      <c r="I845" s="274" t="s">
        <v>4974</v>
      </c>
      <c r="J845" s="274" t="s">
        <v>6654</v>
      </c>
      <c r="K845" s="274" t="s">
        <v>6590</v>
      </c>
      <c r="L845" s="274" t="s">
        <v>4975</v>
      </c>
      <c r="M845" s="281">
        <v>300</v>
      </c>
      <c r="N845" s="280"/>
      <c r="O845" s="280">
        <v>300</v>
      </c>
      <c r="P845" s="280"/>
      <c r="Q845" s="280"/>
      <c r="R845" s="280"/>
      <c r="S845" s="280"/>
      <c r="T845" s="297"/>
    </row>
    <row r="846" spans="1:20" x14ac:dyDescent="0.25">
      <c r="A846" s="274" t="s">
        <v>78</v>
      </c>
      <c r="B846" s="274" t="s">
        <v>79</v>
      </c>
      <c r="C846" s="274" t="s">
        <v>3741</v>
      </c>
      <c r="D846" s="274" t="s">
        <v>3742</v>
      </c>
      <c r="E846" s="274" t="s">
        <v>54</v>
      </c>
      <c r="F846" s="274" t="s">
        <v>137</v>
      </c>
      <c r="G846" s="274" t="s">
        <v>164</v>
      </c>
      <c r="H846" s="274" t="s">
        <v>165</v>
      </c>
      <c r="I846" s="274" t="s">
        <v>4976</v>
      </c>
      <c r="J846" s="274" t="s">
        <v>6654</v>
      </c>
      <c r="K846" s="274" t="s">
        <v>3746</v>
      </c>
      <c r="L846" s="274" t="s">
        <v>4977</v>
      </c>
      <c r="M846" s="281">
        <v>600</v>
      </c>
      <c r="N846" s="280"/>
      <c r="O846" s="280"/>
      <c r="P846" s="280">
        <v>600</v>
      </c>
      <c r="Q846" s="280"/>
      <c r="R846" s="280"/>
      <c r="S846" s="280"/>
      <c r="T846" s="297"/>
    </row>
    <row r="847" spans="1:20" x14ac:dyDescent="0.25">
      <c r="A847" s="274" t="s">
        <v>78</v>
      </c>
      <c r="B847" s="274" t="s">
        <v>79</v>
      </c>
      <c r="C847" s="274" t="s">
        <v>3741</v>
      </c>
      <c r="D847" s="274" t="s">
        <v>3742</v>
      </c>
      <c r="E847" s="274" t="s">
        <v>54</v>
      </c>
      <c r="F847" s="274" t="s">
        <v>137</v>
      </c>
      <c r="G847" s="274" t="s">
        <v>164</v>
      </c>
      <c r="H847" s="274" t="s">
        <v>165</v>
      </c>
      <c r="I847" s="274" t="s">
        <v>4978</v>
      </c>
      <c r="J847" s="274" t="s">
        <v>6654</v>
      </c>
      <c r="K847" s="274" t="s">
        <v>6506</v>
      </c>
      <c r="L847" s="274" t="s">
        <v>4979</v>
      </c>
      <c r="M847" s="281">
        <v>790</v>
      </c>
      <c r="N847" s="280"/>
      <c r="O847" s="280"/>
      <c r="P847" s="280">
        <v>790</v>
      </c>
      <c r="Q847" s="280"/>
      <c r="R847" s="280"/>
      <c r="S847" s="280"/>
      <c r="T847" s="297"/>
    </row>
    <row r="848" spans="1:20" x14ac:dyDescent="0.25">
      <c r="A848" s="274" t="s">
        <v>78</v>
      </c>
      <c r="B848" s="274" t="s">
        <v>79</v>
      </c>
      <c r="C848" s="274" t="s">
        <v>3741</v>
      </c>
      <c r="D848" s="274" t="s">
        <v>3742</v>
      </c>
      <c r="E848" s="274" t="s">
        <v>54</v>
      </c>
      <c r="F848" s="274" t="s">
        <v>137</v>
      </c>
      <c r="G848" s="274" t="s">
        <v>164</v>
      </c>
      <c r="H848" s="274" t="s">
        <v>165</v>
      </c>
      <c r="I848" s="274" t="s">
        <v>4980</v>
      </c>
      <c r="J848" s="274" t="s">
        <v>6654</v>
      </c>
      <c r="K848" s="274" t="s">
        <v>6589</v>
      </c>
      <c r="L848" s="274" t="s">
        <v>4981</v>
      </c>
      <c r="M848" s="281">
        <v>500</v>
      </c>
      <c r="N848" s="280"/>
      <c r="O848" s="280"/>
      <c r="P848" s="280">
        <v>500</v>
      </c>
      <c r="Q848" s="280"/>
      <c r="R848" s="280"/>
      <c r="S848" s="280"/>
      <c r="T848" s="297"/>
    </row>
    <row r="849" spans="1:20" x14ac:dyDescent="0.25">
      <c r="A849" s="274" t="s">
        <v>78</v>
      </c>
      <c r="B849" s="274" t="s">
        <v>79</v>
      </c>
      <c r="C849" s="274" t="s">
        <v>3741</v>
      </c>
      <c r="D849" s="274" t="s">
        <v>3742</v>
      </c>
      <c r="E849" s="274" t="s">
        <v>54</v>
      </c>
      <c r="F849" s="274" t="s">
        <v>137</v>
      </c>
      <c r="G849" s="274" t="s">
        <v>164</v>
      </c>
      <c r="H849" s="274" t="s">
        <v>165</v>
      </c>
      <c r="I849" s="274" t="s">
        <v>4982</v>
      </c>
      <c r="J849" s="274" t="s">
        <v>6654</v>
      </c>
      <c r="K849" s="274" t="s">
        <v>6590</v>
      </c>
      <c r="L849" s="274" t="s">
        <v>4983</v>
      </c>
      <c r="M849" s="281">
        <v>300</v>
      </c>
      <c r="N849" s="280"/>
      <c r="O849" s="280"/>
      <c r="P849" s="280">
        <v>300</v>
      </c>
      <c r="Q849" s="280"/>
      <c r="R849" s="280"/>
      <c r="S849" s="280"/>
      <c r="T849" s="297"/>
    </row>
    <row r="850" spans="1:20" x14ac:dyDescent="0.25">
      <c r="A850" s="274" t="s">
        <v>78</v>
      </c>
      <c r="B850" s="274" t="s">
        <v>79</v>
      </c>
      <c r="C850" s="274" t="s">
        <v>3741</v>
      </c>
      <c r="D850" s="274" t="s">
        <v>3742</v>
      </c>
      <c r="E850" s="274" t="s">
        <v>54</v>
      </c>
      <c r="F850" s="274" t="s">
        <v>137</v>
      </c>
      <c r="G850" s="274" t="s">
        <v>164</v>
      </c>
      <c r="H850" s="274" t="s">
        <v>165</v>
      </c>
      <c r="I850" s="274" t="s">
        <v>4984</v>
      </c>
      <c r="J850" s="274" t="s">
        <v>6654</v>
      </c>
      <c r="K850" s="274" t="s">
        <v>3746</v>
      </c>
      <c r="L850" s="274" t="s">
        <v>4985</v>
      </c>
      <c r="M850" s="281">
        <v>600</v>
      </c>
      <c r="N850" s="280"/>
      <c r="O850" s="280"/>
      <c r="P850" s="280"/>
      <c r="Q850" s="280">
        <v>600</v>
      </c>
      <c r="R850" s="280"/>
      <c r="S850" s="280"/>
      <c r="T850" s="297"/>
    </row>
    <row r="851" spans="1:20" x14ac:dyDescent="0.25">
      <c r="A851" s="274" t="s">
        <v>78</v>
      </c>
      <c r="B851" s="274" t="s">
        <v>79</v>
      </c>
      <c r="C851" s="274" t="s">
        <v>3741</v>
      </c>
      <c r="D851" s="274" t="s">
        <v>3742</v>
      </c>
      <c r="E851" s="274" t="s">
        <v>54</v>
      </c>
      <c r="F851" s="274" t="s">
        <v>137</v>
      </c>
      <c r="G851" s="274" t="s">
        <v>164</v>
      </c>
      <c r="H851" s="274" t="s">
        <v>165</v>
      </c>
      <c r="I851" s="274" t="s">
        <v>4986</v>
      </c>
      <c r="J851" s="274" t="s">
        <v>6654</v>
      </c>
      <c r="K851" s="274" t="s">
        <v>6506</v>
      </c>
      <c r="L851" s="274" t="s">
        <v>4987</v>
      </c>
      <c r="M851" s="281">
        <v>790</v>
      </c>
      <c r="N851" s="280"/>
      <c r="O851" s="280"/>
      <c r="P851" s="280"/>
      <c r="Q851" s="280">
        <v>790</v>
      </c>
      <c r="R851" s="280"/>
      <c r="S851" s="280"/>
      <c r="T851" s="297"/>
    </row>
    <row r="852" spans="1:20" x14ac:dyDescent="0.25">
      <c r="A852" s="274" t="s">
        <v>78</v>
      </c>
      <c r="B852" s="274" t="s">
        <v>79</v>
      </c>
      <c r="C852" s="274" t="s">
        <v>3741</v>
      </c>
      <c r="D852" s="274" t="s">
        <v>3742</v>
      </c>
      <c r="E852" s="274" t="s">
        <v>54</v>
      </c>
      <c r="F852" s="274" t="s">
        <v>137</v>
      </c>
      <c r="G852" s="274" t="s">
        <v>164</v>
      </c>
      <c r="H852" s="274" t="s">
        <v>165</v>
      </c>
      <c r="I852" s="274" t="s">
        <v>4988</v>
      </c>
      <c r="J852" s="274" t="s">
        <v>6654</v>
      </c>
      <c r="K852" s="274" t="s">
        <v>6590</v>
      </c>
      <c r="L852" s="274" t="s">
        <v>4989</v>
      </c>
      <c r="M852" s="281">
        <v>300</v>
      </c>
      <c r="N852" s="280"/>
      <c r="O852" s="280"/>
      <c r="P852" s="280"/>
      <c r="Q852" s="280">
        <v>300</v>
      </c>
      <c r="R852" s="280"/>
      <c r="S852" s="280"/>
      <c r="T852" s="297"/>
    </row>
    <row r="853" spans="1:20" x14ac:dyDescent="0.25">
      <c r="A853" s="274" t="s">
        <v>78</v>
      </c>
      <c r="B853" s="274" t="s">
        <v>79</v>
      </c>
      <c r="C853" s="274" t="s">
        <v>3741</v>
      </c>
      <c r="D853" s="274" t="s">
        <v>3742</v>
      </c>
      <c r="E853" s="274" t="s">
        <v>54</v>
      </c>
      <c r="F853" s="274" t="s">
        <v>137</v>
      </c>
      <c r="G853" s="274" t="s">
        <v>164</v>
      </c>
      <c r="H853" s="274" t="s">
        <v>165</v>
      </c>
      <c r="I853" s="274" t="s">
        <v>4990</v>
      </c>
      <c r="J853" s="274" t="s">
        <v>6654</v>
      </c>
      <c r="K853" s="274" t="s">
        <v>6570</v>
      </c>
      <c r="L853" s="274" t="s">
        <v>4991</v>
      </c>
      <c r="M853" s="281">
        <v>1688</v>
      </c>
      <c r="N853" s="280"/>
      <c r="O853" s="280"/>
      <c r="P853" s="280"/>
      <c r="Q853" s="280">
        <v>1688</v>
      </c>
      <c r="R853" s="280"/>
      <c r="S853" s="280"/>
      <c r="T853" s="297"/>
    </row>
    <row r="854" spans="1:20" x14ac:dyDescent="0.25">
      <c r="A854" s="274" t="s">
        <v>78</v>
      </c>
      <c r="B854" s="274" t="s">
        <v>79</v>
      </c>
      <c r="C854" s="274" t="s">
        <v>3741</v>
      </c>
      <c r="D854" s="274" t="s">
        <v>3742</v>
      </c>
      <c r="E854" s="274" t="s">
        <v>54</v>
      </c>
      <c r="F854" s="274" t="s">
        <v>137</v>
      </c>
      <c r="G854" s="274" t="s">
        <v>164</v>
      </c>
      <c r="H854" s="274" t="s">
        <v>165</v>
      </c>
      <c r="I854" s="274" t="s">
        <v>4992</v>
      </c>
      <c r="J854" s="274" t="s">
        <v>6654</v>
      </c>
      <c r="K854" s="274" t="s">
        <v>3746</v>
      </c>
      <c r="L854" s="274" t="s">
        <v>4993</v>
      </c>
      <c r="M854" s="281">
        <v>600</v>
      </c>
      <c r="N854" s="280"/>
      <c r="O854" s="280"/>
      <c r="P854" s="280"/>
      <c r="Q854" s="280"/>
      <c r="R854" s="280">
        <v>600</v>
      </c>
      <c r="S854" s="280"/>
      <c r="T854" s="297"/>
    </row>
    <row r="855" spans="1:20" x14ac:dyDescent="0.25">
      <c r="A855" s="274" t="s">
        <v>78</v>
      </c>
      <c r="B855" s="274" t="s">
        <v>79</v>
      </c>
      <c r="C855" s="274" t="s">
        <v>3741</v>
      </c>
      <c r="D855" s="274" t="s">
        <v>3742</v>
      </c>
      <c r="E855" s="274" t="s">
        <v>54</v>
      </c>
      <c r="F855" s="274" t="s">
        <v>137</v>
      </c>
      <c r="G855" s="274" t="s">
        <v>164</v>
      </c>
      <c r="H855" s="274" t="s">
        <v>165</v>
      </c>
      <c r="I855" s="274" t="s">
        <v>4994</v>
      </c>
      <c r="J855" s="274" t="s">
        <v>6654</v>
      </c>
      <c r="K855" s="274" t="s">
        <v>6506</v>
      </c>
      <c r="L855" s="274" t="s">
        <v>4995</v>
      </c>
      <c r="M855" s="281">
        <v>790</v>
      </c>
      <c r="N855" s="280"/>
      <c r="O855" s="280"/>
      <c r="P855" s="280"/>
      <c r="Q855" s="280"/>
      <c r="R855" s="280">
        <v>790</v>
      </c>
      <c r="S855" s="280"/>
      <c r="T855" s="297"/>
    </row>
    <row r="856" spans="1:20" x14ac:dyDescent="0.25">
      <c r="A856" s="274" t="s">
        <v>78</v>
      </c>
      <c r="B856" s="274" t="s">
        <v>79</v>
      </c>
      <c r="C856" s="274" t="s">
        <v>3741</v>
      </c>
      <c r="D856" s="274" t="s">
        <v>3742</v>
      </c>
      <c r="E856" s="274" t="s">
        <v>54</v>
      </c>
      <c r="F856" s="274" t="s">
        <v>137</v>
      </c>
      <c r="G856" s="274" t="s">
        <v>164</v>
      </c>
      <c r="H856" s="274" t="s">
        <v>165</v>
      </c>
      <c r="I856" s="274" t="s">
        <v>4996</v>
      </c>
      <c r="J856" s="274" t="s">
        <v>6654</v>
      </c>
      <c r="K856" s="274" t="s">
        <v>6590</v>
      </c>
      <c r="L856" s="274" t="s">
        <v>4997</v>
      </c>
      <c r="M856" s="281">
        <v>300</v>
      </c>
      <c r="N856" s="280"/>
      <c r="O856" s="280"/>
      <c r="P856" s="280"/>
      <c r="Q856" s="280"/>
      <c r="R856" s="280">
        <v>300</v>
      </c>
      <c r="S856" s="280"/>
      <c r="T856" s="297"/>
    </row>
    <row r="857" spans="1:20" x14ac:dyDescent="0.25">
      <c r="A857" s="274" t="s">
        <v>78</v>
      </c>
      <c r="B857" s="274" t="s">
        <v>79</v>
      </c>
      <c r="C857" s="274" t="s">
        <v>3741</v>
      </c>
      <c r="D857" s="274" t="s">
        <v>3742</v>
      </c>
      <c r="E857" s="274" t="s">
        <v>54</v>
      </c>
      <c r="F857" s="274" t="s">
        <v>137</v>
      </c>
      <c r="G857" s="274" t="s">
        <v>164</v>
      </c>
      <c r="H857" s="274" t="s">
        <v>165</v>
      </c>
      <c r="I857" s="274" t="s">
        <v>6367</v>
      </c>
      <c r="J857" s="274" t="s">
        <v>6654</v>
      </c>
      <c r="K857" s="274" t="s">
        <v>6570</v>
      </c>
      <c r="L857" s="274" t="s">
        <v>6368</v>
      </c>
      <c r="M857" s="281">
        <v>422</v>
      </c>
      <c r="N857" s="280"/>
      <c r="O857" s="280"/>
      <c r="P857" s="280"/>
      <c r="Q857" s="280"/>
      <c r="R857" s="280">
        <v>422</v>
      </c>
      <c r="S857" s="280"/>
      <c r="T857" s="297"/>
    </row>
    <row r="858" spans="1:20" x14ac:dyDescent="0.25">
      <c r="A858" s="274" t="s">
        <v>78</v>
      </c>
      <c r="B858" s="274" t="s">
        <v>79</v>
      </c>
      <c r="C858" s="274" t="s">
        <v>3741</v>
      </c>
      <c r="D858" s="274" t="s">
        <v>3742</v>
      </c>
      <c r="E858" s="274" t="s">
        <v>54</v>
      </c>
      <c r="F858" s="274" t="s">
        <v>137</v>
      </c>
      <c r="G858" s="274" t="s">
        <v>164</v>
      </c>
      <c r="H858" s="274" t="s">
        <v>165</v>
      </c>
      <c r="I858" s="274" t="s">
        <v>6369</v>
      </c>
      <c r="J858" s="274" t="s">
        <v>6654</v>
      </c>
      <c r="K858" s="274" t="s">
        <v>3746</v>
      </c>
      <c r="L858" s="274" t="s">
        <v>6370</v>
      </c>
      <c r="M858" s="281">
        <v>600</v>
      </c>
      <c r="N858" s="280"/>
      <c r="O858" s="280"/>
      <c r="P858" s="280"/>
      <c r="Q858" s="280"/>
      <c r="R858" s="280"/>
      <c r="S858" s="280">
        <v>600</v>
      </c>
      <c r="T858" s="297"/>
    </row>
    <row r="859" spans="1:20" x14ac:dyDescent="0.25">
      <c r="A859" s="274" t="s">
        <v>78</v>
      </c>
      <c r="B859" s="274" t="s">
        <v>79</v>
      </c>
      <c r="C859" s="274" t="s">
        <v>3741</v>
      </c>
      <c r="D859" s="274" t="s">
        <v>3742</v>
      </c>
      <c r="E859" s="274" t="s">
        <v>54</v>
      </c>
      <c r="F859" s="274" t="s">
        <v>137</v>
      </c>
      <c r="G859" s="274" t="s">
        <v>164</v>
      </c>
      <c r="H859" s="274" t="s">
        <v>165</v>
      </c>
      <c r="I859" s="274" t="s">
        <v>6371</v>
      </c>
      <c r="J859" s="274" t="s">
        <v>6654</v>
      </c>
      <c r="K859" s="274" t="s">
        <v>6506</v>
      </c>
      <c r="L859" s="274" t="s">
        <v>6372</v>
      </c>
      <c r="M859" s="281">
        <v>790</v>
      </c>
      <c r="N859" s="280"/>
      <c r="O859" s="280"/>
      <c r="P859" s="280"/>
      <c r="Q859" s="280"/>
      <c r="R859" s="280"/>
      <c r="S859" s="280">
        <v>790</v>
      </c>
      <c r="T859" s="297"/>
    </row>
    <row r="860" spans="1:20" x14ac:dyDescent="0.25">
      <c r="A860" s="274" t="s">
        <v>78</v>
      </c>
      <c r="B860" s="274" t="s">
        <v>79</v>
      </c>
      <c r="C860" s="274" t="s">
        <v>3741</v>
      </c>
      <c r="D860" s="274" t="s">
        <v>3742</v>
      </c>
      <c r="E860" s="274" t="s">
        <v>54</v>
      </c>
      <c r="F860" s="274" t="s">
        <v>137</v>
      </c>
      <c r="G860" s="274" t="s">
        <v>164</v>
      </c>
      <c r="H860" s="274" t="s">
        <v>165</v>
      </c>
      <c r="I860" s="274" t="s">
        <v>6373</v>
      </c>
      <c r="J860" s="274" t="s">
        <v>6654</v>
      </c>
      <c r="K860" s="274" t="s">
        <v>6590</v>
      </c>
      <c r="L860" s="274" t="s">
        <v>6374</v>
      </c>
      <c r="M860" s="281">
        <v>300</v>
      </c>
      <c r="N860" s="280"/>
      <c r="O860" s="280"/>
      <c r="P860" s="280"/>
      <c r="Q860" s="280"/>
      <c r="R860" s="280"/>
      <c r="S860" s="280">
        <v>300</v>
      </c>
      <c r="T860" s="297"/>
    </row>
    <row r="861" spans="1:20" x14ac:dyDescent="0.25">
      <c r="A861" s="274" t="s">
        <v>78</v>
      </c>
      <c r="B861" s="274" t="s">
        <v>79</v>
      </c>
      <c r="C861" s="274" t="s">
        <v>3741</v>
      </c>
      <c r="D861" s="274" t="s">
        <v>3742</v>
      </c>
      <c r="E861" s="274" t="s">
        <v>54</v>
      </c>
      <c r="F861" s="274" t="s">
        <v>137</v>
      </c>
      <c r="G861" s="274" t="s">
        <v>166</v>
      </c>
      <c r="H861" s="274" t="s">
        <v>167</v>
      </c>
      <c r="I861" s="274" t="s">
        <v>4998</v>
      </c>
      <c r="J861" s="274" t="s">
        <v>6655</v>
      </c>
      <c r="K861" s="274" t="s">
        <v>3746</v>
      </c>
      <c r="L861" s="274" t="s">
        <v>4999</v>
      </c>
      <c r="M861" s="281">
        <v>50000</v>
      </c>
      <c r="N861" s="280">
        <v>50000</v>
      </c>
      <c r="O861" s="280"/>
      <c r="P861" s="280"/>
      <c r="Q861" s="280"/>
      <c r="R861" s="280"/>
      <c r="S861" s="280"/>
      <c r="T861" s="297"/>
    </row>
    <row r="862" spans="1:20" x14ac:dyDescent="0.25">
      <c r="A862" s="274" t="s">
        <v>78</v>
      </c>
      <c r="B862" s="274" t="s">
        <v>79</v>
      </c>
      <c r="C862" s="274" t="s">
        <v>3741</v>
      </c>
      <c r="D862" s="274" t="s">
        <v>3742</v>
      </c>
      <c r="E862" s="274" t="s">
        <v>54</v>
      </c>
      <c r="F862" s="274" t="s">
        <v>137</v>
      </c>
      <c r="G862" s="274" t="s">
        <v>166</v>
      </c>
      <c r="H862" s="274" t="s">
        <v>167</v>
      </c>
      <c r="I862" s="274" t="s">
        <v>5000</v>
      </c>
      <c r="J862" s="274" t="s">
        <v>6655</v>
      </c>
      <c r="K862" s="274" t="s">
        <v>3746</v>
      </c>
      <c r="L862" s="274" t="s">
        <v>5001</v>
      </c>
      <c r="M862" s="281">
        <v>50000</v>
      </c>
      <c r="N862" s="280"/>
      <c r="O862" s="280"/>
      <c r="P862" s="280"/>
      <c r="Q862" s="280">
        <v>50000</v>
      </c>
      <c r="R862" s="280"/>
      <c r="S862" s="280"/>
      <c r="T862" s="297"/>
    </row>
    <row r="863" spans="1:20" x14ac:dyDescent="0.25">
      <c r="A863" s="274" t="s">
        <v>78</v>
      </c>
      <c r="B863" s="274" t="s">
        <v>79</v>
      </c>
      <c r="C863" s="274" t="s">
        <v>3741</v>
      </c>
      <c r="D863" s="274" t="s">
        <v>3742</v>
      </c>
      <c r="E863" s="274" t="s">
        <v>54</v>
      </c>
      <c r="F863" s="274" t="s">
        <v>137</v>
      </c>
      <c r="G863" s="274" t="s">
        <v>168</v>
      </c>
      <c r="H863" s="274" t="s">
        <v>169</v>
      </c>
      <c r="I863" s="274" t="s">
        <v>5002</v>
      </c>
      <c r="J863" s="274" t="s">
        <v>6656</v>
      </c>
      <c r="K863" s="274" t="s">
        <v>3746</v>
      </c>
      <c r="L863" s="274" t="s">
        <v>5003</v>
      </c>
      <c r="M863" s="281">
        <v>61130</v>
      </c>
      <c r="N863" s="280"/>
      <c r="O863" s="280"/>
      <c r="P863" s="280"/>
      <c r="Q863" s="280">
        <v>61130</v>
      </c>
      <c r="R863" s="280"/>
      <c r="S863" s="280"/>
      <c r="T863" s="297"/>
    </row>
    <row r="864" spans="1:20" x14ac:dyDescent="0.25">
      <c r="A864" s="274" t="s">
        <v>78</v>
      </c>
      <c r="B864" s="274" t="s">
        <v>79</v>
      </c>
      <c r="C864" s="274" t="s">
        <v>3741</v>
      </c>
      <c r="D864" s="274" t="s">
        <v>3742</v>
      </c>
      <c r="E864" s="274" t="s">
        <v>54</v>
      </c>
      <c r="F864" s="274" t="s">
        <v>137</v>
      </c>
      <c r="G864" s="274" t="s">
        <v>168</v>
      </c>
      <c r="H864" s="274" t="s">
        <v>169</v>
      </c>
      <c r="I864" s="274" t="s">
        <v>5004</v>
      </c>
      <c r="J864" s="274" t="s">
        <v>6656</v>
      </c>
      <c r="K864" s="274" t="s">
        <v>3746</v>
      </c>
      <c r="L864" s="274" t="s">
        <v>5005</v>
      </c>
      <c r="M864" s="281">
        <v>25000</v>
      </c>
      <c r="N864" s="280"/>
      <c r="O864" s="280"/>
      <c r="P864" s="280"/>
      <c r="Q864" s="280">
        <v>25000</v>
      </c>
      <c r="R864" s="280"/>
      <c r="S864" s="280"/>
      <c r="T864" s="297"/>
    </row>
    <row r="865" spans="1:20" x14ac:dyDescent="0.25">
      <c r="A865" s="274" t="s">
        <v>78</v>
      </c>
      <c r="B865" s="274" t="s">
        <v>79</v>
      </c>
      <c r="C865" s="274" t="s">
        <v>3741</v>
      </c>
      <c r="D865" s="274" t="s">
        <v>3742</v>
      </c>
      <c r="E865" s="274" t="s">
        <v>54</v>
      </c>
      <c r="F865" s="274" t="s">
        <v>137</v>
      </c>
      <c r="G865" s="274" t="s">
        <v>168</v>
      </c>
      <c r="H865" s="274" t="s">
        <v>169</v>
      </c>
      <c r="I865" s="274" t="s">
        <v>5006</v>
      </c>
      <c r="J865" s="274" t="s">
        <v>6656</v>
      </c>
      <c r="K865" s="274" t="s">
        <v>3746</v>
      </c>
      <c r="L865" s="274" t="s">
        <v>5007</v>
      </c>
      <c r="M865" s="281">
        <v>25000</v>
      </c>
      <c r="N865" s="280"/>
      <c r="O865" s="280"/>
      <c r="P865" s="280"/>
      <c r="Q865" s="280"/>
      <c r="R865" s="280">
        <v>25000</v>
      </c>
      <c r="S865" s="280"/>
      <c r="T865" s="297"/>
    </row>
    <row r="866" spans="1:20" x14ac:dyDescent="0.25">
      <c r="A866" s="274" t="s">
        <v>78</v>
      </c>
      <c r="B866" s="274" t="s">
        <v>79</v>
      </c>
      <c r="C866" s="274" t="s">
        <v>3741</v>
      </c>
      <c r="D866" s="274" t="s">
        <v>3742</v>
      </c>
      <c r="E866" s="274" t="s">
        <v>54</v>
      </c>
      <c r="F866" s="274" t="s">
        <v>137</v>
      </c>
      <c r="G866" s="274" t="s">
        <v>168</v>
      </c>
      <c r="H866" s="274" t="s">
        <v>169</v>
      </c>
      <c r="I866" s="274" t="s">
        <v>6375</v>
      </c>
      <c r="J866" s="274" t="s">
        <v>6656</v>
      </c>
      <c r="K866" s="274" t="s">
        <v>3746</v>
      </c>
      <c r="L866" s="274" t="s">
        <v>5005</v>
      </c>
      <c r="M866" s="281">
        <v>-25000</v>
      </c>
      <c r="N866" s="280"/>
      <c r="O866" s="280"/>
      <c r="P866" s="280"/>
      <c r="Q866" s="280"/>
      <c r="R866" s="280"/>
      <c r="S866" s="280">
        <v>-25000</v>
      </c>
      <c r="T866" s="297"/>
    </row>
    <row r="867" spans="1:20" x14ac:dyDescent="0.25">
      <c r="A867" s="274" t="s">
        <v>78</v>
      </c>
      <c r="B867" s="274" t="s">
        <v>79</v>
      </c>
      <c r="C867" s="274" t="s">
        <v>3741</v>
      </c>
      <c r="D867" s="274" t="s">
        <v>3742</v>
      </c>
      <c r="E867" s="274" t="s">
        <v>54</v>
      </c>
      <c r="F867" s="274" t="s">
        <v>137</v>
      </c>
      <c r="G867" s="274" t="s">
        <v>168</v>
      </c>
      <c r="H867" s="274" t="s">
        <v>169</v>
      </c>
      <c r="I867" s="274" t="s">
        <v>6376</v>
      </c>
      <c r="J867" s="274" t="s">
        <v>6656</v>
      </c>
      <c r="K867" s="274" t="s">
        <v>3746</v>
      </c>
      <c r="L867" s="274" t="s">
        <v>6377</v>
      </c>
      <c r="M867" s="281">
        <v>61130</v>
      </c>
      <c r="N867" s="280"/>
      <c r="O867" s="280"/>
      <c r="P867" s="280"/>
      <c r="Q867" s="280"/>
      <c r="R867" s="280"/>
      <c r="S867" s="280">
        <v>61130</v>
      </c>
      <c r="T867" s="297"/>
    </row>
    <row r="868" spans="1:20" x14ac:dyDescent="0.25">
      <c r="A868" s="274" t="s">
        <v>78</v>
      </c>
      <c r="B868" s="274" t="s">
        <v>79</v>
      </c>
      <c r="C868" s="274" t="s">
        <v>3741</v>
      </c>
      <c r="D868" s="274" t="s">
        <v>3742</v>
      </c>
      <c r="E868" s="274" t="s">
        <v>54</v>
      </c>
      <c r="F868" s="274" t="s">
        <v>137</v>
      </c>
      <c r="G868" s="274" t="s">
        <v>168</v>
      </c>
      <c r="H868" s="274" t="s">
        <v>169</v>
      </c>
      <c r="I868" s="274" t="s">
        <v>6378</v>
      </c>
      <c r="J868" s="274" t="s">
        <v>6656</v>
      </c>
      <c r="K868" s="274" t="s">
        <v>3746</v>
      </c>
      <c r="L868" s="274" t="s">
        <v>6379</v>
      </c>
      <c r="M868" s="281">
        <v>61130</v>
      </c>
      <c r="N868" s="280"/>
      <c r="O868" s="280"/>
      <c r="P868" s="280"/>
      <c r="Q868" s="280"/>
      <c r="R868" s="280"/>
      <c r="S868" s="280">
        <v>61130</v>
      </c>
      <c r="T868" s="297"/>
    </row>
    <row r="869" spans="1:20" x14ac:dyDescent="0.25">
      <c r="A869" s="274" t="s">
        <v>78</v>
      </c>
      <c r="B869" s="274" t="s">
        <v>79</v>
      </c>
      <c r="C869" s="274" t="s">
        <v>3741</v>
      </c>
      <c r="D869" s="274" t="s">
        <v>3742</v>
      </c>
      <c r="E869" s="274" t="s">
        <v>54</v>
      </c>
      <c r="F869" s="274" t="s">
        <v>137</v>
      </c>
      <c r="G869" s="274" t="s">
        <v>168</v>
      </c>
      <c r="H869" s="274" t="s">
        <v>169</v>
      </c>
      <c r="I869" s="274" t="s">
        <v>6657</v>
      </c>
      <c r="J869" s="274" t="s">
        <v>6658</v>
      </c>
      <c r="K869" s="274" t="s">
        <v>3746</v>
      </c>
      <c r="L869" s="274" t="s">
        <v>6659</v>
      </c>
      <c r="M869" s="281">
        <v>35000</v>
      </c>
      <c r="N869" s="280"/>
      <c r="O869" s="280"/>
      <c r="P869" s="280"/>
      <c r="Q869" s="280"/>
      <c r="R869" s="280"/>
      <c r="S869" s="280"/>
      <c r="T869" s="297">
        <v>35000</v>
      </c>
    </row>
    <row r="870" spans="1:20" x14ac:dyDescent="0.25">
      <c r="A870" s="274" t="s">
        <v>78</v>
      </c>
      <c r="B870" s="274" t="s">
        <v>79</v>
      </c>
      <c r="C870" s="274" t="s">
        <v>3741</v>
      </c>
      <c r="D870" s="274" t="s">
        <v>3742</v>
      </c>
      <c r="E870" s="274" t="s">
        <v>54</v>
      </c>
      <c r="F870" s="274" t="s">
        <v>137</v>
      </c>
      <c r="G870" s="274" t="s">
        <v>170</v>
      </c>
      <c r="H870" s="274" t="s">
        <v>171</v>
      </c>
      <c r="I870" s="274" t="s">
        <v>5008</v>
      </c>
      <c r="J870" s="274" t="s">
        <v>6660</v>
      </c>
      <c r="K870" s="274" t="s">
        <v>3746</v>
      </c>
      <c r="L870" s="274" t="s">
        <v>5009</v>
      </c>
      <c r="M870" s="281">
        <v>12500</v>
      </c>
      <c r="N870" s="280">
        <v>12500</v>
      </c>
      <c r="O870" s="280"/>
      <c r="P870" s="280"/>
      <c r="Q870" s="280"/>
      <c r="R870" s="280"/>
      <c r="S870" s="280"/>
      <c r="T870" s="297"/>
    </row>
    <row r="871" spans="1:20" x14ac:dyDescent="0.25">
      <c r="A871" s="274" t="s">
        <v>78</v>
      </c>
      <c r="B871" s="274" t="s">
        <v>79</v>
      </c>
      <c r="C871" s="274" t="s">
        <v>3741</v>
      </c>
      <c r="D871" s="274" t="s">
        <v>3742</v>
      </c>
      <c r="E871" s="274" t="s">
        <v>54</v>
      </c>
      <c r="F871" s="274" t="s">
        <v>137</v>
      </c>
      <c r="G871" s="274" t="s">
        <v>170</v>
      </c>
      <c r="H871" s="274" t="s">
        <v>171</v>
      </c>
      <c r="I871" s="274" t="s">
        <v>5010</v>
      </c>
      <c r="J871" s="274" t="s">
        <v>6660</v>
      </c>
      <c r="K871" s="274" t="s">
        <v>3746</v>
      </c>
      <c r="L871" s="274" t="s">
        <v>5009</v>
      </c>
      <c r="M871" s="281">
        <v>0.01</v>
      </c>
      <c r="N871" s="280"/>
      <c r="O871" s="280">
        <v>0.01</v>
      </c>
      <c r="P871" s="280"/>
      <c r="Q871" s="280"/>
      <c r="R871" s="280"/>
      <c r="S871" s="280"/>
      <c r="T871" s="297"/>
    </row>
    <row r="872" spans="1:20" x14ac:dyDescent="0.25">
      <c r="A872" s="274" t="s">
        <v>78</v>
      </c>
      <c r="B872" s="274" t="s">
        <v>79</v>
      </c>
      <c r="C872" s="274" t="s">
        <v>3741</v>
      </c>
      <c r="D872" s="274" t="s">
        <v>3742</v>
      </c>
      <c r="E872" s="274" t="s">
        <v>54</v>
      </c>
      <c r="F872" s="274" t="s">
        <v>137</v>
      </c>
      <c r="G872" s="274" t="s">
        <v>172</v>
      </c>
      <c r="H872" s="274" t="s">
        <v>173</v>
      </c>
      <c r="I872" s="274" t="s">
        <v>5011</v>
      </c>
      <c r="J872" s="274" t="s">
        <v>6661</v>
      </c>
      <c r="K872" s="274" t="s">
        <v>6506</v>
      </c>
      <c r="L872" s="274" t="s">
        <v>5012</v>
      </c>
      <c r="M872" s="281">
        <v>617.59</v>
      </c>
      <c r="N872" s="280"/>
      <c r="O872" s="280"/>
      <c r="P872" s="280"/>
      <c r="Q872" s="280"/>
      <c r="R872" s="280">
        <v>617.59</v>
      </c>
      <c r="S872" s="280"/>
      <c r="T872" s="297"/>
    </row>
    <row r="873" spans="1:20" x14ac:dyDescent="0.25">
      <c r="A873" s="274" t="s">
        <v>78</v>
      </c>
      <c r="B873" s="274" t="s">
        <v>79</v>
      </c>
      <c r="C873" s="274" t="s">
        <v>3741</v>
      </c>
      <c r="D873" s="274" t="s">
        <v>3742</v>
      </c>
      <c r="E873" s="274" t="s">
        <v>54</v>
      </c>
      <c r="F873" s="274" t="s">
        <v>137</v>
      </c>
      <c r="G873" s="274" t="s">
        <v>174</v>
      </c>
      <c r="H873" s="274" t="s">
        <v>175</v>
      </c>
      <c r="I873" s="274" t="s">
        <v>5013</v>
      </c>
      <c r="J873" s="274" t="s">
        <v>6662</v>
      </c>
      <c r="K873" s="274" t="s">
        <v>3746</v>
      </c>
      <c r="L873" s="274" t="s">
        <v>5014</v>
      </c>
      <c r="M873" s="281">
        <v>-320</v>
      </c>
      <c r="N873" s="280">
        <v>-320</v>
      </c>
      <c r="O873" s="280"/>
      <c r="P873" s="280"/>
      <c r="Q873" s="280"/>
      <c r="R873" s="280"/>
      <c r="S873" s="280"/>
      <c r="T873" s="297"/>
    </row>
    <row r="874" spans="1:20" x14ac:dyDescent="0.25">
      <c r="A874" s="274" t="s">
        <v>78</v>
      </c>
      <c r="B874" s="274" t="s">
        <v>79</v>
      </c>
      <c r="C874" s="274" t="s">
        <v>3741</v>
      </c>
      <c r="D874" s="274" t="s">
        <v>3742</v>
      </c>
      <c r="E874" s="274" t="s">
        <v>54</v>
      </c>
      <c r="F874" s="274" t="s">
        <v>137</v>
      </c>
      <c r="G874" s="274" t="s">
        <v>174</v>
      </c>
      <c r="H874" s="274" t="s">
        <v>175</v>
      </c>
      <c r="I874" s="274" t="s">
        <v>5015</v>
      </c>
      <c r="J874" s="274" t="s">
        <v>6662</v>
      </c>
      <c r="K874" s="274" t="s">
        <v>3746</v>
      </c>
      <c r="L874" s="274" t="s">
        <v>5014</v>
      </c>
      <c r="M874" s="281">
        <v>303.14999999999998</v>
      </c>
      <c r="N874" s="280">
        <v>303.14999999999998</v>
      </c>
      <c r="O874" s="280"/>
      <c r="P874" s="280"/>
      <c r="Q874" s="280"/>
      <c r="R874" s="280"/>
      <c r="S874" s="280"/>
      <c r="T874" s="297"/>
    </row>
    <row r="875" spans="1:20" x14ac:dyDescent="0.25">
      <c r="A875" s="274" t="s">
        <v>78</v>
      </c>
      <c r="B875" s="274" t="s">
        <v>79</v>
      </c>
      <c r="C875" s="274" t="s">
        <v>3741</v>
      </c>
      <c r="D875" s="274" t="s">
        <v>3742</v>
      </c>
      <c r="E875" s="274" t="s">
        <v>54</v>
      </c>
      <c r="F875" s="274" t="s">
        <v>137</v>
      </c>
      <c r="G875" s="274" t="s">
        <v>174</v>
      </c>
      <c r="H875" s="274" t="s">
        <v>175</v>
      </c>
      <c r="I875" s="274" t="s">
        <v>5016</v>
      </c>
      <c r="J875" s="274" t="s">
        <v>6663</v>
      </c>
      <c r="K875" s="274" t="s">
        <v>3746</v>
      </c>
      <c r="L875" s="274" t="s">
        <v>5017</v>
      </c>
      <c r="M875" s="281">
        <v>310</v>
      </c>
      <c r="N875" s="280">
        <v>310</v>
      </c>
      <c r="O875" s="280"/>
      <c r="P875" s="280"/>
      <c r="Q875" s="280"/>
      <c r="R875" s="280"/>
      <c r="S875" s="280"/>
      <c r="T875" s="297"/>
    </row>
    <row r="876" spans="1:20" x14ac:dyDescent="0.25">
      <c r="A876" s="274" t="s">
        <v>78</v>
      </c>
      <c r="B876" s="274" t="s">
        <v>79</v>
      </c>
      <c r="C876" s="274" t="s">
        <v>3741</v>
      </c>
      <c r="D876" s="274" t="s">
        <v>3742</v>
      </c>
      <c r="E876" s="274" t="s">
        <v>54</v>
      </c>
      <c r="F876" s="274" t="s">
        <v>137</v>
      </c>
      <c r="G876" s="274" t="s">
        <v>174</v>
      </c>
      <c r="H876" s="274" t="s">
        <v>175</v>
      </c>
      <c r="I876" s="274" t="s">
        <v>5018</v>
      </c>
      <c r="J876" s="274" t="s">
        <v>6663</v>
      </c>
      <c r="K876" s="274" t="s">
        <v>3746</v>
      </c>
      <c r="L876" s="274" t="s">
        <v>5017</v>
      </c>
      <c r="M876" s="281">
        <v>-310</v>
      </c>
      <c r="N876" s="280"/>
      <c r="O876" s="280">
        <v>-310</v>
      </c>
      <c r="P876" s="280"/>
      <c r="Q876" s="280"/>
      <c r="R876" s="280"/>
      <c r="S876" s="280"/>
      <c r="T876" s="297"/>
    </row>
    <row r="877" spans="1:20" x14ac:dyDescent="0.25">
      <c r="A877" s="274" t="s">
        <v>78</v>
      </c>
      <c r="B877" s="274" t="s">
        <v>79</v>
      </c>
      <c r="C877" s="274" t="s">
        <v>3741</v>
      </c>
      <c r="D877" s="274" t="s">
        <v>3742</v>
      </c>
      <c r="E877" s="274" t="s">
        <v>54</v>
      </c>
      <c r="F877" s="274" t="s">
        <v>137</v>
      </c>
      <c r="G877" s="274" t="s">
        <v>174</v>
      </c>
      <c r="H877" s="274" t="s">
        <v>175</v>
      </c>
      <c r="I877" s="274" t="s">
        <v>5019</v>
      </c>
      <c r="J877" s="274" t="s">
        <v>6663</v>
      </c>
      <c r="K877" s="274" t="s">
        <v>3746</v>
      </c>
      <c r="L877" s="274" t="s">
        <v>5017</v>
      </c>
      <c r="M877" s="281">
        <v>325.61</v>
      </c>
      <c r="N877" s="280"/>
      <c r="O877" s="280">
        <v>325.61</v>
      </c>
      <c r="P877" s="280"/>
      <c r="Q877" s="280"/>
      <c r="R877" s="280"/>
      <c r="S877" s="280"/>
      <c r="T877" s="297"/>
    </row>
    <row r="878" spans="1:20" x14ac:dyDescent="0.25">
      <c r="A878" s="274" t="s">
        <v>78</v>
      </c>
      <c r="B878" s="274" t="s">
        <v>79</v>
      </c>
      <c r="C878" s="274" t="s">
        <v>3741</v>
      </c>
      <c r="D878" s="274" t="s">
        <v>3742</v>
      </c>
      <c r="E878" s="274" t="s">
        <v>54</v>
      </c>
      <c r="F878" s="274" t="s">
        <v>137</v>
      </c>
      <c r="G878" s="274" t="s">
        <v>174</v>
      </c>
      <c r="H878" s="274" t="s">
        <v>175</v>
      </c>
      <c r="I878" s="274" t="s">
        <v>5020</v>
      </c>
      <c r="J878" s="274" t="s">
        <v>6663</v>
      </c>
      <c r="K878" s="274" t="s">
        <v>3746</v>
      </c>
      <c r="L878" s="274" t="s">
        <v>5021</v>
      </c>
      <c r="M878" s="281">
        <v>320</v>
      </c>
      <c r="N878" s="280"/>
      <c r="O878" s="280">
        <v>320</v>
      </c>
      <c r="P878" s="280"/>
      <c r="Q878" s="280"/>
      <c r="R878" s="280"/>
      <c r="S878" s="280"/>
      <c r="T878" s="297"/>
    </row>
    <row r="879" spans="1:20" x14ac:dyDescent="0.25">
      <c r="A879" s="274" t="s">
        <v>78</v>
      </c>
      <c r="B879" s="274" t="s">
        <v>79</v>
      </c>
      <c r="C879" s="274" t="s">
        <v>3741</v>
      </c>
      <c r="D879" s="274" t="s">
        <v>3742</v>
      </c>
      <c r="E879" s="274" t="s">
        <v>54</v>
      </c>
      <c r="F879" s="274" t="s">
        <v>137</v>
      </c>
      <c r="G879" s="274" t="s">
        <v>174</v>
      </c>
      <c r="H879" s="274" t="s">
        <v>175</v>
      </c>
      <c r="I879" s="274" t="s">
        <v>5022</v>
      </c>
      <c r="J879" s="274" t="s">
        <v>6663</v>
      </c>
      <c r="K879" s="274" t="s">
        <v>3746</v>
      </c>
      <c r="L879" s="274" t="s">
        <v>5021</v>
      </c>
      <c r="M879" s="281">
        <v>-320</v>
      </c>
      <c r="N879" s="280"/>
      <c r="O879" s="280"/>
      <c r="P879" s="280">
        <v>-320</v>
      </c>
      <c r="Q879" s="280"/>
      <c r="R879" s="280"/>
      <c r="S879" s="280"/>
      <c r="T879" s="297"/>
    </row>
    <row r="880" spans="1:20" x14ac:dyDescent="0.25">
      <c r="A880" s="274" t="s">
        <v>78</v>
      </c>
      <c r="B880" s="274" t="s">
        <v>79</v>
      </c>
      <c r="C880" s="274" t="s">
        <v>3741</v>
      </c>
      <c r="D880" s="274" t="s">
        <v>3742</v>
      </c>
      <c r="E880" s="274" t="s">
        <v>54</v>
      </c>
      <c r="F880" s="274" t="s">
        <v>137</v>
      </c>
      <c r="G880" s="274" t="s">
        <v>174</v>
      </c>
      <c r="H880" s="274" t="s">
        <v>175</v>
      </c>
      <c r="I880" s="274" t="s">
        <v>5023</v>
      </c>
      <c r="J880" s="274" t="s">
        <v>6663</v>
      </c>
      <c r="K880" s="274" t="s">
        <v>3746</v>
      </c>
      <c r="L880" s="274" t="s">
        <v>5021</v>
      </c>
      <c r="M880" s="281">
        <v>304.18</v>
      </c>
      <c r="N880" s="280"/>
      <c r="O880" s="280"/>
      <c r="P880" s="280">
        <v>304.18</v>
      </c>
      <c r="Q880" s="280"/>
      <c r="R880" s="280"/>
      <c r="S880" s="280"/>
      <c r="T880" s="297"/>
    </row>
    <row r="881" spans="1:20" x14ac:dyDescent="0.25">
      <c r="A881" s="274" t="s">
        <v>78</v>
      </c>
      <c r="B881" s="274" t="s">
        <v>79</v>
      </c>
      <c r="C881" s="274" t="s">
        <v>3741</v>
      </c>
      <c r="D881" s="274" t="s">
        <v>3742</v>
      </c>
      <c r="E881" s="274" t="s">
        <v>54</v>
      </c>
      <c r="F881" s="274" t="s">
        <v>137</v>
      </c>
      <c r="G881" s="274" t="s">
        <v>174</v>
      </c>
      <c r="H881" s="274" t="s">
        <v>175</v>
      </c>
      <c r="I881" s="274" t="s">
        <v>5024</v>
      </c>
      <c r="J881" s="274" t="s">
        <v>6663</v>
      </c>
      <c r="K881" s="274" t="s">
        <v>3746</v>
      </c>
      <c r="L881" s="274" t="s">
        <v>5025</v>
      </c>
      <c r="M881" s="281">
        <v>310</v>
      </c>
      <c r="N881" s="280"/>
      <c r="O881" s="280"/>
      <c r="P881" s="280">
        <v>310</v>
      </c>
      <c r="Q881" s="280"/>
      <c r="R881" s="280"/>
      <c r="S881" s="280"/>
      <c r="T881" s="297"/>
    </row>
    <row r="882" spans="1:20" x14ac:dyDescent="0.25">
      <c r="A882" s="274" t="s">
        <v>78</v>
      </c>
      <c r="B882" s="274" t="s">
        <v>79</v>
      </c>
      <c r="C882" s="274" t="s">
        <v>3741</v>
      </c>
      <c r="D882" s="274" t="s">
        <v>3742</v>
      </c>
      <c r="E882" s="274" t="s">
        <v>54</v>
      </c>
      <c r="F882" s="274" t="s">
        <v>137</v>
      </c>
      <c r="G882" s="274" t="s">
        <v>174</v>
      </c>
      <c r="H882" s="274" t="s">
        <v>175</v>
      </c>
      <c r="I882" s="274" t="s">
        <v>5026</v>
      </c>
      <c r="J882" s="274" t="s">
        <v>6663</v>
      </c>
      <c r="K882" s="274" t="s">
        <v>3746</v>
      </c>
      <c r="L882" s="274" t="s">
        <v>5025</v>
      </c>
      <c r="M882" s="281">
        <v>-310</v>
      </c>
      <c r="N882" s="280"/>
      <c r="O882" s="280"/>
      <c r="P882" s="280"/>
      <c r="Q882" s="280">
        <v>-310</v>
      </c>
      <c r="R882" s="280"/>
      <c r="S882" s="280"/>
      <c r="T882" s="297"/>
    </row>
    <row r="883" spans="1:20" x14ac:dyDescent="0.25">
      <c r="A883" s="274" t="s">
        <v>78</v>
      </c>
      <c r="B883" s="274" t="s">
        <v>79</v>
      </c>
      <c r="C883" s="274" t="s">
        <v>3741</v>
      </c>
      <c r="D883" s="274" t="s">
        <v>3742</v>
      </c>
      <c r="E883" s="274" t="s">
        <v>54</v>
      </c>
      <c r="F883" s="274" t="s">
        <v>137</v>
      </c>
      <c r="G883" s="274" t="s">
        <v>174</v>
      </c>
      <c r="H883" s="274" t="s">
        <v>175</v>
      </c>
      <c r="I883" s="274" t="s">
        <v>5027</v>
      </c>
      <c r="J883" s="274" t="s">
        <v>6663</v>
      </c>
      <c r="K883" s="274" t="s">
        <v>3746</v>
      </c>
      <c r="L883" s="274" t="s">
        <v>5025</v>
      </c>
      <c r="M883" s="281">
        <v>304.44</v>
      </c>
      <c r="N883" s="280"/>
      <c r="O883" s="280"/>
      <c r="P883" s="280"/>
      <c r="Q883" s="280">
        <v>304.44</v>
      </c>
      <c r="R883" s="280"/>
      <c r="S883" s="280"/>
      <c r="T883" s="297"/>
    </row>
    <row r="884" spans="1:20" x14ac:dyDescent="0.25">
      <c r="A884" s="274" t="s">
        <v>78</v>
      </c>
      <c r="B884" s="274" t="s">
        <v>79</v>
      </c>
      <c r="C884" s="274" t="s">
        <v>3741</v>
      </c>
      <c r="D884" s="274" t="s">
        <v>3742</v>
      </c>
      <c r="E884" s="274" t="s">
        <v>54</v>
      </c>
      <c r="F884" s="274" t="s">
        <v>137</v>
      </c>
      <c r="G884" s="274" t="s">
        <v>174</v>
      </c>
      <c r="H884" s="274" t="s">
        <v>175</v>
      </c>
      <c r="I884" s="274" t="s">
        <v>5028</v>
      </c>
      <c r="J884" s="274" t="s">
        <v>6663</v>
      </c>
      <c r="K884" s="274" t="s">
        <v>3746</v>
      </c>
      <c r="L884" s="274" t="s">
        <v>5029</v>
      </c>
      <c r="M884" s="281">
        <v>310</v>
      </c>
      <c r="N884" s="280"/>
      <c r="O884" s="280"/>
      <c r="P884" s="280"/>
      <c r="Q884" s="280">
        <v>310</v>
      </c>
      <c r="R884" s="280"/>
      <c r="S884" s="280"/>
      <c r="T884" s="297"/>
    </row>
    <row r="885" spans="1:20" x14ac:dyDescent="0.25">
      <c r="A885" s="274" t="s">
        <v>78</v>
      </c>
      <c r="B885" s="274" t="s">
        <v>79</v>
      </c>
      <c r="C885" s="274" t="s">
        <v>3741</v>
      </c>
      <c r="D885" s="274" t="s">
        <v>3742</v>
      </c>
      <c r="E885" s="274" t="s">
        <v>54</v>
      </c>
      <c r="F885" s="274" t="s">
        <v>137</v>
      </c>
      <c r="G885" s="274" t="s">
        <v>174</v>
      </c>
      <c r="H885" s="274" t="s">
        <v>175</v>
      </c>
      <c r="I885" s="274" t="s">
        <v>5030</v>
      </c>
      <c r="J885" s="274" t="s">
        <v>6663</v>
      </c>
      <c r="K885" s="274" t="s">
        <v>3746</v>
      </c>
      <c r="L885" s="274" t="s">
        <v>5029</v>
      </c>
      <c r="M885" s="281">
        <v>-310</v>
      </c>
      <c r="N885" s="280"/>
      <c r="O885" s="280"/>
      <c r="P885" s="280"/>
      <c r="Q885" s="280"/>
      <c r="R885" s="280">
        <v>-310</v>
      </c>
      <c r="S885" s="280"/>
      <c r="T885" s="297"/>
    </row>
    <row r="886" spans="1:20" x14ac:dyDescent="0.25">
      <c r="A886" s="274" t="s">
        <v>78</v>
      </c>
      <c r="B886" s="274" t="s">
        <v>79</v>
      </c>
      <c r="C886" s="274" t="s">
        <v>3741</v>
      </c>
      <c r="D886" s="274" t="s">
        <v>3742</v>
      </c>
      <c r="E886" s="274" t="s">
        <v>54</v>
      </c>
      <c r="F886" s="274" t="s">
        <v>137</v>
      </c>
      <c r="G886" s="274" t="s">
        <v>174</v>
      </c>
      <c r="H886" s="274" t="s">
        <v>175</v>
      </c>
      <c r="I886" s="274" t="s">
        <v>5031</v>
      </c>
      <c r="J886" s="274" t="s">
        <v>6663</v>
      </c>
      <c r="K886" s="274" t="s">
        <v>3746</v>
      </c>
      <c r="L886" s="274" t="s">
        <v>5029</v>
      </c>
      <c r="M886" s="281">
        <v>306.89999999999998</v>
      </c>
      <c r="N886" s="280"/>
      <c r="O886" s="280"/>
      <c r="P886" s="280"/>
      <c r="Q886" s="280"/>
      <c r="R886" s="280">
        <v>306.89999999999998</v>
      </c>
      <c r="S886" s="280"/>
      <c r="T886" s="297"/>
    </row>
    <row r="887" spans="1:20" x14ac:dyDescent="0.25">
      <c r="A887" s="274" t="s">
        <v>78</v>
      </c>
      <c r="B887" s="274" t="s">
        <v>79</v>
      </c>
      <c r="C887" s="274" t="s">
        <v>3741</v>
      </c>
      <c r="D887" s="274" t="s">
        <v>3742</v>
      </c>
      <c r="E887" s="274" t="s">
        <v>54</v>
      </c>
      <c r="F887" s="274" t="s">
        <v>137</v>
      </c>
      <c r="G887" s="274" t="s">
        <v>174</v>
      </c>
      <c r="H887" s="274" t="s">
        <v>175</v>
      </c>
      <c r="I887" s="274" t="s">
        <v>5032</v>
      </c>
      <c r="J887" s="274" t="s">
        <v>6663</v>
      </c>
      <c r="K887" s="274" t="s">
        <v>3746</v>
      </c>
      <c r="L887" s="274" t="s">
        <v>5033</v>
      </c>
      <c r="M887" s="281">
        <v>310</v>
      </c>
      <c r="N887" s="280"/>
      <c r="O887" s="280"/>
      <c r="P887" s="280"/>
      <c r="Q887" s="280"/>
      <c r="R887" s="280">
        <v>310</v>
      </c>
      <c r="S887" s="280"/>
      <c r="T887" s="297"/>
    </row>
    <row r="888" spans="1:20" x14ac:dyDescent="0.25">
      <c r="A888" s="274" t="s">
        <v>78</v>
      </c>
      <c r="B888" s="274" t="s">
        <v>79</v>
      </c>
      <c r="C888" s="274" t="s">
        <v>3741</v>
      </c>
      <c r="D888" s="274" t="s">
        <v>3742</v>
      </c>
      <c r="E888" s="274" t="s">
        <v>54</v>
      </c>
      <c r="F888" s="274" t="s">
        <v>137</v>
      </c>
      <c r="G888" s="274" t="s">
        <v>174</v>
      </c>
      <c r="H888" s="274" t="s">
        <v>175</v>
      </c>
      <c r="I888" s="274" t="s">
        <v>6380</v>
      </c>
      <c r="J888" s="274" t="s">
        <v>6663</v>
      </c>
      <c r="K888" s="274" t="s">
        <v>3746</v>
      </c>
      <c r="L888" s="274" t="s">
        <v>5033</v>
      </c>
      <c r="M888" s="281">
        <v>-310</v>
      </c>
      <c r="N888" s="280"/>
      <c r="O888" s="280"/>
      <c r="P888" s="280"/>
      <c r="Q888" s="280"/>
      <c r="R888" s="280"/>
      <c r="S888" s="280">
        <v>-310</v>
      </c>
      <c r="T888" s="297"/>
    </row>
    <row r="889" spans="1:20" x14ac:dyDescent="0.25">
      <c r="A889" s="274" t="s">
        <v>78</v>
      </c>
      <c r="B889" s="274" t="s">
        <v>79</v>
      </c>
      <c r="C889" s="274" t="s">
        <v>3741</v>
      </c>
      <c r="D889" s="274" t="s">
        <v>3742</v>
      </c>
      <c r="E889" s="274" t="s">
        <v>54</v>
      </c>
      <c r="F889" s="274" t="s">
        <v>137</v>
      </c>
      <c r="G889" s="274" t="s">
        <v>174</v>
      </c>
      <c r="H889" s="274" t="s">
        <v>175</v>
      </c>
      <c r="I889" s="274" t="s">
        <v>6381</v>
      </c>
      <c r="J889" s="274" t="s">
        <v>6663</v>
      </c>
      <c r="K889" s="274" t="s">
        <v>3746</v>
      </c>
      <c r="L889" s="274" t="s">
        <v>5033</v>
      </c>
      <c r="M889" s="281">
        <v>303.76</v>
      </c>
      <c r="N889" s="280"/>
      <c r="O889" s="280"/>
      <c r="P889" s="280"/>
      <c r="Q889" s="280"/>
      <c r="R889" s="280"/>
      <c r="S889" s="280">
        <v>303.76</v>
      </c>
      <c r="T889" s="297"/>
    </row>
    <row r="890" spans="1:20" x14ac:dyDescent="0.25">
      <c r="A890" s="274" t="s">
        <v>78</v>
      </c>
      <c r="B890" s="274" t="s">
        <v>79</v>
      </c>
      <c r="C890" s="274" t="s">
        <v>3741</v>
      </c>
      <c r="D890" s="274" t="s">
        <v>3742</v>
      </c>
      <c r="E890" s="274" t="s">
        <v>54</v>
      </c>
      <c r="F890" s="274" t="s">
        <v>137</v>
      </c>
      <c r="G890" s="274" t="s">
        <v>174</v>
      </c>
      <c r="H890" s="274" t="s">
        <v>175</v>
      </c>
      <c r="I890" s="274" t="s">
        <v>6382</v>
      </c>
      <c r="J890" s="274" t="s">
        <v>6663</v>
      </c>
      <c r="K890" s="274" t="s">
        <v>3746</v>
      </c>
      <c r="L890" s="274" t="s">
        <v>6383</v>
      </c>
      <c r="M890" s="281">
        <v>310</v>
      </c>
      <c r="N890" s="280"/>
      <c r="O890" s="280"/>
      <c r="P890" s="280"/>
      <c r="Q890" s="280"/>
      <c r="R890" s="280"/>
      <c r="S890" s="280">
        <v>310</v>
      </c>
      <c r="T890" s="297"/>
    </row>
    <row r="891" spans="1:20" x14ac:dyDescent="0.25">
      <c r="A891" s="274" t="s">
        <v>78</v>
      </c>
      <c r="B891" s="274" t="s">
        <v>79</v>
      </c>
      <c r="C891" s="274" t="s">
        <v>3741</v>
      </c>
      <c r="D891" s="274" t="s">
        <v>3742</v>
      </c>
      <c r="E891" s="274" t="s">
        <v>54</v>
      </c>
      <c r="F891" s="274" t="s">
        <v>137</v>
      </c>
      <c r="G891" s="274" t="s">
        <v>176</v>
      </c>
      <c r="H891" s="274" t="s">
        <v>177</v>
      </c>
      <c r="I891" s="274" t="s">
        <v>5034</v>
      </c>
      <c r="J891" s="274" t="s">
        <v>6664</v>
      </c>
      <c r="K891" s="274" t="s">
        <v>3746</v>
      </c>
      <c r="L891" s="274" t="s">
        <v>5035</v>
      </c>
      <c r="M891" s="281">
        <v>7000</v>
      </c>
      <c r="N891" s="280"/>
      <c r="O891" s="280">
        <v>7000</v>
      </c>
      <c r="P891" s="280"/>
      <c r="Q891" s="280"/>
      <c r="R891" s="280"/>
      <c r="S891" s="280"/>
      <c r="T891" s="297"/>
    </row>
    <row r="892" spans="1:20" x14ac:dyDescent="0.25">
      <c r="A892" s="274" t="s">
        <v>78</v>
      </c>
      <c r="B892" s="274" t="s">
        <v>79</v>
      </c>
      <c r="C892" s="274" t="s">
        <v>3741</v>
      </c>
      <c r="D892" s="274" t="s">
        <v>3742</v>
      </c>
      <c r="E892" s="274" t="s">
        <v>54</v>
      </c>
      <c r="F892" s="274" t="s">
        <v>137</v>
      </c>
      <c r="G892" s="274" t="s">
        <v>176</v>
      </c>
      <c r="H892" s="274" t="s">
        <v>177</v>
      </c>
      <c r="I892" s="274" t="s">
        <v>5036</v>
      </c>
      <c r="J892" s="274" t="s">
        <v>6664</v>
      </c>
      <c r="K892" s="274" t="s">
        <v>3746</v>
      </c>
      <c r="L892" s="274" t="s">
        <v>5037</v>
      </c>
      <c r="M892" s="281">
        <v>13000</v>
      </c>
      <c r="N892" s="280"/>
      <c r="O892" s="280"/>
      <c r="P892" s="280">
        <v>13000</v>
      </c>
      <c r="Q892" s="280"/>
      <c r="R892" s="280"/>
      <c r="S892" s="280"/>
      <c r="T892" s="297"/>
    </row>
    <row r="893" spans="1:20" x14ac:dyDescent="0.25">
      <c r="A893" s="274" t="s">
        <v>78</v>
      </c>
      <c r="B893" s="274" t="s">
        <v>79</v>
      </c>
      <c r="C893" s="274" t="s">
        <v>3741</v>
      </c>
      <c r="D893" s="274" t="s">
        <v>3742</v>
      </c>
      <c r="E893" s="274" t="s">
        <v>54</v>
      </c>
      <c r="F893" s="274" t="s">
        <v>137</v>
      </c>
      <c r="G893" s="274" t="s">
        <v>176</v>
      </c>
      <c r="H893" s="274" t="s">
        <v>177</v>
      </c>
      <c r="I893" s="274" t="s">
        <v>5038</v>
      </c>
      <c r="J893" s="274" t="s">
        <v>6664</v>
      </c>
      <c r="K893" s="274" t="s">
        <v>3746</v>
      </c>
      <c r="L893" s="274" t="s">
        <v>5035</v>
      </c>
      <c r="M893" s="281">
        <v>13000</v>
      </c>
      <c r="N893" s="280"/>
      <c r="O893" s="280">
        <v>13000</v>
      </c>
      <c r="P893" s="280"/>
      <c r="Q893" s="280"/>
      <c r="R893" s="280"/>
      <c r="S893" s="280"/>
      <c r="T893" s="297"/>
    </row>
    <row r="894" spans="1:20" x14ac:dyDescent="0.25">
      <c r="A894" s="274" t="s">
        <v>78</v>
      </c>
      <c r="B894" s="274" t="s">
        <v>79</v>
      </c>
      <c r="C894" s="274" t="s">
        <v>3741</v>
      </c>
      <c r="D894" s="274" t="s">
        <v>3742</v>
      </c>
      <c r="E894" s="274" t="s">
        <v>54</v>
      </c>
      <c r="F894" s="274" t="s">
        <v>137</v>
      </c>
      <c r="G894" s="274" t="s">
        <v>176</v>
      </c>
      <c r="H894" s="274" t="s">
        <v>177</v>
      </c>
      <c r="I894" s="274" t="s">
        <v>5039</v>
      </c>
      <c r="J894" s="274" t="s">
        <v>6664</v>
      </c>
      <c r="K894" s="274" t="s">
        <v>3746</v>
      </c>
      <c r="L894" s="274" t="s">
        <v>5035</v>
      </c>
      <c r="M894" s="281">
        <v>-13000</v>
      </c>
      <c r="N894" s="280"/>
      <c r="O894" s="280"/>
      <c r="P894" s="280">
        <v>-13000</v>
      </c>
      <c r="Q894" s="280"/>
      <c r="R894" s="280"/>
      <c r="S894" s="280"/>
      <c r="T894" s="297"/>
    </row>
    <row r="895" spans="1:20" x14ac:dyDescent="0.25">
      <c r="A895" s="274" t="s">
        <v>78</v>
      </c>
      <c r="B895" s="274" t="s">
        <v>79</v>
      </c>
      <c r="C895" s="274" t="s">
        <v>3741</v>
      </c>
      <c r="D895" s="274" t="s">
        <v>3742</v>
      </c>
      <c r="E895" s="274" t="s">
        <v>54</v>
      </c>
      <c r="F895" s="274" t="s">
        <v>137</v>
      </c>
      <c r="G895" s="274" t="s">
        <v>176</v>
      </c>
      <c r="H895" s="274" t="s">
        <v>177</v>
      </c>
      <c r="I895" s="274" t="s">
        <v>5040</v>
      </c>
      <c r="J895" s="274" t="s">
        <v>6664</v>
      </c>
      <c r="K895" s="274" t="s">
        <v>3746</v>
      </c>
      <c r="L895" s="274" t="s">
        <v>5035</v>
      </c>
      <c r="M895" s="281">
        <v>13000</v>
      </c>
      <c r="N895" s="280"/>
      <c r="O895" s="280"/>
      <c r="P895" s="280">
        <v>13000</v>
      </c>
      <c r="Q895" s="280"/>
      <c r="R895" s="280"/>
      <c r="S895" s="280"/>
      <c r="T895" s="297"/>
    </row>
    <row r="896" spans="1:20" x14ac:dyDescent="0.25">
      <c r="A896" s="274" t="s">
        <v>78</v>
      </c>
      <c r="B896" s="274" t="s">
        <v>79</v>
      </c>
      <c r="C896" s="274" t="s">
        <v>3741</v>
      </c>
      <c r="D896" s="274" t="s">
        <v>3742</v>
      </c>
      <c r="E896" s="274" t="s">
        <v>54</v>
      </c>
      <c r="F896" s="274" t="s">
        <v>137</v>
      </c>
      <c r="G896" s="274" t="s">
        <v>176</v>
      </c>
      <c r="H896" s="274" t="s">
        <v>177</v>
      </c>
      <c r="I896" s="274" t="s">
        <v>5041</v>
      </c>
      <c r="J896" s="274" t="s">
        <v>6664</v>
      </c>
      <c r="K896" s="274" t="s">
        <v>3746</v>
      </c>
      <c r="L896" s="274" t="s">
        <v>5035</v>
      </c>
      <c r="M896" s="281">
        <v>-13000</v>
      </c>
      <c r="N896" s="280"/>
      <c r="O896" s="280"/>
      <c r="P896" s="280">
        <v>-13000</v>
      </c>
      <c r="Q896" s="280"/>
      <c r="R896" s="280"/>
      <c r="S896" s="280"/>
      <c r="T896" s="297"/>
    </row>
    <row r="897" spans="1:20" x14ac:dyDescent="0.25">
      <c r="A897" s="274" t="s">
        <v>78</v>
      </c>
      <c r="B897" s="274" t="s">
        <v>79</v>
      </c>
      <c r="C897" s="274" t="s">
        <v>3741</v>
      </c>
      <c r="D897" s="274" t="s">
        <v>3742</v>
      </c>
      <c r="E897" s="274" t="s">
        <v>54</v>
      </c>
      <c r="F897" s="274" t="s">
        <v>137</v>
      </c>
      <c r="G897" s="274" t="s">
        <v>178</v>
      </c>
      <c r="H897" s="274" t="s">
        <v>179</v>
      </c>
      <c r="I897" s="274" t="s">
        <v>5042</v>
      </c>
      <c r="J897" s="274" t="s">
        <v>6665</v>
      </c>
      <c r="K897" s="274" t="s">
        <v>3746</v>
      </c>
      <c r="L897" s="274" t="s">
        <v>5043</v>
      </c>
      <c r="M897" s="281">
        <v>7000</v>
      </c>
      <c r="N897" s="280"/>
      <c r="O897" s="280"/>
      <c r="P897" s="280"/>
      <c r="Q897" s="280">
        <v>7000</v>
      </c>
      <c r="R897" s="280"/>
      <c r="S897" s="280"/>
      <c r="T897" s="297"/>
    </row>
    <row r="898" spans="1:20" x14ac:dyDescent="0.25">
      <c r="A898" s="274" t="s">
        <v>78</v>
      </c>
      <c r="B898" s="274" t="s">
        <v>79</v>
      </c>
      <c r="C898" s="274" t="s">
        <v>3741</v>
      </c>
      <c r="D898" s="274" t="s">
        <v>3742</v>
      </c>
      <c r="E898" s="274" t="s">
        <v>54</v>
      </c>
      <c r="F898" s="274" t="s">
        <v>137</v>
      </c>
      <c r="G898" s="274" t="s">
        <v>180</v>
      </c>
      <c r="H898" s="274" t="s">
        <v>181</v>
      </c>
      <c r="I898" s="274" t="s">
        <v>5044</v>
      </c>
      <c r="J898" s="274" t="s">
        <v>6666</v>
      </c>
      <c r="K898" s="274" t="s">
        <v>3746</v>
      </c>
      <c r="L898" s="274" t="s">
        <v>5045</v>
      </c>
      <c r="M898" s="281">
        <v>251</v>
      </c>
      <c r="N898" s="280">
        <v>251</v>
      </c>
      <c r="O898" s="280"/>
      <c r="P898" s="280"/>
      <c r="Q898" s="280"/>
      <c r="R898" s="280"/>
      <c r="S898" s="280"/>
      <c r="T898" s="297"/>
    </row>
    <row r="899" spans="1:20" x14ac:dyDescent="0.25">
      <c r="A899" s="274" t="s">
        <v>78</v>
      </c>
      <c r="B899" s="274" t="s">
        <v>79</v>
      </c>
      <c r="C899" s="274" t="s">
        <v>3741</v>
      </c>
      <c r="D899" s="274" t="s">
        <v>3742</v>
      </c>
      <c r="E899" s="274" t="s">
        <v>54</v>
      </c>
      <c r="F899" s="274" t="s">
        <v>137</v>
      </c>
      <c r="G899" s="274" t="s">
        <v>180</v>
      </c>
      <c r="H899" s="274" t="s">
        <v>181</v>
      </c>
      <c r="I899" s="274" t="s">
        <v>5046</v>
      </c>
      <c r="J899" s="274" t="s">
        <v>6666</v>
      </c>
      <c r="K899" s="274" t="s">
        <v>3746</v>
      </c>
      <c r="L899" s="274" t="s">
        <v>5047</v>
      </c>
      <c r="M899" s="281">
        <v>251</v>
      </c>
      <c r="N899" s="280"/>
      <c r="O899" s="280">
        <v>251</v>
      </c>
      <c r="P899" s="280"/>
      <c r="Q899" s="280"/>
      <c r="R899" s="280"/>
      <c r="S899" s="280"/>
      <c r="T899" s="297"/>
    </row>
    <row r="900" spans="1:20" x14ac:dyDescent="0.25">
      <c r="A900" s="274" t="s">
        <v>78</v>
      </c>
      <c r="B900" s="274" t="s">
        <v>79</v>
      </c>
      <c r="C900" s="274" t="s">
        <v>3741</v>
      </c>
      <c r="D900" s="274" t="s">
        <v>3742</v>
      </c>
      <c r="E900" s="274" t="s">
        <v>54</v>
      </c>
      <c r="F900" s="274" t="s">
        <v>137</v>
      </c>
      <c r="G900" s="274" t="s">
        <v>180</v>
      </c>
      <c r="H900" s="274" t="s">
        <v>181</v>
      </c>
      <c r="I900" s="274" t="s">
        <v>5048</v>
      </c>
      <c r="J900" s="274" t="s">
        <v>6666</v>
      </c>
      <c r="K900" s="274" t="s">
        <v>3746</v>
      </c>
      <c r="L900" s="274" t="s">
        <v>5045</v>
      </c>
      <c r="M900" s="281">
        <v>-251</v>
      </c>
      <c r="N900" s="280"/>
      <c r="O900" s="280">
        <v>-251</v>
      </c>
      <c r="P900" s="280"/>
      <c r="Q900" s="280"/>
      <c r="R900" s="280"/>
      <c r="S900" s="280"/>
      <c r="T900" s="297"/>
    </row>
    <row r="901" spans="1:20" x14ac:dyDescent="0.25">
      <c r="A901" s="274" t="s">
        <v>78</v>
      </c>
      <c r="B901" s="274" t="s">
        <v>79</v>
      </c>
      <c r="C901" s="274" t="s">
        <v>3741</v>
      </c>
      <c r="D901" s="274" t="s">
        <v>3742</v>
      </c>
      <c r="E901" s="274" t="s">
        <v>54</v>
      </c>
      <c r="F901" s="274" t="s">
        <v>137</v>
      </c>
      <c r="G901" s="274" t="s">
        <v>180</v>
      </c>
      <c r="H901" s="274" t="s">
        <v>181</v>
      </c>
      <c r="I901" s="274" t="s">
        <v>5049</v>
      </c>
      <c r="J901" s="274" t="s">
        <v>6666</v>
      </c>
      <c r="K901" s="274" t="s">
        <v>3746</v>
      </c>
      <c r="L901" s="274" t="s">
        <v>5045</v>
      </c>
      <c r="M901" s="281">
        <v>38</v>
      </c>
      <c r="N901" s="280"/>
      <c r="O901" s="280">
        <v>38</v>
      </c>
      <c r="P901" s="280"/>
      <c r="Q901" s="280"/>
      <c r="R901" s="280"/>
      <c r="S901" s="280"/>
      <c r="T901" s="297"/>
    </row>
    <row r="902" spans="1:20" x14ac:dyDescent="0.25">
      <c r="A902" s="274" t="s">
        <v>78</v>
      </c>
      <c r="B902" s="274" t="s">
        <v>79</v>
      </c>
      <c r="C902" s="274" t="s">
        <v>3741</v>
      </c>
      <c r="D902" s="274" t="s">
        <v>3742</v>
      </c>
      <c r="E902" s="274" t="s">
        <v>54</v>
      </c>
      <c r="F902" s="274" t="s">
        <v>137</v>
      </c>
      <c r="G902" s="274" t="s">
        <v>180</v>
      </c>
      <c r="H902" s="274" t="s">
        <v>181</v>
      </c>
      <c r="I902" s="274" t="s">
        <v>5050</v>
      </c>
      <c r="J902" s="274" t="s">
        <v>6666</v>
      </c>
      <c r="K902" s="274" t="s">
        <v>3746</v>
      </c>
      <c r="L902" s="274" t="s">
        <v>5047</v>
      </c>
      <c r="M902" s="281">
        <v>38</v>
      </c>
      <c r="N902" s="280"/>
      <c r="O902" s="280"/>
      <c r="P902" s="280">
        <v>38</v>
      </c>
      <c r="Q902" s="280"/>
      <c r="R902" s="280"/>
      <c r="S902" s="280"/>
      <c r="T902" s="297"/>
    </row>
    <row r="903" spans="1:20" x14ac:dyDescent="0.25">
      <c r="A903" s="274" t="s">
        <v>78</v>
      </c>
      <c r="B903" s="274" t="s">
        <v>79</v>
      </c>
      <c r="C903" s="274" t="s">
        <v>3741</v>
      </c>
      <c r="D903" s="274" t="s">
        <v>3742</v>
      </c>
      <c r="E903" s="274" t="s">
        <v>54</v>
      </c>
      <c r="F903" s="274" t="s">
        <v>137</v>
      </c>
      <c r="G903" s="274" t="s">
        <v>180</v>
      </c>
      <c r="H903" s="274" t="s">
        <v>181</v>
      </c>
      <c r="I903" s="274" t="s">
        <v>5051</v>
      </c>
      <c r="J903" s="274" t="s">
        <v>6666</v>
      </c>
      <c r="K903" s="274" t="s">
        <v>3746</v>
      </c>
      <c r="L903" s="274" t="s">
        <v>5052</v>
      </c>
      <c r="M903" s="281">
        <v>38</v>
      </c>
      <c r="N903" s="280"/>
      <c r="O903" s="280"/>
      <c r="P903" s="280">
        <v>38</v>
      </c>
      <c r="Q903" s="280"/>
      <c r="R903" s="280"/>
      <c r="S903" s="280"/>
      <c r="T903" s="297"/>
    </row>
    <row r="904" spans="1:20" x14ac:dyDescent="0.25">
      <c r="A904" s="274" t="s">
        <v>78</v>
      </c>
      <c r="B904" s="274" t="s">
        <v>79</v>
      </c>
      <c r="C904" s="274" t="s">
        <v>3741</v>
      </c>
      <c r="D904" s="274" t="s">
        <v>3742</v>
      </c>
      <c r="E904" s="274" t="s">
        <v>54</v>
      </c>
      <c r="F904" s="274" t="s">
        <v>137</v>
      </c>
      <c r="G904" s="274" t="s">
        <v>180</v>
      </c>
      <c r="H904" s="274" t="s">
        <v>181</v>
      </c>
      <c r="I904" s="274" t="s">
        <v>5053</v>
      </c>
      <c r="J904" s="274" t="s">
        <v>6666</v>
      </c>
      <c r="K904" s="274" t="s">
        <v>3746</v>
      </c>
      <c r="L904" s="274" t="s">
        <v>5047</v>
      </c>
      <c r="M904" s="281">
        <v>47</v>
      </c>
      <c r="N904" s="280"/>
      <c r="O904" s="280"/>
      <c r="P904" s="280">
        <v>47</v>
      </c>
      <c r="Q904" s="280"/>
      <c r="R904" s="280"/>
      <c r="S904" s="280"/>
      <c r="T904" s="297"/>
    </row>
    <row r="905" spans="1:20" x14ac:dyDescent="0.25">
      <c r="A905" s="274" t="s">
        <v>78</v>
      </c>
      <c r="B905" s="274" t="s">
        <v>79</v>
      </c>
      <c r="C905" s="274" t="s">
        <v>3741</v>
      </c>
      <c r="D905" s="274" t="s">
        <v>3742</v>
      </c>
      <c r="E905" s="274" t="s">
        <v>54</v>
      </c>
      <c r="F905" s="274" t="s">
        <v>137</v>
      </c>
      <c r="G905" s="274" t="s">
        <v>180</v>
      </c>
      <c r="H905" s="274" t="s">
        <v>181</v>
      </c>
      <c r="I905" s="274" t="s">
        <v>5054</v>
      </c>
      <c r="J905" s="274" t="s">
        <v>6666</v>
      </c>
      <c r="K905" s="274" t="s">
        <v>3746</v>
      </c>
      <c r="L905" s="274" t="s">
        <v>5055</v>
      </c>
      <c r="M905" s="281">
        <v>251</v>
      </c>
      <c r="N905" s="280"/>
      <c r="O905" s="280"/>
      <c r="P905" s="280"/>
      <c r="Q905" s="280"/>
      <c r="R905" s="280">
        <v>251</v>
      </c>
      <c r="S905" s="280"/>
      <c r="T905" s="297"/>
    </row>
    <row r="906" spans="1:20" x14ac:dyDescent="0.25">
      <c r="A906" s="274" t="s">
        <v>78</v>
      </c>
      <c r="B906" s="274" t="s">
        <v>79</v>
      </c>
      <c r="C906" s="274" t="s">
        <v>3741</v>
      </c>
      <c r="D906" s="274" t="s">
        <v>3742</v>
      </c>
      <c r="E906" s="274" t="s">
        <v>54</v>
      </c>
      <c r="F906" s="274" t="s">
        <v>137</v>
      </c>
      <c r="G906" s="274" t="s">
        <v>180</v>
      </c>
      <c r="H906" s="274" t="s">
        <v>181</v>
      </c>
      <c r="I906" s="274" t="s">
        <v>6384</v>
      </c>
      <c r="J906" s="274" t="s">
        <v>6667</v>
      </c>
      <c r="K906" s="274" t="s">
        <v>3746</v>
      </c>
      <c r="L906" s="274" t="s">
        <v>6385</v>
      </c>
      <c r="M906" s="281">
        <v>251</v>
      </c>
      <c r="N906" s="280"/>
      <c r="O906" s="280"/>
      <c r="P906" s="280"/>
      <c r="Q906" s="280"/>
      <c r="R906" s="280"/>
      <c r="S906" s="280">
        <v>251</v>
      </c>
      <c r="T906" s="297"/>
    </row>
    <row r="907" spans="1:20" x14ac:dyDescent="0.25">
      <c r="A907" s="274" t="s">
        <v>78</v>
      </c>
      <c r="B907" s="274" t="s">
        <v>79</v>
      </c>
      <c r="C907" s="274" t="s">
        <v>3741</v>
      </c>
      <c r="D907" s="274" t="s">
        <v>3742</v>
      </c>
      <c r="E907" s="274" t="s">
        <v>54</v>
      </c>
      <c r="F907" s="274" t="s">
        <v>137</v>
      </c>
      <c r="G907" s="274" t="s">
        <v>182</v>
      </c>
      <c r="H907" s="274" t="s">
        <v>183</v>
      </c>
      <c r="I907" s="274" t="s">
        <v>6386</v>
      </c>
      <c r="J907" s="274" t="s">
        <v>6668</v>
      </c>
      <c r="K907" s="274" t="s">
        <v>3746</v>
      </c>
      <c r="L907" s="274" t="s">
        <v>6387</v>
      </c>
      <c r="M907" s="281">
        <v>3175</v>
      </c>
      <c r="N907" s="280"/>
      <c r="O907" s="280"/>
      <c r="P907" s="280"/>
      <c r="Q907" s="280"/>
      <c r="R907" s="280"/>
      <c r="S907" s="280">
        <v>3175</v>
      </c>
      <c r="T907" s="297"/>
    </row>
    <row r="908" spans="1:20" x14ac:dyDescent="0.25">
      <c r="A908" s="274" t="s">
        <v>78</v>
      </c>
      <c r="B908" s="274" t="s">
        <v>79</v>
      </c>
      <c r="C908" s="274" t="s">
        <v>3741</v>
      </c>
      <c r="D908" s="274" t="s">
        <v>3742</v>
      </c>
      <c r="E908" s="274" t="s">
        <v>54</v>
      </c>
      <c r="F908" s="274" t="s">
        <v>137</v>
      </c>
      <c r="G908" s="274" t="s">
        <v>184</v>
      </c>
      <c r="H908" s="274" t="s">
        <v>185</v>
      </c>
      <c r="I908" s="274" t="s">
        <v>5056</v>
      </c>
      <c r="J908" s="274" t="s">
        <v>6669</v>
      </c>
      <c r="K908" s="274" t="s">
        <v>3746</v>
      </c>
      <c r="L908" s="274" t="s">
        <v>4861</v>
      </c>
      <c r="M908" s="281">
        <v>174966.67</v>
      </c>
      <c r="N908" s="280">
        <v>174966.67</v>
      </c>
      <c r="O908" s="280"/>
      <c r="P908" s="280"/>
      <c r="Q908" s="280"/>
      <c r="R908" s="280"/>
      <c r="S908" s="280"/>
      <c r="T908" s="297"/>
    </row>
    <row r="909" spans="1:20" x14ac:dyDescent="0.25">
      <c r="A909" s="274" t="s">
        <v>78</v>
      </c>
      <c r="B909" s="274" t="s">
        <v>79</v>
      </c>
      <c r="C909" s="274" t="s">
        <v>3741</v>
      </c>
      <c r="D909" s="274" t="s">
        <v>3742</v>
      </c>
      <c r="E909" s="274" t="s">
        <v>54</v>
      </c>
      <c r="F909" s="274" t="s">
        <v>137</v>
      </c>
      <c r="G909" s="274" t="s">
        <v>184</v>
      </c>
      <c r="H909" s="274" t="s">
        <v>185</v>
      </c>
      <c r="I909" s="274" t="s">
        <v>5057</v>
      </c>
      <c r="J909" s="274" t="s">
        <v>6669</v>
      </c>
      <c r="K909" s="274" t="s">
        <v>6506</v>
      </c>
      <c r="L909" s="274" t="s">
        <v>5058</v>
      </c>
      <c r="M909" s="281">
        <v>63573</v>
      </c>
      <c r="N909" s="280">
        <v>63573</v>
      </c>
      <c r="O909" s="280"/>
      <c r="P909" s="280"/>
      <c r="Q909" s="280"/>
      <c r="R909" s="280"/>
      <c r="S909" s="280"/>
      <c r="T909" s="297"/>
    </row>
    <row r="910" spans="1:20" x14ac:dyDescent="0.25">
      <c r="A910" s="274" t="s">
        <v>78</v>
      </c>
      <c r="B910" s="274" t="s">
        <v>79</v>
      </c>
      <c r="C910" s="274" t="s">
        <v>3741</v>
      </c>
      <c r="D910" s="274" t="s">
        <v>3742</v>
      </c>
      <c r="E910" s="274" t="s">
        <v>54</v>
      </c>
      <c r="F910" s="274" t="s">
        <v>137</v>
      </c>
      <c r="G910" s="274" t="s">
        <v>184</v>
      </c>
      <c r="H910" s="274" t="s">
        <v>185</v>
      </c>
      <c r="I910" s="274" t="s">
        <v>5059</v>
      </c>
      <c r="J910" s="274" t="s">
        <v>6669</v>
      </c>
      <c r="K910" s="274" t="s">
        <v>3746</v>
      </c>
      <c r="L910" s="274" t="s">
        <v>5060</v>
      </c>
      <c r="M910" s="281">
        <v>180310.33</v>
      </c>
      <c r="N910" s="280"/>
      <c r="O910" s="280">
        <v>180310.33</v>
      </c>
      <c r="P910" s="280"/>
      <c r="Q910" s="280"/>
      <c r="R910" s="280"/>
      <c r="S910" s="280"/>
      <c r="T910" s="297"/>
    </row>
    <row r="911" spans="1:20" x14ac:dyDescent="0.25">
      <c r="A911" s="274" t="s">
        <v>78</v>
      </c>
      <c r="B911" s="274" t="s">
        <v>79</v>
      </c>
      <c r="C911" s="274" t="s">
        <v>3741</v>
      </c>
      <c r="D911" s="274" t="s">
        <v>3742</v>
      </c>
      <c r="E911" s="274" t="s">
        <v>54</v>
      </c>
      <c r="F911" s="274" t="s">
        <v>137</v>
      </c>
      <c r="G911" s="274" t="s">
        <v>184</v>
      </c>
      <c r="H911" s="274" t="s">
        <v>185</v>
      </c>
      <c r="I911" s="274" t="s">
        <v>5061</v>
      </c>
      <c r="J911" s="274" t="s">
        <v>6669</v>
      </c>
      <c r="K911" s="274" t="s">
        <v>3746</v>
      </c>
      <c r="L911" s="274" t="s">
        <v>5062</v>
      </c>
      <c r="M911" s="281">
        <v>180310.33</v>
      </c>
      <c r="N911" s="280"/>
      <c r="O911" s="280">
        <v>180310.33</v>
      </c>
      <c r="P911" s="280"/>
      <c r="Q911" s="280"/>
      <c r="R911" s="280"/>
      <c r="S911" s="280"/>
      <c r="T911" s="297"/>
    </row>
    <row r="912" spans="1:20" x14ac:dyDescent="0.25">
      <c r="A912" s="274" t="s">
        <v>78</v>
      </c>
      <c r="B912" s="274" t="s">
        <v>79</v>
      </c>
      <c r="C912" s="274" t="s">
        <v>3741</v>
      </c>
      <c r="D912" s="274" t="s">
        <v>3742</v>
      </c>
      <c r="E912" s="274" t="s">
        <v>54</v>
      </c>
      <c r="F912" s="274" t="s">
        <v>137</v>
      </c>
      <c r="G912" s="274" t="s">
        <v>184</v>
      </c>
      <c r="H912" s="274" t="s">
        <v>185</v>
      </c>
      <c r="I912" s="274" t="s">
        <v>5063</v>
      </c>
      <c r="J912" s="274" t="s">
        <v>6670</v>
      </c>
      <c r="K912" s="274" t="s">
        <v>3746</v>
      </c>
      <c r="L912" s="274" t="s">
        <v>5064</v>
      </c>
      <c r="M912" s="281">
        <v>5400</v>
      </c>
      <c r="N912" s="280"/>
      <c r="O912" s="280">
        <v>5400</v>
      </c>
      <c r="P912" s="280"/>
      <c r="Q912" s="280"/>
      <c r="R912" s="280"/>
      <c r="S912" s="280"/>
      <c r="T912" s="297"/>
    </row>
    <row r="913" spans="1:20" x14ac:dyDescent="0.25">
      <c r="A913" s="274" t="s">
        <v>78</v>
      </c>
      <c r="B913" s="274" t="s">
        <v>79</v>
      </c>
      <c r="C913" s="274" t="s">
        <v>3741</v>
      </c>
      <c r="D913" s="274" t="s">
        <v>3742</v>
      </c>
      <c r="E913" s="274" t="s">
        <v>54</v>
      </c>
      <c r="F913" s="274" t="s">
        <v>137</v>
      </c>
      <c r="G913" s="274" t="s">
        <v>184</v>
      </c>
      <c r="H913" s="274" t="s">
        <v>185</v>
      </c>
      <c r="I913" s="274" t="s">
        <v>5065</v>
      </c>
      <c r="J913" s="274" t="s">
        <v>6671</v>
      </c>
      <c r="K913" s="274" t="s">
        <v>3746</v>
      </c>
      <c r="L913" s="274" t="s">
        <v>4863</v>
      </c>
      <c r="M913" s="281">
        <v>43914.61</v>
      </c>
      <c r="N913" s="280"/>
      <c r="O913" s="280"/>
      <c r="P913" s="280">
        <v>43914.61</v>
      </c>
      <c r="Q913" s="280"/>
      <c r="R913" s="280"/>
      <c r="S913" s="280"/>
      <c r="T913" s="297"/>
    </row>
    <row r="914" spans="1:20" x14ac:dyDescent="0.25">
      <c r="A914" s="274" t="s">
        <v>78</v>
      </c>
      <c r="B914" s="274" t="s">
        <v>79</v>
      </c>
      <c r="C914" s="274" t="s">
        <v>3741</v>
      </c>
      <c r="D914" s="274" t="s">
        <v>3742</v>
      </c>
      <c r="E914" s="274" t="s">
        <v>54</v>
      </c>
      <c r="F914" s="274" t="s">
        <v>137</v>
      </c>
      <c r="G914" s="274" t="s">
        <v>184</v>
      </c>
      <c r="H914" s="274" t="s">
        <v>185</v>
      </c>
      <c r="I914" s="274" t="s">
        <v>5066</v>
      </c>
      <c r="J914" s="274" t="s">
        <v>6669</v>
      </c>
      <c r="K914" s="274" t="s">
        <v>3746</v>
      </c>
      <c r="L914" s="274" t="s">
        <v>5067</v>
      </c>
      <c r="M914" s="281">
        <v>180310.33</v>
      </c>
      <c r="N914" s="280"/>
      <c r="O914" s="280"/>
      <c r="P914" s="280">
        <v>180310.33</v>
      </c>
      <c r="Q914" s="280"/>
      <c r="R914" s="280"/>
      <c r="S914" s="280"/>
      <c r="T914" s="297"/>
    </row>
    <row r="915" spans="1:20" x14ac:dyDescent="0.25">
      <c r="A915" s="274" t="s">
        <v>78</v>
      </c>
      <c r="B915" s="274" t="s">
        <v>79</v>
      </c>
      <c r="C915" s="274" t="s">
        <v>3741</v>
      </c>
      <c r="D915" s="274" t="s">
        <v>3742</v>
      </c>
      <c r="E915" s="274" t="s">
        <v>54</v>
      </c>
      <c r="F915" s="274" t="s">
        <v>137</v>
      </c>
      <c r="G915" s="274" t="s">
        <v>184</v>
      </c>
      <c r="H915" s="274" t="s">
        <v>185</v>
      </c>
      <c r="I915" s="274" t="s">
        <v>5068</v>
      </c>
      <c r="J915" s="274" t="s">
        <v>6669</v>
      </c>
      <c r="K915" s="274" t="s">
        <v>3746</v>
      </c>
      <c r="L915" s="274" t="s">
        <v>5069</v>
      </c>
      <c r="M915" s="281">
        <v>180310.33</v>
      </c>
      <c r="N915" s="280"/>
      <c r="O915" s="280"/>
      <c r="P915" s="280"/>
      <c r="Q915" s="280">
        <v>180310.33</v>
      </c>
      <c r="R915" s="280"/>
      <c r="S915" s="280"/>
      <c r="T915" s="297"/>
    </row>
    <row r="916" spans="1:20" x14ac:dyDescent="0.25">
      <c r="A916" s="274" t="s">
        <v>78</v>
      </c>
      <c r="B916" s="274" t="s">
        <v>79</v>
      </c>
      <c r="C916" s="274" t="s">
        <v>3741</v>
      </c>
      <c r="D916" s="274" t="s">
        <v>3742</v>
      </c>
      <c r="E916" s="274" t="s">
        <v>54</v>
      </c>
      <c r="F916" s="274" t="s">
        <v>137</v>
      </c>
      <c r="G916" s="274" t="s">
        <v>184</v>
      </c>
      <c r="H916" s="274" t="s">
        <v>185</v>
      </c>
      <c r="I916" s="274" t="s">
        <v>5070</v>
      </c>
      <c r="J916" s="274" t="s">
        <v>6672</v>
      </c>
      <c r="K916" s="274" t="s">
        <v>3746</v>
      </c>
      <c r="L916" s="274" t="s">
        <v>5071</v>
      </c>
      <c r="M916" s="281">
        <v>27543.1</v>
      </c>
      <c r="N916" s="280"/>
      <c r="O916" s="280"/>
      <c r="P916" s="280"/>
      <c r="Q916" s="280">
        <v>27543.1</v>
      </c>
      <c r="R916" s="280"/>
      <c r="S916" s="280"/>
      <c r="T916" s="297"/>
    </row>
    <row r="917" spans="1:20" x14ac:dyDescent="0.25">
      <c r="A917" s="274" t="s">
        <v>78</v>
      </c>
      <c r="B917" s="274" t="s">
        <v>79</v>
      </c>
      <c r="C917" s="274" t="s">
        <v>3741</v>
      </c>
      <c r="D917" s="274" t="s">
        <v>3742</v>
      </c>
      <c r="E917" s="274" t="s">
        <v>54</v>
      </c>
      <c r="F917" s="274" t="s">
        <v>137</v>
      </c>
      <c r="G917" s="274" t="s">
        <v>184</v>
      </c>
      <c r="H917" s="274" t="s">
        <v>185</v>
      </c>
      <c r="I917" s="274" t="s">
        <v>5072</v>
      </c>
      <c r="J917" s="274" t="s">
        <v>6669</v>
      </c>
      <c r="K917" s="274" t="s">
        <v>3746</v>
      </c>
      <c r="L917" s="274" t="s">
        <v>5073</v>
      </c>
      <c r="M917" s="281">
        <v>180310.33</v>
      </c>
      <c r="N917" s="280"/>
      <c r="O917" s="280"/>
      <c r="P917" s="280"/>
      <c r="Q917" s="280"/>
      <c r="R917" s="280">
        <v>180310.33</v>
      </c>
      <c r="S917" s="280"/>
      <c r="T917" s="297"/>
    </row>
    <row r="918" spans="1:20" x14ac:dyDescent="0.25">
      <c r="A918" s="274" t="s">
        <v>78</v>
      </c>
      <c r="B918" s="274" t="s">
        <v>79</v>
      </c>
      <c r="C918" s="274" t="s">
        <v>3741</v>
      </c>
      <c r="D918" s="274" t="s">
        <v>3742</v>
      </c>
      <c r="E918" s="274" t="s">
        <v>54</v>
      </c>
      <c r="F918" s="274" t="s">
        <v>137</v>
      </c>
      <c r="G918" s="274" t="s">
        <v>184</v>
      </c>
      <c r="H918" s="274" t="s">
        <v>185</v>
      </c>
      <c r="I918" s="274" t="s">
        <v>6388</v>
      </c>
      <c r="J918" s="274" t="s">
        <v>6669</v>
      </c>
      <c r="K918" s="274" t="s">
        <v>3746</v>
      </c>
      <c r="L918" s="274" t="s">
        <v>6389</v>
      </c>
      <c r="M918" s="281">
        <v>180310.33</v>
      </c>
      <c r="N918" s="280"/>
      <c r="O918" s="280"/>
      <c r="P918" s="280"/>
      <c r="Q918" s="280"/>
      <c r="R918" s="280"/>
      <c r="S918" s="280">
        <v>180310.33</v>
      </c>
      <c r="T918" s="297"/>
    </row>
    <row r="919" spans="1:20" x14ac:dyDescent="0.25">
      <c r="A919" s="274" t="s">
        <v>78</v>
      </c>
      <c r="B919" s="274" t="s">
        <v>79</v>
      </c>
      <c r="C919" s="274" t="s">
        <v>3741</v>
      </c>
      <c r="D919" s="274" t="s">
        <v>3742</v>
      </c>
      <c r="E919" s="274" t="s">
        <v>54</v>
      </c>
      <c r="F919" s="274" t="s">
        <v>137</v>
      </c>
      <c r="G919" s="274" t="s">
        <v>98</v>
      </c>
      <c r="H919" s="274" t="s">
        <v>99</v>
      </c>
      <c r="I919" s="274" t="s">
        <v>5074</v>
      </c>
      <c r="J919" s="274" t="s">
        <v>98</v>
      </c>
      <c r="K919" s="274" t="s">
        <v>98</v>
      </c>
      <c r="L919" s="274" t="s">
        <v>5075</v>
      </c>
      <c r="M919" s="281">
        <v>-27965.08</v>
      </c>
      <c r="N919" s="280"/>
      <c r="O919" s="280">
        <v>-27965.08</v>
      </c>
      <c r="P919" s="280"/>
      <c r="Q919" s="280"/>
      <c r="R919" s="280"/>
      <c r="S919" s="280"/>
      <c r="T919" s="297"/>
    </row>
    <row r="920" spans="1:20" x14ac:dyDescent="0.25">
      <c r="A920" s="274" t="s">
        <v>78</v>
      </c>
      <c r="B920" s="274" t="s">
        <v>79</v>
      </c>
      <c r="C920" s="274" t="s">
        <v>3741</v>
      </c>
      <c r="D920" s="274" t="s">
        <v>3742</v>
      </c>
      <c r="E920" s="274" t="s">
        <v>54</v>
      </c>
      <c r="F920" s="274" t="s">
        <v>137</v>
      </c>
      <c r="G920" s="274" t="s">
        <v>98</v>
      </c>
      <c r="H920" s="274" t="s">
        <v>99</v>
      </c>
      <c r="I920" s="274" t="s">
        <v>5076</v>
      </c>
      <c r="J920" s="274" t="s">
        <v>98</v>
      </c>
      <c r="K920" s="274" t="s">
        <v>98</v>
      </c>
      <c r="L920" s="274" t="s">
        <v>5077</v>
      </c>
      <c r="M920" s="281">
        <v>-20590.91</v>
      </c>
      <c r="N920" s="280"/>
      <c r="O920" s="280">
        <v>-20590.91</v>
      </c>
      <c r="P920" s="280"/>
      <c r="Q920" s="280"/>
      <c r="R920" s="280"/>
      <c r="S920" s="280"/>
      <c r="T920" s="297"/>
    </row>
    <row r="921" spans="1:20" x14ac:dyDescent="0.25">
      <c r="A921" s="274" t="s">
        <v>78</v>
      </c>
      <c r="B921" s="274" t="s">
        <v>79</v>
      </c>
      <c r="C921" s="274" t="s">
        <v>3741</v>
      </c>
      <c r="D921" s="274" t="s">
        <v>3742</v>
      </c>
      <c r="E921" s="274" t="s">
        <v>54</v>
      </c>
      <c r="F921" s="274" t="s">
        <v>137</v>
      </c>
      <c r="G921" s="274" t="s">
        <v>98</v>
      </c>
      <c r="H921" s="274" t="s">
        <v>99</v>
      </c>
      <c r="I921" s="274" t="s">
        <v>5076</v>
      </c>
      <c r="J921" s="274" t="s">
        <v>98</v>
      </c>
      <c r="K921" s="274" t="s">
        <v>98</v>
      </c>
      <c r="L921" s="274" t="s">
        <v>5078</v>
      </c>
      <c r="M921" s="281">
        <v>-19545.45</v>
      </c>
      <c r="N921" s="280"/>
      <c r="O921" s="280">
        <v>-19545.45</v>
      </c>
      <c r="P921" s="280"/>
      <c r="Q921" s="280"/>
      <c r="R921" s="280"/>
      <c r="S921" s="280"/>
      <c r="T921" s="297"/>
    </row>
    <row r="922" spans="1:20" x14ac:dyDescent="0.25">
      <c r="A922" s="274" t="s">
        <v>78</v>
      </c>
      <c r="B922" s="274" t="s">
        <v>79</v>
      </c>
      <c r="C922" s="274" t="s">
        <v>3741</v>
      </c>
      <c r="D922" s="274" t="s">
        <v>3742</v>
      </c>
      <c r="E922" s="274" t="s">
        <v>54</v>
      </c>
      <c r="F922" s="274" t="s">
        <v>137</v>
      </c>
      <c r="G922" s="274" t="s">
        <v>98</v>
      </c>
      <c r="H922" s="274" t="s">
        <v>99</v>
      </c>
      <c r="I922" s="274" t="s">
        <v>5079</v>
      </c>
      <c r="J922" s="274" t="s">
        <v>98</v>
      </c>
      <c r="K922" s="274" t="s">
        <v>98</v>
      </c>
      <c r="L922" s="274" t="s">
        <v>5077</v>
      </c>
      <c r="M922" s="281">
        <v>-20590.91</v>
      </c>
      <c r="N922" s="280"/>
      <c r="O922" s="280"/>
      <c r="P922" s="280">
        <v>-20590.91</v>
      </c>
      <c r="Q922" s="280"/>
      <c r="R922" s="280"/>
      <c r="S922" s="280"/>
      <c r="T922" s="297"/>
    </row>
    <row r="923" spans="1:20" x14ac:dyDescent="0.25">
      <c r="A923" s="274" t="s">
        <v>78</v>
      </c>
      <c r="B923" s="274" t="s">
        <v>79</v>
      </c>
      <c r="C923" s="274" t="s">
        <v>3741</v>
      </c>
      <c r="D923" s="274" t="s">
        <v>3742</v>
      </c>
      <c r="E923" s="274" t="s">
        <v>54</v>
      </c>
      <c r="F923" s="274" t="s">
        <v>137</v>
      </c>
      <c r="G923" s="274" t="s">
        <v>98</v>
      </c>
      <c r="H923" s="274" t="s">
        <v>99</v>
      </c>
      <c r="I923" s="274" t="s">
        <v>5079</v>
      </c>
      <c r="J923" s="274" t="s">
        <v>98</v>
      </c>
      <c r="K923" s="274" t="s">
        <v>98</v>
      </c>
      <c r="L923" s="274" t="s">
        <v>5078</v>
      </c>
      <c r="M923" s="281">
        <v>-19545.45</v>
      </c>
      <c r="N923" s="280"/>
      <c r="O923" s="280"/>
      <c r="P923" s="280">
        <v>-19545.45</v>
      </c>
      <c r="Q923" s="280"/>
      <c r="R923" s="280"/>
      <c r="S923" s="280"/>
      <c r="T923" s="297"/>
    </row>
    <row r="924" spans="1:20" x14ac:dyDescent="0.25">
      <c r="A924" s="274" t="s">
        <v>78</v>
      </c>
      <c r="B924" s="274" t="s">
        <v>79</v>
      </c>
      <c r="C924" s="274" t="s">
        <v>3741</v>
      </c>
      <c r="D924" s="274" t="s">
        <v>3742</v>
      </c>
      <c r="E924" s="274" t="s">
        <v>54</v>
      </c>
      <c r="F924" s="274" t="s">
        <v>137</v>
      </c>
      <c r="G924" s="274" t="s">
        <v>98</v>
      </c>
      <c r="H924" s="274" t="s">
        <v>99</v>
      </c>
      <c r="I924" s="274" t="s">
        <v>5080</v>
      </c>
      <c r="J924" s="274" t="s">
        <v>98</v>
      </c>
      <c r="K924" s="274" t="s">
        <v>98</v>
      </c>
      <c r="L924" s="274" t="s">
        <v>5077</v>
      </c>
      <c r="M924" s="281">
        <v>-20590.91</v>
      </c>
      <c r="N924" s="280"/>
      <c r="O924" s="280"/>
      <c r="P924" s="280"/>
      <c r="Q924" s="280">
        <v>-20590.91</v>
      </c>
      <c r="R924" s="280"/>
      <c r="S924" s="280"/>
      <c r="T924" s="297"/>
    </row>
    <row r="925" spans="1:20" x14ac:dyDescent="0.25">
      <c r="A925" s="274" t="s">
        <v>78</v>
      </c>
      <c r="B925" s="274" t="s">
        <v>79</v>
      </c>
      <c r="C925" s="274" t="s">
        <v>3741</v>
      </c>
      <c r="D925" s="274" t="s">
        <v>3742</v>
      </c>
      <c r="E925" s="274" t="s">
        <v>54</v>
      </c>
      <c r="F925" s="274" t="s">
        <v>137</v>
      </c>
      <c r="G925" s="274" t="s">
        <v>98</v>
      </c>
      <c r="H925" s="274" t="s">
        <v>99</v>
      </c>
      <c r="I925" s="274" t="s">
        <v>5080</v>
      </c>
      <c r="J925" s="274" t="s">
        <v>98</v>
      </c>
      <c r="K925" s="274" t="s">
        <v>98</v>
      </c>
      <c r="L925" s="274" t="s">
        <v>5078</v>
      </c>
      <c r="M925" s="281">
        <v>-19545.45</v>
      </c>
      <c r="N925" s="280"/>
      <c r="O925" s="280"/>
      <c r="P925" s="280"/>
      <c r="Q925" s="280">
        <v>-19545.45</v>
      </c>
      <c r="R925" s="280"/>
      <c r="S925" s="280"/>
      <c r="T925" s="297"/>
    </row>
    <row r="926" spans="1:20" x14ac:dyDescent="0.25">
      <c r="A926" s="274" t="s">
        <v>78</v>
      </c>
      <c r="B926" s="274" t="s">
        <v>79</v>
      </c>
      <c r="C926" s="274" t="s">
        <v>3741</v>
      </c>
      <c r="D926" s="274" t="s">
        <v>3742</v>
      </c>
      <c r="E926" s="274" t="s">
        <v>54</v>
      </c>
      <c r="F926" s="274" t="s">
        <v>137</v>
      </c>
      <c r="G926" s="274" t="s">
        <v>98</v>
      </c>
      <c r="H926" s="274" t="s">
        <v>99</v>
      </c>
      <c r="I926" s="274" t="s">
        <v>5081</v>
      </c>
      <c r="J926" s="274" t="s">
        <v>98</v>
      </c>
      <c r="K926" s="274" t="s">
        <v>98</v>
      </c>
      <c r="L926" s="274" t="s">
        <v>5077</v>
      </c>
      <c r="M926" s="281">
        <v>-20590.91</v>
      </c>
      <c r="N926" s="280"/>
      <c r="O926" s="280"/>
      <c r="P926" s="280"/>
      <c r="Q926" s="280"/>
      <c r="R926" s="280">
        <v>-20590.91</v>
      </c>
      <c r="S926" s="280"/>
      <c r="T926" s="297"/>
    </row>
    <row r="927" spans="1:20" x14ac:dyDescent="0.25">
      <c r="A927" s="274" t="s">
        <v>78</v>
      </c>
      <c r="B927" s="274" t="s">
        <v>79</v>
      </c>
      <c r="C927" s="274" t="s">
        <v>3741</v>
      </c>
      <c r="D927" s="274" t="s">
        <v>3742</v>
      </c>
      <c r="E927" s="274" t="s">
        <v>54</v>
      </c>
      <c r="F927" s="274" t="s">
        <v>137</v>
      </c>
      <c r="G927" s="274" t="s">
        <v>98</v>
      </c>
      <c r="H927" s="274" t="s">
        <v>99</v>
      </c>
      <c r="I927" s="274" t="s">
        <v>5081</v>
      </c>
      <c r="J927" s="274" t="s">
        <v>98</v>
      </c>
      <c r="K927" s="274" t="s">
        <v>98</v>
      </c>
      <c r="L927" s="274" t="s">
        <v>5078</v>
      </c>
      <c r="M927" s="281">
        <v>-19545.45</v>
      </c>
      <c r="N927" s="280"/>
      <c r="O927" s="280"/>
      <c r="P927" s="280"/>
      <c r="Q927" s="280"/>
      <c r="R927" s="280">
        <v>-19545.45</v>
      </c>
      <c r="S927" s="280"/>
      <c r="T927" s="297"/>
    </row>
    <row r="928" spans="1:20" x14ac:dyDescent="0.25">
      <c r="A928" s="274" t="s">
        <v>78</v>
      </c>
      <c r="B928" s="274" t="s">
        <v>79</v>
      </c>
      <c r="C928" s="274" t="s">
        <v>3741</v>
      </c>
      <c r="D928" s="274" t="s">
        <v>3742</v>
      </c>
      <c r="E928" s="274" t="s">
        <v>54</v>
      </c>
      <c r="F928" s="274" t="s">
        <v>137</v>
      </c>
      <c r="G928" s="274" t="s">
        <v>98</v>
      </c>
      <c r="H928" s="274" t="s">
        <v>99</v>
      </c>
      <c r="I928" s="274" t="s">
        <v>6390</v>
      </c>
      <c r="J928" s="274" t="s">
        <v>98</v>
      </c>
      <c r="K928" s="274" t="s">
        <v>98</v>
      </c>
      <c r="L928" s="274" t="s">
        <v>5077</v>
      </c>
      <c r="M928" s="281">
        <v>-20590.91</v>
      </c>
      <c r="N928" s="280"/>
      <c r="O928" s="280"/>
      <c r="P928" s="280"/>
      <c r="Q928" s="280"/>
      <c r="R928" s="280"/>
      <c r="S928" s="280">
        <v>-20590.91</v>
      </c>
      <c r="T928" s="297"/>
    </row>
    <row r="929" spans="1:20" x14ac:dyDescent="0.25">
      <c r="A929" s="274" t="s">
        <v>78</v>
      </c>
      <c r="B929" s="274" t="s">
        <v>79</v>
      </c>
      <c r="C929" s="274" t="s">
        <v>3741</v>
      </c>
      <c r="D929" s="274" t="s">
        <v>3742</v>
      </c>
      <c r="E929" s="274" t="s">
        <v>54</v>
      </c>
      <c r="F929" s="274" t="s">
        <v>137</v>
      </c>
      <c r="G929" s="274" t="s">
        <v>98</v>
      </c>
      <c r="H929" s="274" t="s">
        <v>99</v>
      </c>
      <c r="I929" s="274" t="s">
        <v>6390</v>
      </c>
      <c r="J929" s="274" t="s">
        <v>98</v>
      </c>
      <c r="K929" s="274" t="s">
        <v>98</v>
      </c>
      <c r="L929" s="274" t="s">
        <v>5078</v>
      </c>
      <c r="M929" s="281">
        <v>-19545.45</v>
      </c>
      <c r="N929" s="280"/>
      <c r="O929" s="280"/>
      <c r="P929" s="280"/>
      <c r="Q929" s="280"/>
      <c r="R929" s="280"/>
      <c r="S929" s="280">
        <v>-19545.45</v>
      </c>
      <c r="T929" s="297"/>
    </row>
    <row r="930" spans="1:20" x14ac:dyDescent="0.25">
      <c r="A930" s="274" t="s">
        <v>78</v>
      </c>
      <c r="B930" s="274" t="s">
        <v>79</v>
      </c>
      <c r="C930" s="274" t="s">
        <v>3741</v>
      </c>
      <c r="D930" s="274" t="s">
        <v>3742</v>
      </c>
      <c r="E930" s="274" t="s">
        <v>54</v>
      </c>
      <c r="F930" s="274" t="s">
        <v>137</v>
      </c>
      <c r="G930" s="274" t="s">
        <v>98</v>
      </c>
      <c r="H930" s="274" t="s">
        <v>99</v>
      </c>
      <c r="I930" s="274" t="s">
        <v>5082</v>
      </c>
      <c r="J930" s="274" t="s">
        <v>98</v>
      </c>
      <c r="K930" s="274" t="s">
        <v>98</v>
      </c>
      <c r="L930" s="274" t="s">
        <v>5083</v>
      </c>
      <c r="M930" s="281">
        <v>56432</v>
      </c>
      <c r="N930" s="280">
        <v>14108</v>
      </c>
      <c r="O930" s="280">
        <v>14108</v>
      </c>
      <c r="P930" s="280">
        <v>14108</v>
      </c>
      <c r="Q930" s="280">
        <v>14108</v>
      </c>
      <c r="R930" s="280"/>
      <c r="S930" s="280"/>
      <c r="T930" s="297"/>
    </row>
    <row r="931" spans="1:20" x14ac:dyDescent="0.25">
      <c r="A931" s="274" t="s">
        <v>78</v>
      </c>
      <c r="B931" s="274" t="s">
        <v>79</v>
      </c>
      <c r="C931" s="274" t="s">
        <v>3741</v>
      </c>
      <c r="D931" s="274" t="s">
        <v>3742</v>
      </c>
      <c r="E931" s="274" t="s">
        <v>54</v>
      </c>
      <c r="F931" s="274" t="s">
        <v>137</v>
      </c>
      <c r="G931" s="274" t="s">
        <v>98</v>
      </c>
      <c r="H931" s="274" t="s">
        <v>99</v>
      </c>
      <c r="I931" s="274" t="s">
        <v>5084</v>
      </c>
      <c r="J931" s="274" t="s">
        <v>98</v>
      </c>
      <c r="K931" s="274" t="s">
        <v>98</v>
      </c>
      <c r="L931" s="274" t="s">
        <v>5085</v>
      </c>
      <c r="M931" s="281">
        <v>70482</v>
      </c>
      <c r="N931" s="280">
        <v>11747</v>
      </c>
      <c r="O931" s="280">
        <v>11747</v>
      </c>
      <c r="P931" s="280">
        <v>11747</v>
      </c>
      <c r="Q931" s="280">
        <v>11747</v>
      </c>
      <c r="R931" s="280">
        <v>11747</v>
      </c>
      <c r="S931" s="280">
        <v>11747</v>
      </c>
      <c r="T931" s="297"/>
    </row>
    <row r="932" spans="1:20" x14ac:dyDescent="0.25">
      <c r="A932" s="274" t="s">
        <v>78</v>
      </c>
      <c r="B932" s="274" t="s">
        <v>79</v>
      </c>
      <c r="C932" s="274" t="s">
        <v>3741</v>
      </c>
      <c r="D932" s="274" t="s">
        <v>3742</v>
      </c>
      <c r="E932" s="274" t="s">
        <v>54</v>
      </c>
      <c r="F932" s="274" t="s">
        <v>137</v>
      </c>
      <c r="G932" s="274" t="s">
        <v>98</v>
      </c>
      <c r="H932" s="274" t="s">
        <v>99</v>
      </c>
      <c r="I932" s="274" t="s">
        <v>5086</v>
      </c>
      <c r="J932" s="274" t="s">
        <v>98</v>
      </c>
      <c r="K932" s="274" t="s">
        <v>98</v>
      </c>
      <c r="L932" s="274" t="s">
        <v>5087</v>
      </c>
      <c r="M932" s="281">
        <v>95796.66</v>
      </c>
      <c r="N932" s="280">
        <v>15966.11</v>
      </c>
      <c r="O932" s="280">
        <v>15966.11</v>
      </c>
      <c r="P932" s="280">
        <v>15966.11</v>
      </c>
      <c r="Q932" s="280">
        <v>15966.11</v>
      </c>
      <c r="R932" s="280">
        <v>15966.11</v>
      </c>
      <c r="S932" s="280">
        <v>15966.11</v>
      </c>
      <c r="T932" s="297"/>
    </row>
    <row r="933" spans="1:20" x14ac:dyDescent="0.25">
      <c r="A933" s="274" t="s">
        <v>78</v>
      </c>
      <c r="B933" s="274" t="s">
        <v>79</v>
      </c>
      <c r="C933" s="274" t="s">
        <v>3741</v>
      </c>
      <c r="D933" s="274" t="s">
        <v>3742</v>
      </c>
      <c r="E933" s="274" t="s">
        <v>54</v>
      </c>
      <c r="F933" s="274" t="s">
        <v>137</v>
      </c>
      <c r="G933" s="274" t="s">
        <v>98</v>
      </c>
      <c r="H933" s="274" t="s">
        <v>99</v>
      </c>
      <c r="I933" s="274" t="s">
        <v>5088</v>
      </c>
      <c r="J933" s="274" t="s">
        <v>98</v>
      </c>
      <c r="K933" s="274" t="s">
        <v>98</v>
      </c>
      <c r="L933" s="274" t="s">
        <v>5089</v>
      </c>
      <c r="M933" s="281">
        <v>-39900</v>
      </c>
      <c r="N933" s="280">
        <v>-39900</v>
      </c>
      <c r="O933" s="280"/>
      <c r="P933" s="280"/>
      <c r="Q933" s="280"/>
      <c r="R933" s="280"/>
      <c r="S933" s="280"/>
      <c r="T933" s="297"/>
    </row>
    <row r="934" spans="1:20" x14ac:dyDescent="0.25">
      <c r="A934" s="274" t="s">
        <v>78</v>
      </c>
      <c r="B934" s="274" t="s">
        <v>79</v>
      </c>
      <c r="C934" s="274" t="s">
        <v>3741</v>
      </c>
      <c r="D934" s="274" t="s">
        <v>3742</v>
      </c>
      <c r="E934" s="274" t="s">
        <v>54</v>
      </c>
      <c r="F934" s="274" t="s">
        <v>137</v>
      </c>
      <c r="G934" s="274" t="s">
        <v>98</v>
      </c>
      <c r="H934" s="274" t="s">
        <v>99</v>
      </c>
      <c r="I934" s="274" t="s">
        <v>5090</v>
      </c>
      <c r="J934" s="274" t="s">
        <v>98</v>
      </c>
      <c r="K934" s="274" t="s">
        <v>98</v>
      </c>
      <c r="L934" s="274" t="s">
        <v>5075</v>
      </c>
      <c r="M934" s="281">
        <v>83895.24</v>
      </c>
      <c r="N934" s="280">
        <v>13982.54</v>
      </c>
      <c r="O934" s="280">
        <v>13982.54</v>
      </c>
      <c r="P934" s="280">
        <v>13982.54</v>
      </c>
      <c r="Q934" s="280">
        <v>13982.54</v>
      </c>
      <c r="R934" s="280">
        <v>13982.54</v>
      </c>
      <c r="S934" s="280">
        <v>13982.54</v>
      </c>
      <c r="T934" s="297"/>
    </row>
    <row r="935" spans="1:20" x14ac:dyDescent="0.25">
      <c r="A935" s="274" t="s">
        <v>78</v>
      </c>
      <c r="B935" s="274" t="s">
        <v>79</v>
      </c>
      <c r="C935" s="274" t="s">
        <v>3741</v>
      </c>
      <c r="D935" s="274" t="s">
        <v>3742</v>
      </c>
      <c r="E935" s="274" t="s">
        <v>54</v>
      </c>
      <c r="F935" s="274" t="s">
        <v>137</v>
      </c>
      <c r="G935" s="274" t="s">
        <v>98</v>
      </c>
      <c r="H935" s="274" t="s">
        <v>99</v>
      </c>
      <c r="I935" s="274" t="s">
        <v>5091</v>
      </c>
      <c r="J935" s="274" t="s">
        <v>98</v>
      </c>
      <c r="K935" s="274" t="s">
        <v>98</v>
      </c>
      <c r="L935" s="274" t="s">
        <v>5092</v>
      </c>
      <c r="M935" s="281">
        <v>0</v>
      </c>
      <c r="N935" s="280"/>
      <c r="O935" s="280">
        <v>0</v>
      </c>
      <c r="P935" s="280">
        <v>0</v>
      </c>
      <c r="Q935" s="280">
        <v>0</v>
      </c>
      <c r="R935" s="280">
        <v>0</v>
      </c>
      <c r="S935" s="280">
        <v>0</v>
      </c>
      <c r="T935" s="297"/>
    </row>
    <row r="936" spans="1:20" x14ac:dyDescent="0.25">
      <c r="A936" s="274" t="s">
        <v>78</v>
      </c>
      <c r="B936" s="274" t="s">
        <v>79</v>
      </c>
      <c r="C936" s="274" t="s">
        <v>3741</v>
      </c>
      <c r="D936" s="274" t="s">
        <v>3742</v>
      </c>
      <c r="E936" s="274" t="s">
        <v>54</v>
      </c>
      <c r="F936" s="274" t="s">
        <v>137</v>
      </c>
      <c r="G936" s="274" t="s">
        <v>98</v>
      </c>
      <c r="H936" s="274" t="s">
        <v>99</v>
      </c>
      <c r="I936" s="274" t="s">
        <v>5093</v>
      </c>
      <c r="J936" s="274" t="s">
        <v>98</v>
      </c>
      <c r="K936" s="274" t="s">
        <v>98</v>
      </c>
      <c r="L936" s="274" t="s">
        <v>5094</v>
      </c>
      <c r="M936" s="281">
        <v>-79895.45</v>
      </c>
      <c r="N936" s="280"/>
      <c r="O936" s="280">
        <v>-133159.09</v>
      </c>
      <c r="P936" s="280">
        <v>13315.91</v>
      </c>
      <c r="Q936" s="280">
        <v>13315.91</v>
      </c>
      <c r="R936" s="280">
        <v>13315.91</v>
      </c>
      <c r="S936" s="280">
        <v>13315.91</v>
      </c>
      <c r="T936" s="297"/>
    </row>
    <row r="937" spans="1:20" x14ac:dyDescent="0.25">
      <c r="A937" s="274" t="s">
        <v>78</v>
      </c>
      <c r="B937" s="274" t="s">
        <v>79</v>
      </c>
      <c r="C937" s="274" t="s">
        <v>3741</v>
      </c>
      <c r="D937" s="274" t="s">
        <v>3742</v>
      </c>
      <c r="E937" s="274" t="s">
        <v>54</v>
      </c>
      <c r="F937" s="274" t="s">
        <v>137</v>
      </c>
      <c r="G937" s="274" t="s">
        <v>98</v>
      </c>
      <c r="H937" s="274" t="s">
        <v>99</v>
      </c>
      <c r="I937" s="274" t="s">
        <v>5095</v>
      </c>
      <c r="J937" s="274" t="s">
        <v>98</v>
      </c>
      <c r="K937" s="274" t="s">
        <v>98</v>
      </c>
      <c r="L937" s="274" t="s">
        <v>5096</v>
      </c>
      <c r="M937" s="281">
        <v>0</v>
      </c>
      <c r="N937" s="280"/>
      <c r="O937" s="280">
        <v>0</v>
      </c>
      <c r="P937" s="280">
        <v>0</v>
      </c>
      <c r="Q937" s="280">
        <v>0</v>
      </c>
      <c r="R937" s="280">
        <v>0</v>
      </c>
      <c r="S937" s="280">
        <v>0</v>
      </c>
      <c r="T937" s="297"/>
    </row>
    <row r="938" spans="1:20" x14ac:dyDescent="0.25">
      <c r="A938" s="274" t="s">
        <v>78</v>
      </c>
      <c r="B938" s="274" t="s">
        <v>79</v>
      </c>
      <c r="C938" s="274" t="s">
        <v>3741</v>
      </c>
      <c r="D938" s="274" t="s">
        <v>3742</v>
      </c>
      <c r="E938" s="274" t="s">
        <v>54</v>
      </c>
      <c r="F938" s="274" t="s">
        <v>137</v>
      </c>
      <c r="G938" s="274" t="s">
        <v>98</v>
      </c>
      <c r="H938" s="274" t="s">
        <v>99</v>
      </c>
      <c r="I938" s="274" t="s">
        <v>5097</v>
      </c>
      <c r="J938" s="274" t="s">
        <v>98</v>
      </c>
      <c r="K938" s="274" t="s">
        <v>98</v>
      </c>
      <c r="L938" s="274" t="s">
        <v>4931</v>
      </c>
      <c r="M938" s="281">
        <v>-86133</v>
      </c>
      <c r="N938" s="280"/>
      <c r="O938" s="280"/>
      <c r="P938" s="280">
        <v>-86133</v>
      </c>
      <c r="Q938" s="280"/>
      <c r="R938" s="280"/>
      <c r="S938" s="280"/>
      <c r="T938" s="297"/>
    </row>
    <row r="939" spans="1:20" x14ac:dyDescent="0.25">
      <c r="A939" s="274" t="s">
        <v>78</v>
      </c>
      <c r="B939" s="274" t="s">
        <v>79</v>
      </c>
      <c r="C939" s="274" t="s">
        <v>3741</v>
      </c>
      <c r="D939" s="274" t="s">
        <v>3742</v>
      </c>
      <c r="E939" s="274" t="s">
        <v>54</v>
      </c>
      <c r="F939" s="274" t="s">
        <v>137</v>
      </c>
      <c r="G939" s="274" t="s">
        <v>98</v>
      </c>
      <c r="H939" s="274" t="s">
        <v>99</v>
      </c>
      <c r="I939" s="274" t="s">
        <v>5097</v>
      </c>
      <c r="J939" s="274" t="s">
        <v>98</v>
      </c>
      <c r="K939" s="274" t="s">
        <v>98</v>
      </c>
      <c r="L939" s="274" t="s">
        <v>5098</v>
      </c>
      <c r="M939" s="281">
        <v>34453.199999999997</v>
      </c>
      <c r="N939" s="280"/>
      <c r="O939" s="280"/>
      <c r="P939" s="280">
        <v>8613.2999999999993</v>
      </c>
      <c r="Q939" s="280">
        <v>8613.2999999999993</v>
      </c>
      <c r="R939" s="280">
        <v>8613.2999999999993</v>
      </c>
      <c r="S939" s="280">
        <v>8613.2999999999993</v>
      </c>
      <c r="T939" s="297"/>
    </row>
    <row r="940" spans="1:20" x14ac:dyDescent="0.25">
      <c r="A940" s="274" t="s">
        <v>78</v>
      </c>
      <c r="B940" s="274" t="s">
        <v>79</v>
      </c>
      <c r="C940" s="274" t="s">
        <v>3741</v>
      </c>
      <c r="D940" s="274" t="s">
        <v>3742</v>
      </c>
      <c r="E940" s="274" t="s">
        <v>54</v>
      </c>
      <c r="F940" s="274" t="s">
        <v>137</v>
      </c>
      <c r="G940" s="274" t="s">
        <v>98</v>
      </c>
      <c r="H940" s="274" t="s">
        <v>99</v>
      </c>
      <c r="I940" s="274" t="s">
        <v>5099</v>
      </c>
      <c r="J940" s="274" t="s">
        <v>98</v>
      </c>
      <c r="K940" s="274" t="s">
        <v>98</v>
      </c>
      <c r="L940" s="274" t="s">
        <v>4917</v>
      </c>
      <c r="M940" s="281">
        <v>0</v>
      </c>
      <c r="N940" s="280"/>
      <c r="O940" s="280"/>
      <c r="P940" s="280"/>
      <c r="Q940" s="280">
        <v>-73000</v>
      </c>
      <c r="R940" s="280">
        <v>36500</v>
      </c>
      <c r="S940" s="280">
        <v>36500</v>
      </c>
      <c r="T940" s="297"/>
    </row>
    <row r="941" spans="1:20" x14ac:dyDescent="0.25">
      <c r="A941" s="274" t="s">
        <v>78</v>
      </c>
      <c r="B941" s="274" t="s">
        <v>79</v>
      </c>
      <c r="C941" s="274" t="s">
        <v>3741</v>
      </c>
      <c r="D941" s="274" t="s">
        <v>3742</v>
      </c>
      <c r="E941" s="274" t="s">
        <v>54</v>
      </c>
      <c r="F941" s="274" t="s">
        <v>137</v>
      </c>
      <c r="G941" s="274" t="s">
        <v>98</v>
      </c>
      <c r="H941" s="274" t="s">
        <v>99</v>
      </c>
      <c r="I941" s="274" t="s">
        <v>6391</v>
      </c>
      <c r="J941" s="274" t="s">
        <v>98</v>
      </c>
      <c r="K941" s="274" t="s">
        <v>98</v>
      </c>
      <c r="L941" s="274" t="s">
        <v>4924</v>
      </c>
      <c r="M941" s="281">
        <v>-175580</v>
      </c>
      <c r="N941" s="280"/>
      <c r="O941" s="280"/>
      <c r="P941" s="280"/>
      <c r="Q941" s="280"/>
      <c r="R941" s="280">
        <v>-175580</v>
      </c>
      <c r="S941" s="280"/>
      <c r="T941" s="297"/>
    </row>
    <row r="942" spans="1:20" x14ac:dyDescent="0.25">
      <c r="A942" s="274" t="s">
        <v>78</v>
      </c>
      <c r="B942" s="274" t="s">
        <v>79</v>
      </c>
      <c r="C942" s="274" t="s">
        <v>3741</v>
      </c>
      <c r="D942" s="274" t="s">
        <v>3742</v>
      </c>
      <c r="E942" s="274" t="s">
        <v>54</v>
      </c>
      <c r="F942" s="274" t="s">
        <v>137</v>
      </c>
      <c r="G942" s="274" t="s">
        <v>98</v>
      </c>
      <c r="H942" s="274" t="s">
        <v>99</v>
      </c>
      <c r="I942" s="274" t="s">
        <v>6391</v>
      </c>
      <c r="J942" s="274" t="s">
        <v>98</v>
      </c>
      <c r="K942" s="274" t="s">
        <v>98</v>
      </c>
      <c r="L942" s="274" t="s">
        <v>6392</v>
      </c>
      <c r="M942" s="281">
        <v>29263.34</v>
      </c>
      <c r="N942" s="280"/>
      <c r="O942" s="280"/>
      <c r="P942" s="280"/>
      <c r="Q942" s="280"/>
      <c r="R942" s="280">
        <v>14631.67</v>
      </c>
      <c r="S942" s="280">
        <v>14631.67</v>
      </c>
      <c r="T942" s="297"/>
    </row>
    <row r="943" spans="1:20" x14ac:dyDescent="0.25">
      <c r="A943" s="274" t="s">
        <v>78</v>
      </c>
      <c r="B943" s="274" t="s">
        <v>79</v>
      </c>
      <c r="C943" s="274" t="s">
        <v>3741</v>
      </c>
      <c r="D943" s="274" t="s">
        <v>3742</v>
      </c>
      <c r="E943" s="274" t="s">
        <v>54</v>
      </c>
      <c r="F943" s="274" t="s">
        <v>137</v>
      </c>
      <c r="G943" s="274" t="s">
        <v>98</v>
      </c>
      <c r="H943" s="274" t="s">
        <v>99</v>
      </c>
      <c r="I943" s="274" t="s">
        <v>5100</v>
      </c>
      <c r="J943" s="274" t="s">
        <v>98</v>
      </c>
      <c r="K943" s="274" t="s">
        <v>98</v>
      </c>
      <c r="L943" s="274" t="s">
        <v>5101</v>
      </c>
      <c r="M943" s="281">
        <v>-7982.96</v>
      </c>
      <c r="N943" s="280"/>
      <c r="O943" s="280"/>
      <c r="P943" s="280"/>
      <c r="Q943" s="280">
        <v>-7982.96</v>
      </c>
      <c r="R943" s="280"/>
      <c r="S943" s="280"/>
      <c r="T943" s="297"/>
    </row>
    <row r="944" spans="1:20" x14ac:dyDescent="0.25">
      <c r="A944" s="274" t="s">
        <v>78</v>
      </c>
      <c r="B944" s="274" t="s">
        <v>79</v>
      </c>
      <c r="C944" s="274" t="s">
        <v>3741</v>
      </c>
      <c r="D944" s="274" t="s">
        <v>3742</v>
      </c>
      <c r="E944" s="274" t="s">
        <v>54</v>
      </c>
      <c r="F944" s="274" t="s">
        <v>137</v>
      </c>
      <c r="G944" s="274" t="s">
        <v>98</v>
      </c>
      <c r="H944" s="274" t="s">
        <v>99</v>
      </c>
      <c r="I944" s="274" t="s">
        <v>5100</v>
      </c>
      <c r="J944" s="274" t="s">
        <v>98</v>
      </c>
      <c r="K944" s="274" t="s">
        <v>98</v>
      </c>
      <c r="L944" s="274" t="s">
        <v>6393</v>
      </c>
      <c r="M944" s="281">
        <v>-3380</v>
      </c>
      <c r="N944" s="280"/>
      <c r="O944" s="280"/>
      <c r="P944" s="280"/>
      <c r="Q944" s="280"/>
      <c r="R944" s="280"/>
      <c r="S944" s="280">
        <v>-3380</v>
      </c>
      <c r="T944" s="297"/>
    </row>
    <row r="945" spans="1:20" x14ac:dyDescent="0.25">
      <c r="A945" s="274" t="s">
        <v>78</v>
      </c>
      <c r="B945" s="274" t="s">
        <v>79</v>
      </c>
      <c r="C945" s="274" t="s">
        <v>3741</v>
      </c>
      <c r="D945" s="274" t="s">
        <v>3742</v>
      </c>
      <c r="E945" s="274" t="s">
        <v>54</v>
      </c>
      <c r="F945" s="274" t="s">
        <v>137</v>
      </c>
      <c r="G945" s="274" t="s">
        <v>98</v>
      </c>
      <c r="H945" s="274" t="s">
        <v>99</v>
      </c>
      <c r="I945" s="274" t="s">
        <v>5100</v>
      </c>
      <c r="J945" s="274" t="s">
        <v>98</v>
      </c>
      <c r="K945" s="274" t="s">
        <v>98</v>
      </c>
      <c r="L945" s="274" t="s">
        <v>6394</v>
      </c>
      <c r="M945" s="281">
        <v>-13520</v>
      </c>
      <c r="N945" s="280"/>
      <c r="O945" s="280"/>
      <c r="P945" s="280"/>
      <c r="Q945" s="280"/>
      <c r="R945" s="280"/>
      <c r="S945" s="280">
        <v>-13520</v>
      </c>
      <c r="T945" s="297"/>
    </row>
    <row r="946" spans="1:20" x14ac:dyDescent="0.25">
      <c r="A946" s="274" t="s">
        <v>78</v>
      </c>
      <c r="B946" s="274" t="s">
        <v>79</v>
      </c>
      <c r="C946" s="274" t="s">
        <v>3741</v>
      </c>
      <c r="D946" s="274" t="s">
        <v>3742</v>
      </c>
      <c r="E946" s="274" t="s">
        <v>54</v>
      </c>
      <c r="F946" s="274" t="s">
        <v>137</v>
      </c>
      <c r="G946" s="274" t="s">
        <v>98</v>
      </c>
      <c r="H946" s="274" t="s">
        <v>99</v>
      </c>
      <c r="I946" s="274" t="s">
        <v>5100</v>
      </c>
      <c r="J946" s="274" t="s">
        <v>98</v>
      </c>
      <c r="K946" s="274" t="s">
        <v>98</v>
      </c>
      <c r="L946" s="274" t="s">
        <v>6395</v>
      </c>
      <c r="M946" s="281">
        <v>-2600</v>
      </c>
      <c r="N946" s="280"/>
      <c r="O946" s="280"/>
      <c r="P946" s="280"/>
      <c r="Q946" s="280"/>
      <c r="R946" s="280"/>
      <c r="S946" s="280">
        <v>-2600</v>
      </c>
      <c r="T946" s="297"/>
    </row>
    <row r="947" spans="1:20" x14ac:dyDescent="0.25">
      <c r="A947" s="274" t="s">
        <v>78</v>
      </c>
      <c r="B947" s="274" t="s">
        <v>79</v>
      </c>
      <c r="C947" s="274" t="s">
        <v>3741</v>
      </c>
      <c r="D947" s="274" t="s">
        <v>3742</v>
      </c>
      <c r="E947" s="274" t="s">
        <v>54</v>
      </c>
      <c r="F947" s="274" t="s">
        <v>137</v>
      </c>
      <c r="G947" s="274" t="s">
        <v>98</v>
      </c>
      <c r="H947" s="274" t="s">
        <v>99</v>
      </c>
      <c r="I947" s="274" t="s">
        <v>5102</v>
      </c>
      <c r="J947" s="274" t="s">
        <v>98</v>
      </c>
      <c r="K947" s="274" t="s">
        <v>98</v>
      </c>
      <c r="L947" s="274" t="s">
        <v>5103</v>
      </c>
      <c r="M947" s="281">
        <v>-69752</v>
      </c>
      <c r="N947" s="280">
        <v>-69752</v>
      </c>
      <c r="O947" s="280"/>
      <c r="P947" s="280"/>
      <c r="Q947" s="280"/>
      <c r="R947" s="280"/>
      <c r="S947" s="280"/>
      <c r="T947" s="297"/>
    </row>
    <row r="948" spans="1:20" x14ac:dyDescent="0.25">
      <c r="A948" s="274" t="s">
        <v>78</v>
      </c>
      <c r="B948" s="274" t="s">
        <v>79</v>
      </c>
      <c r="C948" s="274" t="s">
        <v>3741</v>
      </c>
      <c r="D948" s="274" t="s">
        <v>3742</v>
      </c>
      <c r="E948" s="274" t="s">
        <v>54</v>
      </c>
      <c r="F948" s="274" t="s">
        <v>137</v>
      </c>
      <c r="G948" s="274" t="s">
        <v>98</v>
      </c>
      <c r="H948" s="274" t="s">
        <v>99</v>
      </c>
      <c r="I948" s="274" t="s">
        <v>5104</v>
      </c>
      <c r="J948" s="274" t="s">
        <v>98</v>
      </c>
      <c r="K948" s="274" t="s">
        <v>98</v>
      </c>
      <c r="L948" s="274" t="s">
        <v>5103</v>
      </c>
      <c r="M948" s="281">
        <v>34876.019999999997</v>
      </c>
      <c r="N948" s="280">
        <v>5812.67</v>
      </c>
      <c r="O948" s="280">
        <v>5812.67</v>
      </c>
      <c r="P948" s="280">
        <v>5812.67</v>
      </c>
      <c r="Q948" s="280">
        <v>5812.67</v>
      </c>
      <c r="R948" s="280">
        <v>5812.67</v>
      </c>
      <c r="S948" s="280">
        <v>5812.67</v>
      </c>
      <c r="T948" s="297"/>
    </row>
    <row r="949" spans="1:20" x14ac:dyDescent="0.25">
      <c r="A949" s="274" t="s">
        <v>78</v>
      </c>
      <c r="B949" s="274" t="s">
        <v>79</v>
      </c>
      <c r="C949" s="274" t="s">
        <v>3741</v>
      </c>
      <c r="D949" s="274" t="s">
        <v>3742</v>
      </c>
      <c r="E949" s="274" t="s">
        <v>54</v>
      </c>
      <c r="F949" s="274" t="s">
        <v>137</v>
      </c>
      <c r="G949" s="274" t="s">
        <v>98</v>
      </c>
      <c r="H949" s="274" t="s">
        <v>99</v>
      </c>
      <c r="I949" s="274" t="s">
        <v>5105</v>
      </c>
      <c r="J949" s="274" t="s">
        <v>98</v>
      </c>
      <c r="K949" s="274" t="s">
        <v>98</v>
      </c>
      <c r="L949" s="274" t="s">
        <v>4917</v>
      </c>
      <c r="M949" s="281">
        <v>109500</v>
      </c>
      <c r="N949" s="280">
        <v>36500</v>
      </c>
      <c r="O949" s="280">
        <v>36500</v>
      </c>
      <c r="P949" s="280">
        <v>36500</v>
      </c>
      <c r="Q949" s="280"/>
      <c r="R949" s="280"/>
      <c r="S949" s="280"/>
      <c r="T949" s="297"/>
    </row>
    <row r="950" spans="1:20" x14ac:dyDescent="0.25">
      <c r="A950" s="274" t="s">
        <v>78</v>
      </c>
      <c r="B950" s="274" t="s">
        <v>79</v>
      </c>
      <c r="C950" s="274" t="s">
        <v>3741</v>
      </c>
      <c r="D950" s="274" t="s">
        <v>3742</v>
      </c>
      <c r="E950" s="274" t="s">
        <v>54</v>
      </c>
      <c r="F950" s="274" t="s">
        <v>137</v>
      </c>
      <c r="G950" s="274" t="s">
        <v>98</v>
      </c>
      <c r="H950" s="274" t="s">
        <v>99</v>
      </c>
      <c r="I950" s="274" t="s">
        <v>5105</v>
      </c>
      <c r="J950" s="274" t="s">
        <v>98</v>
      </c>
      <c r="K950" s="274" t="s">
        <v>98</v>
      </c>
      <c r="L950" s="274" t="s">
        <v>5106</v>
      </c>
      <c r="M950" s="281">
        <v>-109500</v>
      </c>
      <c r="N950" s="280">
        <v>-109500</v>
      </c>
      <c r="O950" s="280"/>
      <c r="P950" s="280"/>
      <c r="Q950" s="280"/>
      <c r="R950" s="280"/>
      <c r="S950" s="280"/>
      <c r="T950" s="297"/>
    </row>
    <row r="951" spans="1:20" x14ac:dyDescent="0.25">
      <c r="A951" s="274" t="s">
        <v>78</v>
      </c>
      <c r="B951" s="274" t="s">
        <v>79</v>
      </c>
      <c r="C951" s="274" t="s">
        <v>3741</v>
      </c>
      <c r="D951" s="274" t="s">
        <v>3742</v>
      </c>
      <c r="E951" s="274" t="s">
        <v>54</v>
      </c>
      <c r="F951" s="274" t="s">
        <v>137</v>
      </c>
      <c r="G951" s="274" t="s">
        <v>98</v>
      </c>
      <c r="H951" s="274" t="s">
        <v>99</v>
      </c>
      <c r="I951" s="274" t="s">
        <v>5105</v>
      </c>
      <c r="J951" s="274" t="s">
        <v>98</v>
      </c>
      <c r="K951" s="274" t="s">
        <v>98</v>
      </c>
      <c r="L951" s="274" t="s">
        <v>5107</v>
      </c>
      <c r="M951" s="281">
        <v>-76050</v>
      </c>
      <c r="N951" s="280">
        <v>-139425</v>
      </c>
      <c r="O951" s="280">
        <v>12675</v>
      </c>
      <c r="P951" s="280">
        <v>12675</v>
      </c>
      <c r="Q951" s="280">
        <v>12675</v>
      </c>
      <c r="R951" s="280">
        <v>12675</v>
      </c>
      <c r="S951" s="280">
        <v>12675</v>
      </c>
      <c r="T951" s="297"/>
    </row>
    <row r="952" spans="1:20" x14ac:dyDescent="0.25">
      <c r="A952" s="274" t="s">
        <v>78</v>
      </c>
      <c r="B952" s="274" t="s">
        <v>79</v>
      </c>
      <c r="C952" s="274" t="s">
        <v>3741</v>
      </c>
      <c r="D952" s="274" t="s">
        <v>3742</v>
      </c>
      <c r="E952" s="274" t="s">
        <v>54</v>
      </c>
      <c r="F952" s="274" t="s">
        <v>137</v>
      </c>
      <c r="G952" s="274" t="s">
        <v>98</v>
      </c>
      <c r="H952" s="274" t="s">
        <v>99</v>
      </c>
      <c r="I952" s="274" t="s">
        <v>4283</v>
      </c>
      <c r="J952" s="274" t="s">
        <v>98</v>
      </c>
      <c r="K952" s="274" t="s">
        <v>98</v>
      </c>
      <c r="L952" s="274" t="s">
        <v>5108</v>
      </c>
      <c r="M952" s="281">
        <v>0</v>
      </c>
      <c r="N952" s="280"/>
      <c r="O952" s="280">
        <v>43915</v>
      </c>
      <c r="P952" s="280">
        <v>-43915</v>
      </c>
      <c r="Q952" s="280"/>
      <c r="R952" s="280"/>
      <c r="S952" s="280"/>
      <c r="T952" s="297"/>
    </row>
    <row r="953" spans="1:20" x14ac:dyDescent="0.25">
      <c r="A953" s="274" t="s">
        <v>78</v>
      </c>
      <c r="B953" s="274" t="s">
        <v>79</v>
      </c>
      <c r="C953" s="274" t="s">
        <v>3741</v>
      </c>
      <c r="D953" s="274" t="s">
        <v>3742</v>
      </c>
      <c r="E953" s="274" t="s">
        <v>54</v>
      </c>
      <c r="F953" s="274" t="s">
        <v>137</v>
      </c>
      <c r="G953" s="274" t="s">
        <v>98</v>
      </c>
      <c r="H953" s="274" t="s">
        <v>99</v>
      </c>
      <c r="I953" s="274" t="s">
        <v>4136</v>
      </c>
      <c r="J953" s="274" t="s">
        <v>98</v>
      </c>
      <c r="K953" s="274" t="s">
        <v>98</v>
      </c>
      <c r="L953" s="274" t="s">
        <v>5109</v>
      </c>
      <c r="M953" s="281">
        <v>0</v>
      </c>
      <c r="N953" s="280"/>
      <c r="O953" s="280"/>
      <c r="P953" s="280">
        <v>80000</v>
      </c>
      <c r="Q953" s="280">
        <v>-80000</v>
      </c>
      <c r="R953" s="280"/>
      <c r="S953" s="280"/>
      <c r="T953" s="297"/>
    </row>
    <row r="954" spans="1:20" x14ac:dyDescent="0.25">
      <c r="A954" s="274" t="s">
        <v>78</v>
      </c>
      <c r="B954" s="274" t="s">
        <v>79</v>
      </c>
      <c r="C954" s="274" t="s">
        <v>3741</v>
      </c>
      <c r="D954" s="274" t="s">
        <v>3742</v>
      </c>
      <c r="E954" s="274" t="s">
        <v>54</v>
      </c>
      <c r="F954" s="274" t="s">
        <v>137</v>
      </c>
      <c r="G954" s="274" t="s">
        <v>98</v>
      </c>
      <c r="H954" s="274" t="s">
        <v>99</v>
      </c>
      <c r="I954" s="274" t="s">
        <v>4136</v>
      </c>
      <c r="J954" s="274" t="s">
        <v>98</v>
      </c>
      <c r="K954" s="274" t="s">
        <v>98</v>
      </c>
      <c r="L954" s="274" t="s">
        <v>6396</v>
      </c>
      <c r="M954" s="281">
        <v>0</v>
      </c>
      <c r="N954" s="280"/>
      <c r="O954" s="280"/>
      <c r="P954" s="280"/>
      <c r="Q954" s="280"/>
      <c r="R954" s="280">
        <v>47000</v>
      </c>
      <c r="S954" s="280">
        <v>-47000</v>
      </c>
      <c r="T954" s="297"/>
    </row>
    <row r="955" spans="1:20" x14ac:dyDescent="0.25">
      <c r="A955" s="274" t="s">
        <v>78</v>
      </c>
      <c r="B955" s="274" t="s">
        <v>79</v>
      </c>
      <c r="C955" s="274" t="s">
        <v>3741</v>
      </c>
      <c r="D955" s="274" t="s">
        <v>3742</v>
      </c>
      <c r="E955" s="274" t="s">
        <v>54</v>
      </c>
      <c r="F955" s="274" t="s">
        <v>137</v>
      </c>
      <c r="G955" s="274" t="s">
        <v>98</v>
      </c>
      <c r="H955" s="274" t="s">
        <v>99</v>
      </c>
      <c r="I955" s="274" t="s">
        <v>5110</v>
      </c>
      <c r="J955" s="274" t="s">
        <v>98</v>
      </c>
      <c r="K955" s="274" t="s">
        <v>98</v>
      </c>
      <c r="L955" s="274" t="s">
        <v>5111</v>
      </c>
      <c r="M955" s="281">
        <v>0</v>
      </c>
      <c r="N955" s="280"/>
      <c r="O955" s="280"/>
      <c r="P955" s="280">
        <v>67000</v>
      </c>
      <c r="Q955" s="280">
        <v>-67000</v>
      </c>
      <c r="R955" s="280"/>
      <c r="S955" s="280"/>
      <c r="T955" s="297"/>
    </row>
    <row r="956" spans="1:20" x14ac:dyDescent="0.25">
      <c r="A956" s="274" t="s">
        <v>78</v>
      </c>
      <c r="B956" s="274" t="s">
        <v>79</v>
      </c>
      <c r="C956" s="274" t="s">
        <v>3741</v>
      </c>
      <c r="D956" s="274" t="s">
        <v>3742</v>
      </c>
      <c r="E956" s="274" t="s">
        <v>57</v>
      </c>
      <c r="F956" s="274" t="s">
        <v>186</v>
      </c>
      <c r="G956" s="274" t="s">
        <v>187</v>
      </c>
      <c r="H956" s="274" t="s">
        <v>188</v>
      </c>
      <c r="I956" s="274" t="s">
        <v>5112</v>
      </c>
      <c r="J956" s="274" t="s">
        <v>6673</v>
      </c>
      <c r="K956" s="274" t="s">
        <v>3746</v>
      </c>
      <c r="L956" s="274" t="s">
        <v>5113</v>
      </c>
      <c r="M956" s="281">
        <v>68375.75</v>
      </c>
      <c r="N956" s="280">
        <v>68375.75</v>
      </c>
      <c r="O956" s="280"/>
      <c r="P956" s="280"/>
      <c r="Q956" s="280"/>
      <c r="R956" s="280"/>
      <c r="S956" s="280"/>
      <c r="T956" s="297"/>
    </row>
    <row r="957" spans="1:20" x14ac:dyDescent="0.25">
      <c r="A957" s="274" t="s">
        <v>78</v>
      </c>
      <c r="B957" s="274" t="s">
        <v>79</v>
      </c>
      <c r="C957" s="274" t="s">
        <v>3741</v>
      </c>
      <c r="D957" s="274" t="s">
        <v>3742</v>
      </c>
      <c r="E957" s="274" t="s">
        <v>57</v>
      </c>
      <c r="F957" s="274" t="s">
        <v>186</v>
      </c>
      <c r="G957" s="274" t="s">
        <v>187</v>
      </c>
      <c r="H957" s="274" t="s">
        <v>188</v>
      </c>
      <c r="I957" s="274" t="s">
        <v>5114</v>
      </c>
      <c r="J957" s="274" t="s">
        <v>6673</v>
      </c>
      <c r="K957" s="274" t="s">
        <v>6506</v>
      </c>
      <c r="L957" s="274" t="s">
        <v>5115</v>
      </c>
      <c r="M957" s="281">
        <v>168901.73</v>
      </c>
      <c r="N957" s="280">
        <v>168901.73</v>
      </c>
      <c r="O957" s="280"/>
      <c r="P957" s="280"/>
      <c r="Q957" s="280"/>
      <c r="R957" s="280"/>
      <c r="S957" s="280"/>
      <c r="T957" s="297"/>
    </row>
    <row r="958" spans="1:20" x14ac:dyDescent="0.25">
      <c r="A958" s="274" t="s">
        <v>78</v>
      </c>
      <c r="B958" s="274" t="s">
        <v>79</v>
      </c>
      <c r="C958" s="274" t="s">
        <v>3741</v>
      </c>
      <c r="D958" s="274" t="s">
        <v>3742</v>
      </c>
      <c r="E958" s="274" t="s">
        <v>57</v>
      </c>
      <c r="F958" s="274" t="s">
        <v>186</v>
      </c>
      <c r="G958" s="274" t="s">
        <v>187</v>
      </c>
      <c r="H958" s="274" t="s">
        <v>188</v>
      </c>
      <c r="I958" s="274" t="s">
        <v>5116</v>
      </c>
      <c r="J958" s="274" t="s">
        <v>6673</v>
      </c>
      <c r="K958" s="274" t="s">
        <v>6546</v>
      </c>
      <c r="L958" s="274" t="s">
        <v>5117</v>
      </c>
      <c r="M958" s="281">
        <v>20944.41</v>
      </c>
      <c r="N958" s="280">
        <v>20944.41</v>
      </c>
      <c r="O958" s="280"/>
      <c r="P958" s="280"/>
      <c r="Q958" s="280"/>
      <c r="R958" s="280"/>
      <c r="S958" s="280"/>
      <c r="T958" s="297"/>
    </row>
    <row r="959" spans="1:20" x14ac:dyDescent="0.25">
      <c r="A959" s="274" t="s">
        <v>78</v>
      </c>
      <c r="B959" s="274" t="s">
        <v>79</v>
      </c>
      <c r="C959" s="274" t="s">
        <v>3741</v>
      </c>
      <c r="D959" s="274" t="s">
        <v>3742</v>
      </c>
      <c r="E959" s="274" t="s">
        <v>57</v>
      </c>
      <c r="F959" s="274" t="s">
        <v>186</v>
      </c>
      <c r="G959" s="274" t="s">
        <v>187</v>
      </c>
      <c r="H959" s="274" t="s">
        <v>188</v>
      </c>
      <c r="I959" s="274" t="s">
        <v>5118</v>
      </c>
      <c r="J959" s="274" t="s">
        <v>6673</v>
      </c>
      <c r="K959" s="274" t="s">
        <v>6589</v>
      </c>
      <c r="L959" s="274" t="s">
        <v>5119</v>
      </c>
      <c r="M959" s="281">
        <v>17656.84</v>
      </c>
      <c r="N959" s="280">
        <v>17656.84</v>
      </c>
      <c r="O959" s="280"/>
      <c r="P959" s="280"/>
      <c r="Q959" s="280"/>
      <c r="R959" s="280"/>
      <c r="S959" s="280"/>
      <c r="T959" s="297"/>
    </row>
    <row r="960" spans="1:20" x14ac:dyDescent="0.25">
      <c r="A960" s="274" t="s">
        <v>78</v>
      </c>
      <c r="B960" s="274" t="s">
        <v>79</v>
      </c>
      <c r="C960" s="274" t="s">
        <v>3741</v>
      </c>
      <c r="D960" s="274" t="s">
        <v>3742</v>
      </c>
      <c r="E960" s="274" t="s">
        <v>57</v>
      </c>
      <c r="F960" s="274" t="s">
        <v>186</v>
      </c>
      <c r="G960" s="274" t="s">
        <v>187</v>
      </c>
      <c r="H960" s="274" t="s">
        <v>188</v>
      </c>
      <c r="I960" s="274" t="s">
        <v>5120</v>
      </c>
      <c r="J960" s="274" t="s">
        <v>6673</v>
      </c>
      <c r="K960" s="274" t="s">
        <v>6572</v>
      </c>
      <c r="L960" s="274" t="s">
        <v>5121</v>
      </c>
      <c r="M960" s="281">
        <v>23781.16</v>
      </c>
      <c r="N960" s="280">
        <v>23781.16</v>
      </c>
      <c r="O960" s="280"/>
      <c r="P960" s="280"/>
      <c r="Q960" s="280"/>
      <c r="R960" s="280"/>
      <c r="S960" s="280"/>
      <c r="T960" s="297"/>
    </row>
    <row r="961" spans="1:20" x14ac:dyDescent="0.25">
      <c r="A961" s="274" t="s">
        <v>78</v>
      </c>
      <c r="B961" s="274" t="s">
        <v>79</v>
      </c>
      <c r="C961" s="274" t="s">
        <v>3741</v>
      </c>
      <c r="D961" s="274" t="s">
        <v>3742</v>
      </c>
      <c r="E961" s="274" t="s">
        <v>57</v>
      </c>
      <c r="F961" s="274" t="s">
        <v>186</v>
      </c>
      <c r="G961" s="274" t="s">
        <v>187</v>
      </c>
      <c r="H961" s="274" t="s">
        <v>188</v>
      </c>
      <c r="I961" s="274" t="s">
        <v>5122</v>
      </c>
      <c r="J961" s="274" t="s">
        <v>6673</v>
      </c>
      <c r="K961" s="274" t="s">
        <v>6598</v>
      </c>
      <c r="L961" s="274" t="s">
        <v>5123</v>
      </c>
      <c r="M961" s="281">
        <v>330625.61</v>
      </c>
      <c r="N961" s="280">
        <v>330625.61</v>
      </c>
      <c r="O961" s="280"/>
      <c r="P961" s="280"/>
      <c r="Q961" s="280"/>
      <c r="R961" s="280"/>
      <c r="S961" s="280"/>
      <c r="T961" s="297"/>
    </row>
    <row r="962" spans="1:20" x14ac:dyDescent="0.25">
      <c r="A962" s="274" t="s">
        <v>78</v>
      </c>
      <c r="B962" s="274" t="s">
        <v>79</v>
      </c>
      <c r="C962" s="274" t="s">
        <v>3741</v>
      </c>
      <c r="D962" s="274" t="s">
        <v>3742</v>
      </c>
      <c r="E962" s="274" t="s">
        <v>57</v>
      </c>
      <c r="F962" s="274" t="s">
        <v>186</v>
      </c>
      <c r="G962" s="274" t="s">
        <v>187</v>
      </c>
      <c r="H962" s="274" t="s">
        <v>188</v>
      </c>
      <c r="I962" s="274" t="s">
        <v>5124</v>
      </c>
      <c r="J962" s="274" t="s">
        <v>6673</v>
      </c>
      <c r="K962" s="274" t="s">
        <v>6590</v>
      </c>
      <c r="L962" s="274" t="s">
        <v>5125</v>
      </c>
      <c r="M962" s="281">
        <v>2262.5100000000002</v>
      </c>
      <c r="N962" s="280">
        <v>2262.5100000000002</v>
      </c>
      <c r="O962" s="280"/>
      <c r="P962" s="280"/>
      <c r="Q962" s="280"/>
      <c r="R962" s="280"/>
      <c r="S962" s="280"/>
      <c r="T962" s="297"/>
    </row>
    <row r="963" spans="1:20" x14ac:dyDescent="0.25">
      <c r="A963" s="274" t="s">
        <v>78</v>
      </c>
      <c r="B963" s="274" t="s">
        <v>79</v>
      </c>
      <c r="C963" s="274" t="s">
        <v>3741</v>
      </c>
      <c r="D963" s="274" t="s">
        <v>3742</v>
      </c>
      <c r="E963" s="274" t="s">
        <v>57</v>
      </c>
      <c r="F963" s="274" t="s">
        <v>186</v>
      </c>
      <c r="G963" s="274" t="s">
        <v>187</v>
      </c>
      <c r="H963" s="274" t="s">
        <v>188</v>
      </c>
      <c r="I963" s="274" t="s">
        <v>5126</v>
      </c>
      <c r="J963" s="274" t="s">
        <v>6673</v>
      </c>
      <c r="K963" s="274" t="s">
        <v>6570</v>
      </c>
      <c r="L963" s="274" t="s">
        <v>5127</v>
      </c>
      <c r="M963" s="281">
        <v>63104.12</v>
      </c>
      <c r="N963" s="280">
        <v>63104.12</v>
      </c>
      <c r="O963" s="280"/>
      <c r="P963" s="280"/>
      <c r="Q963" s="280"/>
      <c r="R963" s="280"/>
      <c r="S963" s="280"/>
      <c r="T963" s="297"/>
    </row>
    <row r="964" spans="1:20" x14ac:dyDescent="0.25">
      <c r="A964" s="274" t="s">
        <v>78</v>
      </c>
      <c r="B964" s="274" t="s">
        <v>79</v>
      </c>
      <c r="C964" s="274" t="s">
        <v>3741</v>
      </c>
      <c r="D964" s="274" t="s">
        <v>3742</v>
      </c>
      <c r="E964" s="274" t="s">
        <v>57</v>
      </c>
      <c r="F964" s="274" t="s">
        <v>186</v>
      </c>
      <c r="G964" s="274" t="s">
        <v>187</v>
      </c>
      <c r="H964" s="274" t="s">
        <v>188</v>
      </c>
      <c r="I964" s="274" t="s">
        <v>5128</v>
      </c>
      <c r="J964" s="274" t="s">
        <v>6673</v>
      </c>
      <c r="K964" s="274" t="s">
        <v>6567</v>
      </c>
      <c r="L964" s="274" t="s">
        <v>5129</v>
      </c>
      <c r="M964" s="281">
        <v>121364.81</v>
      </c>
      <c r="N964" s="280">
        <v>121364.81</v>
      </c>
      <c r="O964" s="280"/>
      <c r="P964" s="280"/>
      <c r="Q964" s="280"/>
      <c r="R964" s="280"/>
      <c r="S964" s="280"/>
      <c r="T964" s="297"/>
    </row>
    <row r="965" spans="1:20" x14ac:dyDescent="0.25">
      <c r="A965" s="274" t="s">
        <v>78</v>
      </c>
      <c r="B965" s="274" t="s">
        <v>79</v>
      </c>
      <c r="C965" s="274" t="s">
        <v>3741</v>
      </c>
      <c r="D965" s="274" t="s">
        <v>3742</v>
      </c>
      <c r="E965" s="274" t="s">
        <v>57</v>
      </c>
      <c r="F965" s="274" t="s">
        <v>186</v>
      </c>
      <c r="G965" s="274" t="s">
        <v>187</v>
      </c>
      <c r="H965" s="274" t="s">
        <v>188</v>
      </c>
      <c r="I965" s="274" t="s">
        <v>5130</v>
      </c>
      <c r="J965" s="274" t="s">
        <v>6673</v>
      </c>
      <c r="K965" s="274" t="s">
        <v>6591</v>
      </c>
      <c r="L965" s="274" t="s">
        <v>5131</v>
      </c>
      <c r="M965" s="281">
        <v>9195.9599999999991</v>
      </c>
      <c r="N965" s="280">
        <v>9195.9599999999991</v>
      </c>
      <c r="O965" s="280"/>
      <c r="P965" s="280"/>
      <c r="Q965" s="280"/>
      <c r="R965" s="280"/>
      <c r="S965" s="280"/>
      <c r="T965" s="297"/>
    </row>
    <row r="966" spans="1:20" x14ac:dyDescent="0.25">
      <c r="A966" s="274" t="s">
        <v>78</v>
      </c>
      <c r="B966" s="274" t="s">
        <v>79</v>
      </c>
      <c r="C966" s="274" t="s">
        <v>3741</v>
      </c>
      <c r="D966" s="274" t="s">
        <v>3742</v>
      </c>
      <c r="E966" s="274" t="s">
        <v>57</v>
      </c>
      <c r="F966" s="274" t="s">
        <v>186</v>
      </c>
      <c r="G966" s="274" t="s">
        <v>187</v>
      </c>
      <c r="H966" s="274" t="s">
        <v>188</v>
      </c>
      <c r="I966" s="274" t="s">
        <v>5132</v>
      </c>
      <c r="J966" s="274" t="s">
        <v>6673</v>
      </c>
      <c r="K966" s="274" t="s">
        <v>6674</v>
      </c>
      <c r="L966" s="274" t="s">
        <v>5133</v>
      </c>
      <c r="M966" s="281">
        <v>104944.45</v>
      </c>
      <c r="N966" s="280">
        <v>104944.45</v>
      </c>
      <c r="O966" s="280"/>
      <c r="P966" s="280"/>
      <c r="Q966" s="280"/>
      <c r="R966" s="280"/>
      <c r="S966" s="280"/>
      <c r="T966" s="297"/>
    </row>
    <row r="967" spans="1:20" x14ac:dyDescent="0.25">
      <c r="A967" s="274" t="s">
        <v>78</v>
      </c>
      <c r="B967" s="274" t="s">
        <v>79</v>
      </c>
      <c r="C967" s="274" t="s">
        <v>3741</v>
      </c>
      <c r="D967" s="274" t="s">
        <v>3742</v>
      </c>
      <c r="E967" s="274" t="s">
        <v>57</v>
      </c>
      <c r="F967" s="274" t="s">
        <v>186</v>
      </c>
      <c r="G967" s="274" t="s">
        <v>187</v>
      </c>
      <c r="H967" s="274" t="s">
        <v>188</v>
      </c>
      <c r="I967" s="274" t="s">
        <v>5134</v>
      </c>
      <c r="J967" s="274" t="s">
        <v>6673</v>
      </c>
      <c r="K967" s="274" t="s">
        <v>6592</v>
      </c>
      <c r="L967" s="274" t="s">
        <v>5135</v>
      </c>
      <c r="M967" s="281">
        <v>19858.41</v>
      </c>
      <c r="N967" s="280">
        <v>19858.41</v>
      </c>
      <c r="O967" s="280"/>
      <c r="P967" s="280"/>
      <c r="Q967" s="280"/>
      <c r="R967" s="280"/>
      <c r="S967" s="280"/>
      <c r="T967" s="297"/>
    </row>
    <row r="968" spans="1:20" x14ac:dyDescent="0.25">
      <c r="A968" s="274" t="s">
        <v>78</v>
      </c>
      <c r="B968" s="274" t="s">
        <v>79</v>
      </c>
      <c r="C968" s="274" t="s">
        <v>3741</v>
      </c>
      <c r="D968" s="274" t="s">
        <v>3742</v>
      </c>
      <c r="E968" s="274" t="s">
        <v>57</v>
      </c>
      <c r="F968" s="274" t="s">
        <v>186</v>
      </c>
      <c r="G968" s="274" t="s">
        <v>187</v>
      </c>
      <c r="H968" s="274" t="s">
        <v>188</v>
      </c>
      <c r="I968" s="274" t="s">
        <v>5136</v>
      </c>
      <c r="J968" s="274" t="s">
        <v>6673</v>
      </c>
      <c r="K968" s="274" t="s">
        <v>6593</v>
      </c>
      <c r="L968" s="274" t="s">
        <v>5137</v>
      </c>
      <c r="M968" s="281">
        <v>28319.9</v>
      </c>
      <c r="N968" s="280">
        <v>28319.9</v>
      </c>
      <c r="O968" s="280"/>
      <c r="P968" s="280"/>
      <c r="Q968" s="280"/>
      <c r="R968" s="280"/>
      <c r="S968" s="280"/>
      <c r="T968" s="297"/>
    </row>
    <row r="969" spans="1:20" x14ac:dyDescent="0.25">
      <c r="A969" s="274" t="s">
        <v>78</v>
      </c>
      <c r="B969" s="274" t="s">
        <v>79</v>
      </c>
      <c r="C969" s="274" t="s">
        <v>3741</v>
      </c>
      <c r="D969" s="274" t="s">
        <v>3742</v>
      </c>
      <c r="E969" s="274" t="s">
        <v>57</v>
      </c>
      <c r="F969" s="274" t="s">
        <v>186</v>
      </c>
      <c r="G969" s="274" t="s">
        <v>187</v>
      </c>
      <c r="H969" s="274" t="s">
        <v>188</v>
      </c>
      <c r="I969" s="274" t="s">
        <v>5138</v>
      </c>
      <c r="J969" s="274" t="s">
        <v>6673</v>
      </c>
      <c r="K969" s="274" t="s">
        <v>6594</v>
      </c>
      <c r="L969" s="274" t="s">
        <v>5139</v>
      </c>
      <c r="M969" s="281">
        <v>6402.76</v>
      </c>
      <c r="N969" s="280">
        <v>6402.76</v>
      </c>
      <c r="O969" s="280"/>
      <c r="P969" s="280"/>
      <c r="Q969" s="280"/>
      <c r="R969" s="280"/>
      <c r="S969" s="280"/>
      <c r="T969" s="297"/>
    </row>
    <row r="970" spans="1:20" x14ac:dyDescent="0.25">
      <c r="A970" s="274" t="s">
        <v>78</v>
      </c>
      <c r="B970" s="274" t="s">
        <v>79</v>
      </c>
      <c r="C970" s="274" t="s">
        <v>3741</v>
      </c>
      <c r="D970" s="274" t="s">
        <v>3742</v>
      </c>
      <c r="E970" s="274" t="s">
        <v>57</v>
      </c>
      <c r="F970" s="274" t="s">
        <v>186</v>
      </c>
      <c r="G970" s="274" t="s">
        <v>187</v>
      </c>
      <c r="H970" s="274" t="s">
        <v>188</v>
      </c>
      <c r="I970" s="274" t="s">
        <v>5140</v>
      </c>
      <c r="J970" s="274" t="s">
        <v>6673</v>
      </c>
      <c r="K970" s="274" t="s">
        <v>6675</v>
      </c>
      <c r="L970" s="274" t="s">
        <v>5141</v>
      </c>
      <c r="M970" s="281">
        <v>1264102.6499999999</v>
      </c>
      <c r="N970" s="280">
        <v>1264102.6499999999</v>
      </c>
      <c r="O970" s="280"/>
      <c r="P970" s="280"/>
      <c r="Q970" s="280"/>
      <c r="R970" s="280"/>
      <c r="S970" s="280"/>
      <c r="T970" s="297"/>
    </row>
    <row r="971" spans="1:20" x14ac:dyDescent="0.25">
      <c r="A971" s="274" t="s">
        <v>78</v>
      </c>
      <c r="B971" s="274" t="s">
        <v>79</v>
      </c>
      <c r="C971" s="274" t="s">
        <v>3741</v>
      </c>
      <c r="D971" s="274" t="s">
        <v>3742</v>
      </c>
      <c r="E971" s="274" t="s">
        <v>57</v>
      </c>
      <c r="F971" s="274" t="s">
        <v>186</v>
      </c>
      <c r="G971" s="274" t="s">
        <v>187</v>
      </c>
      <c r="H971" s="274" t="s">
        <v>188</v>
      </c>
      <c r="I971" s="274" t="s">
        <v>5142</v>
      </c>
      <c r="J971" s="274" t="s">
        <v>6673</v>
      </c>
      <c r="K971" s="274" t="s">
        <v>6595</v>
      </c>
      <c r="L971" s="274" t="s">
        <v>5143</v>
      </c>
      <c r="M971" s="281">
        <v>1041281.95</v>
      </c>
      <c r="N971" s="280">
        <v>1041281.95</v>
      </c>
      <c r="O971" s="280"/>
      <c r="P971" s="280"/>
      <c r="Q971" s="280"/>
      <c r="R971" s="280"/>
      <c r="S971" s="280"/>
      <c r="T971" s="297"/>
    </row>
    <row r="972" spans="1:20" x14ac:dyDescent="0.25">
      <c r="A972" s="274" t="s">
        <v>78</v>
      </c>
      <c r="B972" s="274" t="s">
        <v>79</v>
      </c>
      <c r="C972" s="274" t="s">
        <v>3741</v>
      </c>
      <c r="D972" s="274" t="s">
        <v>3742</v>
      </c>
      <c r="E972" s="274" t="s">
        <v>57</v>
      </c>
      <c r="F972" s="274" t="s">
        <v>186</v>
      </c>
      <c r="G972" s="274" t="s">
        <v>187</v>
      </c>
      <c r="H972" s="274" t="s">
        <v>188</v>
      </c>
      <c r="I972" s="274" t="s">
        <v>5144</v>
      </c>
      <c r="J972" s="274" t="s">
        <v>6673</v>
      </c>
      <c r="K972" s="274" t="s">
        <v>6596</v>
      </c>
      <c r="L972" s="274" t="s">
        <v>5145</v>
      </c>
      <c r="M972" s="281">
        <v>115201.81</v>
      </c>
      <c r="N972" s="280">
        <v>115201.81</v>
      </c>
      <c r="O972" s="280"/>
      <c r="P972" s="280"/>
      <c r="Q972" s="280"/>
      <c r="R972" s="280"/>
      <c r="S972" s="280"/>
      <c r="T972" s="297"/>
    </row>
    <row r="973" spans="1:20" x14ac:dyDescent="0.25">
      <c r="A973" s="274" t="s">
        <v>78</v>
      </c>
      <c r="B973" s="274" t="s">
        <v>79</v>
      </c>
      <c r="C973" s="274" t="s">
        <v>3741</v>
      </c>
      <c r="D973" s="274" t="s">
        <v>3742</v>
      </c>
      <c r="E973" s="274" t="s">
        <v>57</v>
      </c>
      <c r="F973" s="274" t="s">
        <v>186</v>
      </c>
      <c r="G973" s="274" t="s">
        <v>187</v>
      </c>
      <c r="H973" s="274" t="s">
        <v>188</v>
      </c>
      <c r="I973" s="274" t="s">
        <v>5146</v>
      </c>
      <c r="J973" s="274" t="s">
        <v>6673</v>
      </c>
      <c r="K973" s="274" t="s">
        <v>6597</v>
      </c>
      <c r="L973" s="274" t="s">
        <v>5147</v>
      </c>
      <c r="M973" s="281">
        <v>94757.78</v>
      </c>
      <c r="N973" s="280">
        <v>94757.78</v>
      </c>
      <c r="O973" s="280"/>
      <c r="P973" s="280"/>
      <c r="Q973" s="280"/>
      <c r="R973" s="280"/>
      <c r="S973" s="280"/>
      <c r="T973" s="297"/>
    </row>
    <row r="974" spans="1:20" x14ac:dyDescent="0.25">
      <c r="A974" s="274" t="s">
        <v>78</v>
      </c>
      <c r="B974" s="274" t="s">
        <v>79</v>
      </c>
      <c r="C974" s="274" t="s">
        <v>3741</v>
      </c>
      <c r="D974" s="274" t="s">
        <v>3742</v>
      </c>
      <c r="E974" s="274" t="s">
        <v>57</v>
      </c>
      <c r="F974" s="274" t="s">
        <v>186</v>
      </c>
      <c r="G974" s="274" t="s">
        <v>187</v>
      </c>
      <c r="H974" s="274" t="s">
        <v>188</v>
      </c>
      <c r="I974" s="274" t="s">
        <v>5148</v>
      </c>
      <c r="J974" s="274" t="s">
        <v>6673</v>
      </c>
      <c r="K974" s="274" t="s">
        <v>6599</v>
      </c>
      <c r="L974" s="274" t="s">
        <v>5149</v>
      </c>
      <c r="M974" s="281">
        <v>179100.54</v>
      </c>
      <c r="N974" s="280">
        <v>179100.54</v>
      </c>
      <c r="O974" s="280"/>
      <c r="P974" s="280"/>
      <c r="Q974" s="280"/>
      <c r="R974" s="280"/>
      <c r="S974" s="280"/>
      <c r="T974" s="297"/>
    </row>
    <row r="975" spans="1:20" x14ac:dyDescent="0.25">
      <c r="A975" s="274" t="s">
        <v>78</v>
      </c>
      <c r="B975" s="274" t="s">
        <v>79</v>
      </c>
      <c r="C975" s="274" t="s">
        <v>3741</v>
      </c>
      <c r="D975" s="274" t="s">
        <v>3742</v>
      </c>
      <c r="E975" s="274" t="s">
        <v>57</v>
      </c>
      <c r="F975" s="274" t="s">
        <v>186</v>
      </c>
      <c r="G975" s="274" t="s">
        <v>187</v>
      </c>
      <c r="H975" s="274" t="s">
        <v>188</v>
      </c>
      <c r="I975" s="274" t="s">
        <v>5150</v>
      </c>
      <c r="J975" s="274" t="s">
        <v>6673</v>
      </c>
      <c r="K975" s="274" t="s">
        <v>6600</v>
      </c>
      <c r="L975" s="274" t="s">
        <v>5151</v>
      </c>
      <c r="M975" s="281">
        <v>1052.76</v>
      </c>
      <c r="N975" s="280">
        <v>1052.76</v>
      </c>
      <c r="O975" s="280"/>
      <c r="P975" s="280"/>
      <c r="Q975" s="280"/>
      <c r="R975" s="280"/>
      <c r="S975" s="280"/>
      <c r="T975" s="297"/>
    </row>
    <row r="976" spans="1:20" x14ac:dyDescent="0.25">
      <c r="A976" s="274" t="s">
        <v>78</v>
      </c>
      <c r="B976" s="274" t="s">
        <v>79</v>
      </c>
      <c r="C976" s="274" t="s">
        <v>3741</v>
      </c>
      <c r="D976" s="274" t="s">
        <v>3742</v>
      </c>
      <c r="E976" s="274" t="s">
        <v>57</v>
      </c>
      <c r="F976" s="274" t="s">
        <v>186</v>
      </c>
      <c r="G976" s="274" t="s">
        <v>187</v>
      </c>
      <c r="H976" s="274" t="s">
        <v>188</v>
      </c>
      <c r="I976" s="274" t="s">
        <v>5152</v>
      </c>
      <c r="J976" s="274" t="s">
        <v>6673</v>
      </c>
      <c r="K976" s="274" t="s">
        <v>6601</v>
      </c>
      <c r="L976" s="274" t="s">
        <v>5153</v>
      </c>
      <c r="M976" s="281">
        <v>1005540.05</v>
      </c>
      <c r="N976" s="280">
        <v>1005540.05</v>
      </c>
      <c r="O976" s="280"/>
      <c r="P976" s="280"/>
      <c r="Q976" s="280"/>
      <c r="R976" s="280"/>
      <c r="S976" s="280"/>
      <c r="T976" s="297"/>
    </row>
    <row r="977" spans="1:20" x14ac:dyDescent="0.25">
      <c r="A977" s="274" t="s">
        <v>78</v>
      </c>
      <c r="B977" s="274" t="s">
        <v>79</v>
      </c>
      <c r="C977" s="274" t="s">
        <v>3741</v>
      </c>
      <c r="D977" s="274" t="s">
        <v>3742</v>
      </c>
      <c r="E977" s="274" t="s">
        <v>57</v>
      </c>
      <c r="F977" s="274" t="s">
        <v>186</v>
      </c>
      <c r="G977" s="274" t="s">
        <v>187</v>
      </c>
      <c r="H977" s="274" t="s">
        <v>188</v>
      </c>
      <c r="I977" s="274" t="s">
        <v>5154</v>
      </c>
      <c r="J977" s="274" t="s">
        <v>6673</v>
      </c>
      <c r="K977" s="274" t="s">
        <v>6602</v>
      </c>
      <c r="L977" s="274" t="s">
        <v>5155</v>
      </c>
      <c r="M977" s="281">
        <v>420781.96</v>
      </c>
      <c r="N977" s="280">
        <v>420781.96</v>
      </c>
      <c r="O977" s="280"/>
      <c r="P977" s="280"/>
      <c r="Q977" s="280"/>
      <c r="R977" s="280"/>
      <c r="S977" s="280"/>
      <c r="T977" s="297"/>
    </row>
    <row r="978" spans="1:20" x14ac:dyDescent="0.25">
      <c r="A978" s="274" t="s">
        <v>78</v>
      </c>
      <c r="B978" s="274" t="s">
        <v>79</v>
      </c>
      <c r="C978" s="274" t="s">
        <v>3741</v>
      </c>
      <c r="D978" s="274" t="s">
        <v>3742</v>
      </c>
      <c r="E978" s="274" t="s">
        <v>57</v>
      </c>
      <c r="F978" s="274" t="s">
        <v>186</v>
      </c>
      <c r="G978" s="274" t="s">
        <v>187</v>
      </c>
      <c r="H978" s="274" t="s">
        <v>188</v>
      </c>
      <c r="I978" s="274" t="s">
        <v>5156</v>
      </c>
      <c r="J978" s="274" t="s">
        <v>6673</v>
      </c>
      <c r="K978" s="274" t="s">
        <v>6583</v>
      </c>
      <c r="L978" s="274" t="s">
        <v>5157</v>
      </c>
      <c r="M978" s="281">
        <v>1362.19</v>
      </c>
      <c r="N978" s="280">
        <v>1362.19</v>
      </c>
      <c r="O978" s="280"/>
      <c r="P978" s="280"/>
      <c r="Q978" s="280"/>
      <c r="R978" s="280"/>
      <c r="S978" s="280"/>
      <c r="T978" s="297"/>
    </row>
    <row r="979" spans="1:20" x14ac:dyDescent="0.25">
      <c r="A979" s="274" t="s">
        <v>78</v>
      </c>
      <c r="B979" s="274" t="s">
        <v>79</v>
      </c>
      <c r="C979" s="274" t="s">
        <v>3741</v>
      </c>
      <c r="D979" s="274" t="s">
        <v>3742</v>
      </c>
      <c r="E979" s="274" t="s">
        <v>57</v>
      </c>
      <c r="F979" s="274" t="s">
        <v>186</v>
      </c>
      <c r="G979" s="274" t="s">
        <v>187</v>
      </c>
      <c r="H979" s="274" t="s">
        <v>188</v>
      </c>
      <c r="I979" s="274" t="s">
        <v>5158</v>
      </c>
      <c r="J979" s="274" t="s">
        <v>6673</v>
      </c>
      <c r="K979" s="274" t="s">
        <v>6611</v>
      </c>
      <c r="L979" s="274" t="s">
        <v>5159</v>
      </c>
      <c r="M979" s="281">
        <v>22021.55</v>
      </c>
      <c r="N979" s="280">
        <v>22021.55</v>
      </c>
      <c r="O979" s="280"/>
      <c r="P979" s="280"/>
      <c r="Q979" s="280"/>
      <c r="R979" s="280"/>
      <c r="S979" s="280"/>
      <c r="T979" s="297"/>
    </row>
    <row r="980" spans="1:20" x14ac:dyDescent="0.25">
      <c r="A980" s="274" t="s">
        <v>78</v>
      </c>
      <c r="B980" s="274" t="s">
        <v>79</v>
      </c>
      <c r="C980" s="274" t="s">
        <v>3741</v>
      </c>
      <c r="D980" s="274" t="s">
        <v>3742</v>
      </c>
      <c r="E980" s="274" t="s">
        <v>57</v>
      </c>
      <c r="F980" s="274" t="s">
        <v>186</v>
      </c>
      <c r="G980" s="274" t="s">
        <v>187</v>
      </c>
      <c r="H980" s="274" t="s">
        <v>188</v>
      </c>
      <c r="I980" s="274" t="s">
        <v>5160</v>
      </c>
      <c r="J980" s="274" t="s">
        <v>6676</v>
      </c>
      <c r="K980" s="274" t="s">
        <v>6506</v>
      </c>
      <c r="L980" s="274" t="s">
        <v>5161</v>
      </c>
      <c r="M980" s="281">
        <v>74125</v>
      </c>
      <c r="N980" s="280">
        <v>74125</v>
      </c>
      <c r="O980" s="280"/>
      <c r="P980" s="280"/>
      <c r="Q980" s="280"/>
      <c r="R980" s="280"/>
      <c r="S980" s="280"/>
      <c r="T980" s="297"/>
    </row>
    <row r="981" spans="1:20" x14ac:dyDescent="0.25">
      <c r="A981" s="274" t="s">
        <v>78</v>
      </c>
      <c r="B981" s="274" t="s">
        <v>79</v>
      </c>
      <c r="C981" s="274" t="s">
        <v>3741</v>
      </c>
      <c r="D981" s="274" t="s">
        <v>3742</v>
      </c>
      <c r="E981" s="274" t="s">
        <v>57</v>
      </c>
      <c r="F981" s="274" t="s">
        <v>186</v>
      </c>
      <c r="G981" s="274" t="s">
        <v>187</v>
      </c>
      <c r="H981" s="274" t="s">
        <v>188</v>
      </c>
      <c r="I981" s="274" t="s">
        <v>5162</v>
      </c>
      <c r="J981" s="274" t="s">
        <v>6677</v>
      </c>
      <c r="K981" s="274" t="s">
        <v>3746</v>
      </c>
      <c r="L981" s="274" t="s">
        <v>5163</v>
      </c>
      <c r="M981" s="281">
        <v>256800</v>
      </c>
      <c r="N981" s="280">
        <v>256800</v>
      </c>
      <c r="O981" s="280"/>
      <c r="P981" s="280"/>
      <c r="Q981" s="280"/>
      <c r="R981" s="280"/>
      <c r="S981" s="280"/>
      <c r="T981" s="297"/>
    </row>
    <row r="982" spans="1:20" x14ac:dyDescent="0.25">
      <c r="A982" s="274" t="s">
        <v>78</v>
      </c>
      <c r="B982" s="274" t="s">
        <v>79</v>
      </c>
      <c r="C982" s="274" t="s">
        <v>3741</v>
      </c>
      <c r="D982" s="274" t="s">
        <v>3742</v>
      </c>
      <c r="E982" s="274" t="s">
        <v>57</v>
      </c>
      <c r="F982" s="274" t="s">
        <v>186</v>
      </c>
      <c r="G982" s="274" t="s">
        <v>187</v>
      </c>
      <c r="H982" s="274" t="s">
        <v>188</v>
      </c>
      <c r="I982" s="274" t="s">
        <v>5164</v>
      </c>
      <c r="J982" s="274" t="s">
        <v>6676</v>
      </c>
      <c r="K982" s="274" t="s">
        <v>6506</v>
      </c>
      <c r="L982" s="274" t="s">
        <v>5165</v>
      </c>
      <c r="M982" s="281">
        <v>73875</v>
      </c>
      <c r="N982" s="280"/>
      <c r="O982" s="280"/>
      <c r="P982" s="280"/>
      <c r="Q982" s="280">
        <v>73875</v>
      </c>
      <c r="R982" s="280"/>
      <c r="S982" s="280"/>
      <c r="T982" s="297"/>
    </row>
    <row r="983" spans="1:20" x14ac:dyDescent="0.25">
      <c r="A983" s="274" t="s">
        <v>78</v>
      </c>
      <c r="B983" s="274" t="s">
        <v>79</v>
      </c>
      <c r="C983" s="274" t="s">
        <v>3741</v>
      </c>
      <c r="D983" s="274" t="s">
        <v>3742</v>
      </c>
      <c r="E983" s="274" t="s">
        <v>57</v>
      </c>
      <c r="F983" s="274" t="s">
        <v>186</v>
      </c>
      <c r="G983" s="274" t="s">
        <v>187</v>
      </c>
      <c r="H983" s="274" t="s">
        <v>188</v>
      </c>
      <c r="I983" s="274" t="s">
        <v>5166</v>
      </c>
      <c r="J983" s="274" t="s">
        <v>6678</v>
      </c>
      <c r="K983" s="274" t="s">
        <v>3746</v>
      </c>
      <c r="L983" s="274" t="s">
        <v>5167</v>
      </c>
      <c r="M983" s="281">
        <v>10330</v>
      </c>
      <c r="N983" s="280"/>
      <c r="O983" s="280"/>
      <c r="P983" s="280"/>
      <c r="Q983" s="280"/>
      <c r="R983" s="280">
        <v>10330</v>
      </c>
      <c r="S983" s="280"/>
      <c r="T983" s="297"/>
    </row>
    <row r="984" spans="1:20" x14ac:dyDescent="0.25">
      <c r="A984" s="274" t="s">
        <v>78</v>
      </c>
      <c r="B984" s="274" t="s">
        <v>79</v>
      </c>
      <c r="C984" s="274" t="s">
        <v>3741</v>
      </c>
      <c r="D984" s="274" t="s">
        <v>3742</v>
      </c>
      <c r="E984" s="274" t="s">
        <v>57</v>
      </c>
      <c r="F984" s="274" t="s">
        <v>186</v>
      </c>
      <c r="G984" s="274" t="s">
        <v>187</v>
      </c>
      <c r="H984" s="274" t="s">
        <v>188</v>
      </c>
      <c r="I984" s="274" t="s">
        <v>6679</v>
      </c>
      <c r="J984" s="274" t="s">
        <v>6678</v>
      </c>
      <c r="K984" s="274" t="s">
        <v>3746</v>
      </c>
      <c r="L984" s="274" t="s">
        <v>6680</v>
      </c>
      <c r="M984" s="281">
        <v>172.9</v>
      </c>
      <c r="N984" s="280"/>
      <c r="O984" s="280"/>
      <c r="P984" s="280"/>
      <c r="Q984" s="280"/>
      <c r="R984" s="280"/>
      <c r="S984" s="280"/>
      <c r="T984" s="297">
        <v>172.9</v>
      </c>
    </row>
    <row r="985" spans="1:20" x14ac:dyDescent="0.25">
      <c r="A985" s="274" t="s">
        <v>78</v>
      </c>
      <c r="B985" s="274" t="s">
        <v>79</v>
      </c>
      <c r="C985" s="274" t="s">
        <v>3741</v>
      </c>
      <c r="D985" s="274" t="s">
        <v>3742</v>
      </c>
      <c r="E985" s="274" t="s">
        <v>57</v>
      </c>
      <c r="F985" s="274" t="s">
        <v>186</v>
      </c>
      <c r="G985" s="274" t="s">
        <v>187</v>
      </c>
      <c r="H985" s="274" t="s">
        <v>188</v>
      </c>
      <c r="I985" s="274" t="s">
        <v>5168</v>
      </c>
      <c r="J985" s="274" t="s">
        <v>6676</v>
      </c>
      <c r="K985" s="274" t="s">
        <v>6506</v>
      </c>
      <c r="L985" s="274" t="s">
        <v>5161</v>
      </c>
      <c r="M985" s="281">
        <v>-55937.5</v>
      </c>
      <c r="N985" s="280">
        <v>-55937.5</v>
      </c>
      <c r="O985" s="280"/>
      <c r="P985" s="280"/>
      <c r="Q985" s="280"/>
      <c r="R985" s="280"/>
      <c r="S985" s="280"/>
      <c r="T985" s="297"/>
    </row>
    <row r="986" spans="1:20" x14ac:dyDescent="0.25">
      <c r="A986" s="274" t="s">
        <v>78</v>
      </c>
      <c r="B986" s="274" t="s">
        <v>79</v>
      </c>
      <c r="C986" s="274" t="s">
        <v>3741</v>
      </c>
      <c r="D986" s="274" t="s">
        <v>3742</v>
      </c>
      <c r="E986" s="274" t="s">
        <v>57</v>
      </c>
      <c r="F986" s="274" t="s">
        <v>186</v>
      </c>
      <c r="G986" s="274" t="s">
        <v>187</v>
      </c>
      <c r="H986" s="274" t="s">
        <v>188</v>
      </c>
      <c r="I986" s="274" t="s">
        <v>5169</v>
      </c>
      <c r="J986" s="274" t="s">
        <v>6676</v>
      </c>
      <c r="K986" s="274" t="s">
        <v>6506</v>
      </c>
      <c r="L986" s="274" t="s">
        <v>5161</v>
      </c>
      <c r="M986" s="281">
        <v>55937.5</v>
      </c>
      <c r="N986" s="280"/>
      <c r="O986" s="280">
        <v>55937.5</v>
      </c>
      <c r="P986" s="280"/>
      <c r="Q986" s="280"/>
      <c r="R986" s="280"/>
      <c r="S986" s="280"/>
      <c r="T986" s="297"/>
    </row>
    <row r="987" spans="1:20" x14ac:dyDescent="0.25">
      <c r="A987" s="274" t="s">
        <v>78</v>
      </c>
      <c r="B987" s="274" t="s">
        <v>79</v>
      </c>
      <c r="C987" s="274" t="s">
        <v>3741</v>
      </c>
      <c r="D987" s="274" t="s">
        <v>3742</v>
      </c>
      <c r="E987" s="274" t="s">
        <v>57</v>
      </c>
      <c r="F987" s="274" t="s">
        <v>186</v>
      </c>
      <c r="G987" s="274" t="s">
        <v>187</v>
      </c>
      <c r="H987" s="274" t="s">
        <v>188</v>
      </c>
      <c r="I987" s="274" t="s">
        <v>5170</v>
      </c>
      <c r="J987" s="274" t="s">
        <v>6676</v>
      </c>
      <c r="K987" s="274" t="s">
        <v>6506</v>
      </c>
      <c r="L987" s="274" t="s">
        <v>5161</v>
      </c>
      <c r="M987" s="281">
        <v>-250</v>
      </c>
      <c r="N987" s="280"/>
      <c r="O987" s="280">
        <v>-250</v>
      </c>
      <c r="P987" s="280"/>
      <c r="Q987" s="280"/>
      <c r="R987" s="280"/>
      <c r="S987" s="280"/>
      <c r="T987" s="297"/>
    </row>
    <row r="988" spans="1:20" x14ac:dyDescent="0.25">
      <c r="A988" s="274" t="s">
        <v>78</v>
      </c>
      <c r="B988" s="274" t="s">
        <v>79</v>
      </c>
      <c r="C988" s="274" t="s">
        <v>3741</v>
      </c>
      <c r="D988" s="274" t="s">
        <v>3742</v>
      </c>
      <c r="E988" s="274" t="s">
        <v>57</v>
      </c>
      <c r="F988" s="274" t="s">
        <v>186</v>
      </c>
      <c r="G988" s="274" t="s">
        <v>187</v>
      </c>
      <c r="H988" s="274" t="s">
        <v>188</v>
      </c>
      <c r="I988" s="274" t="s">
        <v>5171</v>
      </c>
      <c r="J988" s="274" t="s">
        <v>6681</v>
      </c>
      <c r="K988" s="274" t="s">
        <v>6546</v>
      </c>
      <c r="L988" s="274" t="s">
        <v>5172</v>
      </c>
      <c r="M988" s="281">
        <v>-23640</v>
      </c>
      <c r="N988" s="280">
        <v>-23640</v>
      </c>
      <c r="O988" s="280"/>
      <c r="P988" s="280"/>
      <c r="Q988" s="280"/>
      <c r="R988" s="280"/>
      <c r="S988" s="280"/>
      <c r="T988" s="297"/>
    </row>
    <row r="989" spans="1:20" x14ac:dyDescent="0.25">
      <c r="A989" s="274" t="s">
        <v>78</v>
      </c>
      <c r="B989" s="274" t="s">
        <v>79</v>
      </c>
      <c r="C989" s="274" t="s">
        <v>3741</v>
      </c>
      <c r="D989" s="274" t="s">
        <v>3742</v>
      </c>
      <c r="E989" s="274" t="s">
        <v>57</v>
      </c>
      <c r="F989" s="274" t="s">
        <v>186</v>
      </c>
      <c r="G989" s="274" t="s">
        <v>189</v>
      </c>
      <c r="H989" s="274" t="s">
        <v>190</v>
      </c>
      <c r="I989" s="274" t="s">
        <v>5173</v>
      </c>
      <c r="J989" s="274" t="s">
        <v>6682</v>
      </c>
      <c r="K989" s="274" t="s">
        <v>3746</v>
      </c>
      <c r="L989" s="274" t="s">
        <v>5174</v>
      </c>
      <c r="M989" s="281">
        <v>10693.38</v>
      </c>
      <c r="N989" s="280">
        <v>10693.38</v>
      </c>
      <c r="O989" s="280"/>
      <c r="P989" s="280"/>
      <c r="Q989" s="280"/>
      <c r="R989" s="280"/>
      <c r="S989" s="280"/>
      <c r="T989" s="297"/>
    </row>
    <row r="990" spans="1:20" x14ac:dyDescent="0.25">
      <c r="A990" s="274" t="s">
        <v>78</v>
      </c>
      <c r="B990" s="274" t="s">
        <v>79</v>
      </c>
      <c r="C990" s="274" t="s">
        <v>3741</v>
      </c>
      <c r="D990" s="274" t="s">
        <v>3742</v>
      </c>
      <c r="E990" s="274" t="s">
        <v>57</v>
      </c>
      <c r="F990" s="274" t="s">
        <v>186</v>
      </c>
      <c r="G990" s="274" t="s">
        <v>189</v>
      </c>
      <c r="H990" s="274" t="s">
        <v>190</v>
      </c>
      <c r="I990" s="274" t="s">
        <v>5175</v>
      </c>
      <c r="J990" s="274" t="s">
        <v>6682</v>
      </c>
      <c r="K990" s="274" t="s">
        <v>3746</v>
      </c>
      <c r="L990" s="274" t="s">
        <v>5174</v>
      </c>
      <c r="M990" s="281">
        <v>382.5</v>
      </c>
      <c r="N990" s="280">
        <v>382.5</v>
      </c>
      <c r="O990" s="280"/>
      <c r="P990" s="280"/>
      <c r="Q990" s="280"/>
      <c r="R990" s="280"/>
      <c r="S990" s="280"/>
      <c r="T990" s="297"/>
    </row>
    <row r="991" spans="1:20" x14ac:dyDescent="0.25">
      <c r="A991" s="274" t="s">
        <v>78</v>
      </c>
      <c r="B991" s="274" t="s">
        <v>79</v>
      </c>
      <c r="C991" s="274" t="s">
        <v>3741</v>
      </c>
      <c r="D991" s="274" t="s">
        <v>3742</v>
      </c>
      <c r="E991" s="274" t="s">
        <v>57</v>
      </c>
      <c r="F991" s="274" t="s">
        <v>186</v>
      </c>
      <c r="G991" s="274" t="s">
        <v>189</v>
      </c>
      <c r="H991" s="274" t="s">
        <v>190</v>
      </c>
      <c r="I991" s="274" t="s">
        <v>5176</v>
      </c>
      <c r="J991" s="274" t="s">
        <v>6682</v>
      </c>
      <c r="K991" s="274" t="s">
        <v>3746</v>
      </c>
      <c r="L991" s="274" t="s">
        <v>5177</v>
      </c>
      <c r="M991" s="281">
        <v>13337.5</v>
      </c>
      <c r="N991" s="280"/>
      <c r="O991" s="280">
        <v>13337.5</v>
      </c>
      <c r="P991" s="280"/>
      <c r="Q991" s="280"/>
      <c r="R991" s="280"/>
      <c r="S991" s="280"/>
      <c r="T991" s="297"/>
    </row>
    <row r="992" spans="1:20" x14ac:dyDescent="0.25">
      <c r="A992" s="274" t="s">
        <v>78</v>
      </c>
      <c r="B992" s="274" t="s">
        <v>79</v>
      </c>
      <c r="C992" s="274" t="s">
        <v>3741</v>
      </c>
      <c r="D992" s="274" t="s">
        <v>3742</v>
      </c>
      <c r="E992" s="274" t="s">
        <v>57</v>
      </c>
      <c r="F992" s="274" t="s">
        <v>186</v>
      </c>
      <c r="G992" s="274" t="s">
        <v>189</v>
      </c>
      <c r="H992" s="274" t="s">
        <v>190</v>
      </c>
      <c r="I992" s="274" t="s">
        <v>5178</v>
      </c>
      <c r="J992" s="274" t="s">
        <v>6683</v>
      </c>
      <c r="K992" s="274" t="s">
        <v>3746</v>
      </c>
      <c r="L992" s="274" t="s">
        <v>5179</v>
      </c>
      <c r="M992" s="281">
        <v>10400</v>
      </c>
      <c r="N992" s="280"/>
      <c r="O992" s="280">
        <v>10400</v>
      </c>
      <c r="P992" s="280"/>
      <c r="Q992" s="280"/>
      <c r="R992" s="280"/>
      <c r="S992" s="280"/>
      <c r="T992" s="297"/>
    </row>
    <row r="993" spans="1:20" x14ac:dyDescent="0.25">
      <c r="A993" s="274" t="s">
        <v>78</v>
      </c>
      <c r="B993" s="274" t="s">
        <v>79</v>
      </c>
      <c r="C993" s="274" t="s">
        <v>3741</v>
      </c>
      <c r="D993" s="274" t="s">
        <v>3742</v>
      </c>
      <c r="E993" s="274" t="s">
        <v>57</v>
      </c>
      <c r="F993" s="274" t="s">
        <v>186</v>
      </c>
      <c r="G993" s="274" t="s">
        <v>189</v>
      </c>
      <c r="H993" s="274" t="s">
        <v>190</v>
      </c>
      <c r="I993" s="274" t="s">
        <v>5180</v>
      </c>
      <c r="J993" s="274" t="s">
        <v>6684</v>
      </c>
      <c r="K993" s="274" t="s">
        <v>3746</v>
      </c>
      <c r="L993" s="274" t="s">
        <v>5181</v>
      </c>
      <c r="M993" s="281">
        <v>4000</v>
      </c>
      <c r="N993" s="280"/>
      <c r="O993" s="280">
        <v>4000</v>
      </c>
      <c r="P993" s="280"/>
      <c r="Q993" s="280"/>
      <c r="R993" s="280"/>
      <c r="S993" s="280"/>
      <c r="T993" s="297"/>
    </row>
    <row r="994" spans="1:20" x14ac:dyDescent="0.25">
      <c r="A994" s="274" t="s">
        <v>78</v>
      </c>
      <c r="B994" s="274" t="s">
        <v>79</v>
      </c>
      <c r="C994" s="274" t="s">
        <v>3741</v>
      </c>
      <c r="D994" s="274" t="s">
        <v>3742</v>
      </c>
      <c r="E994" s="274" t="s">
        <v>57</v>
      </c>
      <c r="F994" s="274" t="s">
        <v>186</v>
      </c>
      <c r="G994" s="274" t="s">
        <v>189</v>
      </c>
      <c r="H994" s="274" t="s">
        <v>190</v>
      </c>
      <c r="I994" s="274" t="s">
        <v>5182</v>
      </c>
      <c r="J994" s="274" t="s">
        <v>6685</v>
      </c>
      <c r="K994" s="274" t="s">
        <v>3746</v>
      </c>
      <c r="L994" s="274" t="s">
        <v>5183</v>
      </c>
      <c r="M994" s="281">
        <v>1600</v>
      </c>
      <c r="N994" s="280"/>
      <c r="O994" s="280">
        <v>1600</v>
      </c>
      <c r="P994" s="280"/>
      <c r="Q994" s="280"/>
      <c r="R994" s="280"/>
      <c r="S994" s="280"/>
      <c r="T994" s="297"/>
    </row>
    <row r="995" spans="1:20" x14ac:dyDescent="0.25">
      <c r="A995" s="274" t="s">
        <v>78</v>
      </c>
      <c r="B995" s="274" t="s">
        <v>79</v>
      </c>
      <c r="C995" s="274" t="s">
        <v>3741</v>
      </c>
      <c r="D995" s="274" t="s">
        <v>3742</v>
      </c>
      <c r="E995" s="274" t="s">
        <v>57</v>
      </c>
      <c r="F995" s="274" t="s">
        <v>186</v>
      </c>
      <c r="G995" s="274" t="s">
        <v>189</v>
      </c>
      <c r="H995" s="274" t="s">
        <v>190</v>
      </c>
      <c r="I995" s="274" t="s">
        <v>5184</v>
      </c>
      <c r="J995" s="274" t="s">
        <v>6686</v>
      </c>
      <c r="K995" s="274" t="s">
        <v>3746</v>
      </c>
      <c r="L995" s="274" t="s">
        <v>5185</v>
      </c>
      <c r="M995" s="281">
        <v>1600</v>
      </c>
      <c r="N995" s="280"/>
      <c r="O995" s="280">
        <v>1600</v>
      </c>
      <c r="P995" s="280"/>
      <c r="Q995" s="280"/>
      <c r="R995" s="280"/>
      <c r="S995" s="280"/>
      <c r="T995" s="297"/>
    </row>
    <row r="996" spans="1:20" x14ac:dyDescent="0.25">
      <c r="A996" s="274" t="s">
        <v>78</v>
      </c>
      <c r="B996" s="274" t="s">
        <v>79</v>
      </c>
      <c r="C996" s="274" t="s">
        <v>3741</v>
      </c>
      <c r="D996" s="274" t="s">
        <v>3742</v>
      </c>
      <c r="E996" s="274" t="s">
        <v>57</v>
      </c>
      <c r="F996" s="274" t="s">
        <v>186</v>
      </c>
      <c r="G996" s="274" t="s">
        <v>189</v>
      </c>
      <c r="H996" s="274" t="s">
        <v>190</v>
      </c>
      <c r="I996" s="274" t="s">
        <v>5186</v>
      </c>
      <c r="J996" s="274" t="s">
        <v>6687</v>
      </c>
      <c r="K996" s="274" t="s">
        <v>3746</v>
      </c>
      <c r="L996" s="274" t="s">
        <v>5187</v>
      </c>
      <c r="M996" s="281">
        <v>4900</v>
      </c>
      <c r="N996" s="280"/>
      <c r="O996" s="280">
        <v>4900</v>
      </c>
      <c r="P996" s="280"/>
      <c r="Q996" s="280"/>
      <c r="R996" s="280"/>
      <c r="S996" s="280"/>
      <c r="T996" s="297"/>
    </row>
    <row r="997" spans="1:20" x14ac:dyDescent="0.25">
      <c r="A997" s="274" t="s">
        <v>78</v>
      </c>
      <c r="B997" s="274" t="s">
        <v>79</v>
      </c>
      <c r="C997" s="274" t="s">
        <v>3741</v>
      </c>
      <c r="D997" s="274" t="s">
        <v>3742</v>
      </c>
      <c r="E997" s="274" t="s">
        <v>57</v>
      </c>
      <c r="F997" s="274" t="s">
        <v>186</v>
      </c>
      <c r="G997" s="274" t="s">
        <v>189</v>
      </c>
      <c r="H997" s="274" t="s">
        <v>190</v>
      </c>
      <c r="I997" s="274" t="s">
        <v>5188</v>
      </c>
      <c r="J997" s="274" t="s">
        <v>6687</v>
      </c>
      <c r="K997" s="274" t="s">
        <v>3746</v>
      </c>
      <c r="L997" s="274" t="s">
        <v>5189</v>
      </c>
      <c r="M997" s="281">
        <v>4900</v>
      </c>
      <c r="N997" s="280"/>
      <c r="O997" s="280">
        <v>4900</v>
      </c>
      <c r="P997" s="280"/>
      <c r="Q997" s="280"/>
      <c r="R997" s="280"/>
      <c r="S997" s="280"/>
      <c r="T997" s="297"/>
    </row>
    <row r="998" spans="1:20" x14ac:dyDescent="0.25">
      <c r="A998" s="274" t="s">
        <v>78</v>
      </c>
      <c r="B998" s="274" t="s">
        <v>79</v>
      </c>
      <c r="C998" s="274" t="s">
        <v>3741</v>
      </c>
      <c r="D998" s="274" t="s">
        <v>3742</v>
      </c>
      <c r="E998" s="274" t="s">
        <v>57</v>
      </c>
      <c r="F998" s="274" t="s">
        <v>186</v>
      </c>
      <c r="G998" s="274" t="s">
        <v>189</v>
      </c>
      <c r="H998" s="274" t="s">
        <v>190</v>
      </c>
      <c r="I998" s="274" t="s">
        <v>5190</v>
      </c>
      <c r="J998" s="274" t="s">
        <v>6682</v>
      </c>
      <c r="K998" s="274" t="s">
        <v>3746</v>
      </c>
      <c r="L998" s="274" t="s">
        <v>5177</v>
      </c>
      <c r="M998" s="281">
        <v>510</v>
      </c>
      <c r="N998" s="280"/>
      <c r="O998" s="280">
        <v>510</v>
      </c>
      <c r="P998" s="280"/>
      <c r="Q998" s="280"/>
      <c r="R998" s="280"/>
      <c r="S998" s="280"/>
      <c r="T998" s="297"/>
    </row>
    <row r="999" spans="1:20" x14ac:dyDescent="0.25">
      <c r="A999" s="274" t="s">
        <v>78</v>
      </c>
      <c r="B999" s="274" t="s">
        <v>79</v>
      </c>
      <c r="C999" s="274" t="s">
        <v>3741</v>
      </c>
      <c r="D999" s="274" t="s">
        <v>3742</v>
      </c>
      <c r="E999" s="274" t="s">
        <v>57</v>
      </c>
      <c r="F999" s="274" t="s">
        <v>186</v>
      </c>
      <c r="G999" s="274" t="s">
        <v>189</v>
      </c>
      <c r="H999" s="274" t="s">
        <v>190</v>
      </c>
      <c r="I999" s="274" t="s">
        <v>5191</v>
      </c>
      <c r="J999" s="274" t="s">
        <v>6682</v>
      </c>
      <c r="K999" s="274" t="s">
        <v>3746</v>
      </c>
      <c r="L999" s="274" t="s">
        <v>5192</v>
      </c>
      <c r="M999" s="281">
        <v>10725</v>
      </c>
      <c r="N999" s="280"/>
      <c r="O999" s="280"/>
      <c r="P999" s="280">
        <v>10725</v>
      </c>
      <c r="Q999" s="280"/>
      <c r="R999" s="280"/>
      <c r="S999" s="280"/>
      <c r="T999" s="297"/>
    </row>
    <row r="1000" spans="1:20" x14ac:dyDescent="0.25">
      <c r="A1000" s="274" t="s">
        <v>78</v>
      </c>
      <c r="B1000" s="274" t="s">
        <v>79</v>
      </c>
      <c r="C1000" s="274" t="s">
        <v>3741</v>
      </c>
      <c r="D1000" s="274" t="s">
        <v>3742</v>
      </c>
      <c r="E1000" s="274" t="s">
        <v>57</v>
      </c>
      <c r="F1000" s="274" t="s">
        <v>186</v>
      </c>
      <c r="G1000" s="274" t="s">
        <v>189</v>
      </c>
      <c r="H1000" s="274" t="s">
        <v>190</v>
      </c>
      <c r="I1000" s="274" t="s">
        <v>5193</v>
      </c>
      <c r="J1000" s="274" t="s">
        <v>6687</v>
      </c>
      <c r="K1000" s="274" t="s">
        <v>3746</v>
      </c>
      <c r="L1000" s="274" t="s">
        <v>5194</v>
      </c>
      <c r="M1000" s="281">
        <v>4900</v>
      </c>
      <c r="N1000" s="280"/>
      <c r="O1000" s="280"/>
      <c r="P1000" s="280">
        <v>4900</v>
      </c>
      <c r="Q1000" s="280"/>
      <c r="R1000" s="280"/>
      <c r="S1000" s="280"/>
      <c r="T1000" s="297"/>
    </row>
    <row r="1001" spans="1:20" x14ac:dyDescent="0.25">
      <c r="A1001" s="274" t="s">
        <v>78</v>
      </c>
      <c r="B1001" s="274" t="s">
        <v>79</v>
      </c>
      <c r="C1001" s="274" t="s">
        <v>3741</v>
      </c>
      <c r="D1001" s="274" t="s">
        <v>3742</v>
      </c>
      <c r="E1001" s="274" t="s">
        <v>57</v>
      </c>
      <c r="F1001" s="274" t="s">
        <v>186</v>
      </c>
      <c r="G1001" s="274" t="s">
        <v>189</v>
      </c>
      <c r="H1001" s="274" t="s">
        <v>190</v>
      </c>
      <c r="I1001" s="274" t="s">
        <v>5195</v>
      </c>
      <c r="J1001" s="274" t="s">
        <v>6682</v>
      </c>
      <c r="K1001" s="274" t="s">
        <v>3746</v>
      </c>
      <c r="L1001" s="274" t="s">
        <v>5192</v>
      </c>
      <c r="M1001" s="281">
        <v>255</v>
      </c>
      <c r="N1001" s="280"/>
      <c r="O1001" s="280"/>
      <c r="P1001" s="280">
        <v>255</v>
      </c>
      <c r="Q1001" s="280"/>
      <c r="R1001" s="280"/>
      <c r="S1001" s="280"/>
      <c r="T1001" s="297"/>
    </row>
    <row r="1002" spans="1:20" x14ac:dyDescent="0.25">
      <c r="A1002" s="274" t="s">
        <v>78</v>
      </c>
      <c r="B1002" s="274" t="s">
        <v>79</v>
      </c>
      <c r="C1002" s="274" t="s">
        <v>3741</v>
      </c>
      <c r="D1002" s="274" t="s">
        <v>3742</v>
      </c>
      <c r="E1002" s="274" t="s">
        <v>57</v>
      </c>
      <c r="F1002" s="274" t="s">
        <v>186</v>
      </c>
      <c r="G1002" s="274" t="s">
        <v>189</v>
      </c>
      <c r="H1002" s="274" t="s">
        <v>190</v>
      </c>
      <c r="I1002" s="274" t="s">
        <v>5196</v>
      </c>
      <c r="J1002" s="274" t="s">
        <v>6688</v>
      </c>
      <c r="K1002" s="274" t="s">
        <v>3746</v>
      </c>
      <c r="L1002" s="274" t="s">
        <v>5197</v>
      </c>
      <c r="M1002" s="281">
        <v>-142.5</v>
      </c>
      <c r="N1002" s="280"/>
      <c r="O1002" s="280"/>
      <c r="P1002" s="280"/>
      <c r="Q1002" s="280">
        <v>-142.5</v>
      </c>
      <c r="R1002" s="280"/>
      <c r="S1002" s="280"/>
      <c r="T1002" s="297"/>
    </row>
    <row r="1003" spans="1:20" x14ac:dyDescent="0.25">
      <c r="A1003" s="274" t="s">
        <v>78</v>
      </c>
      <c r="B1003" s="274" t="s">
        <v>79</v>
      </c>
      <c r="C1003" s="274" t="s">
        <v>3741</v>
      </c>
      <c r="D1003" s="274" t="s">
        <v>3742</v>
      </c>
      <c r="E1003" s="274" t="s">
        <v>57</v>
      </c>
      <c r="F1003" s="274" t="s">
        <v>186</v>
      </c>
      <c r="G1003" s="274" t="s">
        <v>189</v>
      </c>
      <c r="H1003" s="274" t="s">
        <v>190</v>
      </c>
      <c r="I1003" s="274" t="s">
        <v>5198</v>
      </c>
      <c r="J1003" s="274" t="s">
        <v>6688</v>
      </c>
      <c r="K1003" s="274" t="s">
        <v>3746</v>
      </c>
      <c r="L1003" s="274" t="s">
        <v>5199</v>
      </c>
      <c r="M1003" s="281">
        <v>-427.5</v>
      </c>
      <c r="N1003" s="280"/>
      <c r="O1003" s="280"/>
      <c r="P1003" s="280"/>
      <c r="Q1003" s="280">
        <v>-427.5</v>
      </c>
      <c r="R1003" s="280"/>
      <c r="S1003" s="280"/>
      <c r="T1003" s="297"/>
    </row>
    <row r="1004" spans="1:20" x14ac:dyDescent="0.25">
      <c r="A1004" s="274" t="s">
        <v>78</v>
      </c>
      <c r="B1004" s="274" t="s">
        <v>79</v>
      </c>
      <c r="C1004" s="274" t="s">
        <v>3741</v>
      </c>
      <c r="D1004" s="274" t="s">
        <v>3742</v>
      </c>
      <c r="E1004" s="274" t="s">
        <v>57</v>
      </c>
      <c r="F1004" s="274" t="s">
        <v>186</v>
      </c>
      <c r="G1004" s="274" t="s">
        <v>189</v>
      </c>
      <c r="H1004" s="274" t="s">
        <v>190</v>
      </c>
      <c r="I1004" s="274" t="s">
        <v>5200</v>
      </c>
      <c r="J1004" s="274" t="s">
        <v>6688</v>
      </c>
      <c r="K1004" s="274" t="s">
        <v>3746</v>
      </c>
      <c r="L1004" s="274" t="s">
        <v>5201</v>
      </c>
      <c r="M1004" s="281">
        <v>-142.5</v>
      </c>
      <c r="N1004" s="280"/>
      <c r="O1004" s="280"/>
      <c r="P1004" s="280"/>
      <c r="Q1004" s="280">
        <v>-142.5</v>
      </c>
      <c r="R1004" s="280"/>
      <c r="S1004" s="280"/>
      <c r="T1004" s="297"/>
    </row>
    <row r="1005" spans="1:20" x14ac:dyDescent="0.25">
      <c r="A1005" s="274" t="s">
        <v>78</v>
      </c>
      <c r="B1005" s="274" t="s">
        <v>79</v>
      </c>
      <c r="C1005" s="274" t="s">
        <v>3741</v>
      </c>
      <c r="D1005" s="274" t="s">
        <v>3742</v>
      </c>
      <c r="E1005" s="274" t="s">
        <v>57</v>
      </c>
      <c r="F1005" s="274" t="s">
        <v>186</v>
      </c>
      <c r="G1005" s="274" t="s">
        <v>189</v>
      </c>
      <c r="H1005" s="274" t="s">
        <v>190</v>
      </c>
      <c r="I1005" s="274" t="s">
        <v>5202</v>
      </c>
      <c r="J1005" s="274" t="s">
        <v>6687</v>
      </c>
      <c r="K1005" s="274" t="s">
        <v>3746</v>
      </c>
      <c r="L1005" s="274" t="s">
        <v>5194</v>
      </c>
      <c r="M1005" s="281">
        <v>-4900</v>
      </c>
      <c r="N1005" s="280"/>
      <c r="O1005" s="280"/>
      <c r="P1005" s="280"/>
      <c r="Q1005" s="280">
        <v>-4900</v>
      </c>
      <c r="R1005" s="280"/>
      <c r="S1005" s="280"/>
      <c r="T1005" s="297"/>
    </row>
    <row r="1006" spans="1:20" x14ac:dyDescent="0.25">
      <c r="A1006" s="274" t="s">
        <v>78</v>
      </c>
      <c r="B1006" s="274" t="s">
        <v>79</v>
      </c>
      <c r="C1006" s="274" t="s">
        <v>3741</v>
      </c>
      <c r="D1006" s="274" t="s">
        <v>3742</v>
      </c>
      <c r="E1006" s="274" t="s">
        <v>57</v>
      </c>
      <c r="F1006" s="274" t="s">
        <v>186</v>
      </c>
      <c r="G1006" s="274" t="s">
        <v>189</v>
      </c>
      <c r="H1006" s="274" t="s">
        <v>190</v>
      </c>
      <c r="I1006" s="274" t="s">
        <v>5203</v>
      </c>
      <c r="J1006" s="274" t="s">
        <v>6687</v>
      </c>
      <c r="K1006" s="274" t="s">
        <v>3746</v>
      </c>
      <c r="L1006" s="274" t="s">
        <v>5189</v>
      </c>
      <c r="M1006" s="281">
        <v>-4900</v>
      </c>
      <c r="N1006" s="280"/>
      <c r="O1006" s="280"/>
      <c r="P1006" s="280"/>
      <c r="Q1006" s="280">
        <v>-4900</v>
      </c>
      <c r="R1006" s="280"/>
      <c r="S1006" s="280"/>
      <c r="T1006" s="297"/>
    </row>
    <row r="1007" spans="1:20" x14ac:dyDescent="0.25">
      <c r="A1007" s="274" t="s">
        <v>78</v>
      </c>
      <c r="B1007" s="274" t="s">
        <v>79</v>
      </c>
      <c r="C1007" s="274" t="s">
        <v>3741</v>
      </c>
      <c r="D1007" s="274" t="s">
        <v>3742</v>
      </c>
      <c r="E1007" s="274" t="s">
        <v>57</v>
      </c>
      <c r="F1007" s="274" t="s">
        <v>186</v>
      </c>
      <c r="G1007" s="274" t="s">
        <v>189</v>
      </c>
      <c r="H1007" s="274" t="s">
        <v>190</v>
      </c>
      <c r="I1007" s="274" t="s">
        <v>5204</v>
      </c>
      <c r="J1007" s="274" t="s">
        <v>6687</v>
      </c>
      <c r="K1007" s="274" t="s">
        <v>3746</v>
      </c>
      <c r="L1007" s="274" t="s">
        <v>5187</v>
      </c>
      <c r="M1007" s="281">
        <v>-4900</v>
      </c>
      <c r="N1007" s="280"/>
      <c r="O1007" s="280"/>
      <c r="P1007" s="280"/>
      <c r="Q1007" s="280">
        <v>-4900</v>
      </c>
      <c r="R1007" s="280"/>
      <c r="S1007" s="280"/>
      <c r="T1007" s="297"/>
    </row>
    <row r="1008" spans="1:20" x14ac:dyDescent="0.25">
      <c r="A1008" s="274" t="s">
        <v>78</v>
      </c>
      <c r="B1008" s="274" t="s">
        <v>79</v>
      </c>
      <c r="C1008" s="274" t="s">
        <v>3741</v>
      </c>
      <c r="D1008" s="274" t="s">
        <v>3742</v>
      </c>
      <c r="E1008" s="274" t="s">
        <v>57</v>
      </c>
      <c r="F1008" s="274" t="s">
        <v>186</v>
      </c>
      <c r="G1008" s="274" t="s">
        <v>189</v>
      </c>
      <c r="H1008" s="274" t="s">
        <v>190</v>
      </c>
      <c r="I1008" s="274" t="s">
        <v>5205</v>
      </c>
      <c r="J1008" s="274" t="s">
        <v>6682</v>
      </c>
      <c r="K1008" s="274" t="s">
        <v>3746</v>
      </c>
      <c r="L1008" s="274" t="s">
        <v>5206</v>
      </c>
      <c r="M1008" s="281">
        <v>8250</v>
      </c>
      <c r="N1008" s="280"/>
      <c r="O1008" s="280"/>
      <c r="P1008" s="280"/>
      <c r="Q1008" s="280">
        <v>8250</v>
      </c>
      <c r="R1008" s="280"/>
      <c r="S1008" s="280"/>
      <c r="T1008" s="297"/>
    </row>
    <row r="1009" spans="1:20" x14ac:dyDescent="0.25">
      <c r="A1009" s="274" t="s">
        <v>78</v>
      </c>
      <c r="B1009" s="274" t="s">
        <v>79</v>
      </c>
      <c r="C1009" s="274" t="s">
        <v>3741</v>
      </c>
      <c r="D1009" s="274" t="s">
        <v>3742</v>
      </c>
      <c r="E1009" s="274" t="s">
        <v>57</v>
      </c>
      <c r="F1009" s="274" t="s">
        <v>186</v>
      </c>
      <c r="G1009" s="274" t="s">
        <v>189</v>
      </c>
      <c r="H1009" s="274" t="s">
        <v>190</v>
      </c>
      <c r="I1009" s="274" t="s">
        <v>5207</v>
      </c>
      <c r="J1009" s="274" t="s">
        <v>6682</v>
      </c>
      <c r="K1009" s="274" t="s">
        <v>3746</v>
      </c>
      <c r="L1009" s="274" t="s">
        <v>5206</v>
      </c>
      <c r="M1009" s="281">
        <v>255</v>
      </c>
      <c r="N1009" s="280"/>
      <c r="O1009" s="280"/>
      <c r="P1009" s="280"/>
      <c r="Q1009" s="280">
        <v>255</v>
      </c>
      <c r="R1009" s="280"/>
      <c r="S1009" s="280"/>
      <c r="T1009" s="297"/>
    </row>
    <row r="1010" spans="1:20" x14ac:dyDescent="0.25">
      <c r="A1010" s="274" t="s">
        <v>78</v>
      </c>
      <c r="B1010" s="274" t="s">
        <v>79</v>
      </c>
      <c r="C1010" s="274" t="s">
        <v>3741</v>
      </c>
      <c r="D1010" s="274" t="s">
        <v>3742</v>
      </c>
      <c r="E1010" s="274" t="s">
        <v>57</v>
      </c>
      <c r="F1010" s="274" t="s">
        <v>186</v>
      </c>
      <c r="G1010" s="274" t="s">
        <v>189</v>
      </c>
      <c r="H1010" s="274" t="s">
        <v>190</v>
      </c>
      <c r="I1010" s="274" t="s">
        <v>5208</v>
      </c>
      <c r="J1010" s="274" t="s">
        <v>6682</v>
      </c>
      <c r="K1010" s="274" t="s">
        <v>3746</v>
      </c>
      <c r="L1010" s="274" t="s">
        <v>5206</v>
      </c>
      <c r="M1010" s="281">
        <v>446.25</v>
      </c>
      <c r="N1010" s="280"/>
      <c r="O1010" s="280"/>
      <c r="P1010" s="280"/>
      <c r="Q1010" s="280">
        <v>446.25</v>
      </c>
      <c r="R1010" s="280"/>
      <c r="S1010" s="280"/>
      <c r="T1010" s="297"/>
    </row>
    <row r="1011" spans="1:20" x14ac:dyDescent="0.25">
      <c r="A1011" s="274" t="s">
        <v>78</v>
      </c>
      <c r="B1011" s="274" t="s">
        <v>79</v>
      </c>
      <c r="C1011" s="274" t="s">
        <v>3741</v>
      </c>
      <c r="D1011" s="274" t="s">
        <v>3742</v>
      </c>
      <c r="E1011" s="274" t="s">
        <v>57</v>
      </c>
      <c r="F1011" s="274" t="s">
        <v>186</v>
      </c>
      <c r="G1011" s="274" t="s">
        <v>189</v>
      </c>
      <c r="H1011" s="274" t="s">
        <v>190</v>
      </c>
      <c r="I1011" s="274" t="s">
        <v>5209</v>
      </c>
      <c r="J1011" s="274" t="s">
        <v>6682</v>
      </c>
      <c r="K1011" s="274" t="s">
        <v>3746</v>
      </c>
      <c r="L1011" s="274" t="s">
        <v>5210</v>
      </c>
      <c r="M1011" s="281">
        <v>13612.5</v>
      </c>
      <c r="N1011" s="280"/>
      <c r="O1011" s="280"/>
      <c r="P1011" s="280"/>
      <c r="Q1011" s="280"/>
      <c r="R1011" s="280">
        <v>13612.5</v>
      </c>
      <c r="S1011" s="280"/>
      <c r="T1011" s="297"/>
    </row>
    <row r="1012" spans="1:20" x14ac:dyDescent="0.25">
      <c r="A1012" s="274" t="s">
        <v>78</v>
      </c>
      <c r="B1012" s="274" t="s">
        <v>79</v>
      </c>
      <c r="C1012" s="274" t="s">
        <v>3741</v>
      </c>
      <c r="D1012" s="274" t="s">
        <v>3742</v>
      </c>
      <c r="E1012" s="274" t="s">
        <v>57</v>
      </c>
      <c r="F1012" s="274" t="s">
        <v>186</v>
      </c>
      <c r="G1012" s="274" t="s">
        <v>189</v>
      </c>
      <c r="H1012" s="274" t="s">
        <v>190</v>
      </c>
      <c r="I1012" s="274" t="s">
        <v>5211</v>
      </c>
      <c r="J1012" s="274" t="s">
        <v>6682</v>
      </c>
      <c r="K1012" s="274" t="s">
        <v>3746</v>
      </c>
      <c r="L1012" s="274" t="s">
        <v>5210</v>
      </c>
      <c r="M1012" s="281">
        <v>127.5</v>
      </c>
      <c r="N1012" s="280"/>
      <c r="O1012" s="280"/>
      <c r="P1012" s="280"/>
      <c r="Q1012" s="280"/>
      <c r="R1012" s="280">
        <v>127.5</v>
      </c>
      <c r="S1012" s="280"/>
      <c r="T1012" s="297"/>
    </row>
    <row r="1013" spans="1:20" x14ac:dyDescent="0.25">
      <c r="A1013" s="274" t="s">
        <v>78</v>
      </c>
      <c r="B1013" s="274" t="s">
        <v>79</v>
      </c>
      <c r="C1013" s="274" t="s">
        <v>3741</v>
      </c>
      <c r="D1013" s="274" t="s">
        <v>3742</v>
      </c>
      <c r="E1013" s="274" t="s">
        <v>57</v>
      </c>
      <c r="F1013" s="274" t="s">
        <v>186</v>
      </c>
      <c r="G1013" s="274" t="s">
        <v>189</v>
      </c>
      <c r="H1013" s="274" t="s">
        <v>190</v>
      </c>
      <c r="I1013" s="274" t="s">
        <v>6397</v>
      </c>
      <c r="J1013" s="274" t="s">
        <v>6682</v>
      </c>
      <c r="K1013" s="274" t="s">
        <v>3746</v>
      </c>
      <c r="L1013" s="274" t="s">
        <v>6398</v>
      </c>
      <c r="M1013" s="281">
        <v>11962.5</v>
      </c>
      <c r="N1013" s="280"/>
      <c r="O1013" s="280"/>
      <c r="P1013" s="280"/>
      <c r="Q1013" s="280"/>
      <c r="R1013" s="280"/>
      <c r="S1013" s="280">
        <v>11962.5</v>
      </c>
      <c r="T1013" s="297"/>
    </row>
    <row r="1014" spans="1:20" x14ac:dyDescent="0.25">
      <c r="A1014" s="274" t="s">
        <v>78</v>
      </c>
      <c r="B1014" s="274" t="s">
        <v>79</v>
      </c>
      <c r="C1014" s="274" t="s">
        <v>3741</v>
      </c>
      <c r="D1014" s="274" t="s">
        <v>3742</v>
      </c>
      <c r="E1014" s="274" t="s">
        <v>57</v>
      </c>
      <c r="F1014" s="274" t="s">
        <v>186</v>
      </c>
      <c r="G1014" s="274" t="s">
        <v>189</v>
      </c>
      <c r="H1014" s="274" t="s">
        <v>190</v>
      </c>
      <c r="I1014" s="274" t="s">
        <v>6399</v>
      </c>
      <c r="J1014" s="274" t="s">
        <v>6682</v>
      </c>
      <c r="K1014" s="274" t="s">
        <v>3746</v>
      </c>
      <c r="L1014" s="274" t="s">
        <v>6398</v>
      </c>
      <c r="M1014" s="281">
        <v>127.5</v>
      </c>
      <c r="N1014" s="280"/>
      <c r="O1014" s="280"/>
      <c r="P1014" s="280"/>
      <c r="Q1014" s="280"/>
      <c r="R1014" s="280"/>
      <c r="S1014" s="280">
        <v>127.5</v>
      </c>
      <c r="T1014" s="297"/>
    </row>
    <row r="1015" spans="1:20" x14ac:dyDescent="0.25">
      <c r="A1015" s="274" t="s">
        <v>78</v>
      </c>
      <c r="B1015" s="274" t="s">
        <v>79</v>
      </c>
      <c r="C1015" s="274" t="s">
        <v>3741</v>
      </c>
      <c r="D1015" s="274" t="s">
        <v>3742</v>
      </c>
      <c r="E1015" s="274" t="s">
        <v>57</v>
      </c>
      <c r="F1015" s="274" t="s">
        <v>186</v>
      </c>
      <c r="G1015" s="274" t="s">
        <v>189</v>
      </c>
      <c r="H1015" s="274" t="s">
        <v>190</v>
      </c>
      <c r="I1015" s="274" t="s">
        <v>5212</v>
      </c>
      <c r="J1015" s="274" t="s">
        <v>6682</v>
      </c>
      <c r="K1015" s="274" t="s">
        <v>3746</v>
      </c>
      <c r="L1015" s="274" t="s">
        <v>5174</v>
      </c>
      <c r="M1015" s="281">
        <v>-0.01</v>
      </c>
      <c r="N1015" s="280">
        <v>-0.01</v>
      </c>
      <c r="O1015" s="280"/>
      <c r="P1015" s="280"/>
      <c r="Q1015" s="280"/>
      <c r="R1015" s="280"/>
      <c r="S1015" s="280"/>
      <c r="T1015" s="297"/>
    </row>
    <row r="1016" spans="1:20" x14ac:dyDescent="0.25">
      <c r="A1016" s="274" t="s">
        <v>78</v>
      </c>
      <c r="B1016" s="274" t="s">
        <v>79</v>
      </c>
      <c r="C1016" s="274" t="s">
        <v>3741</v>
      </c>
      <c r="D1016" s="274" t="s">
        <v>3742</v>
      </c>
      <c r="E1016" s="274" t="s">
        <v>57</v>
      </c>
      <c r="F1016" s="274" t="s">
        <v>186</v>
      </c>
      <c r="G1016" s="274" t="s">
        <v>191</v>
      </c>
      <c r="H1016" s="274" t="s">
        <v>192</v>
      </c>
      <c r="I1016" s="274" t="s">
        <v>5213</v>
      </c>
      <c r="J1016" s="274" t="s">
        <v>6689</v>
      </c>
      <c r="K1016" s="274" t="s">
        <v>6506</v>
      </c>
      <c r="L1016" s="274" t="s">
        <v>5214</v>
      </c>
      <c r="M1016" s="281">
        <v>1428.51</v>
      </c>
      <c r="N1016" s="280">
        <v>1428.51</v>
      </c>
      <c r="O1016" s="280"/>
      <c r="P1016" s="280"/>
      <c r="Q1016" s="280"/>
      <c r="R1016" s="280"/>
      <c r="S1016" s="280"/>
      <c r="T1016" s="297"/>
    </row>
    <row r="1017" spans="1:20" x14ac:dyDescent="0.25">
      <c r="A1017" s="274" t="s">
        <v>78</v>
      </c>
      <c r="B1017" s="274" t="s">
        <v>79</v>
      </c>
      <c r="C1017" s="274" t="s">
        <v>3741</v>
      </c>
      <c r="D1017" s="274" t="s">
        <v>3742</v>
      </c>
      <c r="E1017" s="274" t="s">
        <v>57</v>
      </c>
      <c r="F1017" s="274" t="s">
        <v>186</v>
      </c>
      <c r="G1017" s="274" t="s">
        <v>191</v>
      </c>
      <c r="H1017" s="274" t="s">
        <v>192</v>
      </c>
      <c r="I1017" s="274" t="s">
        <v>5215</v>
      </c>
      <c r="J1017" s="274" t="s">
        <v>6690</v>
      </c>
      <c r="K1017" s="274" t="s">
        <v>3746</v>
      </c>
      <c r="L1017" s="274" t="s">
        <v>5216</v>
      </c>
      <c r="M1017" s="281">
        <v>10000</v>
      </c>
      <c r="N1017" s="280">
        <v>10000</v>
      </c>
      <c r="O1017" s="280"/>
      <c r="P1017" s="280"/>
      <c r="Q1017" s="280"/>
      <c r="R1017" s="280"/>
      <c r="S1017" s="280"/>
      <c r="T1017" s="297"/>
    </row>
    <row r="1018" spans="1:20" x14ac:dyDescent="0.25">
      <c r="A1018" s="274" t="s">
        <v>78</v>
      </c>
      <c r="B1018" s="274" t="s">
        <v>79</v>
      </c>
      <c r="C1018" s="274" t="s">
        <v>3741</v>
      </c>
      <c r="D1018" s="274" t="s">
        <v>3742</v>
      </c>
      <c r="E1018" s="274" t="s">
        <v>57</v>
      </c>
      <c r="F1018" s="274" t="s">
        <v>186</v>
      </c>
      <c r="G1018" s="274" t="s">
        <v>191</v>
      </c>
      <c r="H1018" s="274" t="s">
        <v>192</v>
      </c>
      <c r="I1018" s="274" t="s">
        <v>5217</v>
      </c>
      <c r="J1018" s="274" t="s">
        <v>6690</v>
      </c>
      <c r="K1018" s="274" t="s">
        <v>3746</v>
      </c>
      <c r="L1018" s="274" t="s">
        <v>5218</v>
      </c>
      <c r="M1018" s="281">
        <v>4540.5200000000004</v>
      </c>
      <c r="N1018" s="280"/>
      <c r="O1018" s="280">
        <v>4540.5200000000004</v>
      </c>
      <c r="P1018" s="280"/>
      <c r="Q1018" s="280"/>
      <c r="R1018" s="280"/>
      <c r="S1018" s="280"/>
      <c r="T1018" s="297"/>
    </row>
    <row r="1019" spans="1:20" x14ac:dyDescent="0.25">
      <c r="A1019" s="274" t="s">
        <v>78</v>
      </c>
      <c r="B1019" s="274" t="s">
        <v>79</v>
      </c>
      <c r="C1019" s="274" t="s">
        <v>3741</v>
      </c>
      <c r="D1019" s="274" t="s">
        <v>3742</v>
      </c>
      <c r="E1019" s="274" t="s">
        <v>57</v>
      </c>
      <c r="F1019" s="274" t="s">
        <v>186</v>
      </c>
      <c r="G1019" s="274" t="s">
        <v>191</v>
      </c>
      <c r="H1019" s="274" t="s">
        <v>192</v>
      </c>
      <c r="I1019" s="274" t="s">
        <v>5219</v>
      </c>
      <c r="J1019" s="274" t="s">
        <v>6690</v>
      </c>
      <c r="K1019" s="274" t="s">
        <v>3746</v>
      </c>
      <c r="L1019" s="274" t="s">
        <v>5220</v>
      </c>
      <c r="M1019" s="281">
        <v>10000</v>
      </c>
      <c r="N1019" s="280"/>
      <c r="O1019" s="280">
        <v>10000</v>
      </c>
      <c r="P1019" s="280"/>
      <c r="Q1019" s="280"/>
      <c r="R1019" s="280"/>
      <c r="S1019" s="280"/>
      <c r="T1019" s="297"/>
    </row>
    <row r="1020" spans="1:20" x14ac:dyDescent="0.25">
      <c r="A1020" s="274" t="s">
        <v>78</v>
      </c>
      <c r="B1020" s="274" t="s">
        <v>79</v>
      </c>
      <c r="C1020" s="274" t="s">
        <v>3741</v>
      </c>
      <c r="D1020" s="274" t="s">
        <v>3742</v>
      </c>
      <c r="E1020" s="274" t="s">
        <v>57</v>
      </c>
      <c r="F1020" s="274" t="s">
        <v>186</v>
      </c>
      <c r="G1020" s="274" t="s">
        <v>191</v>
      </c>
      <c r="H1020" s="274" t="s">
        <v>192</v>
      </c>
      <c r="I1020" s="274" t="s">
        <v>5221</v>
      </c>
      <c r="J1020" s="274" t="s">
        <v>6690</v>
      </c>
      <c r="K1020" s="274" t="s">
        <v>3746</v>
      </c>
      <c r="L1020" s="274" t="s">
        <v>5222</v>
      </c>
      <c r="M1020" s="281">
        <v>10000</v>
      </c>
      <c r="N1020" s="280"/>
      <c r="O1020" s="280"/>
      <c r="P1020" s="280">
        <v>10000</v>
      </c>
      <c r="Q1020" s="280"/>
      <c r="R1020" s="280"/>
      <c r="S1020" s="280"/>
      <c r="T1020" s="297"/>
    </row>
    <row r="1021" spans="1:20" x14ac:dyDescent="0.25">
      <c r="A1021" s="274" t="s">
        <v>78</v>
      </c>
      <c r="B1021" s="274" t="s">
        <v>79</v>
      </c>
      <c r="C1021" s="274" t="s">
        <v>3741</v>
      </c>
      <c r="D1021" s="274" t="s">
        <v>3742</v>
      </c>
      <c r="E1021" s="274" t="s">
        <v>57</v>
      </c>
      <c r="F1021" s="274" t="s">
        <v>186</v>
      </c>
      <c r="G1021" s="274" t="s">
        <v>191</v>
      </c>
      <c r="H1021" s="274" t="s">
        <v>192</v>
      </c>
      <c r="I1021" s="274" t="s">
        <v>5223</v>
      </c>
      <c r="J1021" s="274" t="s">
        <v>6690</v>
      </c>
      <c r="K1021" s="274" t="s">
        <v>3746</v>
      </c>
      <c r="L1021" s="274" t="s">
        <v>5224</v>
      </c>
      <c r="M1021" s="281">
        <v>2858.93</v>
      </c>
      <c r="N1021" s="280"/>
      <c r="O1021" s="280"/>
      <c r="P1021" s="280"/>
      <c r="Q1021" s="280">
        <v>2858.93</v>
      </c>
      <c r="R1021" s="280"/>
      <c r="S1021" s="280"/>
      <c r="T1021" s="297"/>
    </row>
    <row r="1022" spans="1:20" x14ac:dyDescent="0.25">
      <c r="A1022" s="274" t="s">
        <v>78</v>
      </c>
      <c r="B1022" s="274" t="s">
        <v>79</v>
      </c>
      <c r="C1022" s="274" t="s">
        <v>3741</v>
      </c>
      <c r="D1022" s="274" t="s">
        <v>3742</v>
      </c>
      <c r="E1022" s="274" t="s">
        <v>57</v>
      </c>
      <c r="F1022" s="274" t="s">
        <v>186</v>
      </c>
      <c r="G1022" s="274" t="s">
        <v>191</v>
      </c>
      <c r="H1022" s="274" t="s">
        <v>192</v>
      </c>
      <c r="I1022" s="274" t="s">
        <v>5225</v>
      </c>
      <c r="J1022" s="274" t="s">
        <v>6690</v>
      </c>
      <c r="K1022" s="274" t="s">
        <v>6506</v>
      </c>
      <c r="L1022" s="274" t="s">
        <v>5226</v>
      </c>
      <c r="M1022" s="281">
        <v>1790.01</v>
      </c>
      <c r="N1022" s="280"/>
      <c r="O1022" s="280"/>
      <c r="P1022" s="280"/>
      <c r="Q1022" s="280">
        <v>1790.01</v>
      </c>
      <c r="R1022" s="280"/>
      <c r="S1022" s="280"/>
      <c r="T1022" s="297"/>
    </row>
    <row r="1023" spans="1:20" x14ac:dyDescent="0.25">
      <c r="A1023" s="274" t="s">
        <v>78</v>
      </c>
      <c r="B1023" s="274" t="s">
        <v>79</v>
      </c>
      <c r="C1023" s="274" t="s">
        <v>3741</v>
      </c>
      <c r="D1023" s="274" t="s">
        <v>3742</v>
      </c>
      <c r="E1023" s="274" t="s">
        <v>57</v>
      </c>
      <c r="F1023" s="274" t="s">
        <v>186</v>
      </c>
      <c r="G1023" s="274" t="s">
        <v>191</v>
      </c>
      <c r="H1023" s="274" t="s">
        <v>192</v>
      </c>
      <c r="I1023" s="274" t="s">
        <v>5227</v>
      </c>
      <c r="J1023" s="274" t="s">
        <v>6690</v>
      </c>
      <c r="K1023" s="274" t="s">
        <v>6506</v>
      </c>
      <c r="L1023" s="274" t="s">
        <v>5226</v>
      </c>
      <c r="M1023" s="281">
        <v>1681.59</v>
      </c>
      <c r="N1023" s="280"/>
      <c r="O1023" s="280"/>
      <c r="P1023" s="280"/>
      <c r="Q1023" s="280">
        <v>1681.59</v>
      </c>
      <c r="R1023" s="280"/>
      <c r="S1023" s="280"/>
      <c r="T1023" s="297"/>
    </row>
    <row r="1024" spans="1:20" x14ac:dyDescent="0.25">
      <c r="A1024" s="274" t="s">
        <v>78</v>
      </c>
      <c r="B1024" s="274" t="s">
        <v>79</v>
      </c>
      <c r="C1024" s="274" t="s">
        <v>3741</v>
      </c>
      <c r="D1024" s="274" t="s">
        <v>3742</v>
      </c>
      <c r="E1024" s="274" t="s">
        <v>57</v>
      </c>
      <c r="F1024" s="274" t="s">
        <v>186</v>
      </c>
      <c r="G1024" s="274" t="s">
        <v>191</v>
      </c>
      <c r="H1024" s="274" t="s">
        <v>192</v>
      </c>
      <c r="I1024" s="274" t="s">
        <v>5228</v>
      </c>
      <c r="J1024" s="274" t="s">
        <v>6690</v>
      </c>
      <c r="K1024" s="274" t="s">
        <v>3746</v>
      </c>
      <c r="L1024" s="274" t="s">
        <v>5229</v>
      </c>
      <c r="M1024" s="281">
        <v>10000</v>
      </c>
      <c r="N1024" s="280"/>
      <c r="O1024" s="280"/>
      <c r="P1024" s="280"/>
      <c r="Q1024" s="280">
        <v>10000</v>
      </c>
      <c r="R1024" s="280"/>
      <c r="S1024" s="280"/>
      <c r="T1024" s="297"/>
    </row>
    <row r="1025" spans="1:20" x14ac:dyDescent="0.25">
      <c r="A1025" s="274" t="s">
        <v>78</v>
      </c>
      <c r="B1025" s="274" t="s">
        <v>79</v>
      </c>
      <c r="C1025" s="274" t="s">
        <v>3741</v>
      </c>
      <c r="D1025" s="274" t="s">
        <v>3742</v>
      </c>
      <c r="E1025" s="274" t="s">
        <v>57</v>
      </c>
      <c r="F1025" s="274" t="s">
        <v>186</v>
      </c>
      <c r="G1025" s="274" t="s">
        <v>191</v>
      </c>
      <c r="H1025" s="274" t="s">
        <v>192</v>
      </c>
      <c r="I1025" s="274" t="s">
        <v>5230</v>
      </c>
      <c r="J1025" s="274" t="s">
        <v>6690</v>
      </c>
      <c r="K1025" s="274" t="s">
        <v>3746</v>
      </c>
      <c r="L1025" s="274" t="s">
        <v>5231</v>
      </c>
      <c r="M1025" s="281">
        <v>10000</v>
      </c>
      <c r="N1025" s="280"/>
      <c r="O1025" s="280"/>
      <c r="P1025" s="280"/>
      <c r="Q1025" s="280"/>
      <c r="R1025" s="280">
        <v>10000</v>
      </c>
      <c r="S1025" s="280"/>
      <c r="T1025" s="297"/>
    </row>
    <row r="1026" spans="1:20" x14ac:dyDescent="0.25">
      <c r="A1026" s="274" t="s">
        <v>78</v>
      </c>
      <c r="B1026" s="274" t="s">
        <v>79</v>
      </c>
      <c r="C1026" s="274" t="s">
        <v>3741</v>
      </c>
      <c r="D1026" s="274" t="s">
        <v>3742</v>
      </c>
      <c r="E1026" s="274" t="s">
        <v>57</v>
      </c>
      <c r="F1026" s="274" t="s">
        <v>186</v>
      </c>
      <c r="G1026" s="274" t="s">
        <v>191</v>
      </c>
      <c r="H1026" s="274" t="s">
        <v>192</v>
      </c>
      <c r="I1026" s="274" t="s">
        <v>6400</v>
      </c>
      <c r="J1026" s="274" t="s">
        <v>6690</v>
      </c>
      <c r="K1026" s="274" t="s">
        <v>3746</v>
      </c>
      <c r="L1026" s="274" t="s">
        <v>5231</v>
      </c>
      <c r="M1026" s="281">
        <v>-10000</v>
      </c>
      <c r="N1026" s="280"/>
      <c r="O1026" s="280"/>
      <c r="P1026" s="280"/>
      <c r="Q1026" s="280"/>
      <c r="R1026" s="280"/>
      <c r="S1026" s="280">
        <v>-10000</v>
      </c>
      <c r="T1026" s="297"/>
    </row>
    <row r="1027" spans="1:20" x14ac:dyDescent="0.25">
      <c r="A1027" s="274" t="s">
        <v>78</v>
      </c>
      <c r="B1027" s="274" t="s">
        <v>79</v>
      </c>
      <c r="C1027" s="274" t="s">
        <v>3741</v>
      </c>
      <c r="D1027" s="274" t="s">
        <v>3742</v>
      </c>
      <c r="E1027" s="274" t="s">
        <v>57</v>
      </c>
      <c r="F1027" s="274" t="s">
        <v>186</v>
      </c>
      <c r="G1027" s="274" t="s">
        <v>191</v>
      </c>
      <c r="H1027" s="274" t="s">
        <v>192</v>
      </c>
      <c r="I1027" s="274" t="s">
        <v>6401</v>
      </c>
      <c r="J1027" s="274" t="s">
        <v>6690</v>
      </c>
      <c r="K1027" s="274" t="s">
        <v>3746</v>
      </c>
      <c r="L1027" s="274" t="s">
        <v>5229</v>
      </c>
      <c r="M1027" s="281">
        <v>-10000</v>
      </c>
      <c r="N1027" s="280"/>
      <c r="O1027" s="280"/>
      <c r="P1027" s="280"/>
      <c r="Q1027" s="280"/>
      <c r="R1027" s="280"/>
      <c r="S1027" s="280">
        <v>-10000</v>
      </c>
      <c r="T1027" s="297"/>
    </row>
    <row r="1028" spans="1:20" x14ac:dyDescent="0.25">
      <c r="A1028" s="274" t="s">
        <v>78</v>
      </c>
      <c r="B1028" s="274" t="s">
        <v>79</v>
      </c>
      <c r="C1028" s="274" t="s">
        <v>3741</v>
      </c>
      <c r="D1028" s="274" t="s">
        <v>3742</v>
      </c>
      <c r="E1028" s="274" t="s">
        <v>57</v>
      </c>
      <c r="F1028" s="274" t="s">
        <v>186</v>
      </c>
      <c r="G1028" s="274" t="s">
        <v>148</v>
      </c>
      <c r="H1028" s="274" t="s">
        <v>149</v>
      </c>
      <c r="I1028" s="274" t="s">
        <v>5232</v>
      </c>
      <c r="J1028" s="274" t="s">
        <v>6691</v>
      </c>
      <c r="K1028" s="274" t="s">
        <v>3746</v>
      </c>
      <c r="L1028" s="274" t="s">
        <v>5233</v>
      </c>
      <c r="M1028" s="281">
        <v>233383.24</v>
      </c>
      <c r="N1028" s="280">
        <v>233383.24</v>
      </c>
      <c r="O1028" s="280"/>
      <c r="P1028" s="280"/>
      <c r="Q1028" s="280"/>
      <c r="R1028" s="280"/>
      <c r="S1028" s="280"/>
      <c r="T1028" s="297"/>
    </row>
    <row r="1029" spans="1:20" x14ac:dyDescent="0.25">
      <c r="A1029" s="274" t="s">
        <v>78</v>
      </c>
      <c r="B1029" s="274" t="s">
        <v>79</v>
      </c>
      <c r="C1029" s="274" t="s">
        <v>3741</v>
      </c>
      <c r="D1029" s="274" t="s">
        <v>3742</v>
      </c>
      <c r="E1029" s="274" t="s">
        <v>57</v>
      </c>
      <c r="F1029" s="274" t="s">
        <v>186</v>
      </c>
      <c r="G1029" s="274" t="s">
        <v>193</v>
      </c>
      <c r="H1029" s="274" t="s">
        <v>194</v>
      </c>
      <c r="I1029" s="274" t="s">
        <v>5234</v>
      </c>
      <c r="J1029" s="274" t="s">
        <v>6692</v>
      </c>
      <c r="K1029" s="274" t="s">
        <v>6546</v>
      </c>
      <c r="L1029" s="274" t="s">
        <v>5235</v>
      </c>
      <c r="M1029" s="281">
        <v>78852</v>
      </c>
      <c r="N1029" s="280"/>
      <c r="O1029" s="280"/>
      <c r="P1029" s="280"/>
      <c r="Q1029" s="280"/>
      <c r="R1029" s="280">
        <v>78852</v>
      </c>
      <c r="S1029" s="280"/>
      <c r="T1029" s="297"/>
    </row>
    <row r="1030" spans="1:20" x14ac:dyDescent="0.25">
      <c r="A1030" s="274" t="s">
        <v>78</v>
      </c>
      <c r="B1030" s="274" t="s">
        <v>79</v>
      </c>
      <c r="C1030" s="274" t="s">
        <v>3741</v>
      </c>
      <c r="D1030" s="274" t="s">
        <v>3742</v>
      </c>
      <c r="E1030" s="274" t="s">
        <v>57</v>
      </c>
      <c r="F1030" s="274" t="s">
        <v>186</v>
      </c>
      <c r="G1030" s="274" t="s">
        <v>195</v>
      </c>
      <c r="H1030" s="274" t="s">
        <v>196</v>
      </c>
      <c r="I1030" s="274" t="s">
        <v>5236</v>
      </c>
      <c r="J1030" s="274" t="s">
        <v>6693</v>
      </c>
      <c r="K1030" s="274" t="s">
        <v>3746</v>
      </c>
      <c r="L1030" s="274" t="s">
        <v>5237</v>
      </c>
      <c r="M1030" s="281">
        <v>25074.73</v>
      </c>
      <c r="N1030" s="280"/>
      <c r="O1030" s="280"/>
      <c r="P1030" s="280"/>
      <c r="Q1030" s="280">
        <v>25074.73</v>
      </c>
      <c r="R1030" s="280"/>
      <c r="S1030" s="280"/>
      <c r="T1030" s="297"/>
    </row>
    <row r="1031" spans="1:20" x14ac:dyDescent="0.25">
      <c r="A1031" s="274" t="s">
        <v>78</v>
      </c>
      <c r="B1031" s="274" t="s">
        <v>79</v>
      </c>
      <c r="C1031" s="274" t="s">
        <v>3741</v>
      </c>
      <c r="D1031" s="274" t="s">
        <v>3742</v>
      </c>
      <c r="E1031" s="274" t="s">
        <v>57</v>
      </c>
      <c r="F1031" s="274" t="s">
        <v>186</v>
      </c>
      <c r="G1031" s="274" t="s">
        <v>197</v>
      </c>
      <c r="H1031" s="274" t="s">
        <v>198</v>
      </c>
      <c r="I1031" s="274" t="s">
        <v>5238</v>
      </c>
      <c r="J1031" s="274" t="s">
        <v>6694</v>
      </c>
      <c r="K1031" s="274" t="s">
        <v>3746</v>
      </c>
      <c r="L1031" s="274" t="s">
        <v>5239</v>
      </c>
      <c r="M1031" s="281">
        <v>12370</v>
      </c>
      <c r="N1031" s="280">
        <v>12370</v>
      </c>
      <c r="O1031" s="280"/>
      <c r="P1031" s="280"/>
      <c r="Q1031" s="280"/>
      <c r="R1031" s="280"/>
      <c r="S1031" s="280"/>
      <c r="T1031" s="297"/>
    </row>
    <row r="1032" spans="1:20" x14ac:dyDescent="0.25">
      <c r="A1032" s="274" t="s">
        <v>78</v>
      </c>
      <c r="B1032" s="274" t="s">
        <v>79</v>
      </c>
      <c r="C1032" s="274" t="s">
        <v>3741</v>
      </c>
      <c r="D1032" s="274" t="s">
        <v>3742</v>
      </c>
      <c r="E1032" s="274" t="s">
        <v>57</v>
      </c>
      <c r="F1032" s="274" t="s">
        <v>186</v>
      </c>
      <c r="G1032" s="274" t="s">
        <v>197</v>
      </c>
      <c r="H1032" s="274" t="s">
        <v>198</v>
      </c>
      <c r="I1032" s="274" t="s">
        <v>5240</v>
      </c>
      <c r="J1032" s="274" t="s">
        <v>6695</v>
      </c>
      <c r="K1032" s="274" t="s">
        <v>3746</v>
      </c>
      <c r="L1032" s="274" t="s">
        <v>5241</v>
      </c>
      <c r="M1032" s="281">
        <v>427.5</v>
      </c>
      <c r="N1032" s="280">
        <v>427.5</v>
      </c>
      <c r="O1032" s="280"/>
      <c r="P1032" s="280"/>
      <c r="Q1032" s="280"/>
      <c r="R1032" s="280"/>
      <c r="S1032" s="280"/>
      <c r="T1032" s="297"/>
    </row>
    <row r="1033" spans="1:20" x14ac:dyDescent="0.25">
      <c r="A1033" s="274" t="s">
        <v>78</v>
      </c>
      <c r="B1033" s="274" t="s">
        <v>79</v>
      </c>
      <c r="C1033" s="274" t="s">
        <v>3741</v>
      </c>
      <c r="D1033" s="274" t="s">
        <v>3742</v>
      </c>
      <c r="E1033" s="274" t="s">
        <v>57</v>
      </c>
      <c r="F1033" s="274" t="s">
        <v>186</v>
      </c>
      <c r="G1033" s="274" t="s">
        <v>197</v>
      </c>
      <c r="H1033" s="274" t="s">
        <v>198</v>
      </c>
      <c r="I1033" s="274" t="s">
        <v>5242</v>
      </c>
      <c r="J1033" s="274" t="s">
        <v>6695</v>
      </c>
      <c r="K1033" s="274" t="s">
        <v>3746</v>
      </c>
      <c r="L1033" s="274" t="s">
        <v>5243</v>
      </c>
      <c r="M1033" s="281">
        <v>142.5</v>
      </c>
      <c r="N1033" s="280">
        <v>142.5</v>
      </c>
      <c r="O1033" s="280"/>
      <c r="P1033" s="280"/>
      <c r="Q1033" s="280"/>
      <c r="R1033" s="280"/>
      <c r="S1033" s="280"/>
      <c r="T1033" s="297"/>
    </row>
    <row r="1034" spans="1:20" x14ac:dyDescent="0.25">
      <c r="A1034" s="274" t="s">
        <v>78</v>
      </c>
      <c r="B1034" s="274" t="s">
        <v>79</v>
      </c>
      <c r="C1034" s="274" t="s">
        <v>3741</v>
      </c>
      <c r="D1034" s="274" t="s">
        <v>3742</v>
      </c>
      <c r="E1034" s="274" t="s">
        <v>57</v>
      </c>
      <c r="F1034" s="274" t="s">
        <v>186</v>
      </c>
      <c r="G1034" s="274" t="s">
        <v>197</v>
      </c>
      <c r="H1034" s="274" t="s">
        <v>198</v>
      </c>
      <c r="I1034" s="274" t="s">
        <v>5244</v>
      </c>
      <c r="J1034" s="274" t="s">
        <v>6695</v>
      </c>
      <c r="K1034" s="274" t="s">
        <v>3746</v>
      </c>
      <c r="L1034" s="274" t="s">
        <v>5245</v>
      </c>
      <c r="M1034" s="281">
        <v>142.5</v>
      </c>
      <c r="N1034" s="280">
        <v>142.5</v>
      </c>
      <c r="O1034" s="280"/>
      <c r="P1034" s="280"/>
      <c r="Q1034" s="280"/>
      <c r="R1034" s="280"/>
      <c r="S1034" s="280"/>
      <c r="T1034" s="297"/>
    </row>
    <row r="1035" spans="1:20" x14ac:dyDescent="0.25">
      <c r="A1035" s="274" t="s">
        <v>78</v>
      </c>
      <c r="B1035" s="274" t="s">
        <v>79</v>
      </c>
      <c r="C1035" s="274" t="s">
        <v>3741</v>
      </c>
      <c r="D1035" s="274" t="s">
        <v>3742</v>
      </c>
      <c r="E1035" s="274" t="s">
        <v>57</v>
      </c>
      <c r="F1035" s="274" t="s">
        <v>186</v>
      </c>
      <c r="G1035" s="274" t="s">
        <v>197</v>
      </c>
      <c r="H1035" s="274" t="s">
        <v>198</v>
      </c>
      <c r="I1035" s="274" t="s">
        <v>5246</v>
      </c>
      <c r="J1035" s="274" t="s">
        <v>6695</v>
      </c>
      <c r="K1035" s="274" t="s">
        <v>3746</v>
      </c>
      <c r="L1035" s="274" t="s">
        <v>5247</v>
      </c>
      <c r="M1035" s="281">
        <v>142.5</v>
      </c>
      <c r="N1035" s="280">
        <v>142.5</v>
      </c>
      <c r="O1035" s="280"/>
      <c r="P1035" s="280"/>
      <c r="Q1035" s="280"/>
      <c r="R1035" s="280"/>
      <c r="S1035" s="280"/>
      <c r="T1035" s="297"/>
    </row>
    <row r="1036" spans="1:20" x14ac:dyDescent="0.25">
      <c r="A1036" s="274" t="s">
        <v>78</v>
      </c>
      <c r="B1036" s="274" t="s">
        <v>79</v>
      </c>
      <c r="C1036" s="274" t="s">
        <v>3741</v>
      </c>
      <c r="D1036" s="274" t="s">
        <v>3742</v>
      </c>
      <c r="E1036" s="274" t="s">
        <v>57</v>
      </c>
      <c r="F1036" s="274" t="s">
        <v>186</v>
      </c>
      <c r="G1036" s="274" t="s">
        <v>197</v>
      </c>
      <c r="H1036" s="274" t="s">
        <v>198</v>
      </c>
      <c r="I1036" s="274" t="s">
        <v>5248</v>
      </c>
      <c r="J1036" s="274" t="s">
        <v>6694</v>
      </c>
      <c r="K1036" s="274" t="s">
        <v>3746</v>
      </c>
      <c r="L1036" s="274" t="s">
        <v>5249</v>
      </c>
      <c r="M1036" s="281">
        <v>12370</v>
      </c>
      <c r="N1036" s="280"/>
      <c r="O1036" s="280">
        <v>12370</v>
      </c>
      <c r="P1036" s="280"/>
      <c r="Q1036" s="280"/>
      <c r="R1036" s="280"/>
      <c r="S1036" s="280"/>
      <c r="T1036" s="297"/>
    </row>
    <row r="1037" spans="1:20" x14ac:dyDescent="0.25">
      <c r="A1037" s="274" t="s">
        <v>78</v>
      </c>
      <c r="B1037" s="274" t="s">
        <v>79</v>
      </c>
      <c r="C1037" s="274" t="s">
        <v>3741</v>
      </c>
      <c r="D1037" s="274" t="s">
        <v>3742</v>
      </c>
      <c r="E1037" s="274" t="s">
        <v>57</v>
      </c>
      <c r="F1037" s="274" t="s">
        <v>186</v>
      </c>
      <c r="G1037" s="274" t="s">
        <v>197</v>
      </c>
      <c r="H1037" s="274" t="s">
        <v>198</v>
      </c>
      <c r="I1037" s="274" t="s">
        <v>5250</v>
      </c>
      <c r="J1037" s="274" t="s">
        <v>6695</v>
      </c>
      <c r="K1037" s="274" t="s">
        <v>3746</v>
      </c>
      <c r="L1037" s="274" t="s">
        <v>5251</v>
      </c>
      <c r="M1037" s="281">
        <v>427.5</v>
      </c>
      <c r="N1037" s="280"/>
      <c r="O1037" s="280">
        <v>427.5</v>
      </c>
      <c r="P1037" s="280"/>
      <c r="Q1037" s="280"/>
      <c r="R1037" s="280"/>
      <c r="S1037" s="280"/>
      <c r="T1037" s="297"/>
    </row>
    <row r="1038" spans="1:20" x14ac:dyDescent="0.25">
      <c r="A1038" s="274" t="s">
        <v>78</v>
      </c>
      <c r="B1038" s="274" t="s">
        <v>79</v>
      </c>
      <c r="C1038" s="274" t="s">
        <v>3741</v>
      </c>
      <c r="D1038" s="274" t="s">
        <v>3742</v>
      </c>
      <c r="E1038" s="274" t="s">
        <v>57</v>
      </c>
      <c r="F1038" s="274" t="s">
        <v>186</v>
      </c>
      <c r="G1038" s="274" t="s">
        <v>197</v>
      </c>
      <c r="H1038" s="274" t="s">
        <v>198</v>
      </c>
      <c r="I1038" s="274" t="s">
        <v>5252</v>
      </c>
      <c r="J1038" s="274" t="s">
        <v>6695</v>
      </c>
      <c r="K1038" s="274" t="s">
        <v>3746</v>
      </c>
      <c r="L1038" s="274" t="s">
        <v>5251</v>
      </c>
      <c r="M1038" s="281">
        <v>285</v>
      </c>
      <c r="N1038" s="280"/>
      <c r="O1038" s="280"/>
      <c r="P1038" s="280">
        <v>285</v>
      </c>
      <c r="Q1038" s="280"/>
      <c r="R1038" s="280"/>
      <c r="S1038" s="280"/>
      <c r="T1038" s="297"/>
    </row>
    <row r="1039" spans="1:20" x14ac:dyDescent="0.25">
      <c r="A1039" s="274" t="s">
        <v>78</v>
      </c>
      <c r="B1039" s="274" t="s">
        <v>79</v>
      </c>
      <c r="C1039" s="274" t="s">
        <v>3741</v>
      </c>
      <c r="D1039" s="274" t="s">
        <v>3742</v>
      </c>
      <c r="E1039" s="274" t="s">
        <v>57</v>
      </c>
      <c r="F1039" s="274" t="s">
        <v>186</v>
      </c>
      <c r="G1039" s="274" t="s">
        <v>197</v>
      </c>
      <c r="H1039" s="274" t="s">
        <v>198</v>
      </c>
      <c r="I1039" s="274" t="s">
        <v>5253</v>
      </c>
      <c r="J1039" s="274" t="s">
        <v>6695</v>
      </c>
      <c r="K1039" s="274" t="s">
        <v>3746</v>
      </c>
      <c r="L1039" s="274" t="s">
        <v>5254</v>
      </c>
      <c r="M1039" s="281">
        <v>142.5</v>
      </c>
      <c r="N1039" s="280"/>
      <c r="O1039" s="280"/>
      <c r="P1039" s="280">
        <v>142.5</v>
      </c>
      <c r="Q1039" s="280"/>
      <c r="R1039" s="280"/>
      <c r="S1039" s="280"/>
      <c r="T1039" s="297"/>
    </row>
    <row r="1040" spans="1:20" x14ac:dyDescent="0.25">
      <c r="A1040" s="274" t="s">
        <v>78</v>
      </c>
      <c r="B1040" s="274" t="s">
        <v>79</v>
      </c>
      <c r="C1040" s="274" t="s">
        <v>3741</v>
      </c>
      <c r="D1040" s="274" t="s">
        <v>3742</v>
      </c>
      <c r="E1040" s="274" t="s">
        <v>57</v>
      </c>
      <c r="F1040" s="274" t="s">
        <v>186</v>
      </c>
      <c r="G1040" s="274" t="s">
        <v>197</v>
      </c>
      <c r="H1040" s="274" t="s">
        <v>198</v>
      </c>
      <c r="I1040" s="274" t="s">
        <v>5255</v>
      </c>
      <c r="J1040" s="274" t="s">
        <v>6694</v>
      </c>
      <c r="K1040" s="274" t="s">
        <v>3746</v>
      </c>
      <c r="L1040" s="274" t="s">
        <v>5256</v>
      </c>
      <c r="M1040" s="281">
        <v>12370</v>
      </c>
      <c r="N1040" s="280"/>
      <c r="O1040" s="280"/>
      <c r="P1040" s="280">
        <v>12370</v>
      </c>
      <c r="Q1040" s="280"/>
      <c r="R1040" s="280"/>
      <c r="S1040" s="280"/>
      <c r="T1040" s="297"/>
    </row>
    <row r="1041" spans="1:20" x14ac:dyDescent="0.25">
      <c r="A1041" s="274" t="s">
        <v>78</v>
      </c>
      <c r="B1041" s="274" t="s">
        <v>79</v>
      </c>
      <c r="C1041" s="274" t="s">
        <v>3741</v>
      </c>
      <c r="D1041" s="274" t="s">
        <v>3742</v>
      </c>
      <c r="E1041" s="274" t="s">
        <v>57</v>
      </c>
      <c r="F1041" s="274" t="s">
        <v>186</v>
      </c>
      <c r="G1041" s="274" t="s">
        <v>197</v>
      </c>
      <c r="H1041" s="274" t="s">
        <v>198</v>
      </c>
      <c r="I1041" s="274" t="s">
        <v>5257</v>
      </c>
      <c r="J1041" s="274" t="s">
        <v>6696</v>
      </c>
      <c r="K1041" s="274" t="s">
        <v>3746</v>
      </c>
      <c r="L1041" s="274" t="s">
        <v>5189</v>
      </c>
      <c r="M1041" s="281">
        <v>4900</v>
      </c>
      <c r="N1041" s="280"/>
      <c r="O1041" s="280"/>
      <c r="P1041" s="280"/>
      <c r="Q1041" s="280">
        <v>4900</v>
      </c>
      <c r="R1041" s="280"/>
      <c r="S1041" s="280"/>
      <c r="T1041" s="297"/>
    </row>
    <row r="1042" spans="1:20" x14ac:dyDescent="0.25">
      <c r="A1042" s="274" t="s">
        <v>78</v>
      </c>
      <c r="B1042" s="274" t="s">
        <v>79</v>
      </c>
      <c r="C1042" s="274" t="s">
        <v>3741</v>
      </c>
      <c r="D1042" s="274" t="s">
        <v>3742</v>
      </c>
      <c r="E1042" s="274" t="s">
        <v>57</v>
      </c>
      <c r="F1042" s="274" t="s">
        <v>186</v>
      </c>
      <c r="G1042" s="274" t="s">
        <v>197</v>
      </c>
      <c r="H1042" s="274" t="s">
        <v>198</v>
      </c>
      <c r="I1042" s="274" t="s">
        <v>5258</v>
      </c>
      <c r="J1042" s="274" t="s">
        <v>6696</v>
      </c>
      <c r="K1042" s="274" t="s">
        <v>3746</v>
      </c>
      <c r="L1042" s="274" t="s">
        <v>5194</v>
      </c>
      <c r="M1042" s="281">
        <v>4900</v>
      </c>
      <c r="N1042" s="280"/>
      <c r="O1042" s="280"/>
      <c r="P1042" s="280"/>
      <c r="Q1042" s="280">
        <v>4900</v>
      </c>
      <c r="R1042" s="280"/>
      <c r="S1042" s="280"/>
      <c r="T1042" s="297"/>
    </row>
    <row r="1043" spans="1:20" x14ac:dyDescent="0.25">
      <c r="A1043" s="274" t="s">
        <v>78</v>
      </c>
      <c r="B1043" s="274" t="s">
        <v>79</v>
      </c>
      <c r="C1043" s="274" t="s">
        <v>3741</v>
      </c>
      <c r="D1043" s="274" t="s">
        <v>3742</v>
      </c>
      <c r="E1043" s="274" t="s">
        <v>57</v>
      </c>
      <c r="F1043" s="274" t="s">
        <v>186</v>
      </c>
      <c r="G1043" s="274" t="s">
        <v>197</v>
      </c>
      <c r="H1043" s="274" t="s">
        <v>198</v>
      </c>
      <c r="I1043" s="274" t="s">
        <v>5259</v>
      </c>
      <c r="J1043" s="274" t="s">
        <v>6696</v>
      </c>
      <c r="K1043" s="274" t="s">
        <v>3746</v>
      </c>
      <c r="L1043" s="274" t="s">
        <v>5260</v>
      </c>
      <c r="M1043" s="281">
        <v>4900</v>
      </c>
      <c r="N1043" s="280"/>
      <c r="O1043" s="280"/>
      <c r="P1043" s="280"/>
      <c r="Q1043" s="280">
        <v>4900</v>
      </c>
      <c r="R1043" s="280"/>
      <c r="S1043" s="280"/>
      <c r="T1043" s="297"/>
    </row>
    <row r="1044" spans="1:20" x14ac:dyDescent="0.25">
      <c r="A1044" s="274" t="s">
        <v>78</v>
      </c>
      <c r="B1044" s="274" t="s">
        <v>79</v>
      </c>
      <c r="C1044" s="274" t="s">
        <v>3741</v>
      </c>
      <c r="D1044" s="274" t="s">
        <v>3742</v>
      </c>
      <c r="E1044" s="274" t="s">
        <v>57</v>
      </c>
      <c r="F1044" s="274" t="s">
        <v>186</v>
      </c>
      <c r="G1044" s="274" t="s">
        <v>197</v>
      </c>
      <c r="H1044" s="274" t="s">
        <v>198</v>
      </c>
      <c r="I1044" s="274" t="s">
        <v>5261</v>
      </c>
      <c r="J1044" s="274" t="s">
        <v>6696</v>
      </c>
      <c r="K1044" s="274" t="s">
        <v>3746</v>
      </c>
      <c r="L1044" s="274" t="s">
        <v>5187</v>
      </c>
      <c r="M1044" s="281">
        <v>4900</v>
      </c>
      <c r="N1044" s="280"/>
      <c r="O1044" s="280"/>
      <c r="P1044" s="280"/>
      <c r="Q1044" s="280">
        <v>4900</v>
      </c>
      <c r="R1044" s="280"/>
      <c r="S1044" s="280"/>
      <c r="T1044" s="297"/>
    </row>
    <row r="1045" spans="1:20" x14ac:dyDescent="0.25">
      <c r="A1045" s="274" t="s">
        <v>78</v>
      </c>
      <c r="B1045" s="274" t="s">
        <v>79</v>
      </c>
      <c r="C1045" s="274" t="s">
        <v>3741</v>
      </c>
      <c r="D1045" s="274" t="s">
        <v>3742</v>
      </c>
      <c r="E1045" s="274" t="s">
        <v>57</v>
      </c>
      <c r="F1045" s="274" t="s">
        <v>186</v>
      </c>
      <c r="G1045" s="274" t="s">
        <v>197</v>
      </c>
      <c r="H1045" s="274" t="s">
        <v>198</v>
      </c>
      <c r="I1045" s="274" t="s">
        <v>5262</v>
      </c>
      <c r="J1045" s="274" t="s">
        <v>6694</v>
      </c>
      <c r="K1045" s="274" t="s">
        <v>3746</v>
      </c>
      <c r="L1045" s="274" t="s">
        <v>5263</v>
      </c>
      <c r="M1045" s="281">
        <v>12370</v>
      </c>
      <c r="N1045" s="280"/>
      <c r="O1045" s="280"/>
      <c r="P1045" s="280"/>
      <c r="Q1045" s="280">
        <v>12370</v>
      </c>
      <c r="R1045" s="280"/>
      <c r="S1045" s="280"/>
      <c r="T1045" s="297"/>
    </row>
    <row r="1046" spans="1:20" x14ac:dyDescent="0.25">
      <c r="A1046" s="274" t="s">
        <v>78</v>
      </c>
      <c r="B1046" s="274" t="s">
        <v>79</v>
      </c>
      <c r="C1046" s="274" t="s">
        <v>3741</v>
      </c>
      <c r="D1046" s="274" t="s">
        <v>3742</v>
      </c>
      <c r="E1046" s="274" t="s">
        <v>57</v>
      </c>
      <c r="F1046" s="274" t="s">
        <v>186</v>
      </c>
      <c r="G1046" s="274" t="s">
        <v>197</v>
      </c>
      <c r="H1046" s="274" t="s">
        <v>198</v>
      </c>
      <c r="I1046" s="274" t="s">
        <v>5264</v>
      </c>
      <c r="J1046" s="274" t="s">
        <v>6694</v>
      </c>
      <c r="K1046" s="274" t="s">
        <v>3746</v>
      </c>
      <c r="L1046" s="274" t="s">
        <v>5265</v>
      </c>
      <c r="M1046" s="281">
        <v>12370</v>
      </c>
      <c r="N1046" s="280"/>
      <c r="O1046" s="280"/>
      <c r="P1046" s="280"/>
      <c r="Q1046" s="280"/>
      <c r="R1046" s="280">
        <v>12370</v>
      </c>
      <c r="S1046" s="280"/>
      <c r="T1046" s="297"/>
    </row>
    <row r="1047" spans="1:20" x14ac:dyDescent="0.25">
      <c r="A1047" s="274" t="s">
        <v>78</v>
      </c>
      <c r="B1047" s="274" t="s">
        <v>79</v>
      </c>
      <c r="C1047" s="274" t="s">
        <v>3741</v>
      </c>
      <c r="D1047" s="274" t="s">
        <v>3742</v>
      </c>
      <c r="E1047" s="274" t="s">
        <v>57</v>
      </c>
      <c r="F1047" s="274" t="s">
        <v>186</v>
      </c>
      <c r="G1047" s="274" t="s">
        <v>197</v>
      </c>
      <c r="H1047" s="274" t="s">
        <v>198</v>
      </c>
      <c r="I1047" s="274" t="s">
        <v>5266</v>
      </c>
      <c r="J1047" s="274" t="s">
        <v>6695</v>
      </c>
      <c r="K1047" s="274" t="s">
        <v>3746</v>
      </c>
      <c r="L1047" s="274" t="s">
        <v>5267</v>
      </c>
      <c r="M1047" s="281">
        <v>142.5</v>
      </c>
      <c r="N1047" s="280"/>
      <c r="O1047" s="280"/>
      <c r="P1047" s="280"/>
      <c r="Q1047" s="280"/>
      <c r="R1047" s="280">
        <v>142.5</v>
      </c>
      <c r="S1047" s="280"/>
      <c r="T1047" s="297"/>
    </row>
    <row r="1048" spans="1:20" x14ac:dyDescent="0.25">
      <c r="A1048" s="274" t="s">
        <v>78</v>
      </c>
      <c r="B1048" s="274" t="s">
        <v>79</v>
      </c>
      <c r="C1048" s="274" t="s">
        <v>3741</v>
      </c>
      <c r="D1048" s="274" t="s">
        <v>3742</v>
      </c>
      <c r="E1048" s="274" t="s">
        <v>57</v>
      </c>
      <c r="F1048" s="274" t="s">
        <v>186</v>
      </c>
      <c r="G1048" s="274" t="s">
        <v>197</v>
      </c>
      <c r="H1048" s="274" t="s">
        <v>198</v>
      </c>
      <c r="I1048" s="274" t="s">
        <v>5268</v>
      </c>
      <c r="J1048" s="274" t="s">
        <v>6696</v>
      </c>
      <c r="K1048" s="274" t="s">
        <v>3746</v>
      </c>
      <c r="L1048" s="274" t="s">
        <v>5269</v>
      </c>
      <c r="M1048" s="281">
        <v>4900</v>
      </c>
      <c r="N1048" s="280"/>
      <c r="O1048" s="280"/>
      <c r="P1048" s="280"/>
      <c r="Q1048" s="280"/>
      <c r="R1048" s="280">
        <v>4900</v>
      </c>
      <c r="S1048" s="280"/>
      <c r="T1048" s="297"/>
    </row>
    <row r="1049" spans="1:20" x14ac:dyDescent="0.25">
      <c r="A1049" s="274" t="s">
        <v>78</v>
      </c>
      <c r="B1049" s="274" t="s">
        <v>79</v>
      </c>
      <c r="C1049" s="274" t="s">
        <v>3741</v>
      </c>
      <c r="D1049" s="274" t="s">
        <v>3742</v>
      </c>
      <c r="E1049" s="274" t="s">
        <v>57</v>
      </c>
      <c r="F1049" s="274" t="s">
        <v>186</v>
      </c>
      <c r="G1049" s="274" t="s">
        <v>197</v>
      </c>
      <c r="H1049" s="274" t="s">
        <v>198</v>
      </c>
      <c r="I1049" s="274" t="s">
        <v>6402</v>
      </c>
      <c r="J1049" s="274" t="s">
        <v>6695</v>
      </c>
      <c r="K1049" s="274" t="s">
        <v>3746</v>
      </c>
      <c r="L1049" s="274" t="s">
        <v>6403</v>
      </c>
      <c r="M1049" s="281">
        <v>142.5</v>
      </c>
      <c r="N1049" s="280"/>
      <c r="O1049" s="280"/>
      <c r="P1049" s="280"/>
      <c r="Q1049" s="280"/>
      <c r="R1049" s="280">
        <v>142.5</v>
      </c>
      <c r="S1049" s="280"/>
      <c r="T1049" s="297"/>
    </row>
    <row r="1050" spans="1:20" x14ac:dyDescent="0.25">
      <c r="A1050" s="274" t="s">
        <v>78</v>
      </c>
      <c r="B1050" s="274" t="s">
        <v>79</v>
      </c>
      <c r="C1050" s="274" t="s">
        <v>3741</v>
      </c>
      <c r="D1050" s="274" t="s">
        <v>3742</v>
      </c>
      <c r="E1050" s="274" t="s">
        <v>57</v>
      </c>
      <c r="F1050" s="274" t="s">
        <v>186</v>
      </c>
      <c r="G1050" s="274" t="s">
        <v>197</v>
      </c>
      <c r="H1050" s="274" t="s">
        <v>198</v>
      </c>
      <c r="I1050" s="274" t="s">
        <v>6404</v>
      </c>
      <c r="J1050" s="274" t="s">
        <v>6694</v>
      </c>
      <c r="K1050" s="274" t="s">
        <v>3746</v>
      </c>
      <c r="L1050" s="274" t="s">
        <v>6405</v>
      </c>
      <c r="M1050" s="281">
        <v>12370</v>
      </c>
      <c r="N1050" s="280"/>
      <c r="O1050" s="280"/>
      <c r="P1050" s="280"/>
      <c r="Q1050" s="280"/>
      <c r="R1050" s="280"/>
      <c r="S1050" s="280">
        <v>12370</v>
      </c>
      <c r="T1050" s="297"/>
    </row>
    <row r="1051" spans="1:20" x14ac:dyDescent="0.25">
      <c r="A1051" s="274" t="s">
        <v>78</v>
      </c>
      <c r="B1051" s="274" t="s">
        <v>79</v>
      </c>
      <c r="C1051" s="274" t="s">
        <v>3741</v>
      </c>
      <c r="D1051" s="274" t="s">
        <v>3742</v>
      </c>
      <c r="E1051" s="274" t="s">
        <v>57</v>
      </c>
      <c r="F1051" s="274" t="s">
        <v>186</v>
      </c>
      <c r="G1051" s="274" t="s">
        <v>197</v>
      </c>
      <c r="H1051" s="274" t="s">
        <v>198</v>
      </c>
      <c r="I1051" s="274" t="s">
        <v>6406</v>
      </c>
      <c r="J1051" s="274" t="s">
        <v>6696</v>
      </c>
      <c r="K1051" s="274" t="s">
        <v>3746</v>
      </c>
      <c r="L1051" s="274" t="s">
        <v>6407</v>
      </c>
      <c r="M1051" s="281">
        <v>4900</v>
      </c>
      <c r="N1051" s="280"/>
      <c r="O1051" s="280"/>
      <c r="P1051" s="280"/>
      <c r="Q1051" s="280"/>
      <c r="R1051" s="280"/>
      <c r="S1051" s="280">
        <v>4900</v>
      </c>
      <c r="T1051" s="297"/>
    </row>
    <row r="1052" spans="1:20" x14ac:dyDescent="0.25">
      <c r="A1052" s="274" t="s">
        <v>78</v>
      </c>
      <c r="B1052" s="274" t="s">
        <v>79</v>
      </c>
      <c r="C1052" s="274" t="s">
        <v>3741</v>
      </c>
      <c r="D1052" s="274" t="s">
        <v>3742</v>
      </c>
      <c r="E1052" s="274" t="s">
        <v>57</v>
      </c>
      <c r="F1052" s="274" t="s">
        <v>186</v>
      </c>
      <c r="G1052" s="274" t="s">
        <v>197</v>
      </c>
      <c r="H1052" s="274" t="s">
        <v>198</v>
      </c>
      <c r="I1052" s="274" t="s">
        <v>6408</v>
      </c>
      <c r="J1052" s="274" t="s">
        <v>6695</v>
      </c>
      <c r="K1052" s="274" t="s">
        <v>3746</v>
      </c>
      <c r="L1052" s="274" t="s">
        <v>6409</v>
      </c>
      <c r="M1052" s="281">
        <v>142.5</v>
      </c>
      <c r="N1052" s="280"/>
      <c r="O1052" s="280"/>
      <c r="P1052" s="280"/>
      <c r="Q1052" s="280"/>
      <c r="R1052" s="280"/>
      <c r="S1052" s="280">
        <v>142.5</v>
      </c>
      <c r="T1052" s="297"/>
    </row>
    <row r="1053" spans="1:20" x14ac:dyDescent="0.25">
      <c r="A1053" s="274" t="s">
        <v>78</v>
      </c>
      <c r="B1053" s="274" t="s">
        <v>79</v>
      </c>
      <c r="C1053" s="274" t="s">
        <v>3741</v>
      </c>
      <c r="D1053" s="274" t="s">
        <v>3742</v>
      </c>
      <c r="E1053" s="274" t="s">
        <v>57</v>
      </c>
      <c r="F1053" s="274" t="s">
        <v>186</v>
      </c>
      <c r="G1053" s="274" t="s">
        <v>98</v>
      </c>
      <c r="H1053" s="274" t="s">
        <v>99</v>
      </c>
      <c r="I1053" s="274" t="s">
        <v>5270</v>
      </c>
      <c r="J1053" s="274" t="s">
        <v>98</v>
      </c>
      <c r="K1053" s="274" t="s">
        <v>98</v>
      </c>
      <c r="L1053" s="274" t="s">
        <v>5271</v>
      </c>
      <c r="M1053" s="281">
        <v>26284</v>
      </c>
      <c r="N1053" s="280">
        <v>6571</v>
      </c>
      <c r="O1053" s="280">
        <v>6571</v>
      </c>
      <c r="P1053" s="280">
        <v>6571</v>
      </c>
      <c r="Q1053" s="280">
        <v>6571</v>
      </c>
      <c r="R1053" s="280"/>
      <c r="S1053" s="280"/>
      <c r="T1053" s="297"/>
    </row>
    <row r="1054" spans="1:20" x14ac:dyDescent="0.25">
      <c r="A1054" s="274" t="s">
        <v>78</v>
      </c>
      <c r="B1054" s="274" t="s">
        <v>79</v>
      </c>
      <c r="C1054" s="274" t="s">
        <v>3741</v>
      </c>
      <c r="D1054" s="274" t="s">
        <v>3742</v>
      </c>
      <c r="E1054" s="274" t="s">
        <v>57</v>
      </c>
      <c r="F1054" s="274" t="s">
        <v>186</v>
      </c>
      <c r="G1054" s="274" t="s">
        <v>98</v>
      </c>
      <c r="H1054" s="274" t="s">
        <v>99</v>
      </c>
      <c r="I1054" s="274" t="s">
        <v>5272</v>
      </c>
      <c r="J1054" s="274" t="s">
        <v>98</v>
      </c>
      <c r="K1054" s="274" t="s">
        <v>98</v>
      </c>
      <c r="L1054" s="274" t="s">
        <v>5273</v>
      </c>
      <c r="M1054" s="281">
        <v>224238</v>
      </c>
      <c r="N1054" s="280">
        <v>37373</v>
      </c>
      <c r="O1054" s="280">
        <v>37373</v>
      </c>
      <c r="P1054" s="280">
        <v>37373</v>
      </c>
      <c r="Q1054" s="280">
        <v>37373</v>
      </c>
      <c r="R1054" s="280">
        <v>37373</v>
      </c>
      <c r="S1054" s="280">
        <v>37373</v>
      </c>
      <c r="T1054" s="297"/>
    </row>
    <row r="1055" spans="1:20" x14ac:dyDescent="0.25">
      <c r="A1055" s="274" t="s">
        <v>78</v>
      </c>
      <c r="B1055" s="274" t="s">
        <v>79</v>
      </c>
      <c r="C1055" s="274" t="s">
        <v>3741</v>
      </c>
      <c r="D1055" s="274" t="s">
        <v>3742</v>
      </c>
      <c r="E1055" s="274" t="s">
        <v>57</v>
      </c>
      <c r="F1055" s="274" t="s">
        <v>186</v>
      </c>
      <c r="G1055" s="274" t="s">
        <v>98</v>
      </c>
      <c r="H1055" s="274" t="s">
        <v>99</v>
      </c>
      <c r="I1055" s="274" t="s">
        <v>5274</v>
      </c>
      <c r="J1055" s="274" t="s">
        <v>98</v>
      </c>
      <c r="K1055" s="274" t="s">
        <v>98</v>
      </c>
      <c r="L1055" s="274" t="s">
        <v>5275</v>
      </c>
      <c r="M1055" s="281">
        <v>64998</v>
      </c>
      <c r="N1055" s="280">
        <v>10833</v>
      </c>
      <c r="O1055" s="280">
        <v>10833</v>
      </c>
      <c r="P1055" s="280">
        <v>10833</v>
      </c>
      <c r="Q1055" s="280">
        <v>10833</v>
      </c>
      <c r="R1055" s="280">
        <v>10833</v>
      </c>
      <c r="S1055" s="280">
        <v>10833</v>
      </c>
      <c r="T1055" s="297"/>
    </row>
    <row r="1056" spans="1:20" x14ac:dyDescent="0.25">
      <c r="A1056" s="274" t="s">
        <v>78</v>
      </c>
      <c r="B1056" s="274" t="s">
        <v>79</v>
      </c>
      <c r="C1056" s="274" t="s">
        <v>3741</v>
      </c>
      <c r="D1056" s="274" t="s">
        <v>3742</v>
      </c>
      <c r="E1056" s="274" t="s">
        <v>57</v>
      </c>
      <c r="F1056" s="274" t="s">
        <v>186</v>
      </c>
      <c r="G1056" s="274" t="s">
        <v>98</v>
      </c>
      <c r="H1056" s="274" t="s">
        <v>99</v>
      </c>
      <c r="I1056" s="274" t="s">
        <v>5276</v>
      </c>
      <c r="J1056" s="274" t="s">
        <v>98</v>
      </c>
      <c r="K1056" s="274" t="s">
        <v>98</v>
      </c>
      <c r="L1056" s="274" t="s">
        <v>5277</v>
      </c>
      <c r="M1056" s="281">
        <v>74376</v>
      </c>
      <c r="N1056" s="280">
        <v>12396</v>
      </c>
      <c r="O1056" s="280">
        <v>12396</v>
      </c>
      <c r="P1056" s="280">
        <v>12396</v>
      </c>
      <c r="Q1056" s="280">
        <v>12396</v>
      </c>
      <c r="R1056" s="280">
        <v>12396</v>
      </c>
      <c r="S1056" s="280">
        <v>12396</v>
      </c>
      <c r="T1056" s="297"/>
    </row>
    <row r="1057" spans="1:20" x14ac:dyDescent="0.25">
      <c r="A1057" s="274" t="s">
        <v>78</v>
      </c>
      <c r="B1057" s="274" t="s">
        <v>79</v>
      </c>
      <c r="C1057" s="274" t="s">
        <v>3741</v>
      </c>
      <c r="D1057" s="274" t="s">
        <v>3742</v>
      </c>
      <c r="E1057" s="274" t="s">
        <v>57</v>
      </c>
      <c r="F1057" s="274" t="s">
        <v>186</v>
      </c>
      <c r="G1057" s="274" t="s">
        <v>98</v>
      </c>
      <c r="H1057" s="274" t="s">
        <v>99</v>
      </c>
      <c r="I1057" s="274" t="s">
        <v>5278</v>
      </c>
      <c r="J1057" s="274" t="s">
        <v>98</v>
      </c>
      <c r="K1057" s="274" t="s">
        <v>98</v>
      </c>
      <c r="L1057" s="274" t="s">
        <v>5279</v>
      </c>
      <c r="M1057" s="281">
        <v>-0.01</v>
      </c>
      <c r="N1057" s="280">
        <v>-43718.69</v>
      </c>
      <c r="O1057" s="280">
        <v>19010.349999999999</v>
      </c>
      <c r="P1057" s="280">
        <v>24708.33</v>
      </c>
      <c r="Q1057" s="280"/>
      <c r="R1057" s="280"/>
      <c r="S1057" s="280"/>
      <c r="T1057" s="297"/>
    </row>
    <row r="1058" spans="1:20" x14ac:dyDescent="0.25">
      <c r="A1058" s="274" t="s">
        <v>78</v>
      </c>
      <c r="B1058" s="274" t="s">
        <v>79</v>
      </c>
      <c r="C1058" s="274" t="s">
        <v>3741</v>
      </c>
      <c r="D1058" s="274" t="s">
        <v>3742</v>
      </c>
      <c r="E1058" s="274" t="s">
        <v>57</v>
      </c>
      <c r="F1058" s="274" t="s">
        <v>186</v>
      </c>
      <c r="G1058" s="274" t="s">
        <v>98</v>
      </c>
      <c r="H1058" s="274" t="s">
        <v>99</v>
      </c>
      <c r="I1058" s="274" t="s">
        <v>5278</v>
      </c>
      <c r="J1058" s="274" t="s">
        <v>98</v>
      </c>
      <c r="K1058" s="274" t="s">
        <v>98</v>
      </c>
      <c r="L1058" s="274" t="s">
        <v>5280</v>
      </c>
      <c r="M1058" s="281">
        <v>-34187.870000000003</v>
      </c>
      <c r="N1058" s="280">
        <v>-54300.61</v>
      </c>
      <c r="O1058" s="280">
        <v>-2679.18</v>
      </c>
      <c r="P1058" s="280">
        <v>5697.98</v>
      </c>
      <c r="Q1058" s="280">
        <v>5697.98</v>
      </c>
      <c r="R1058" s="280">
        <v>5697.98</v>
      </c>
      <c r="S1058" s="280">
        <v>5697.98</v>
      </c>
      <c r="T1058" s="297"/>
    </row>
    <row r="1059" spans="1:20" x14ac:dyDescent="0.25">
      <c r="A1059" s="274" t="s">
        <v>78</v>
      </c>
      <c r="B1059" s="274" t="s">
        <v>79</v>
      </c>
      <c r="C1059" s="274" t="s">
        <v>3741</v>
      </c>
      <c r="D1059" s="274" t="s">
        <v>3742</v>
      </c>
      <c r="E1059" s="274" t="s">
        <v>57</v>
      </c>
      <c r="F1059" s="274" t="s">
        <v>186</v>
      </c>
      <c r="G1059" s="274" t="s">
        <v>98</v>
      </c>
      <c r="H1059" s="274" t="s">
        <v>99</v>
      </c>
      <c r="I1059" s="274" t="s">
        <v>5278</v>
      </c>
      <c r="J1059" s="274" t="s">
        <v>98</v>
      </c>
      <c r="K1059" s="274" t="s">
        <v>98</v>
      </c>
      <c r="L1059" s="274" t="s">
        <v>5281</v>
      </c>
      <c r="M1059" s="281">
        <v>-84450.89</v>
      </c>
      <c r="N1059" s="280">
        <v>-163643.04999999999</v>
      </c>
      <c r="O1059" s="280">
        <v>22891.599999999999</v>
      </c>
      <c r="P1059" s="280">
        <v>14075.14</v>
      </c>
      <c r="Q1059" s="280">
        <v>14075.14</v>
      </c>
      <c r="R1059" s="280">
        <v>14075.14</v>
      </c>
      <c r="S1059" s="280">
        <v>14075.14</v>
      </c>
      <c r="T1059" s="297"/>
    </row>
    <row r="1060" spans="1:20" x14ac:dyDescent="0.25">
      <c r="A1060" s="274" t="s">
        <v>78</v>
      </c>
      <c r="B1060" s="274" t="s">
        <v>79</v>
      </c>
      <c r="C1060" s="274" t="s">
        <v>3741</v>
      </c>
      <c r="D1060" s="274" t="s">
        <v>3742</v>
      </c>
      <c r="E1060" s="274" t="s">
        <v>57</v>
      </c>
      <c r="F1060" s="274" t="s">
        <v>186</v>
      </c>
      <c r="G1060" s="274" t="s">
        <v>98</v>
      </c>
      <c r="H1060" s="274" t="s">
        <v>99</v>
      </c>
      <c r="I1060" s="274" t="s">
        <v>5278</v>
      </c>
      <c r="J1060" s="274" t="s">
        <v>98</v>
      </c>
      <c r="K1060" s="274" t="s">
        <v>98</v>
      </c>
      <c r="L1060" s="274" t="s">
        <v>5282</v>
      </c>
      <c r="M1060" s="281">
        <v>-31552.04</v>
      </c>
      <c r="N1060" s="280">
        <v>-52990.39</v>
      </c>
      <c r="O1060" s="280">
        <v>403.63</v>
      </c>
      <c r="P1060" s="280">
        <v>5258.68</v>
      </c>
      <c r="Q1060" s="280">
        <v>5258.68</v>
      </c>
      <c r="R1060" s="280">
        <v>5258.68</v>
      </c>
      <c r="S1060" s="280">
        <v>5258.68</v>
      </c>
      <c r="T1060" s="297"/>
    </row>
    <row r="1061" spans="1:20" x14ac:dyDescent="0.25">
      <c r="A1061" s="274" t="s">
        <v>78</v>
      </c>
      <c r="B1061" s="274" t="s">
        <v>79</v>
      </c>
      <c r="C1061" s="274" t="s">
        <v>3741</v>
      </c>
      <c r="D1061" s="274" t="s">
        <v>3742</v>
      </c>
      <c r="E1061" s="274" t="s">
        <v>57</v>
      </c>
      <c r="F1061" s="274" t="s">
        <v>186</v>
      </c>
      <c r="G1061" s="274" t="s">
        <v>98</v>
      </c>
      <c r="H1061" s="274" t="s">
        <v>99</v>
      </c>
      <c r="I1061" s="274" t="s">
        <v>5278</v>
      </c>
      <c r="J1061" s="274" t="s">
        <v>98</v>
      </c>
      <c r="K1061" s="274" t="s">
        <v>98</v>
      </c>
      <c r="L1061" s="274" t="s">
        <v>5283</v>
      </c>
      <c r="M1061" s="281">
        <v>-60682.43</v>
      </c>
      <c r="N1061" s="280">
        <v>-112619.44</v>
      </c>
      <c r="O1061" s="280">
        <v>11482.09</v>
      </c>
      <c r="P1061" s="280">
        <v>10113.73</v>
      </c>
      <c r="Q1061" s="280">
        <v>10113.73</v>
      </c>
      <c r="R1061" s="280">
        <v>10113.73</v>
      </c>
      <c r="S1061" s="280">
        <v>10113.73</v>
      </c>
      <c r="T1061" s="297"/>
    </row>
    <row r="1062" spans="1:20" x14ac:dyDescent="0.25">
      <c r="A1062" s="274" t="s">
        <v>78</v>
      </c>
      <c r="B1062" s="274" t="s">
        <v>79</v>
      </c>
      <c r="C1062" s="274" t="s">
        <v>3741</v>
      </c>
      <c r="D1062" s="274" t="s">
        <v>3742</v>
      </c>
      <c r="E1062" s="274" t="s">
        <v>57</v>
      </c>
      <c r="F1062" s="274" t="s">
        <v>186</v>
      </c>
      <c r="G1062" s="274" t="s">
        <v>98</v>
      </c>
      <c r="H1062" s="274" t="s">
        <v>99</v>
      </c>
      <c r="I1062" s="274" t="s">
        <v>5278</v>
      </c>
      <c r="J1062" s="274" t="s">
        <v>98</v>
      </c>
      <c r="K1062" s="274" t="s">
        <v>98</v>
      </c>
      <c r="L1062" s="274" t="s">
        <v>5284</v>
      </c>
      <c r="M1062" s="281">
        <v>-52472.23</v>
      </c>
      <c r="N1062" s="280">
        <v>397.44</v>
      </c>
      <c r="O1062" s="280">
        <v>-87851.15</v>
      </c>
      <c r="P1062" s="280">
        <v>8745.3700000000008</v>
      </c>
      <c r="Q1062" s="280">
        <v>8745.3700000000008</v>
      </c>
      <c r="R1062" s="280">
        <v>8745.3700000000008</v>
      </c>
      <c r="S1062" s="280">
        <v>8745.3700000000008</v>
      </c>
      <c r="T1062" s="297"/>
    </row>
    <row r="1063" spans="1:20" x14ac:dyDescent="0.25">
      <c r="A1063" s="274" t="s">
        <v>78</v>
      </c>
      <c r="B1063" s="274" t="s">
        <v>79</v>
      </c>
      <c r="C1063" s="274" t="s">
        <v>3741</v>
      </c>
      <c r="D1063" s="274" t="s">
        <v>3742</v>
      </c>
      <c r="E1063" s="274" t="s">
        <v>57</v>
      </c>
      <c r="F1063" s="274" t="s">
        <v>186</v>
      </c>
      <c r="G1063" s="274" t="s">
        <v>98</v>
      </c>
      <c r="H1063" s="274" t="s">
        <v>99</v>
      </c>
      <c r="I1063" s="274" t="s">
        <v>5278</v>
      </c>
      <c r="J1063" s="274" t="s">
        <v>98</v>
      </c>
      <c r="K1063" s="274" t="s">
        <v>98</v>
      </c>
      <c r="L1063" s="274" t="s">
        <v>5285</v>
      </c>
      <c r="M1063" s="281">
        <v>-632051.31000000006</v>
      </c>
      <c r="N1063" s="280">
        <v>-1177329.1499999999</v>
      </c>
      <c r="O1063" s="280">
        <v>123910.28</v>
      </c>
      <c r="P1063" s="280">
        <v>105341.89</v>
      </c>
      <c r="Q1063" s="280">
        <v>105341.89</v>
      </c>
      <c r="R1063" s="280">
        <v>105341.89</v>
      </c>
      <c r="S1063" s="280">
        <v>105341.89</v>
      </c>
      <c r="T1063" s="297"/>
    </row>
    <row r="1064" spans="1:20" x14ac:dyDescent="0.25">
      <c r="A1064" s="274" t="s">
        <v>78</v>
      </c>
      <c r="B1064" s="274" t="s">
        <v>79</v>
      </c>
      <c r="C1064" s="274" t="s">
        <v>3741</v>
      </c>
      <c r="D1064" s="274" t="s">
        <v>3742</v>
      </c>
      <c r="E1064" s="274" t="s">
        <v>57</v>
      </c>
      <c r="F1064" s="274" t="s">
        <v>186</v>
      </c>
      <c r="G1064" s="274" t="s">
        <v>98</v>
      </c>
      <c r="H1064" s="274" t="s">
        <v>99</v>
      </c>
      <c r="I1064" s="274" t="s">
        <v>5278</v>
      </c>
      <c r="J1064" s="274" t="s">
        <v>98</v>
      </c>
      <c r="K1064" s="274" t="s">
        <v>98</v>
      </c>
      <c r="L1064" s="274" t="s">
        <v>5286</v>
      </c>
      <c r="M1064" s="281">
        <v>-520640.95</v>
      </c>
      <c r="N1064" s="280">
        <v>-1031681.8</v>
      </c>
      <c r="O1064" s="280">
        <v>163946.85</v>
      </c>
      <c r="P1064" s="280">
        <v>86773.5</v>
      </c>
      <c r="Q1064" s="280">
        <v>86773.5</v>
      </c>
      <c r="R1064" s="280">
        <v>86773.5</v>
      </c>
      <c r="S1064" s="280">
        <v>86773.5</v>
      </c>
      <c r="T1064" s="297"/>
    </row>
    <row r="1065" spans="1:20" x14ac:dyDescent="0.25">
      <c r="A1065" s="274" t="s">
        <v>78</v>
      </c>
      <c r="B1065" s="274" t="s">
        <v>79</v>
      </c>
      <c r="C1065" s="274" t="s">
        <v>3741</v>
      </c>
      <c r="D1065" s="274" t="s">
        <v>3742</v>
      </c>
      <c r="E1065" s="274" t="s">
        <v>57</v>
      </c>
      <c r="F1065" s="274" t="s">
        <v>186</v>
      </c>
      <c r="G1065" s="274" t="s">
        <v>98</v>
      </c>
      <c r="H1065" s="274" t="s">
        <v>99</v>
      </c>
      <c r="I1065" s="274" t="s">
        <v>5278</v>
      </c>
      <c r="J1065" s="274" t="s">
        <v>98</v>
      </c>
      <c r="K1065" s="274" t="s">
        <v>98</v>
      </c>
      <c r="L1065" s="274" t="s">
        <v>5287</v>
      </c>
      <c r="M1065" s="281">
        <v>-57600.91</v>
      </c>
      <c r="N1065" s="280">
        <v>-107305.33</v>
      </c>
      <c r="O1065" s="280">
        <v>11303.82</v>
      </c>
      <c r="P1065" s="280">
        <v>9600.15</v>
      </c>
      <c r="Q1065" s="280">
        <v>9600.15</v>
      </c>
      <c r="R1065" s="280">
        <v>9600.15</v>
      </c>
      <c r="S1065" s="280">
        <v>9600.15</v>
      </c>
      <c r="T1065" s="297"/>
    </row>
    <row r="1066" spans="1:20" x14ac:dyDescent="0.25">
      <c r="A1066" s="274" t="s">
        <v>78</v>
      </c>
      <c r="B1066" s="274" t="s">
        <v>79</v>
      </c>
      <c r="C1066" s="274" t="s">
        <v>3741</v>
      </c>
      <c r="D1066" s="274" t="s">
        <v>3742</v>
      </c>
      <c r="E1066" s="274" t="s">
        <v>57</v>
      </c>
      <c r="F1066" s="274" t="s">
        <v>186</v>
      </c>
      <c r="G1066" s="274" t="s">
        <v>98</v>
      </c>
      <c r="H1066" s="274" t="s">
        <v>99</v>
      </c>
      <c r="I1066" s="274" t="s">
        <v>5278</v>
      </c>
      <c r="J1066" s="274" t="s">
        <v>98</v>
      </c>
      <c r="K1066" s="274" t="s">
        <v>98</v>
      </c>
      <c r="L1066" s="274" t="s">
        <v>5288</v>
      </c>
      <c r="M1066" s="281">
        <v>-47378.9</v>
      </c>
      <c r="N1066" s="280">
        <v>-67205.649999999994</v>
      </c>
      <c r="O1066" s="280">
        <v>-11759.17</v>
      </c>
      <c r="P1066" s="280">
        <v>7896.48</v>
      </c>
      <c r="Q1066" s="280">
        <v>7896.48</v>
      </c>
      <c r="R1066" s="280">
        <v>7896.48</v>
      </c>
      <c r="S1066" s="280">
        <v>7896.48</v>
      </c>
      <c r="T1066" s="297"/>
    </row>
    <row r="1067" spans="1:20" x14ac:dyDescent="0.25">
      <c r="A1067" s="274" t="s">
        <v>78</v>
      </c>
      <c r="B1067" s="274" t="s">
        <v>79</v>
      </c>
      <c r="C1067" s="274" t="s">
        <v>3741</v>
      </c>
      <c r="D1067" s="274" t="s">
        <v>3742</v>
      </c>
      <c r="E1067" s="274" t="s">
        <v>57</v>
      </c>
      <c r="F1067" s="274" t="s">
        <v>186</v>
      </c>
      <c r="G1067" s="274" t="s">
        <v>98</v>
      </c>
      <c r="H1067" s="274" t="s">
        <v>99</v>
      </c>
      <c r="I1067" s="274" t="s">
        <v>5278</v>
      </c>
      <c r="J1067" s="274" t="s">
        <v>98</v>
      </c>
      <c r="K1067" s="274" t="s">
        <v>98</v>
      </c>
      <c r="L1067" s="274" t="s">
        <v>5289</v>
      </c>
      <c r="M1067" s="281">
        <v>-165312.82999999999</v>
      </c>
      <c r="N1067" s="280">
        <v>-315700.56</v>
      </c>
      <c r="O1067" s="280">
        <v>40179.21</v>
      </c>
      <c r="P1067" s="280">
        <v>27552.13</v>
      </c>
      <c r="Q1067" s="280">
        <v>27552.13</v>
      </c>
      <c r="R1067" s="280">
        <v>27552.13</v>
      </c>
      <c r="S1067" s="280">
        <v>27552.13</v>
      </c>
      <c r="T1067" s="297"/>
    </row>
    <row r="1068" spans="1:20" x14ac:dyDescent="0.25">
      <c r="A1068" s="274" t="s">
        <v>78</v>
      </c>
      <c r="B1068" s="274" t="s">
        <v>79</v>
      </c>
      <c r="C1068" s="274" t="s">
        <v>3741</v>
      </c>
      <c r="D1068" s="274" t="s">
        <v>3742</v>
      </c>
      <c r="E1068" s="274" t="s">
        <v>57</v>
      </c>
      <c r="F1068" s="274" t="s">
        <v>186</v>
      </c>
      <c r="G1068" s="274" t="s">
        <v>98</v>
      </c>
      <c r="H1068" s="274" t="s">
        <v>99</v>
      </c>
      <c r="I1068" s="274" t="s">
        <v>5278</v>
      </c>
      <c r="J1068" s="274" t="s">
        <v>98</v>
      </c>
      <c r="K1068" s="274" t="s">
        <v>98</v>
      </c>
      <c r="L1068" s="274" t="s">
        <v>5290</v>
      </c>
      <c r="M1068" s="281">
        <v>-89550.24</v>
      </c>
      <c r="N1068" s="280">
        <v>-95305.54</v>
      </c>
      <c r="O1068" s="280">
        <v>-53944.9</v>
      </c>
      <c r="P1068" s="280">
        <v>14925.05</v>
      </c>
      <c r="Q1068" s="280">
        <v>14925.05</v>
      </c>
      <c r="R1068" s="280">
        <v>14925.05</v>
      </c>
      <c r="S1068" s="280">
        <v>14925.05</v>
      </c>
      <c r="T1068" s="297"/>
    </row>
    <row r="1069" spans="1:20" x14ac:dyDescent="0.25">
      <c r="A1069" s="274" t="s">
        <v>78</v>
      </c>
      <c r="B1069" s="274" t="s">
        <v>79</v>
      </c>
      <c r="C1069" s="274" t="s">
        <v>3741</v>
      </c>
      <c r="D1069" s="274" t="s">
        <v>3742</v>
      </c>
      <c r="E1069" s="274" t="s">
        <v>57</v>
      </c>
      <c r="F1069" s="274" t="s">
        <v>186</v>
      </c>
      <c r="G1069" s="274" t="s">
        <v>98</v>
      </c>
      <c r="H1069" s="274" t="s">
        <v>99</v>
      </c>
      <c r="I1069" s="274" t="s">
        <v>5278</v>
      </c>
      <c r="J1069" s="274" t="s">
        <v>98</v>
      </c>
      <c r="K1069" s="274" t="s">
        <v>98</v>
      </c>
      <c r="L1069" s="274" t="s">
        <v>5291</v>
      </c>
      <c r="M1069" s="281">
        <v>-502770.05</v>
      </c>
      <c r="N1069" s="280">
        <v>-970474.89</v>
      </c>
      <c r="O1069" s="280">
        <v>132524.84</v>
      </c>
      <c r="P1069" s="280">
        <v>83795</v>
      </c>
      <c r="Q1069" s="280">
        <v>83795</v>
      </c>
      <c r="R1069" s="280">
        <v>83795</v>
      </c>
      <c r="S1069" s="280">
        <v>83795</v>
      </c>
      <c r="T1069" s="297"/>
    </row>
    <row r="1070" spans="1:20" x14ac:dyDescent="0.25">
      <c r="A1070" s="274" t="s">
        <v>78</v>
      </c>
      <c r="B1070" s="274" t="s">
        <v>79</v>
      </c>
      <c r="C1070" s="274" t="s">
        <v>3741</v>
      </c>
      <c r="D1070" s="274" t="s">
        <v>3742</v>
      </c>
      <c r="E1070" s="274" t="s">
        <v>57</v>
      </c>
      <c r="F1070" s="274" t="s">
        <v>186</v>
      </c>
      <c r="G1070" s="274" t="s">
        <v>98</v>
      </c>
      <c r="H1070" s="274" t="s">
        <v>99</v>
      </c>
      <c r="I1070" s="274" t="s">
        <v>5278</v>
      </c>
      <c r="J1070" s="274" t="s">
        <v>98</v>
      </c>
      <c r="K1070" s="274" t="s">
        <v>98</v>
      </c>
      <c r="L1070" s="274" t="s">
        <v>5292</v>
      </c>
      <c r="M1070" s="281">
        <v>-210391</v>
      </c>
      <c r="N1070" s="280">
        <v>-399381.96</v>
      </c>
      <c r="O1070" s="280">
        <v>48730.32</v>
      </c>
      <c r="P1070" s="280">
        <v>35065.160000000003</v>
      </c>
      <c r="Q1070" s="280">
        <v>35065.160000000003</v>
      </c>
      <c r="R1070" s="280">
        <v>35065.160000000003</v>
      </c>
      <c r="S1070" s="280">
        <v>35065.160000000003</v>
      </c>
      <c r="T1070" s="297"/>
    </row>
    <row r="1071" spans="1:20" x14ac:dyDescent="0.25">
      <c r="A1071" s="274" t="s">
        <v>78</v>
      </c>
      <c r="B1071" s="274" t="s">
        <v>79</v>
      </c>
      <c r="C1071" s="274" t="s">
        <v>3741</v>
      </c>
      <c r="D1071" s="274" t="s">
        <v>3742</v>
      </c>
      <c r="E1071" s="274" t="s">
        <v>57</v>
      </c>
      <c r="F1071" s="274" t="s">
        <v>186</v>
      </c>
      <c r="G1071" s="274" t="s">
        <v>98</v>
      </c>
      <c r="H1071" s="274" t="s">
        <v>99</v>
      </c>
      <c r="I1071" s="274" t="s">
        <v>5278</v>
      </c>
      <c r="J1071" s="274" t="s">
        <v>98</v>
      </c>
      <c r="K1071" s="274" t="s">
        <v>98</v>
      </c>
      <c r="L1071" s="274" t="s">
        <v>5293</v>
      </c>
      <c r="M1071" s="281">
        <v>-256800</v>
      </c>
      <c r="N1071" s="280">
        <v>-256800</v>
      </c>
      <c r="O1071" s="280"/>
      <c r="P1071" s="280"/>
      <c r="Q1071" s="280"/>
      <c r="R1071" s="280"/>
      <c r="S1071" s="280"/>
      <c r="T1071" s="297"/>
    </row>
    <row r="1072" spans="1:20" x14ac:dyDescent="0.25">
      <c r="A1072" s="274" t="s">
        <v>78</v>
      </c>
      <c r="B1072" s="274" t="s">
        <v>79</v>
      </c>
      <c r="C1072" s="274" t="s">
        <v>3741</v>
      </c>
      <c r="D1072" s="274" t="s">
        <v>3742</v>
      </c>
      <c r="E1072" s="274" t="s">
        <v>57</v>
      </c>
      <c r="F1072" s="274" t="s">
        <v>186</v>
      </c>
      <c r="G1072" s="274" t="s">
        <v>98</v>
      </c>
      <c r="H1072" s="274" t="s">
        <v>99</v>
      </c>
      <c r="I1072" s="274" t="s">
        <v>5278</v>
      </c>
      <c r="J1072" s="274" t="s">
        <v>98</v>
      </c>
      <c r="K1072" s="274" t="s">
        <v>98</v>
      </c>
      <c r="L1072" s="274" t="s">
        <v>5294</v>
      </c>
      <c r="M1072" s="281">
        <v>128400</v>
      </c>
      <c r="N1072" s="280"/>
      <c r="O1072" s="280">
        <v>42800</v>
      </c>
      <c r="P1072" s="280">
        <v>21400</v>
      </c>
      <c r="Q1072" s="280">
        <v>21400</v>
      </c>
      <c r="R1072" s="280">
        <v>21400</v>
      </c>
      <c r="S1072" s="280">
        <v>21400</v>
      </c>
      <c r="T1072" s="297"/>
    </row>
    <row r="1073" spans="1:20" x14ac:dyDescent="0.25">
      <c r="A1073" s="274" t="s">
        <v>78</v>
      </c>
      <c r="B1073" s="274" t="s">
        <v>79</v>
      </c>
      <c r="C1073" s="274" t="s">
        <v>3741</v>
      </c>
      <c r="D1073" s="274" t="s">
        <v>3742</v>
      </c>
      <c r="E1073" s="274" t="s">
        <v>57</v>
      </c>
      <c r="F1073" s="274" t="s">
        <v>186</v>
      </c>
      <c r="G1073" s="274" t="s">
        <v>98</v>
      </c>
      <c r="H1073" s="274" t="s">
        <v>99</v>
      </c>
      <c r="I1073" s="274" t="s">
        <v>5295</v>
      </c>
      <c r="J1073" s="274" t="s">
        <v>98</v>
      </c>
      <c r="K1073" s="274" t="s">
        <v>98</v>
      </c>
      <c r="L1073" s="274" t="s">
        <v>5296</v>
      </c>
      <c r="M1073" s="281">
        <v>0</v>
      </c>
      <c r="N1073" s="280">
        <v>13522.65</v>
      </c>
      <c r="O1073" s="280">
        <v>-13522.65</v>
      </c>
      <c r="P1073" s="280">
        <v>0</v>
      </c>
      <c r="Q1073" s="280">
        <v>0</v>
      </c>
      <c r="R1073" s="280">
        <v>0</v>
      </c>
      <c r="S1073" s="280">
        <v>0</v>
      </c>
      <c r="T1073" s="297"/>
    </row>
    <row r="1074" spans="1:20" x14ac:dyDescent="0.25">
      <c r="A1074" s="274" t="s">
        <v>78</v>
      </c>
      <c r="B1074" s="274" t="s">
        <v>79</v>
      </c>
      <c r="C1074" s="274" t="s">
        <v>3741</v>
      </c>
      <c r="D1074" s="274" t="s">
        <v>3742</v>
      </c>
      <c r="E1074" s="274" t="s">
        <v>57</v>
      </c>
      <c r="F1074" s="274" t="s">
        <v>186</v>
      </c>
      <c r="G1074" s="274" t="s">
        <v>98</v>
      </c>
      <c r="H1074" s="274" t="s">
        <v>99</v>
      </c>
      <c r="I1074" s="274" t="s">
        <v>5297</v>
      </c>
      <c r="J1074" s="274" t="s">
        <v>98</v>
      </c>
      <c r="K1074" s="274" t="s">
        <v>98</v>
      </c>
      <c r="L1074" s="274" t="s">
        <v>5298</v>
      </c>
      <c r="M1074" s="281">
        <v>0</v>
      </c>
      <c r="N1074" s="280"/>
      <c r="O1074" s="280">
        <v>0</v>
      </c>
      <c r="P1074" s="280">
        <v>0</v>
      </c>
      <c r="Q1074" s="280">
        <v>0</v>
      </c>
      <c r="R1074" s="280">
        <v>0</v>
      </c>
      <c r="S1074" s="280">
        <v>0</v>
      </c>
      <c r="T1074" s="297"/>
    </row>
    <row r="1075" spans="1:20" x14ac:dyDescent="0.25">
      <c r="A1075" s="274" t="s">
        <v>78</v>
      </c>
      <c r="B1075" s="274" t="s">
        <v>79</v>
      </c>
      <c r="C1075" s="274" t="s">
        <v>3741</v>
      </c>
      <c r="D1075" s="274" t="s">
        <v>3742</v>
      </c>
      <c r="E1075" s="274" t="s">
        <v>57</v>
      </c>
      <c r="F1075" s="274" t="s">
        <v>186</v>
      </c>
      <c r="G1075" s="274" t="s">
        <v>98</v>
      </c>
      <c r="H1075" s="274" t="s">
        <v>99</v>
      </c>
      <c r="I1075" s="274" t="s">
        <v>5299</v>
      </c>
      <c r="J1075" s="274" t="s">
        <v>98</v>
      </c>
      <c r="K1075" s="274" t="s">
        <v>98</v>
      </c>
      <c r="L1075" s="274" t="s">
        <v>5165</v>
      </c>
      <c r="M1075" s="281">
        <v>-73875</v>
      </c>
      <c r="N1075" s="280"/>
      <c r="O1075" s="280"/>
      <c r="P1075" s="280"/>
      <c r="Q1075" s="280">
        <v>-73875</v>
      </c>
      <c r="R1075" s="280"/>
      <c r="S1075" s="280"/>
      <c r="T1075" s="297"/>
    </row>
    <row r="1076" spans="1:20" x14ac:dyDescent="0.25">
      <c r="A1076" s="274" t="s">
        <v>78</v>
      </c>
      <c r="B1076" s="274" t="s">
        <v>79</v>
      </c>
      <c r="C1076" s="274" t="s">
        <v>3741</v>
      </c>
      <c r="D1076" s="274" t="s">
        <v>3742</v>
      </c>
      <c r="E1076" s="274" t="s">
        <v>57</v>
      </c>
      <c r="F1076" s="274" t="s">
        <v>186</v>
      </c>
      <c r="G1076" s="274" t="s">
        <v>98</v>
      </c>
      <c r="H1076" s="274" t="s">
        <v>99</v>
      </c>
      <c r="I1076" s="274" t="s">
        <v>5299</v>
      </c>
      <c r="J1076" s="274" t="s">
        <v>98</v>
      </c>
      <c r="K1076" s="274" t="s">
        <v>98</v>
      </c>
      <c r="L1076" s="274" t="s">
        <v>5300</v>
      </c>
      <c r="M1076" s="281">
        <v>18468.75</v>
      </c>
      <c r="N1076" s="280"/>
      <c r="O1076" s="280"/>
      <c r="P1076" s="280"/>
      <c r="Q1076" s="280">
        <v>6156.25</v>
      </c>
      <c r="R1076" s="280">
        <v>6156.25</v>
      </c>
      <c r="S1076" s="280">
        <v>6156.25</v>
      </c>
      <c r="T1076" s="297"/>
    </row>
    <row r="1077" spans="1:20" x14ac:dyDescent="0.25">
      <c r="A1077" s="274" t="s">
        <v>78</v>
      </c>
      <c r="B1077" s="274" t="s">
        <v>79</v>
      </c>
      <c r="C1077" s="274" t="s">
        <v>3741</v>
      </c>
      <c r="D1077" s="274" t="s">
        <v>3742</v>
      </c>
      <c r="E1077" s="274" t="s">
        <v>57</v>
      </c>
      <c r="F1077" s="274" t="s">
        <v>186</v>
      </c>
      <c r="G1077" s="274" t="s">
        <v>98</v>
      </c>
      <c r="H1077" s="274" t="s">
        <v>99</v>
      </c>
      <c r="I1077" s="274" t="s">
        <v>6410</v>
      </c>
      <c r="J1077" s="274" t="s">
        <v>98</v>
      </c>
      <c r="K1077" s="274" t="s">
        <v>98</v>
      </c>
      <c r="L1077" s="274" t="s">
        <v>5235</v>
      </c>
      <c r="M1077" s="281">
        <v>-78852</v>
      </c>
      <c r="N1077" s="280"/>
      <c r="O1077" s="280"/>
      <c r="P1077" s="280"/>
      <c r="Q1077" s="280"/>
      <c r="R1077" s="280">
        <v>-78852</v>
      </c>
      <c r="S1077" s="280"/>
      <c r="T1077" s="297"/>
    </row>
    <row r="1078" spans="1:20" x14ac:dyDescent="0.25">
      <c r="A1078" s="274" t="s">
        <v>78</v>
      </c>
      <c r="B1078" s="274" t="s">
        <v>79</v>
      </c>
      <c r="C1078" s="274" t="s">
        <v>3741</v>
      </c>
      <c r="D1078" s="274" t="s">
        <v>3742</v>
      </c>
      <c r="E1078" s="274" t="s">
        <v>57</v>
      </c>
      <c r="F1078" s="274" t="s">
        <v>186</v>
      </c>
      <c r="G1078" s="274" t="s">
        <v>98</v>
      </c>
      <c r="H1078" s="274" t="s">
        <v>99</v>
      </c>
      <c r="I1078" s="274" t="s">
        <v>6410</v>
      </c>
      <c r="J1078" s="274" t="s">
        <v>98</v>
      </c>
      <c r="K1078" s="274" t="s">
        <v>98</v>
      </c>
      <c r="L1078" s="274" t="s">
        <v>6411</v>
      </c>
      <c r="M1078" s="281">
        <v>13142</v>
      </c>
      <c r="N1078" s="280"/>
      <c r="O1078" s="280"/>
      <c r="P1078" s="280"/>
      <c r="Q1078" s="280"/>
      <c r="R1078" s="280">
        <v>6571</v>
      </c>
      <c r="S1078" s="280">
        <v>6571</v>
      </c>
      <c r="T1078" s="297"/>
    </row>
    <row r="1079" spans="1:20" x14ac:dyDescent="0.25">
      <c r="A1079" s="274" t="s">
        <v>78</v>
      </c>
      <c r="B1079" s="274" t="s">
        <v>79</v>
      </c>
      <c r="C1079" s="274" t="s">
        <v>3741</v>
      </c>
      <c r="D1079" s="274" t="s">
        <v>3742</v>
      </c>
      <c r="E1079" s="274" t="s">
        <v>57</v>
      </c>
      <c r="F1079" s="274" t="s">
        <v>186</v>
      </c>
      <c r="G1079" s="274" t="s">
        <v>98</v>
      </c>
      <c r="H1079" s="274" t="s">
        <v>99</v>
      </c>
      <c r="I1079" s="274" t="s">
        <v>5301</v>
      </c>
      <c r="J1079" s="274" t="s">
        <v>98</v>
      </c>
      <c r="K1079" s="274" t="s">
        <v>98</v>
      </c>
      <c r="L1079" s="274" t="s">
        <v>5302</v>
      </c>
      <c r="M1079" s="281">
        <v>-116691.64</v>
      </c>
      <c r="N1079" s="280">
        <v>-213934.64</v>
      </c>
      <c r="O1079" s="280">
        <v>19448.599999999999</v>
      </c>
      <c r="P1079" s="280">
        <v>19448.599999999999</v>
      </c>
      <c r="Q1079" s="280">
        <v>19448.599999999999</v>
      </c>
      <c r="R1079" s="280">
        <v>19448.599999999999</v>
      </c>
      <c r="S1079" s="280">
        <v>19448.599999999999</v>
      </c>
      <c r="T1079" s="297"/>
    </row>
    <row r="1080" spans="1:20" x14ac:dyDescent="0.25">
      <c r="A1080" s="274" t="s">
        <v>78</v>
      </c>
      <c r="B1080" s="274" t="s">
        <v>79</v>
      </c>
      <c r="C1080" s="274" t="s">
        <v>3741</v>
      </c>
      <c r="D1080" s="274" t="s">
        <v>3742</v>
      </c>
      <c r="E1080" s="274" t="s">
        <v>57</v>
      </c>
      <c r="F1080" s="274" t="s">
        <v>186</v>
      </c>
      <c r="G1080" s="274" t="s">
        <v>98</v>
      </c>
      <c r="H1080" s="274" t="s">
        <v>99</v>
      </c>
      <c r="I1080" s="274" t="s">
        <v>4283</v>
      </c>
      <c r="J1080" s="274" t="s">
        <v>98</v>
      </c>
      <c r="K1080" s="274" t="s">
        <v>98</v>
      </c>
      <c r="L1080" s="274" t="s">
        <v>5303</v>
      </c>
      <c r="M1080" s="281">
        <v>0</v>
      </c>
      <c r="N1080" s="280"/>
      <c r="O1080" s="280">
        <v>18188</v>
      </c>
      <c r="P1080" s="280">
        <v>-18188</v>
      </c>
      <c r="Q1080" s="280"/>
      <c r="R1080" s="280"/>
      <c r="S1080" s="280"/>
      <c r="T1080" s="297"/>
    </row>
    <row r="1081" spans="1:20" x14ac:dyDescent="0.25">
      <c r="A1081" s="274" t="s">
        <v>78</v>
      </c>
      <c r="B1081" s="274" t="s">
        <v>79</v>
      </c>
      <c r="C1081" s="274" t="s">
        <v>3741</v>
      </c>
      <c r="D1081" s="274" t="s">
        <v>3742</v>
      </c>
      <c r="E1081" s="274" t="s">
        <v>59</v>
      </c>
      <c r="F1081" s="274" t="s">
        <v>199</v>
      </c>
      <c r="G1081" s="274" t="s">
        <v>187</v>
      </c>
      <c r="H1081" s="274" t="s">
        <v>188</v>
      </c>
      <c r="I1081" s="274" t="s">
        <v>6412</v>
      </c>
      <c r="J1081" s="274" t="s">
        <v>6697</v>
      </c>
      <c r="K1081" s="274" t="s">
        <v>3746</v>
      </c>
      <c r="L1081" s="274" t="s">
        <v>6413</v>
      </c>
      <c r="M1081" s="281">
        <v>609079.16</v>
      </c>
      <c r="N1081" s="280"/>
      <c r="O1081" s="280"/>
      <c r="P1081" s="280"/>
      <c r="Q1081" s="280"/>
      <c r="R1081" s="280"/>
      <c r="S1081" s="280">
        <v>609079.16</v>
      </c>
      <c r="T1081" s="297"/>
    </row>
    <row r="1082" spans="1:20" x14ac:dyDescent="0.25">
      <c r="A1082" s="274" t="s">
        <v>78</v>
      </c>
      <c r="B1082" s="274" t="s">
        <v>79</v>
      </c>
      <c r="C1082" s="274" t="s">
        <v>3741</v>
      </c>
      <c r="D1082" s="274" t="s">
        <v>3742</v>
      </c>
      <c r="E1082" s="274" t="s">
        <v>59</v>
      </c>
      <c r="F1082" s="274" t="s">
        <v>199</v>
      </c>
      <c r="G1082" s="274" t="s">
        <v>200</v>
      </c>
      <c r="H1082" s="274" t="s">
        <v>201</v>
      </c>
      <c r="I1082" s="274" t="s">
        <v>5304</v>
      </c>
      <c r="J1082" s="274" t="s">
        <v>6698</v>
      </c>
      <c r="K1082" s="274" t="s">
        <v>3746</v>
      </c>
      <c r="L1082" s="274" t="s">
        <v>5305</v>
      </c>
      <c r="M1082" s="281">
        <v>28200</v>
      </c>
      <c r="N1082" s="280"/>
      <c r="O1082" s="280"/>
      <c r="P1082" s="280">
        <v>28200</v>
      </c>
      <c r="Q1082" s="280"/>
      <c r="R1082" s="280"/>
      <c r="S1082" s="280"/>
      <c r="T1082" s="297"/>
    </row>
    <row r="1083" spans="1:20" x14ac:dyDescent="0.25">
      <c r="A1083" s="274" t="s">
        <v>78</v>
      </c>
      <c r="B1083" s="274" t="s">
        <v>79</v>
      </c>
      <c r="C1083" s="274" t="s">
        <v>3741</v>
      </c>
      <c r="D1083" s="274" t="s">
        <v>3742</v>
      </c>
      <c r="E1083" s="274" t="s">
        <v>59</v>
      </c>
      <c r="F1083" s="274" t="s">
        <v>199</v>
      </c>
      <c r="G1083" s="274" t="s">
        <v>200</v>
      </c>
      <c r="H1083" s="274" t="s">
        <v>201</v>
      </c>
      <c r="I1083" s="274" t="s">
        <v>5306</v>
      </c>
      <c r="J1083" s="274" t="s">
        <v>6698</v>
      </c>
      <c r="K1083" s="274" t="s">
        <v>3746</v>
      </c>
      <c r="L1083" s="274" t="s">
        <v>5307</v>
      </c>
      <c r="M1083" s="281">
        <v>4200</v>
      </c>
      <c r="N1083" s="280"/>
      <c r="O1083" s="280"/>
      <c r="P1083" s="280"/>
      <c r="Q1083" s="280">
        <v>4200</v>
      </c>
      <c r="R1083" s="280"/>
      <c r="S1083" s="280"/>
      <c r="T1083" s="297"/>
    </row>
    <row r="1084" spans="1:20" x14ac:dyDescent="0.25">
      <c r="A1084" s="274" t="s">
        <v>78</v>
      </c>
      <c r="B1084" s="274" t="s">
        <v>79</v>
      </c>
      <c r="C1084" s="274" t="s">
        <v>3741</v>
      </c>
      <c r="D1084" s="274" t="s">
        <v>3742</v>
      </c>
      <c r="E1084" s="274" t="s">
        <v>59</v>
      </c>
      <c r="F1084" s="274" t="s">
        <v>199</v>
      </c>
      <c r="G1084" s="274" t="s">
        <v>200</v>
      </c>
      <c r="H1084" s="274" t="s">
        <v>201</v>
      </c>
      <c r="I1084" s="274" t="s">
        <v>5308</v>
      </c>
      <c r="J1084" s="274" t="s">
        <v>6698</v>
      </c>
      <c r="K1084" s="274" t="s">
        <v>6506</v>
      </c>
      <c r="L1084" s="274" t="s">
        <v>5309</v>
      </c>
      <c r="M1084" s="281">
        <v>4700</v>
      </c>
      <c r="N1084" s="280"/>
      <c r="O1084" s="280"/>
      <c r="P1084" s="280"/>
      <c r="Q1084" s="280">
        <v>4700</v>
      </c>
      <c r="R1084" s="280"/>
      <c r="S1084" s="280"/>
      <c r="T1084" s="297"/>
    </row>
    <row r="1085" spans="1:20" x14ac:dyDescent="0.25">
      <c r="A1085" s="274" t="s">
        <v>78</v>
      </c>
      <c r="B1085" s="274" t="s">
        <v>79</v>
      </c>
      <c r="C1085" s="274" t="s">
        <v>3741</v>
      </c>
      <c r="D1085" s="274" t="s">
        <v>3742</v>
      </c>
      <c r="E1085" s="274" t="s">
        <v>59</v>
      </c>
      <c r="F1085" s="274" t="s">
        <v>199</v>
      </c>
      <c r="G1085" s="274" t="s">
        <v>200</v>
      </c>
      <c r="H1085" s="274" t="s">
        <v>201</v>
      </c>
      <c r="I1085" s="274" t="s">
        <v>5310</v>
      </c>
      <c r="J1085" s="274" t="s">
        <v>6698</v>
      </c>
      <c r="K1085" s="274" t="s">
        <v>3746</v>
      </c>
      <c r="L1085" s="274" t="s">
        <v>5309</v>
      </c>
      <c r="M1085" s="281">
        <v>5400</v>
      </c>
      <c r="N1085" s="280"/>
      <c r="O1085" s="280"/>
      <c r="P1085" s="280"/>
      <c r="Q1085" s="280">
        <v>5400</v>
      </c>
      <c r="R1085" s="280"/>
      <c r="S1085" s="280"/>
      <c r="T1085" s="297"/>
    </row>
    <row r="1086" spans="1:20" x14ac:dyDescent="0.25">
      <c r="A1086" s="274" t="s">
        <v>78</v>
      </c>
      <c r="B1086" s="274" t="s">
        <v>79</v>
      </c>
      <c r="C1086" s="274" t="s">
        <v>3741</v>
      </c>
      <c r="D1086" s="274" t="s">
        <v>3742</v>
      </c>
      <c r="E1086" s="274" t="s">
        <v>59</v>
      </c>
      <c r="F1086" s="274" t="s">
        <v>199</v>
      </c>
      <c r="G1086" s="274" t="s">
        <v>200</v>
      </c>
      <c r="H1086" s="274" t="s">
        <v>201</v>
      </c>
      <c r="I1086" s="274" t="s">
        <v>5311</v>
      </c>
      <c r="J1086" s="274" t="s">
        <v>6698</v>
      </c>
      <c r="K1086" s="274" t="s">
        <v>3746</v>
      </c>
      <c r="L1086" s="274" t="s">
        <v>5312</v>
      </c>
      <c r="M1086" s="281">
        <v>32400</v>
      </c>
      <c r="N1086" s="280"/>
      <c r="O1086" s="280"/>
      <c r="P1086" s="280"/>
      <c r="Q1086" s="280"/>
      <c r="R1086" s="280">
        <v>32400</v>
      </c>
      <c r="S1086" s="280"/>
      <c r="T1086" s="297"/>
    </row>
    <row r="1087" spans="1:20" x14ac:dyDescent="0.25">
      <c r="A1087" s="274" t="s">
        <v>78</v>
      </c>
      <c r="B1087" s="274" t="s">
        <v>79</v>
      </c>
      <c r="C1087" s="274" t="s">
        <v>3741</v>
      </c>
      <c r="D1087" s="274" t="s">
        <v>3742</v>
      </c>
      <c r="E1087" s="274" t="s">
        <v>59</v>
      </c>
      <c r="F1087" s="274" t="s">
        <v>199</v>
      </c>
      <c r="G1087" s="274" t="s">
        <v>202</v>
      </c>
      <c r="H1087" s="274" t="s">
        <v>203</v>
      </c>
      <c r="I1087" s="274" t="s">
        <v>5313</v>
      </c>
      <c r="J1087" s="274" t="s">
        <v>6699</v>
      </c>
      <c r="K1087" s="274" t="s">
        <v>6589</v>
      </c>
      <c r="L1087" s="274" t="s">
        <v>5314</v>
      </c>
      <c r="M1087" s="281">
        <v>230483.1</v>
      </c>
      <c r="N1087" s="280">
        <v>230483.1</v>
      </c>
      <c r="O1087" s="280"/>
      <c r="P1087" s="280"/>
      <c r="Q1087" s="280"/>
      <c r="R1087" s="280"/>
      <c r="S1087" s="280"/>
      <c r="T1087" s="297"/>
    </row>
    <row r="1088" spans="1:20" x14ac:dyDescent="0.25">
      <c r="A1088" s="274" t="s">
        <v>78</v>
      </c>
      <c r="B1088" s="274" t="s">
        <v>79</v>
      </c>
      <c r="C1088" s="274" t="s">
        <v>3741</v>
      </c>
      <c r="D1088" s="274" t="s">
        <v>3742</v>
      </c>
      <c r="E1088" s="274" t="s">
        <v>59</v>
      </c>
      <c r="F1088" s="274" t="s">
        <v>199</v>
      </c>
      <c r="G1088" s="274" t="s">
        <v>202</v>
      </c>
      <c r="H1088" s="274" t="s">
        <v>203</v>
      </c>
      <c r="I1088" s="274" t="s">
        <v>6414</v>
      </c>
      <c r="J1088" s="274" t="s">
        <v>6699</v>
      </c>
      <c r="K1088" s="274" t="s">
        <v>6589</v>
      </c>
      <c r="L1088" s="274" t="s">
        <v>6415</v>
      </c>
      <c r="M1088" s="281">
        <v>39237.78</v>
      </c>
      <c r="N1088" s="280"/>
      <c r="O1088" s="280"/>
      <c r="P1088" s="280"/>
      <c r="Q1088" s="280"/>
      <c r="R1088" s="280"/>
      <c r="S1088" s="280">
        <v>39237.78</v>
      </c>
      <c r="T1088" s="297"/>
    </row>
    <row r="1089" spans="1:20" x14ac:dyDescent="0.25">
      <c r="A1089" s="274" t="s">
        <v>78</v>
      </c>
      <c r="B1089" s="274" t="s">
        <v>79</v>
      </c>
      <c r="C1089" s="274" t="s">
        <v>3741</v>
      </c>
      <c r="D1089" s="274" t="s">
        <v>3742</v>
      </c>
      <c r="E1089" s="274" t="s">
        <v>59</v>
      </c>
      <c r="F1089" s="274" t="s">
        <v>199</v>
      </c>
      <c r="G1089" s="274" t="s">
        <v>202</v>
      </c>
      <c r="H1089" s="274" t="s">
        <v>203</v>
      </c>
      <c r="I1089" s="274" t="s">
        <v>6416</v>
      </c>
      <c r="J1089" s="274" t="s">
        <v>6699</v>
      </c>
      <c r="K1089" s="274" t="s">
        <v>6590</v>
      </c>
      <c r="L1089" s="274" t="s">
        <v>6417</v>
      </c>
      <c r="M1089" s="281">
        <v>29699.7</v>
      </c>
      <c r="N1089" s="280"/>
      <c r="O1089" s="280"/>
      <c r="P1089" s="280"/>
      <c r="Q1089" s="280"/>
      <c r="R1089" s="280"/>
      <c r="S1089" s="280">
        <v>29699.7</v>
      </c>
      <c r="T1089" s="297"/>
    </row>
    <row r="1090" spans="1:20" x14ac:dyDescent="0.25">
      <c r="A1090" s="274" t="s">
        <v>78</v>
      </c>
      <c r="B1090" s="274" t="s">
        <v>79</v>
      </c>
      <c r="C1090" s="274" t="s">
        <v>3741</v>
      </c>
      <c r="D1090" s="274" t="s">
        <v>3742</v>
      </c>
      <c r="E1090" s="274" t="s">
        <v>59</v>
      </c>
      <c r="F1090" s="274" t="s">
        <v>199</v>
      </c>
      <c r="G1090" s="274" t="s">
        <v>142</v>
      </c>
      <c r="H1090" s="274" t="s">
        <v>143</v>
      </c>
      <c r="I1090" s="274" t="s">
        <v>5315</v>
      </c>
      <c r="J1090" s="274" t="s">
        <v>6700</v>
      </c>
      <c r="K1090" s="274" t="s">
        <v>3746</v>
      </c>
      <c r="L1090" s="274" t="s">
        <v>5064</v>
      </c>
      <c r="M1090" s="281">
        <v>-5400</v>
      </c>
      <c r="N1090" s="280"/>
      <c r="O1090" s="280">
        <v>-5400</v>
      </c>
      <c r="P1090" s="280"/>
      <c r="Q1090" s="280"/>
      <c r="R1090" s="280"/>
      <c r="S1090" s="280"/>
      <c r="T1090" s="297"/>
    </row>
    <row r="1091" spans="1:20" x14ac:dyDescent="0.25">
      <c r="A1091" s="274" t="s">
        <v>78</v>
      </c>
      <c r="B1091" s="274" t="s">
        <v>79</v>
      </c>
      <c r="C1091" s="274" t="s">
        <v>3741</v>
      </c>
      <c r="D1091" s="274" t="s">
        <v>3742</v>
      </c>
      <c r="E1091" s="274" t="s">
        <v>59</v>
      </c>
      <c r="F1091" s="274" t="s">
        <v>199</v>
      </c>
      <c r="G1091" s="274" t="s">
        <v>124</v>
      </c>
      <c r="H1091" s="274" t="s">
        <v>125</v>
      </c>
      <c r="I1091" s="274" t="s">
        <v>5316</v>
      </c>
      <c r="J1091" s="274" t="s">
        <v>6701</v>
      </c>
      <c r="K1091" s="274" t="s">
        <v>3746</v>
      </c>
      <c r="L1091" s="274" t="s">
        <v>5317</v>
      </c>
      <c r="M1091" s="281">
        <v>13122</v>
      </c>
      <c r="N1091" s="280"/>
      <c r="O1091" s="280"/>
      <c r="P1091" s="280">
        <v>13122</v>
      </c>
      <c r="Q1091" s="280"/>
      <c r="R1091" s="280"/>
      <c r="S1091" s="280"/>
      <c r="T1091" s="297"/>
    </row>
    <row r="1092" spans="1:20" x14ac:dyDescent="0.25">
      <c r="A1092" s="274" t="s">
        <v>78</v>
      </c>
      <c r="B1092" s="274" t="s">
        <v>79</v>
      </c>
      <c r="C1092" s="274" t="s">
        <v>3741</v>
      </c>
      <c r="D1092" s="274" t="s">
        <v>3742</v>
      </c>
      <c r="E1092" s="274" t="s">
        <v>59</v>
      </c>
      <c r="F1092" s="274" t="s">
        <v>199</v>
      </c>
      <c r="G1092" s="274" t="s">
        <v>124</v>
      </c>
      <c r="H1092" s="274" t="s">
        <v>125</v>
      </c>
      <c r="I1092" s="274" t="s">
        <v>5318</v>
      </c>
      <c r="J1092" s="274" t="s">
        <v>6701</v>
      </c>
      <c r="K1092" s="274" t="s">
        <v>3746</v>
      </c>
      <c r="L1092" s="274" t="s">
        <v>5317</v>
      </c>
      <c r="M1092" s="281">
        <v>-13122</v>
      </c>
      <c r="N1092" s="280"/>
      <c r="O1092" s="280"/>
      <c r="P1092" s="280">
        <v>-13122</v>
      </c>
      <c r="Q1092" s="280"/>
      <c r="R1092" s="280"/>
      <c r="S1092" s="280"/>
      <c r="T1092" s="297"/>
    </row>
    <row r="1093" spans="1:20" x14ac:dyDescent="0.25">
      <c r="A1093" s="274" t="s">
        <v>78</v>
      </c>
      <c r="B1093" s="274" t="s">
        <v>79</v>
      </c>
      <c r="C1093" s="274" t="s">
        <v>3741</v>
      </c>
      <c r="D1093" s="274" t="s">
        <v>3742</v>
      </c>
      <c r="E1093" s="274" t="s">
        <v>59</v>
      </c>
      <c r="F1093" s="274" t="s">
        <v>199</v>
      </c>
      <c r="G1093" s="274" t="s">
        <v>124</v>
      </c>
      <c r="H1093" s="274" t="s">
        <v>125</v>
      </c>
      <c r="I1093" s="274" t="s">
        <v>5319</v>
      </c>
      <c r="J1093" s="274" t="s">
        <v>6701</v>
      </c>
      <c r="K1093" s="274" t="s">
        <v>3746</v>
      </c>
      <c r="L1093" s="274" t="s">
        <v>5317</v>
      </c>
      <c r="M1093" s="281">
        <v>12515.02</v>
      </c>
      <c r="N1093" s="280"/>
      <c r="O1093" s="280"/>
      <c r="P1093" s="280">
        <v>12515.02</v>
      </c>
      <c r="Q1093" s="280"/>
      <c r="R1093" s="280"/>
      <c r="S1093" s="280"/>
      <c r="T1093" s="297"/>
    </row>
    <row r="1094" spans="1:20" x14ac:dyDescent="0.25">
      <c r="A1094" s="274" t="s">
        <v>78</v>
      </c>
      <c r="B1094" s="274" t="s">
        <v>79</v>
      </c>
      <c r="C1094" s="274" t="s">
        <v>3741</v>
      </c>
      <c r="D1094" s="274" t="s">
        <v>3742</v>
      </c>
      <c r="E1094" s="274" t="s">
        <v>59</v>
      </c>
      <c r="F1094" s="274" t="s">
        <v>199</v>
      </c>
      <c r="G1094" s="274" t="s">
        <v>204</v>
      </c>
      <c r="H1094" s="274" t="s">
        <v>205</v>
      </c>
      <c r="I1094" s="274" t="s">
        <v>5320</v>
      </c>
      <c r="J1094" s="274" t="s">
        <v>6702</v>
      </c>
      <c r="K1094" s="274" t="s">
        <v>3746</v>
      </c>
      <c r="L1094" s="274" t="s">
        <v>5321</v>
      </c>
      <c r="M1094" s="281">
        <v>15726</v>
      </c>
      <c r="N1094" s="280"/>
      <c r="O1094" s="280"/>
      <c r="P1094" s="280">
        <v>15726</v>
      </c>
      <c r="Q1094" s="280"/>
      <c r="R1094" s="280"/>
      <c r="S1094" s="280"/>
      <c r="T1094" s="297"/>
    </row>
    <row r="1095" spans="1:20" x14ac:dyDescent="0.25">
      <c r="A1095" s="274" t="s">
        <v>78</v>
      </c>
      <c r="B1095" s="274" t="s">
        <v>79</v>
      </c>
      <c r="C1095" s="274" t="s">
        <v>3741</v>
      </c>
      <c r="D1095" s="274" t="s">
        <v>3742</v>
      </c>
      <c r="E1095" s="274" t="s">
        <v>59</v>
      </c>
      <c r="F1095" s="274" t="s">
        <v>199</v>
      </c>
      <c r="G1095" s="274" t="s">
        <v>206</v>
      </c>
      <c r="H1095" s="274" t="s">
        <v>207</v>
      </c>
      <c r="I1095" s="274" t="s">
        <v>5322</v>
      </c>
      <c r="J1095" s="274" t="s">
        <v>6703</v>
      </c>
      <c r="K1095" s="274" t="s">
        <v>6546</v>
      </c>
      <c r="L1095" s="274" t="s">
        <v>5323</v>
      </c>
      <c r="M1095" s="281">
        <v>10097.1</v>
      </c>
      <c r="N1095" s="280"/>
      <c r="O1095" s="280"/>
      <c r="P1095" s="280"/>
      <c r="Q1095" s="280">
        <v>10097.1</v>
      </c>
      <c r="R1095" s="280"/>
      <c r="S1095" s="280"/>
      <c r="T1095" s="297"/>
    </row>
    <row r="1096" spans="1:20" x14ac:dyDescent="0.25">
      <c r="A1096" s="274" t="s">
        <v>78</v>
      </c>
      <c r="B1096" s="274" t="s">
        <v>79</v>
      </c>
      <c r="C1096" s="274" t="s">
        <v>3741</v>
      </c>
      <c r="D1096" s="274" t="s">
        <v>3742</v>
      </c>
      <c r="E1096" s="274" t="s">
        <v>59</v>
      </c>
      <c r="F1096" s="274" t="s">
        <v>199</v>
      </c>
      <c r="G1096" s="274" t="s">
        <v>206</v>
      </c>
      <c r="H1096" s="274" t="s">
        <v>207</v>
      </c>
      <c r="I1096" s="274" t="s">
        <v>5324</v>
      </c>
      <c r="J1096" s="274" t="s">
        <v>6703</v>
      </c>
      <c r="K1096" s="274" t="s">
        <v>3746</v>
      </c>
      <c r="L1096" s="274" t="s">
        <v>5325</v>
      </c>
      <c r="M1096" s="281">
        <v>2631.6</v>
      </c>
      <c r="N1096" s="280"/>
      <c r="O1096" s="280"/>
      <c r="P1096" s="280"/>
      <c r="Q1096" s="280">
        <v>2631.6</v>
      </c>
      <c r="R1096" s="280"/>
      <c r="S1096" s="280"/>
      <c r="T1096" s="297"/>
    </row>
    <row r="1097" spans="1:20" x14ac:dyDescent="0.25">
      <c r="A1097" s="274" t="s">
        <v>78</v>
      </c>
      <c r="B1097" s="274" t="s">
        <v>79</v>
      </c>
      <c r="C1097" s="274" t="s">
        <v>3741</v>
      </c>
      <c r="D1097" s="274" t="s">
        <v>3742</v>
      </c>
      <c r="E1097" s="274" t="s">
        <v>59</v>
      </c>
      <c r="F1097" s="274" t="s">
        <v>199</v>
      </c>
      <c r="G1097" s="274" t="s">
        <v>206</v>
      </c>
      <c r="H1097" s="274" t="s">
        <v>207</v>
      </c>
      <c r="I1097" s="274" t="s">
        <v>5326</v>
      </c>
      <c r="J1097" s="274" t="s">
        <v>6703</v>
      </c>
      <c r="K1097" s="274" t="s">
        <v>6546</v>
      </c>
      <c r="L1097" s="274" t="s">
        <v>5323</v>
      </c>
      <c r="M1097" s="281">
        <v>-7994.7</v>
      </c>
      <c r="N1097" s="280"/>
      <c r="O1097" s="280"/>
      <c r="P1097" s="280"/>
      <c r="Q1097" s="280"/>
      <c r="R1097" s="280">
        <v>-7994.7</v>
      </c>
      <c r="S1097" s="280"/>
      <c r="T1097" s="297"/>
    </row>
    <row r="1098" spans="1:20" x14ac:dyDescent="0.25">
      <c r="A1098" s="274" t="s">
        <v>78</v>
      </c>
      <c r="B1098" s="274" t="s">
        <v>79</v>
      </c>
      <c r="C1098" s="274" t="s">
        <v>3741</v>
      </c>
      <c r="D1098" s="274" t="s">
        <v>3742</v>
      </c>
      <c r="E1098" s="274" t="s">
        <v>59</v>
      </c>
      <c r="F1098" s="274" t="s">
        <v>199</v>
      </c>
      <c r="G1098" s="274" t="s">
        <v>206</v>
      </c>
      <c r="H1098" s="274" t="s">
        <v>207</v>
      </c>
      <c r="I1098" s="274" t="s">
        <v>5327</v>
      </c>
      <c r="J1098" s="274" t="s">
        <v>6703</v>
      </c>
      <c r="K1098" s="274" t="s">
        <v>3746</v>
      </c>
      <c r="L1098" s="274" t="s">
        <v>5328</v>
      </c>
      <c r="M1098" s="281">
        <v>-2631.6</v>
      </c>
      <c r="N1098" s="280"/>
      <c r="O1098" s="280"/>
      <c r="P1098" s="280"/>
      <c r="Q1098" s="280"/>
      <c r="R1098" s="280">
        <v>-2631.6</v>
      </c>
      <c r="S1098" s="280"/>
      <c r="T1098" s="297"/>
    </row>
    <row r="1099" spans="1:20" x14ac:dyDescent="0.25">
      <c r="A1099" s="274" t="s">
        <v>78</v>
      </c>
      <c r="B1099" s="274" t="s">
        <v>79</v>
      </c>
      <c r="C1099" s="274" t="s">
        <v>3741</v>
      </c>
      <c r="D1099" s="274" t="s">
        <v>3742</v>
      </c>
      <c r="E1099" s="274" t="s">
        <v>59</v>
      </c>
      <c r="F1099" s="274" t="s">
        <v>199</v>
      </c>
      <c r="G1099" s="274" t="s">
        <v>208</v>
      </c>
      <c r="H1099" s="274" t="s">
        <v>209</v>
      </c>
      <c r="I1099" s="274" t="s">
        <v>5329</v>
      </c>
      <c r="J1099" s="274" t="s">
        <v>6704</v>
      </c>
      <c r="K1099" s="274" t="s">
        <v>3746</v>
      </c>
      <c r="L1099" s="274" t="s">
        <v>5330</v>
      </c>
      <c r="M1099" s="281">
        <v>2212.5</v>
      </c>
      <c r="N1099" s="280">
        <v>2212.5</v>
      </c>
      <c r="O1099" s="280"/>
      <c r="P1099" s="280"/>
      <c r="Q1099" s="280"/>
      <c r="R1099" s="280"/>
      <c r="S1099" s="280"/>
      <c r="T1099" s="297"/>
    </row>
    <row r="1100" spans="1:20" x14ac:dyDescent="0.25">
      <c r="A1100" s="274" t="s">
        <v>78</v>
      </c>
      <c r="B1100" s="274" t="s">
        <v>79</v>
      </c>
      <c r="C1100" s="274" t="s">
        <v>3741</v>
      </c>
      <c r="D1100" s="274" t="s">
        <v>3742</v>
      </c>
      <c r="E1100" s="274" t="s">
        <v>59</v>
      </c>
      <c r="F1100" s="274" t="s">
        <v>199</v>
      </c>
      <c r="G1100" s="274" t="s">
        <v>208</v>
      </c>
      <c r="H1100" s="274" t="s">
        <v>209</v>
      </c>
      <c r="I1100" s="274" t="s">
        <v>5331</v>
      </c>
      <c r="J1100" s="274" t="s">
        <v>6704</v>
      </c>
      <c r="K1100" s="274" t="s">
        <v>3746</v>
      </c>
      <c r="L1100" s="274" t="s">
        <v>5332</v>
      </c>
      <c r="M1100" s="281">
        <v>2212.5</v>
      </c>
      <c r="N1100" s="280"/>
      <c r="O1100" s="280">
        <v>2212.5</v>
      </c>
      <c r="P1100" s="280"/>
      <c r="Q1100" s="280"/>
      <c r="R1100" s="280"/>
      <c r="S1100" s="280"/>
      <c r="T1100" s="297"/>
    </row>
    <row r="1101" spans="1:20" x14ac:dyDescent="0.25">
      <c r="A1101" s="274" t="s">
        <v>78</v>
      </c>
      <c r="B1101" s="274" t="s">
        <v>79</v>
      </c>
      <c r="C1101" s="274" t="s">
        <v>3741</v>
      </c>
      <c r="D1101" s="274" t="s">
        <v>3742</v>
      </c>
      <c r="E1101" s="274" t="s">
        <v>59</v>
      </c>
      <c r="F1101" s="274" t="s">
        <v>199</v>
      </c>
      <c r="G1101" s="274" t="s">
        <v>208</v>
      </c>
      <c r="H1101" s="274" t="s">
        <v>209</v>
      </c>
      <c r="I1101" s="274" t="s">
        <v>5333</v>
      </c>
      <c r="J1101" s="274" t="s">
        <v>6704</v>
      </c>
      <c r="K1101" s="274" t="s">
        <v>3746</v>
      </c>
      <c r="L1101" s="274" t="s">
        <v>5334</v>
      </c>
      <c r="M1101" s="281">
        <v>2212.5</v>
      </c>
      <c r="N1101" s="280"/>
      <c r="O1101" s="280"/>
      <c r="P1101" s="280">
        <v>2212.5</v>
      </c>
      <c r="Q1101" s="280"/>
      <c r="R1101" s="280"/>
      <c r="S1101" s="280"/>
      <c r="T1101" s="297"/>
    </row>
    <row r="1102" spans="1:20" x14ac:dyDescent="0.25">
      <c r="A1102" s="274" t="s">
        <v>78</v>
      </c>
      <c r="B1102" s="274" t="s">
        <v>79</v>
      </c>
      <c r="C1102" s="274" t="s">
        <v>3741</v>
      </c>
      <c r="D1102" s="274" t="s">
        <v>3742</v>
      </c>
      <c r="E1102" s="274" t="s">
        <v>59</v>
      </c>
      <c r="F1102" s="274" t="s">
        <v>199</v>
      </c>
      <c r="G1102" s="274" t="s">
        <v>208</v>
      </c>
      <c r="H1102" s="274" t="s">
        <v>209</v>
      </c>
      <c r="I1102" s="274" t="s">
        <v>5335</v>
      </c>
      <c r="J1102" s="274" t="s">
        <v>6704</v>
      </c>
      <c r="K1102" s="274" t="s">
        <v>3746</v>
      </c>
      <c r="L1102" s="274" t="s">
        <v>5336</v>
      </c>
      <c r="M1102" s="281">
        <v>2212.5</v>
      </c>
      <c r="N1102" s="280"/>
      <c r="O1102" s="280"/>
      <c r="P1102" s="280"/>
      <c r="Q1102" s="280">
        <v>2212.5</v>
      </c>
      <c r="R1102" s="280"/>
      <c r="S1102" s="280"/>
      <c r="T1102" s="297"/>
    </row>
    <row r="1103" spans="1:20" x14ac:dyDescent="0.25">
      <c r="A1103" s="274" t="s">
        <v>78</v>
      </c>
      <c r="B1103" s="274" t="s">
        <v>79</v>
      </c>
      <c r="C1103" s="274" t="s">
        <v>3741</v>
      </c>
      <c r="D1103" s="274" t="s">
        <v>3742</v>
      </c>
      <c r="E1103" s="274" t="s">
        <v>59</v>
      </c>
      <c r="F1103" s="274" t="s">
        <v>199</v>
      </c>
      <c r="G1103" s="274" t="s">
        <v>208</v>
      </c>
      <c r="H1103" s="274" t="s">
        <v>209</v>
      </c>
      <c r="I1103" s="274" t="s">
        <v>5337</v>
      </c>
      <c r="J1103" s="274" t="s">
        <v>6704</v>
      </c>
      <c r="K1103" s="274" t="s">
        <v>3746</v>
      </c>
      <c r="L1103" s="274" t="s">
        <v>5338</v>
      </c>
      <c r="M1103" s="281">
        <v>2212.5</v>
      </c>
      <c r="N1103" s="280"/>
      <c r="O1103" s="280"/>
      <c r="P1103" s="280"/>
      <c r="Q1103" s="280"/>
      <c r="R1103" s="280">
        <v>2212.5</v>
      </c>
      <c r="S1103" s="280"/>
      <c r="T1103" s="297"/>
    </row>
    <row r="1104" spans="1:20" x14ac:dyDescent="0.25">
      <c r="A1104" s="274" t="s">
        <v>78</v>
      </c>
      <c r="B1104" s="274" t="s">
        <v>79</v>
      </c>
      <c r="C1104" s="274" t="s">
        <v>3741</v>
      </c>
      <c r="D1104" s="274" t="s">
        <v>3742</v>
      </c>
      <c r="E1104" s="274" t="s">
        <v>59</v>
      </c>
      <c r="F1104" s="274" t="s">
        <v>199</v>
      </c>
      <c r="G1104" s="274" t="s">
        <v>208</v>
      </c>
      <c r="H1104" s="274" t="s">
        <v>209</v>
      </c>
      <c r="I1104" s="274" t="s">
        <v>6418</v>
      </c>
      <c r="J1104" s="274" t="s">
        <v>6704</v>
      </c>
      <c r="K1104" s="274" t="s">
        <v>3746</v>
      </c>
      <c r="L1104" s="274" t="s">
        <v>6419</v>
      </c>
      <c r="M1104" s="281">
        <v>2212.5</v>
      </c>
      <c r="N1104" s="280"/>
      <c r="O1104" s="280"/>
      <c r="P1104" s="280"/>
      <c r="Q1104" s="280"/>
      <c r="R1104" s="280"/>
      <c r="S1104" s="280">
        <v>2212.5</v>
      </c>
      <c r="T1104" s="297"/>
    </row>
    <row r="1105" spans="1:20" x14ac:dyDescent="0.25">
      <c r="A1105" s="274" t="s">
        <v>78</v>
      </c>
      <c r="B1105" s="274" t="s">
        <v>79</v>
      </c>
      <c r="C1105" s="274" t="s">
        <v>3741</v>
      </c>
      <c r="D1105" s="274" t="s">
        <v>3742</v>
      </c>
      <c r="E1105" s="274" t="s">
        <v>59</v>
      </c>
      <c r="F1105" s="274" t="s">
        <v>199</v>
      </c>
      <c r="G1105" s="274" t="s">
        <v>96</v>
      </c>
      <c r="H1105" s="274" t="s">
        <v>97</v>
      </c>
      <c r="I1105" s="274" t="s">
        <v>5339</v>
      </c>
      <c r="J1105" s="274" t="s">
        <v>6705</v>
      </c>
      <c r="K1105" s="274" t="s">
        <v>3746</v>
      </c>
      <c r="L1105" s="274" t="s">
        <v>5340</v>
      </c>
      <c r="M1105" s="281">
        <v>1938</v>
      </c>
      <c r="N1105" s="280">
        <v>1938</v>
      </c>
      <c r="O1105" s="280"/>
      <c r="P1105" s="280"/>
      <c r="Q1105" s="280"/>
      <c r="R1105" s="280"/>
      <c r="S1105" s="280"/>
      <c r="T1105" s="297"/>
    </row>
    <row r="1106" spans="1:20" x14ac:dyDescent="0.25">
      <c r="A1106" s="274" t="s">
        <v>78</v>
      </c>
      <c r="B1106" s="274" t="s">
        <v>79</v>
      </c>
      <c r="C1106" s="274" t="s">
        <v>3741</v>
      </c>
      <c r="D1106" s="274" t="s">
        <v>3742</v>
      </c>
      <c r="E1106" s="274" t="s">
        <v>59</v>
      </c>
      <c r="F1106" s="274" t="s">
        <v>199</v>
      </c>
      <c r="G1106" s="274" t="s">
        <v>96</v>
      </c>
      <c r="H1106" s="274" t="s">
        <v>97</v>
      </c>
      <c r="I1106" s="274" t="s">
        <v>5341</v>
      </c>
      <c r="J1106" s="274" t="s">
        <v>6706</v>
      </c>
      <c r="K1106" s="274" t="s">
        <v>3746</v>
      </c>
      <c r="L1106" s="274" t="s">
        <v>5342</v>
      </c>
      <c r="M1106" s="281">
        <v>1010.88</v>
      </c>
      <c r="N1106" s="280"/>
      <c r="O1106" s="280"/>
      <c r="P1106" s="280">
        <v>1010.88</v>
      </c>
      <c r="Q1106" s="280"/>
      <c r="R1106" s="280"/>
      <c r="S1106" s="280"/>
      <c r="T1106" s="297"/>
    </row>
    <row r="1107" spans="1:20" x14ac:dyDescent="0.25">
      <c r="A1107" s="274" t="s">
        <v>78</v>
      </c>
      <c r="B1107" s="274" t="s">
        <v>79</v>
      </c>
      <c r="C1107" s="274" t="s">
        <v>3741</v>
      </c>
      <c r="D1107" s="274" t="s">
        <v>3742</v>
      </c>
      <c r="E1107" s="274" t="s">
        <v>59</v>
      </c>
      <c r="F1107" s="274" t="s">
        <v>199</v>
      </c>
      <c r="G1107" s="274" t="s">
        <v>96</v>
      </c>
      <c r="H1107" s="274" t="s">
        <v>97</v>
      </c>
      <c r="I1107" s="274" t="s">
        <v>5343</v>
      </c>
      <c r="J1107" s="274" t="s">
        <v>6707</v>
      </c>
      <c r="K1107" s="274" t="s">
        <v>3746</v>
      </c>
      <c r="L1107" s="274" t="s">
        <v>5344</v>
      </c>
      <c r="M1107" s="281">
        <v>1010.88</v>
      </c>
      <c r="N1107" s="280"/>
      <c r="O1107" s="280"/>
      <c r="P1107" s="280">
        <v>1010.88</v>
      </c>
      <c r="Q1107" s="280"/>
      <c r="R1107" s="280"/>
      <c r="S1107" s="280"/>
      <c r="T1107" s="297"/>
    </row>
    <row r="1108" spans="1:20" x14ac:dyDescent="0.25">
      <c r="A1108" s="274" t="s">
        <v>78</v>
      </c>
      <c r="B1108" s="274" t="s">
        <v>79</v>
      </c>
      <c r="C1108" s="274" t="s">
        <v>3741</v>
      </c>
      <c r="D1108" s="274" t="s">
        <v>3742</v>
      </c>
      <c r="E1108" s="274" t="s">
        <v>59</v>
      </c>
      <c r="F1108" s="274" t="s">
        <v>199</v>
      </c>
      <c r="G1108" s="274" t="s">
        <v>96</v>
      </c>
      <c r="H1108" s="274" t="s">
        <v>97</v>
      </c>
      <c r="I1108" s="274" t="s">
        <v>5345</v>
      </c>
      <c r="J1108" s="274" t="s">
        <v>6708</v>
      </c>
      <c r="K1108" s="274" t="s">
        <v>3746</v>
      </c>
      <c r="L1108" s="274" t="s">
        <v>5346</v>
      </c>
      <c r="M1108" s="281">
        <v>1010.88</v>
      </c>
      <c r="N1108" s="280"/>
      <c r="O1108" s="280"/>
      <c r="P1108" s="280">
        <v>1010.88</v>
      </c>
      <c r="Q1108" s="280"/>
      <c r="R1108" s="280"/>
      <c r="S1108" s="280"/>
      <c r="T1108" s="297"/>
    </row>
    <row r="1109" spans="1:20" x14ac:dyDescent="0.25">
      <c r="A1109" s="274" t="s">
        <v>78</v>
      </c>
      <c r="B1109" s="274" t="s">
        <v>79</v>
      </c>
      <c r="C1109" s="274" t="s">
        <v>3741</v>
      </c>
      <c r="D1109" s="274" t="s">
        <v>3742</v>
      </c>
      <c r="E1109" s="274" t="s">
        <v>59</v>
      </c>
      <c r="F1109" s="274" t="s">
        <v>199</v>
      </c>
      <c r="G1109" s="274" t="s">
        <v>210</v>
      </c>
      <c r="H1109" s="274" t="s">
        <v>211</v>
      </c>
      <c r="I1109" s="274" t="s">
        <v>5347</v>
      </c>
      <c r="J1109" s="274" t="s">
        <v>6709</v>
      </c>
      <c r="K1109" s="274" t="s">
        <v>3746</v>
      </c>
      <c r="L1109" s="274" t="s">
        <v>5348</v>
      </c>
      <c r="M1109" s="281">
        <v>27000</v>
      </c>
      <c r="N1109" s="280">
        <v>27000</v>
      </c>
      <c r="O1109" s="280"/>
      <c r="P1109" s="280"/>
      <c r="Q1109" s="280"/>
      <c r="R1109" s="280"/>
      <c r="S1109" s="280"/>
      <c r="T1109" s="297"/>
    </row>
    <row r="1110" spans="1:20" x14ac:dyDescent="0.25">
      <c r="A1110" s="274" t="s">
        <v>78</v>
      </c>
      <c r="B1110" s="274" t="s">
        <v>79</v>
      </c>
      <c r="C1110" s="274" t="s">
        <v>3741</v>
      </c>
      <c r="D1110" s="274" t="s">
        <v>3742</v>
      </c>
      <c r="E1110" s="274" t="s">
        <v>59</v>
      </c>
      <c r="F1110" s="274" t="s">
        <v>199</v>
      </c>
      <c r="G1110" s="274" t="s">
        <v>146</v>
      </c>
      <c r="H1110" s="274" t="s">
        <v>147</v>
      </c>
      <c r="I1110" s="274" t="s">
        <v>5349</v>
      </c>
      <c r="J1110" s="274" t="s">
        <v>6710</v>
      </c>
      <c r="K1110" s="274" t="s">
        <v>3746</v>
      </c>
      <c r="L1110" s="274" t="s">
        <v>5350</v>
      </c>
      <c r="M1110" s="281">
        <v>4340</v>
      </c>
      <c r="N1110" s="280">
        <v>4340</v>
      </c>
      <c r="O1110" s="280"/>
      <c r="P1110" s="280"/>
      <c r="Q1110" s="280"/>
      <c r="R1110" s="280"/>
      <c r="S1110" s="280"/>
      <c r="T1110" s="297"/>
    </row>
    <row r="1111" spans="1:20" x14ac:dyDescent="0.25">
      <c r="A1111" s="274" t="s">
        <v>78</v>
      </c>
      <c r="B1111" s="274" t="s">
        <v>79</v>
      </c>
      <c r="C1111" s="274" t="s">
        <v>3741</v>
      </c>
      <c r="D1111" s="274" t="s">
        <v>3742</v>
      </c>
      <c r="E1111" s="274" t="s">
        <v>59</v>
      </c>
      <c r="F1111" s="274" t="s">
        <v>199</v>
      </c>
      <c r="G1111" s="274" t="s">
        <v>146</v>
      </c>
      <c r="H1111" s="274" t="s">
        <v>147</v>
      </c>
      <c r="I1111" s="274" t="s">
        <v>5351</v>
      </c>
      <c r="J1111" s="274" t="s">
        <v>6710</v>
      </c>
      <c r="K1111" s="274" t="s">
        <v>3746</v>
      </c>
      <c r="L1111" s="274" t="s">
        <v>5352</v>
      </c>
      <c r="M1111" s="281">
        <v>4090</v>
      </c>
      <c r="N1111" s="280"/>
      <c r="O1111" s="280">
        <v>4090</v>
      </c>
      <c r="P1111" s="280"/>
      <c r="Q1111" s="280"/>
      <c r="R1111" s="280"/>
      <c r="S1111" s="280"/>
      <c r="T1111" s="297"/>
    </row>
    <row r="1112" spans="1:20" x14ac:dyDescent="0.25">
      <c r="A1112" s="274" t="s">
        <v>78</v>
      </c>
      <c r="B1112" s="274" t="s">
        <v>79</v>
      </c>
      <c r="C1112" s="274" t="s">
        <v>3741</v>
      </c>
      <c r="D1112" s="274" t="s">
        <v>3742</v>
      </c>
      <c r="E1112" s="274" t="s">
        <v>59</v>
      </c>
      <c r="F1112" s="274" t="s">
        <v>199</v>
      </c>
      <c r="G1112" s="274" t="s">
        <v>146</v>
      </c>
      <c r="H1112" s="274" t="s">
        <v>147</v>
      </c>
      <c r="I1112" s="274" t="s">
        <v>5353</v>
      </c>
      <c r="J1112" s="274" t="s">
        <v>6710</v>
      </c>
      <c r="K1112" s="274" t="s">
        <v>3746</v>
      </c>
      <c r="L1112" s="274" t="s">
        <v>5354</v>
      </c>
      <c r="M1112" s="281">
        <v>7430</v>
      </c>
      <c r="N1112" s="280"/>
      <c r="O1112" s="280"/>
      <c r="P1112" s="280"/>
      <c r="Q1112" s="280">
        <v>7430</v>
      </c>
      <c r="R1112" s="280"/>
      <c r="S1112" s="280"/>
      <c r="T1112" s="297"/>
    </row>
    <row r="1113" spans="1:20" x14ac:dyDescent="0.25">
      <c r="A1113" s="274" t="s">
        <v>78</v>
      </c>
      <c r="B1113" s="274" t="s">
        <v>79</v>
      </c>
      <c r="C1113" s="274" t="s">
        <v>3741</v>
      </c>
      <c r="D1113" s="274" t="s">
        <v>3742</v>
      </c>
      <c r="E1113" s="274" t="s">
        <v>59</v>
      </c>
      <c r="F1113" s="274" t="s">
        <v>199</v>
      </c>
      <c r="G1113" s="274" t="s">
        <v>146</v>
      </c>
      <c r="H1113" s="274" t="s">
        <v>147</v>
      </c>
      <c r="I1113" s="274" t="s">
        <v>6420</v>
      </c>
      <c r="J1113" s="274" t="s">
        <v>6710</v>
      </c>
      <c r="K1113" s="274" t="s">
        <v>3746</v>
      </c>
      <c r="L1113" s="274" t="s">
        <v>6421</v>
      </c>
      <c r="M1113" s="281">
        <v>7629</v>
      </c>
      <c r="N1113" s="280"/>
      <c r="O1113" s="280"/>
      <c r="P1113" s="280"/>
      <c r="Q1113" s="280"/>
      <c r="R1113" s="280"/>
      <c r="S1113" s="280">
        <v>7629</v>
      </c>
      <c r="T1113" s="297"/>
    </row>
    <row r="1114" spans="1:20" x14ac:dyDescent="0.25">
      <c r="A1114" s="274" t="s">
        <v>78</v>
      </c>
      <c r="B1114" s="274" t="s">
        <v>79</v>
      </c>
      <c r="C1114" s="274" t="s">
        <v>3741</v>
      </c>
      <c r="D1114" s="274" t="s">
        <v>3742</v>
      </c>
      <c r="E1114" s="274" t="s">
        <v>59</v>
      </c>
      <c r="F1114" s="274" t="s">
        <v>199</v>
      </c>
      <c r="G1114" s="274" t="s">
        <v>146</v>
      </c>
      <c r="H1114" s="274" t="s">
        <v>147</v>
      </c>
      <c r="I1114" s="274" t="s">
        <v>6422</v>
      </c>
      <c r="J1114" s="274" t="s">
        <v>6710</v>
      </c>
      <c r="K1114" s="274" t="s">
        <v>3746</v>
      </c>
      <c r="L1114" s="274" t="s">
        <v>6423</v>
      </c>
      <c r="M1114" s="281">
        <v>1000</v>
      </c>
      <c r="N1114" s="280"/>
      <c r="O1114" s="280"/>
      <c r="P1114" s="280"/>
      <c r="Q1114" s="280"/>
      <c r="R1114" s="280"/>
      <c r="S1114" s="280">
        <v>1000</v>
      </c>
      <c r="T1114" s="297"/>
    </row>
    <row r="1115" spans="1:20" x14ac:dyDescent="0.25">
      <c r="A1115" s="274" t="s">
        <v>78</v>
      </c>
      <c r="B1115" s="274" t="s">
        <v>79</v>
      </c>
      <c r="C1115" s="274" t="s">
        <v>3741</v>
      </c>
      <c r="D1115" s="274" t="s">
        <v>3742</v>
      </c>
      <c r="E1115" s="274" t="s">
        <v>59</v>
      </c>
      <c r="F1115" s="274" t="s">
        <v>199</v>
      </c>
      <c r="G1115" s="274" t="s">
        <v>146</v>
      </c>
      <c r="H1115" s="274" t="s">
        <v>147</v>
      </c>
      <c r="I1115" s="274" t="s">
        <v>6424</v>
      </c>
      <c r="J1115" s="274" t="s">
        <v>6710</v>
      </c>
      <c r="K1115" s="274" t="s">
        <v>3746</v>
      </c>
      <c r="L1115" s="274" t="s">
        <v>6425</v>
      </c>
      <c r="M1115" s="281">
        <v>6865</v>
      </c>
      <c r="N1115" s="280"/>
      <c r="O1115" s="280"/>
      <c r="P1115" s="280"/>
      <c r="Q1115" s="280"/>
      <c r="R1115" s="280"/>
      <c r="S1115" s="280">
        <v>6865</v>
      </c>
      <c r="T1115" s="297"/>
    </row>
    <row r="1116" spans="1:20" x14ac:dyDescent="0.25">
      <c r="A1116" s="274" t="s">
        <v>78</v>
      </c>
      <c r="B1116" s="274" t="s">
        <v>79</v>
      </c>
      <c r="C1116" s="274" t="s">
        <v>3741</v>
      </c>
      <c r="D1116" s="274" t="s">
        <v>3742</v>
      </c>
      <c r="E1116" s="274" t="s">
        <v>59</v>
      </c>
      <c r="F1116" s="274" t="s">
        <v>199</v>
      </c>
      <c r="G1116" s="274" t="s">
        <v>212</v>
      </c>
      <c r="H1116" s="274" t="s">
        <v>213</v>
      </c>
      <c r="I1116" s="274" t="s">
        <v>5355</v>
      </c>
      <c r="J1116" s="274" t="s">
        <v>6711</v>
      </c>
      <c r="K1116" s="274" t="s">
        <v>3746</v>
      </c>
      <c r="L1116" s="274" t="s">
        <v>5356</v>
      </c>
      <c r="M1116" s="281">
        <v>7950</v>
      </c>
      <c r="N1116" s="280"/>
      <c r="O1116" s="280">
        <v>7950</v>
      </c>
      <c r="P1116" s="280"/>
      <c r="Q1116" s="280"/>
      <c r="R1116" s="280"/>
      <c r="S1116" s="280"/>
      <c r="T1116" s="297"/>
    </row>
    <row r="1117" spans="1:20" x14ac:dyDescent="0.25">
      <c r="A1117" s="274" t="s">
        <v>78</v>
      </c>
      <c r="B1117" s="274" t="s">
        <v>79</v>
      </c>
      <c r="C1117" s="274" t="s">
        <v>3741</v>
      </c>
      <c r="D1117" s="274" t="s">
        <v>3742</v>
      </c>
      <c r="E1117" s="274" t="s">
        <v>59</v>
      </c>
      <c r="F1117" s="274" t="s">
        <v>199</v>
      </c>
      <c r="G1117" s="274" t="s">
        <v>214</v>
      </c>
      <c r="H1117" s="274" t="s">
        <v>215</v>
      </c>
      <c r="I1117" s="274" t="s">
        <v>5357</v>
      </c>
      <c r="J1117" s="274" t="s">
        <v>6712</v>
      </c>
      <c r="K1117" s="274" t="s">
        <v>6506</v>
      </c>
      <c r="L1117" s="274" t="s">
        <v>5358</v>
      </c>
      <c r="M1117" s="281">
        <v>72888.240000000005</v>
      </c>
      <c r="N1117" s="280"/>
      <c r="O1117" s="280"/>
      <c r="P1117" s="280">
        <v>72888.240000000005</v>
      </c>
      <c r="Q1117" s="280"/>
      <c r="R1117" s="280"/>
      <c r="S1117" s="280"/>
      <c r="T1117" s="297"/>
    </row>
    <row r="1118" spans="1:20" x14ac:dyDescent="0.25">
      <c r="A1118" s="274" t="s">
        <v>78</v>
      </c>
      <c r="B1118" s="274" t="s">
        <v>79</v>
      </c>
      <c r="C1118" s="274" t="s">
        <v>3741</v>
      </c>
      <c r="D1118" s="274" t="s">
        <v>3742</v>
      </c>
      <c r="E1118" s="274" t="s">
        <v>59</v>
      </c>
      <c r="F1118" s="274" t="s">
        <v>199</v>
      </c>
      <c r="G1118" s="274" t="s">
        <v>214</v>
      </c>
      <c r="H1118" s="274" t="s">
        <v>215</v>
      </c>
      <c r="I1118" s="274" t="s">
        <v>6426</v>
      </c>
      <c r="J1118" s="274" t="s">
        <v>6712</v>
      </c>
      <c r="K1118" s="274" t="s">
        <v>6546</v>
      </c>
      <c r="L1118" s="274" t="s">
        <v>6427</v>
      </c>
      <c r="M1118" s="281">
        <v>72888.240000000005</v>
      </c>
      <c r="N1118" s="280"/>
      <c r="O1118" s="280"/>
      <c r="P1118" s="280"/>
      <c r="Q1118" s="280"/>
      <c r="R1118" s="280"/>
      <c r="S1118" s="280">
        <v>72888.240000000005</v>
      </c>
      <c r="T1118" s="297"/>
    </row>
    <row r="1119" spans="1:20" x14ac:dyDescent="0.25">
      <c r="A1119" s="274" t="s">
        <v>78</v>
      </c>
      <c r="B1119" s="274" t="s">
        <v>79</v>
      </c>
      <c r="C1119" s="274" t="s">
        <v>3741</v>
      </c>
      <c r="D1119" s="274" t="s">
        <v>3742</v>
      </c>
      <c r="E1119" s="274" t="s">
        <v>59</v>
      </c>
      <c r="F1119" s="274" t="s">
        <v>199</v>
      </c>
      <c r="G1119" s="274" t="s">
        <v>216</v>
      </c>
      <c r="H1119" s="274" t="s">
        <v>217</v>
      </c>
      <c r="I1119" s="274" t="s">
        <v>5359</v>
      </c>
      <c r="J1119" s="274" t="s">
        <v>6713</v>
      </c>
      <c r="K1119" s="274" t="s">
        <v>3746</v>
      </c>
      <c r="L1119" s="274" t="s">
        <v>5360</v>
      </c>
      <c r="M1119" s="281">
        <v>893.6</v>
      </c>
      <c r="N1119" s="280">
        <v>893.6</v>
      </c>
      <c r="O1119" s="280"/>
      <c r="P1119" s="280"/>
      <c r="Q1119" s="280"/>
      <c r="R1119" s="280"/>
      <c r="S1119" s="280"/>
      <c r="T1119" s="297"/>
    </row>
    <row r="1120" spans="1:20" x14ac:dyDescent="0.25">
      <c r="A1120" s="274" t="s">
        <v>78</v>
      </c>
      <c r="B1120" s="274" t="s">
        <v>79</v>
      </c>
      <c r="C1120" s="274" t="s">
        <v>3741</v>
      </c>
      <c r="D1120" s="274" t="s">
        <v>3742</v>
      </c>
      <c r="E1120" s="274" t="s">
        <v>59</v>
      </c>
      <c r="F1120" s="274" t="s">
        <v>199</v>
      </c>
      <c r="G1120" s="274" t="s">
        <v>216</v>
      </c>
      <c r="H1120" s="274" t="s">
        <v>217</v>
      </c>
      <c r="I1120" s="274" t="s">
        <v>5361</v>
      </c>
      <c r="J1120" s="274" t="s">
        <v>6713</v>
      </c>
      <c r="K1120" s="274" t="s">
        <v>3746</v>
      </c>
      <c r="L1120" s="274" t="s">
        <v>5362</v>
      </c>
      <c r="M1120" s="281">
        <v>6000</v>
      </c>
      <c r="N1120" s="280">
        <v>6000</v>
      </c>
      <c r="O1120" s="280"/>
      <c r="P1120" s="280"/>
      <c r="Q1120" s="280"/>
      <c r="R1120" s="280"/>
      <c r="S1120" s="280"/>
      <c r="T1120" s="297"/>
    </row>
    <row r="1121" spans="1:20" x14ac:dyDescent="0.25">
      <c r="A1121" s="274" t="s">
        <v>78</v>
      </c>
      <c r="B1121" s="274" t="s">
        <v>79</v>
      </c>
      <c r="C1121" s="274" t="s">
        <v>3741</v>
      </c>
      <c r="D1121" s="274" t="s">
        <v>3742</v>
      </c>
      <c r="E1121" s="274" t="s">
        <v>59</v>
      </c>
      <c r="F1121" s="274" t="s">
        <v>199</v>
      </c>
      <c r="G1121" s="274" t="s">
        <v>216</v>
      </c>
      <c r="H1121" s="274" t="s">
        <v>217</v>
      </c>
      <c r="I1121" s="274" t="s">
        <v>5363</v>
      </c>
      <c r="J1121" s="274" t="s">
        <v>6713</v>
      </c>
      <c r="K1121" s="274" t="s">
        <v>3746</v>
      </c>
      <c r="L1121" s="274" t="s">
        <v>5362</v>
      </c>
      <c r="M1121" s="281">
        <v>1217.77</v>
      </c>
      <c r="N1121" s="280"/>
      <c r="O1121" s="280">
        <v>1217.77</v>
      </c>
      <c r="P1121" s="280"/>
      <c r="Q1121" s="280"/>
      <c r="R1121" s="280"/>
      <c r="S1121" s="280"/>
      <c r="T1121" s="297"/>
    </row>
    <row r="1122" spans="1:20" x14ac:dyDescent="0.25">
      <c r="A1122" s="274" t="s">
        <v>78</v>
      </c>
      <c r="B1122" s="274" t="s">
        <v>79</v>
      </c>
      <c r="C1122" s="274" t="s">
        <v>3741</v>
      </c>
      <c r="D1122" s="274" t="s">
        <v>3742</v>
      </c>
      <c r="E1122" s="274" t="s">
        <v>59</v>
      </c>
      <c r="F1122" s="274" t="s">
        <v>199</v>
      </c>
      <c r="G1122" s="274" t="s">
        <v>216</v>
      </c>
      <c r="H1122" s="274" t="s">
        <v>217</v>
      </c>
      <c r="I1122" s="274" t="s">
        <v>5364</v>
      </c>
      <c r="J1122" s="274" t="s">
        <v>6713</v>
      </c>
      <c r="K1122" s="274" t="s">
        <v>3746</v>
      </c>
      <c r="L1122" s="274" t="s">
        <v>5365</v>
      </c>
      <c r="M1122" s="281">
        <v>7102.63</v>
      </c>
      <c r="N1122" s="280"/>
      <c r="O1122" s="280"/>
      <c r="P1122" s="280">
        <v>7102.63</v>
      </c>
      <c r="Q1122" s="280"/>
      <c r="R1122" s="280"/>
      <c r="S1122" s="280"/>
      <c r="T1122" s="297"/>
    </row>
    <row r="1123" spans="1:20" x14ac:dyDescent="0.25">
      <c r="A1123" s="274" t="s">
        <v>78</v>
      </c>
      <c r="B1123" s="274" t="s">
        <v>79</v>
      </c>
      <c r="C1123" s="274" t="s">
        <v>3741</v>
      </c>
      <c r="D1123" s="274" t="s">
        <v>3742</v>
      </c>
      <c r="E1123" s="274" t="s">
        <v>59</v>
      </c>
      <c r="F1123" s="274" t="s">
        <v>199</v>
      </c>
      <c r="G1123" s="274" t="s">
        <v>216</v>
      </c>
      <c r="H1123" s="274" t="s">
        <v>217</v>
      </c>
      <c r="I1123" s="274" t="s">
        <v>5366</v>
      </c>
      <c r="J1123" s="274" t="s">
        <v>6713</v>
      </c>
      <c r="K1123" s="274" t="s">
        <v>3746</v>
      </c>
      <c r="L1123" s="274" t="s">
        <v>5365</v>
      </c>
      <c r="M1123" s="281">
        <v>6000</v>
      </c>
      <c r="N1123" s="280"/>
      <c r="O1123" s="280"/>
      <c r="P1123" s="280">
        <v>6000</v>
      </c>
      <c r="Q1123" s="280"/>
      <c r="R1123" s="280"/>
      <c r="S1123" s="280"/>
      <c r="T1123" s="297"/>
    </row>
    <row r="1124" spans="1:20" x14ac:dyDescent="0.25">
      <c r="A1124" s="274" t="s">
        <v>78</v>
      </c>
      <c r="B1124" s="274" t="s">
        <v>79</v>
      </c>
      <c r="C1124" s="274" t="s">
        <v>3741</v>
      </c>
      <c r="D1124" s="274" t="s">
        <v>3742</v>
      </c>
      <c r="E1124" s="274" t="s">
        <v>59</v>
      </c>
      <c r="F1124" s="274" t="s">
        <v>199</v>
      </c>
      <c r="G1124" s="274" t="s">
        <v>216</v>
      </c>
      <c r="H1124" s="274" t="s">
        <v>217</v>
      </c>
      <c r="I1124" s="274" t="s">
        <v>5367</v>
      </c>
      <c r="J1124" s="274" t="s">
        <v>6713</v>
      </c>
      <c r="K1124" s="274" t="s">
        <v>3746</v>
      </c>
      <c r="L1124" s="274" t="s">
        <v>5368</v>
      </c>
      <c r="M1124" s="281">
        <v>1017.6</v>
      </c>
      <c r="N1124" s="280"/>
      <c r="O1124" s="280"/>
      <c r="P1124" s="280"/>
      <c r="Q1124" s="280">
        <v>1017.6</v>
      </c>
      <c r="R1124" s="280"/>
      <c r="S1124" s="280"/>
      <c r="T1124" s="297"/>
    </row>
    <row r="1125" spans="1:20" x14ac:dyDescent="0.25">
      <c r="A1125" s="274" t="s">
        <v>78</v>
      </c>
      <c r="B1125" s="274" t="s">
        <v>79</v>
      </c>
      <c r="C1125" s="274" t="s">
        <v>3741</v>
      </c>
      <c r="D1125" s="274" t="s">
        <v>3742</v>
      </c>
      <c r="E1125" s="274" t="s">
        <v>59</v>
      </c>
      <c r="F1125" s="274" t="s">
        <v>199</v>
      </c>
      <c r="G1125" s="274" t="s">
        <v>216</v>
      </c>
      <c r="H1125" s="274" t="s">
        <v>217</v>
      </c>
      <c r="I1125" s="274" t="s">
        <v>5369</v>
      </c>
      <c r="J1125" s="274" t="s">
        <v>6713</v>
      </c>
      <c r="K1125" s="274" t="s">
        <v>3746</v>
      </c>
      <c r="L1125" s="274" t="s">
        <v>5370</v>
      </c>
      <c r="M1125" s="281">
        <v>6000</v>
      </c>
      <c r="N1125" s="280"/>
      <c r="O1125" s="280"/>
      <c r="P1125" s="280"/>
      <c r="Q1125" s="280">
        <v>6000</v>
      </c>
      <c r="R1125" s="280"/>
      <c r="S1125" s="280"/>
      <c r="T1125" s="297"/>
    </row>
    <row r="1126" spans="1:20" x14ac:dyDescent="0.25">
      <c r="A1126" s="274" t="s">
        <v>78</v>
      </c>
      <c r="B1126" s="274" t="s">
        <v>79</v>
      </c>
      <c r="C1126" s="274" t="s">
        <v>3741</v>
      </c>
      <c r="D1126" s="274" t="s">
        <v>3742</v>
      </c>
      <c r="E1126" s="274" t="s">
        <v>59</v>
      </c>
      <c r="F1126" s="274" t="s">
        <v>199</v>
      </c>
      <c r="G1126" s="274" t="s">
        <v>216</v>
      </c>
      <c r="H1126" s="274" t="s">
        <v>217</v>
      </c>
      <c r="I1126" s="274" t="s">
        <v>6428</v>
      </c>
      <c r="J1126" s="274" t="s">
        <v>6714</v>
      </c>
      <c r="K1126" s="274" t="s">
        <v>3746</v>
      </c>
      <c r="L1126" s="274" t="s">
        <v>6429</v>
      </c>
      <c r="M1126" s="281">
        <v>3800</v>
      </c>
      <c r="N1126" s="280"/>
      <c r="O1126" s="280"/>
      <c r="P1126" s="280"/>
      <c r="Q1126" s="280"/>
      <c r="R1126" s="280"/>
      <c r="S1126" s="280">
        <v>3800</v>
      </c>
      <c r="T1126" s="297"/>
    </row>
    <row r="1127" spans="1:20" x14ac:dyDescent="0.25">
      <c r="A1127" s="274" t="s">
        <v>78</v>
      </c>
      <c r="B1127" s="274" t="s">
        <v>79</v>
      </c>
      <c r="C1127" s="274" t="s">
        <v>3741</v>
      </c>
      <c r="D1127" s="274" t="s">
        <v>3742</v>
      </c>
      <c r="E1127" s="274" t="s">
        <v>59</v>
      </c>
      <c r="F1127" s="274" t="s">
        <v>199</v>
      </c>
      <c r="G1127" s="274" t="s">
        <v>216</v>
      </c>
      <c r="H1127" s="274" t="s">
        <v>217</v>
      </c>
      <c r="I1127" s="274" t="s">
        <v>6430</v>
      </c>
      <c r="J1127" s="274" t="s">
        <v>6714</v>
      </c>
      <c r="K1127" s="274" t="s">
        <v>3746</v>
      </c>
      <c r="L1127" s="274" t="s">
        <v>6429</v>
      </c>
      <c r="M1127" s="281">
        <v>3800</v>
      </c>
      <c r="N1127" s="280"/>
      <c r="O1127" s="280"/>
      <c r="P1127" s="280"/>
      <c r="Q1127" s="280"/>
      <c r="R1127" s="280"/>
      <c r="S1127" s="280">
        <v>3800</v>
      </c>
      <c r="T1127" s="297"/>
    </row>
    <row r="1128" spans="1:20" x14ac:dyDescent="0.25">
      <c r="A1128" s="274" t="s">
        <v>78</v>
      </c>
      <c r="B1128" s="274" t="s">
        <v>79</v>
      </c>
      <c r="C1128" s="274" t="s">
        <v>3741</v>
      </c>
      <c r="D1128" s="274" t="s">
        <v>3742</v>
      </c>
      <c r="E1128" s="274" t="s">
        <v>59</v>
      </c>
      <c r="F1128" s="274" t="s">
        <v>199</v>
      </c>
      <c r="G1128" s="274" t="s">
        <v>216</v>
      </c>
      <c r="H1128" s="274" t="s">
        <v>217</v>
      </c>
      <c r="I1128" s="274" t="s">
        <v>6431</v>
      </c>
      <c r="J1128" s="274" t="s">
        <v>6713</v>
      </c>
      <c r="K1128" s="274" t="s">
        <v>3746</v>
      </c>
      <c r="L1128" s="274" t="s">
        <v>5370</v>
      </c>
      <c r="M1128" s="281">
        <v>1017.6</v>
      </c>
      <c r="N1128" s="280"/>
      <c r="O1128" s="280"/>
      <c r="P1128" s="280"/>
      <c r="Q1128" s="280"/>
      <c r="R1128" s="280"/>
      <c r="S1128" s="280">
        <v>1017.6</v>
      </c>
      <c r="T1128" s="297"/>
    </row>
    <row r="1129" spans="1:20" x14ac:dyDescent="0.25">
      <c r="A1129" s="274" t="s">
        <v>78</v>
      </c>
      <c r="B1129" s="274" t="s">
        <v>79</v>
      </c>
      <c r="C1129" s="274" t="s">
        <v>3741</v>
      </c>
      <c r="D1129" s="274" t="s">
        <v>3742</v>
      </c>
      <c r="E1129" s="274" t="s">
        <v>59</v>
      </c>
      <c r="F1129" s="274" t="s">
        <v>199</v>
      </c>
      <c r="G1129" s="274" t="s">
        <v>218</v>
      </c>
      <c r="H1129" s="274" t="s">
        <v>219</v>
      </c>
      <c r="I1129" s="274" t="s">
        <v>5371</v>
      </c>
      <c r="J1129" s="274" t="s">
        <v>6715</v>
      </c>
      <c r="K1129" s="274" t="s">
        <v>3746</v>
      </c>
      <c r="L1129" s="274" t="s">
        <v>5372</v>
      </c>
      <c r="M1129" s="281">
        <v>9837</v>
      </c>
      <c r="N1129" s="280">
        <v>9837</v>
      </c>
      <c r="O1129" s="280"/>
      <c r="P1129" s="280"/>
      <c r="Q1129" s="280"/>
      <c r="R1129" s="280"/>
      <c r="S1129" s="280"/>
      <c r="T1129" s="297"/>
    </row>
    <row r="1130" spans="1:20" x14ac:dyDescent="0.25">
      <c r="A1130" s="274" t="s">
        <v>78</v>
      </c>
      <c r="B1130" s="274" t="s">
        <v>79</v>
      </c>
      <c r="C1130" s="274" t="s">
        <v>3741</v>
      </c>
      <c r="D1130" s="274" t="s">
        <v>3742</v>
      </c>
      <c r="E1130" s="274" t="s">
        <v>59</v>
      </c>
      <c r="F1130" s="274" t="s">
        <v>199</v>
      </c>
      <c r="G1130" s="274" t="s">
        <v>218</v>
      </c>
      <c r="H1130" s="274" t="s">
        <v>219</v>
      </c>
      <c r="I1130" s="274" t="s">
        <v>5373</v>
      </c>
      <c r="J1130" s="274" t="s">
        <v>6715</v>
      </c>
      <c r="K1130" s="274" t="s">
        <v>3746</v>
      </c>
      <c r="L1130" s="274" t="s">
        <v>5374</v>
      </c>
      <c r="M1130" s="281">
        <v>9837</v>
      </c>
      <c r="N1130" s="280"/>
      <c r="O1130" s="280"/>
      <c r="P1130" s="280"/>
      <c r="Q1130" s="280">
        <v>9837</v>
      </c>
      <c r="R1130" s="280"/>
      <c r="S1130" s="280"/>
      <c r="T1130" s="297"/>
    </row>
    <row r="1131" spans="1:20" x14ac:dyDescent="0.25">
      <c r="A1131" s="274" t="s">
        <v>78</v>
      </c>
      <c r="B1131" s="274" t="s">
        <v>79</v>
      </c>
      <c r="C1131" s="274" t="s">
        <v>3741</v>
      </c>
      <c r="D1131" s="274" t="s">
        <v>3742</v>
      </c>
      <c r="E1131" s="274" t="s">
        <v>59</v>
      </c>
      <c r="F1131" s="274" t="s">
        <v>199</v>
      </c>
      <c r="G1131" s="274" t="s">
        <v>220</v>
      </c>
      <c r="H1131" s="274" t="s">
        <v>221</v>
      </c>
      <c r="I1131" s="274" t="s">
        <v>5375</v>
      </c>
      <c r="J1131" s="274" t="s">
        <v>6716</v>
      </c>
      <c r="K1131" s="274" t="s">
        <v>3746</v>
      </c>
      <c r="L1131" s="274" t="s">
        <v>5376</v>
      </c>
      <c r="M1131" s="281">
        <v>112327.58</v>
      </c>
      <c r="N1131" s="280"/>
      <c r="O1131" s="280"/>
      <c r="P1131" s="280"/>
      <c r="Q1131" s="280">
        <v>112327.58</v>
      </c>
      <c r="R1131" s="280"/>
      <c r="S1131" s="280"/>
      <c r="T1131" s="297"/>
    </row>
    <row r="1132" spans="1:20" x14ac:dyDescent="0.25">
      <c r="A1132" s="274" t="s">
        <v>78</v>
      </c>
      <c r="B1132" s="274" t="s">
        <v>79</v>
      </c>
      <c r="C1132" s="274" t="s">
        <v>3741</v>
      </c>
      <c r="D1132" s="274" t="s">
        <v>3742</v>
      </c>
      <c r="E1132" s="274" t="s">
        <v>59</v>
      </c>
      <c r="F1132" s="274" t="s">
        <v>199</v>
      </c>
      <c r="G1132" s="274" t="s">
        <v>220</v>
      </c>
      <c r="H1132" s="274" t="s">
        <v>221</v>
      </c>
      <c r="I1132" s="274" t="s">
        <v>5377</v>
      </c>
      <c r="J1132" s="274" t="s">
        <v>6717</v>
      </c>
      <c r="K1132" s="274" t="s">
        <v>3746</v>
      </c>
      <c r="L1132" s="274" t="s">
        <v>5378</v>
      </c>
      <c r="M1132" s="281">
        <v>4928</v>
      </c>
      <c r="N1132" s="280"/>
      <c r="O1132" s="280"/>
      <c r="P1132" s="280"/>
      <c r="Q1132" s="280">
        <v>4928</v>
      </c>
      <c r="R1132" s="280"/>
      <c r="S1132" s="280"/>
      <c r="T1132" s="297"/>
    </row>
    <row r="1133" spans="1:20" x14ac:dyDescent="0.25">
      <c r="A1133" s="274" t="s">
        <v>78</v>
      </c>
      <c r="B1133" s="274" t="s">
        <v>79</v>
      </c>
      <c r="C1133" s="274" t="s">
        <v>3741</v>
      </c>
      <c r="D1133" s="274" t="s">
        <v>3742</v>
      </c>
      <c r="E1133" s="274" t="s">
        <v>59</v>
      </c>
      <c r="F1133" s="274" t="s">
        <v>199</v>
      </c>
      <c r="G1133" s="274" t="s">
        <v>93</v>
      </c>
      <c r="H1133" s="274" t="s">
        <v>94</v>
      </c>
      <c r="I1133" s="274" t="s">
        <v>5379</v>
      </c>
      <c r="J1133" s="274" t="s">
        <v>6571</v>
      </c>
      <c r="K1133" s="274" t="s">
        <v>3746</v>
      </c>
      <c r="L1133" s="274" t="s">
        <v>5380</v>
      </c>
      <c r="M1133" s="281">
        <v>2630</v>
      </c>
      <c r="N1133" s="280">
        <v>2630</v>
      </c>
      <c r="O1133" s="280"/>
      <c r="P1133" s="280"/>
      <c r="Q1133" s="280"/>
      <c r="R1133" s="280"/>
      <c r="S1133" s="280"/>
      <c r="T1133" s="297"/>
    </row>
    <row r="1134" spans="1:20" x14ac:dyDescent="0.25">
      <c r="A1134" s="274" t="s">
        <v>78</v>
      </c>
      <c r="B1134" s="274" t="s">
        <v>79</v>
      </c>
      <c r="C1134" s="274" t="s">
        <v>3741</v>
      </c>
      <c r="D1134" s="274" t="s">
        <v>3742</v>
      </c>
      <c r="E1134" s="274" t="s">
        <v>59</v>
      </c>
      <c r="F1134" s="274" t="s">
        <v>199</v>
      </c>
      <c r="G1134" s="274" t="s">
        <v>93</v>
      </c>
      <c r="H1134" s="274" t="s">
        <v>94</v>
      </c>
      <c r="I1134" s="274" t="s">
        <v>5381</v>
      </c>
      <c r="J1134" s="274" t="s">
        <v>6571</v>
      </c>
      <c r="K1134" s="274" t="s">
        <v>6506</v>
      </c>
      <c r="L1134" s="274" t="s">
        <v>5382</v>
      </c>
      <c r="M1134" s="281">
        <v>7934.9</v>
      </c>
      <c r="N1134" s="280">
        <v>7934.9</v>
      </c>
      <c r="O1134" s="280"/>
      <c r="P1134" s="280"/>
      <c r="Q1134" s="280"/>
      <c r="R1134" s="280"/>
      <c r="S1134" s="280"/>
      <c r="T1134" s="297"/>
    </row>
    <row r="1135" spans="1:20" x14ac:dyDescent="0.25">
      <c r="A1135" s="274" t="s">
        <v>78</v>
      </c>
      <c r="B1135" s="274" t="s">
        <v>79</v>
      </c>
      <c r="C1135" s="274" t="s">
        <v>3741</v>
      </c>
      <c r="D1135" s="274" t="s">
        <v>3742</v>
      </c>
      <c r="E1135" s="274" t="s">
        <v>59</v>
      </c>
      <c r="F1135" s="274" t="s">
        <v>199</v>
      </c>
      <c r="G1135" s="274" t="s">
        <v>93</v>
      </c>
      <c r="H1135" s="274" t="s">
        <v>94</v>
      </c>
      <c r="I1135" s="274" t="s">
        <v>5383</v>
      </c>
      <c r="J1135" s="274" t="s">
        <v>6571</v>
      </c>
      <c r="K1135" s="274" t="s">
        <v>6546</v>
      </c>
      <c r="L1135" s="274" t="s">
        <v>5384</v>
      </c>
      <c r="M1135" s="281">
        <v>3883.5</v>
      </c>
      <c r="N1135" s="280">
        <v>3883.5</v>
      </c>
      <c r="O1135" s="280"/>
      <c r="P1135" s="280"/>
      <c r="Q1135" s="280"/>
      <c r="R1135" s="280"/>
      <c r="S1135" s="280"/>
      <c r="T1135" s="297"/>
    </row>
    <row r="1136" spans="1:20" x14ac:dyDescent="0.25">
      <c r="A1136" s="274" t="s">
        <v>78</v>
      </c>
      <c r="B1136" s="274" t="s">
        <v>79</v>
      </c>
      <c r="C1136" s="274" t="s">
        <v>3741</v>
      </c>
      <c r="D1136" s="274" t="s">
        <v>3742</v>
      </c>
      <c r="E1136" s="274" t="s">
        <v>59</v>
      </c>
      <c r="F1136" s="274" t="s">
        <v>199</v>
      </c>
      <c r="G1136" s="274" t="s">
        <v>93</v>
      </c>
      <c r="H1136" s="274" t="s">
        <v>94</v>
      </c>
      <c r="I1136" s="274" t="s">
        <v>5385</v>
      </c>
      <c r="J1136" s="274" t="s">
        <v>6571</v>
      </c>
      <c r="K1136" s="274" t="s">
        <v>6589</v>
      </c>
      <c r="L1136" s="274" t="s">
        <v>5386</v>
      </c>
      <c r="M1136" s="281">
        <v>16200</v>
      </c>
      <c r="N1136" s="280">
        <v>16200</v>
      </c>
      <c r="O1136" s="280"/>
      <c r="P1136" s="280"/>
      <c r="Q1136" s="280"/>
      <c r="R1136" s="280"/>
      <c r="S1136" s="280"/>
      <c r="T1136" s="297"/>
    </row>
    <row r="1137" spans="1:20" x14ac:dyDescent="0.25">
      <c r="A1137" s="274" t="s">
        <v>78</v>
      </c>
      <c r="B1137" s="274" t="s">
        <v>79</v>
      </c>
      <c r="C1137" s="274" t="s">
        <v>3741</v>
      </c>
      <c r="D1137" s="274" t="s">
        <v>3742</v>
      </c>
      <c r="E1137" s="274" t="s">
        <v>59</v>
      </c>
      <c r="F1137" s="274" t="s">
        <v>199</v>
      </c>
      <c r="G1137" s="274" t="s">
        <v>93</v>
      </c>
      <c r="H1137" s="274" t="s">
        <v>94</v>
      </c>
      <c r="I1137" s="274" t="s">
        <v>5387</v>
      </c>
      <c r="J1137" s="274" t="s">
        <v>6588</v>
      </c>
      <c r="K1137" s="274" t="s">
        <v>6674</v>
      </c>
      <c r="L1137" s="274" t="s">
        <v>5388</v>
      </c>
      <c r="M1137" s="281">
        <v>4627.42</v>
      </c>
      <c r="N1137" s="280">
        <v>4627.42</v>
      </c>
      <c r="O1137" s="280"/>
      <c r="P1137" s="280"/>
      <c r="Q1137" s="280"/>
      <c r="R1137" s="280"/>
      <c r="S1137" s="280"/>
      <c r="T1137" s="297"/>
    </row>
    <row r="1138" spans="1:20" x14ac:dyDescent="0.25">
      <c r="A1138" s="274" t="s">
        <v>78</v>
      </c>
      <c r="B1138" s="274" t="s">
        <v>79</v>
      </c>
      <c r="C1138" s="274" t="s">
        <v>3741</v>
      </c>
      <c r="D1138" s="274" t="s">
        <v>3742</v>
      </c>
      <c r="E1138" s="274" t="s">
        <v>59</v>
      </c>
      <c r="F1138" s="274" t="s">
        <v>199</v>
      </c>
      <c r="G1138" s="274" t="s">
        <v>93</v>
      </c>
      <c r="H1138" s="274" t="s">
        <v>94</v>
      </c>
      <c r="I1138" s="274" t="s">
        <v>5389</v>
      </c>
      <c r="J1138" s="274" t="s">
        <v>6571</v>
      </c>
      <c r="K1138" s="274" t="s">
        <v>3746</v>
      </c>
      <c r="L1138" s="274" t="s">
        <v>5390</v>
      </c>
      <c r="M1138" s="281">
        <v>2630</v>
      </c>
      <c r="N1138" s="280"/>
      <c r="O1138" s="280">
        <v>2630</v>
      </c>
      <c r="P1138" s="280"/>
      <c r="Q1138" s="280"/>
      <c r="R1138" s="280"/>
      <c r="S1138" s="280"/>
      <c r="T1138" s="297"/>
    </row>
    <row r="1139" spans="1:20" x14ac:dyDescent="0.25">
      <c r="A1139" s="274" t="s">
        <v>78</v>
      </c>
      <c r="B1139" s="274" t="s">
        <v>79</v>
      </c>
      <c r="C1139" s="274" t="s">
        <v>3741</v>
      </c>
      <c r="D1139" s="274" t="s">
        <v>3742</v>
      </c>
      <c r="E1139" s="274" t="s">
        <v>59</v>
      </c>
      <c r="F1139" s="274" t="s">
        <v>199</v>
      </c>
      <c r="G1139" s="274" t="s">
        <v>93</v>
      </c>
      <c r="H1139" s="274" t="s">
        <v>94</v>
      </c>
      <c r="I1139" s="274" t="s">
        <v>5391</v>
      </c>
      <c r="J1139" s="274" t="s">
        <v>6571</v>
      </c>
      <c r="K1139" s="274" t="s">
        <v>6506</v>
      </c>
      <c r="L1139" s="274" t="s">
        <v>5392</v>
      </c>
      <c r="M1139" s="281">
        <v>7934.9</v>
      </c>
      <c r="N1139" s="280"/>
      <c r="O1139" s="280">
        <v>7934.9</v>
      </c>
      <c r="P1139" s="280"/>
      <c r="Q1139" s="280"/>
      <c r="R1139" s="280"/>
      <c r="S1139" s="280"/>
      <c r="T1139" s="297"/>
    </row>
    <row r="1140" spans="1:20" x14ac:dyDescent="0.25">
      <c r="A1140" s="274" t="s">
        <v>78</v>
      </c>
      <c r="B1140" s="274" t="s">
        <v>79</v>
      </c>
      <c r="C1140" s="274" t="s">
        <v>3741</v>
      </c>
      <c r="D1140" s="274" t="s">
        <v>3742</v>
      </c>
      <c r="E1140" s="274" t="s">
        <v>59</v>
      </c>
      <c r="F1140" s="274" t="s">
        <v>199</v>
      </c>
      <c r="G1140" s="274" t="s">
        <v>93</v>
      </c>
      <c r="H1140" s="274" t="s">
        <v>94</v>
      </c>
      <c r="I1140" s="274" t="s">
        <v>5393</v>
      </c>
      <c r="J1140" s="274" t="s">
        <v>6571</v>
      </c>
      <c r="K1140" s="274" t="s">
        <v>6546</v>
      </c>
      <c r="L1140" s="274" t="s">
        <v>5394</v>
      </c>
      <c r="M1140" s="281">
        <v>3883.5</v>
      </c>
      <c r="N1140" s="280"/>
      <c r="O1140" s="280">
        <v>3883.5</v>
      </c>
      <c r="P1140" s="280"/>
      <c r="Q1140" s="280"/>
      <c r="R1140" s="280"/>
      <c r="S1140" s="280"/>
      <c r="T1140" s="297"/>
    </row>
    <row r="1141" spans="1:20" x14ac:dyDescent="0.25">
      <c r="A1141" s="274" t="s">
        <v>78</v>
      </c>
      <c r="B1141" s="274" t="s">
        <v>79</v>
      </c>
      <c r="C1141" s="274" t="s">
        <v>3741</v>
      </c>
      <c r="D1141" s="274" t="s">
        <v>3742</v>
      </c>
      <c r="E1141" s="274" t="s">
        <v>59</v>
      </c>
      <c r="F1141" s="274" t="s">
        <v>199</v>
      </c>
      <c r="G1141" s="274" t="s">
        <v>93</v>
      </c>
      <c r="H1141" s="274" t="s">
        <v>94</v>
      </c>
      <c r="I1141" s="274" t="s">
        <v>5395</v>
      </c>
      <c r="J1141" s="274" t="s">
        <v>6571</v>
      </c>
      <c r="K1141" s="274" t="s">
        <v>6589</v>
      </c>
      <c r="L1141" s="274" t="s">
        <v>5396</v>
      </c>
      <c r="M1141" s="281">
        <v>16200</v>
      </c>
      <c r="N1141" s="280"/>
      <c r="O1141" s="280">
        <v>16200</v>
      </c>
      <c r="P1141" s="280"/>
      <c r="Q1141" s="280"/>
      <c r="R1141" s="280"/>
      <c r="S1141" s="280"/>
      <c r="T1141" s="297"/>
    </row>
    <row r="1142" spans="1:20" x14ac:dyDescent="0.25">
      <c r="A1142" s="274" t="s">
        <v>78</v>
      </c>
      <c r="B1142" s="274" t="s">
        <v>79</v>
      </c>
      <c r="C1142" s="274" t="s">
        <v>3741</v>
      </c>
      <c r="D1142" s="274" t="s">
        <v>3742</v>
      </c>
      <c r="E1142" s="274" t="s">
        <v>59</v>
      </c>
      <c r="F1142" s="274" t="s">
        <v>199</v>
      </c>
      <c r="G1142" s="274" t="s">
        <v>93</v>
      </c>
      <c r="H1142" s="274" t="s">
        <v>94</v>
      </c>
      <c r="I1142" s="274" t="s">
        <v>5397</v>
      </c>
      <c r="J1142" s="274" t="s">
        <v>6588</v>
      </c>
      <c r="K1142" s="274" t="s">
        <v>6674</v>
      </c>
      <c r="L1142" s="274" t="s">
        <v>5398</v>
      </c>
      <c r="M1142" s="281">
        <v>4627.42</v>
      </c>
      <c r="N1142" s="280"/>
      <c r="O1142" s="280">
        <v>4627.42</v>
      </c>
      <c r="P1142" s="280"/>
      <c r="Q1142" s="280"/>
      <c r="R1142" s="280"/>
      <c r="S1142" s="280"/>
      <c r="T1142" s="297"/>
    </row>
    <row r="1143" spans="1:20" x14ac:dyDescent="0.25">
      <c r="A1143" s="274" t="s">
        <v>78</v>
      </c>
      <c r="B1143" s="274" t="s">
        <v>79</v>
      </c>
      <c r="C1143" s="274" t="s">
        <v>3741</v>
      </c>
      <c r="D1143" s="274" t="s">
        <v>3742</v>
      </c>
      <c r="E1143" s="274" t="s">
        <v>59</v>
      </c>
      <c r="F1143" s="274" t="s">
        <v>199</v>
      </c>
      <c r="G1143" s="274" t="s">
        <v>93</v>
      </c>
      <c r="H1143" s="274" t="s">
        <v>94</v>
      </c>
      <c r="I1143" s="274" t="s">
        <v>5399</v>
      </c>
      <c r="J1143" s="274" t="s">
        <v>6571</v>
      </c>
      <c r="K1143" s="274" t="s">
        <v>3746</v>
      </c>
      <c r="L1143" s="274" t="s">
        <v>5380</v>
      </c>
      <c r="M1143" s="281">
        <v>-2630</v>
      </c>
      <c r="N1143" s="280"/>
      <c r="O1143" s="280">
        <v>-2630</v>
      </c>
      <c r="P1143" s="280"/>
      <c r="Q1143" s="280"/>
      <c r="R1143" s="280"/>
      <c r="S1143" s="280"/>
      <c r="T1143" s="297"/>
    </row>
    <row r="1144" spans="1:20" x14ac:dyDescent="0.25">
      <c r="A1144" s="274" t="s">
        <v>78</v>
      </c>
      <c r="B1144" s="274" t="s">
        <v>79</v>
      </c>
      <c r="C1144" s="274" t="s">
        <v>3741</v>
      </c>
      <c r="D1144" s="274" t="s">
        <v>3742</v>
      </c>
      <c r="E1144" s="274" t="s">
        <v>59</v>
      </c>
      <c r="F1144" s="274" t="s">
        <v>199</v>
      </c>
      <c r="G1144" s="274" t="s">
        <v>93</v>
      </c>
      <c r="H1144" s="274" t="s">
        <v>94</v>
      </c>
      <c r="I1144" s="274" t="s">
        <v>5400</v>
      </c>
      <c r="J1144" s="274" t="s">
        <v>6571</v>
      </c>
      <c r="K1144" s="274" t="s">
        <v>3746</v>
      </c>
      <c r="L1144" s="274" t="s">
        <v>5390</v>
      </c>
      <c r="M1144" s="281">
        <v>-2630</v>
      </c>
      <c r="N1144" s="280"/>
      <c r="O1144" s="280">
        <v>-2630</v>
      </c>
      <c r="P1144" s="280"/>
      <c r="Q1144" s="280"/>
      <c r="R1144" s="280"/>
      <c r="S1144" s="280"/>
      <c r="T1144" s="297"/>
    </row>
    <row r="1145" spans="1:20" x14ac:dyDescent="0.25">
      <c r="A1145" s="274" t="s">
        <v>78</v>
      </c>
      <c r="B1145" s="274" t="s">
        <v>79</v>
      </c>
      <c r="C1145" s="274" t="s">
        <v>3741</v>
      </c>
      <c r="D1145" s="274" t="s">
        <v>3742</v>
      </c>
      <c r="E1145" s="274" t="s">
        <v>59</v>
      </c>
      <c r="F1145" s="274" t="s">
        <v>199</v>
      </c>
      <c r="G1145" s="274" t="s">
        <v>93</v>
      </c>
      <c r="H1145" s="274" t="s">
        <v>94</v>
      </c>
      <c r="I1145" s="274" t="s">
        <v>5401</v>
      </c>
      <c r="J1145" s="274" t="s">
        <v>6571</v>
      </c>
      <c r="K1145" s="274" t="s">
        <v>3746</v>
      </c>
      <c r="L1145" s="274" t="s">
        <v>5380</v>
      </c>
      <c r="M1145" s="281">
        <v>1230</v>
      </c>
      <c r="N1145" s="280"/>
      <c r="O1145" s="280">
        <v>1230</v>
      </c>
      <c r="P1145" s="280"/>
      <c r="Q1145" s="280"/>
      <c r="R1145" s="280"/>
      <c r="S1145" s="280"/>
      <c r="T1145" s="297"/>
    </row>
    <row r="1146" spans="1:20" x14ac:dyDescent="0.25">
      <c r="A1146" s="274" t="s">
        <v>78</v>
      </c>
      <c r="B1146" s="274" t="s">
        <v>79</v>
      </c>
      <c r="C1146" s="274" t="s">
        <v>3741</v>
      </c>
      <c r="D1146" s="274" t="s">
        <v>3742</v>
      </c>
      <c r="E1146" s="274" t="s">
        <v>59</v>
      </c>
      <c r="F1146" s="274" t="s">
        <v>199</v>
      </c>
      <c r="G1146" s="274" t="s">
        <v>93</v>
      </c>
      <c r="H1146" s="274" t="s">
        <v>94</v>
      </c>
      <c r="I1146" s="274" t="s">
        <v>5402</v>
      </c>
      <c r="J1146" s="274" t="s">
        <v>6571</v>
      </c>
      <c r="K1146" s="274" t="s">
        <v>3746</v>
      </c>
      <c r="L1146" s="274" t="s">
        <v>5390</v>
      </c>
      <c r="M1146" s="281">
        <v>1230</v>
      </c>
      <c r="N1146" s="280"/>
      <c r="O1146" s="280">
        <v>1230</v>
      </c>
      <c r="P1146" s="280"/>
      <c r="Q1146" s="280"/>
      <c r="R1146" s="280"/>
      <c r="S1146" s="280"/>
      <c r="T1146" s="297"/>
    </row>
    <row r="1147" spans="1:20" x14ac:dyDescent="0.25">
      <c r="A1147" s="274" t="s">
        <v>78</v>
      </c>
      <c r="B1147" s="274" t="s">
        <v>79</v>
      </c>
      <c r="C1147" s="274" t="s">
        <v>3741</v>
      </c>
      <c r="D1147" s="274" t="s">
        <v>3742</v>
      </c>
      <c r="E1147" s="274" t="s">
        <v>59</v>
      </c>
      <c r="F1147" s="274" t="s">
        <v>199</v>
      </c>
      <c r="G1147" s="274" t="s">
        <v>93</v>
      </c>
      <c r="H1147" s="274" t="s">
        <v>94</v>
      </c>
      <c r="I1147" s="274" t="s">
        <v>5403</v>
      </c>
      <c r="J1147" s="274" t="s">
        <v>6571</v>
      </c>
      <c r="K1147" s="274" t="s">
        <v>6506</v>
      </c>
      <c r="L1147" s="274" t="s">
        <v>5382</v>
      </c>
      <c r="M1147" s="281">
        <v>-7934.9</v>
      </c>
      <c r="N1147" s="280"/>
      <c r="O1147" s="280">
        <v>-7934.9</v>
      </c>
      <c r="P1147" s="280"/>
      <c r="Q1147" s="280"/>
      <c r="R1147" s="280"/>
      <c r="S1147" s="280"/>
      <c r="T1147" s="297"/>
    </row>
    <row r="1148" spans="1:20" x14ac:dyDescent="0.25">
      <c r="A1148" s="274" t="s">
        <v>78</v>
      </c>
      <c r="B1148" s="274" t="s">
        <v>79</v>
      </c>
      <c r="C1148" s="274" t="s">
        <v>3741</v>
      </c>
      <c r="D1148" s="274" t="s">
        <v>3742</v>
      </c>
      <c r="E1148" s="274" t="s">
        <v>59</v>
      </c>
      <c r="F1148" s="274" t="s">
        <v>199</v>
      </c>
      <c r="G1148" s="274" t="s">
        <v>93</v>
      </c>
      <c r="H1148" s="274" t="s">
        <v>94</v>
      </c>
      <c r="I1148" s="274" t="s">
        <v>5404</v>
      </c>
      <c r="J1148" s="274" t="s">
        <v>6571</v>
      </c>
      <c r="K1148" s="274" t="s">
        <v>6506</v>
      </c>
      <c r="L1148" s="274" t="s">
        <v>5392</v>
      </c>
      <c r="M1148" s="281">
        <v>-7934.9</v>
      </c>
      <c r="N1148" s="280"/>
      <c r="O1148" s="280">
        <v>-7934.9</v>
      </c>
      <c r="P1148" s="280"/>
      <c r="Q1148" s="280"/>
      <c r="R1148" s="280"/>
      <c r="S1148" s="280"/>
      <c r="T1148" s="297"/>
    </row>
    <row r="1149" spans="1:20" x14ac:dyDescent="0.25">
      <c r="A1149" s="274" t="s">
        <v>78</v>
      </c>
      <c r="B1149" s="274" t="s">
        <v>79</v>
      </c>
      <c r="C1149" s="274" t="s">
        <v>3741</v>
      </c>
      <c r="D1149" s="274" t="s">
        <v>3742</v>
      </c>
      <c r="E1149" s="274" t="s">
        <v>59</v>
      </c>
      <c r="F1149" s="274" t="s">
        <v>199</v>
      </c>
      <c r="G1149" s="274" t="s">
        <v>93</v>
      </c>
      <c r="H1149" s="274" t="s">
        <v>94</v>
      </c>
      <c r="I1149" s="274" t="s">
        <v>5405</v>
      </c>
      <c r="J1149" s="274" t="s">
        <v>6571</v>
      </c>
      <c r="K1149" s="274" t="s">
        <v>6506</v>
      </c>
      <c r="L1149" s="274" t="s">
        <v>5382</v>
      </c>
      <c r="M1149" s="281">
        <v>4761.6000000000004</v>
      </c>
      <c r="N1149" s="280"/>
      <c r="O1149" s="280">
        <v>4761.6000000000004</v>
      </c>
      <c r="P1149" s="280"/>
      <c r="Q1149" s="280"/>
      <c r="R1149" s="280"/>
      <c r="S1149" s="280"/>
      <c r="T1149" s="297"/>
    </row>
    <row r="1150" spans="1:20" x14ac:dyDescent="0.25">
      <c r="A1150" s="274" t="s">
        <v>78</v>
      </c>
      <c r="B1150" s="274" t="s">
        <v>79</v>
      </c>
      <c r="C1150" s="274" t="s">
        <v>3741</v>
      </c>
      <c r="D1150" s="274" t="s">
        <v>3742</v>
      </c>
      <c r="E1150" s="274" t="s">
        <v>59</v>
      </c>
      <c r="F1150" s="274" t="s">
        <v>199</v>
      </c>
      <c r="G1150" s="274" t="s">
        <v>93</v>
      </c>
      <c r="H1150" s="274" t="s">
        <v>94</v>
      </c>
      <c r="I1150" s="274" t="s">
        <v>5406</v>
      </c>
      <c r="J1150" s="274" t="s">
        <v>6571</v>
      </c>
      <c r="K1150" s="274" t="s">
        <v>6506</v>
      </c>
      <c r="L1150" s="274" t="s">
        <v>5392</v>
      </c>
      <c r="M1150" s="281">
        <v>4761.6000000000004</v>
      </c>
      <c r="N1150" s="280"/>
      <c r="O1150" s="280">
        <v>4761.6000000000004</v>
      </c>
      <c r="P1150" s="280"/>
      <c r="Q1150" s="280"/>
      <c r="R1150" s="280"/>
      <c r="S1150" s="280"/>
      <c r="T1150" s="297"/>
    </row>
    <row r="1151" spans="1:20" x14ac:dyDescent="0.25">
      <c r="A1151" s="274" t="s">
        <v>78</v>
      </c>
      <c r="B1151" s="274" t="s">
        <v>79</v>
      </c>
      <c r="C1151" s="274" t="s">
        <v>3741</v>
      </c>
      <c r="D1151" s="274" t="s">
        <v>3742</v>
      </c>
      <c r="E1151" s="274" t="s">
        <v>59</v>
      </c>
      <c r="F1151" s="274" t="s">
        <v>199</v>
      </c>
      <c r="G1151" s="274" t="s">
        <v>93</v>
      </c>
      <c r="H1151" s="274" t="s">
        <v>94</v>
      </c>
      <c r="I1151" s="274" t="s">
        <v>5407</v>
      </c>
      <c r="J1151" s="274" t="s">
        <v>6571</v>
      </c>
      <c r="K1151" s="274" t="s">
        <v>6546</v>
      </c>
      <c r="L1151" s="274" t="s">
        <v>5384</v>
      </c>
      <c r="M1151" s="281">
        <v>-3883.5</v>
      </c>
      <c r="N1151" s="280"/>
      <c r="O1151" s="280">
        <v>-3883.5</v>
      </c>
      <c r="P1151" s="280"/>
      <c r="Q1151" s="280"/>
      <c r="R1151" s="280"/>
      <c r="S1151" s="280"/>
      <c r="T1151" s="297"/>
    </row>
    <row r="1152" spans="1:20" x14ac:dyDescent="0.25">
      <c r="A1152" s="274" t="s">
        <v>78</v>
      </c>
      <c r="B1152" s="274" t="s">
        <v>79</v>
      </c>
      <c r="C1152" s="274" t="s">
        <v>3741</v>
      </c>
      <c r="D1152" s="274" t="s">
        <v>3742</v>
      </c>
      <c r="E1152" s="274" t="s">
        <v>59</v>
      </c>
      <c r="F1152" s="274" t="s">
        <v>199</v>
      </c>
      <c r="G1152" s="274" t="s">
        <v>93</v>
      </c>
      <c r="H1152" s="274" t="s">
        <v>94</v>
      </c>
      <c r="I1152" s="274" t="s">
        <v>5408</v>
      </c>
      <c r="J1152" s="274" t="s">
        <v>6571</v>
      </c>
      <c r="K1152" s="274" t="s">
        <v>6546</v>
      </c>
      <c r="L1152" s="274" t="s">
        <v>5394</v>
      </c>
      <c r="M1152" s="281">
        <v>-3883.5</v>
      </c>
      <c r="N1152" s="280"/>
      <c r="O1152" s="280">
        <v>-3883.5</v>
      </c>
      <c r="P1152" s="280"/>
      <c r="Q1152" s="280"/>
      <c r="R1152" s="280"/>
      <c r="S1152" s="280"/>
      <c r="T1152" s="297"/>
    </row>
    <row r="1153" spans="1:20" x14ac:dyDescent="0.25">
      <c r="A1153" s="274" t="s">
        <v>78</v>
      </c>
      <c r="B1153" s="274" t="s">
        <v>79</v>
      </c>
      <c r="C1153" s="274" t="s">
        <v>3741</v>
      </c>
      <c r="D1153" s="274" t="s">
        <v>3742</v>
      </c>
      <c r="E1153" s="274" t="s">
        <v>59</v>
      </c>
      <c r="F1153" s="274" t="s">
        <v>199</v>
      </c>
      <c r="G1153" s="274" t="s">
        <v>93</v>
      </c>
      <c r="H1153" s="274" t="s">
        <v>94</v>
      </c>
      <c r="I1153" s="274" t="s">
        <v>5409</v>
      </c>
      <c r="J1153" s="274" t="s">
        <v>6571</v>
      </c>
      <c r="K1153" s="274" t="s">
        <v>6546</v>
      </c>
      <c r="L1153" s="274" t="s">
        <v>5384</v>
      </c>
      <c r="M1153" s="281">
        <v>4861.6000000000004</v>
      </c>
      <c r="N1153" s="280"/>
      <c r="O1153" s="280">
        <v>4861.6000000000004</v>
      </c>
      <c r="P1153" s="280"/>
      <c r="Q1153" s="280"/>
      <c r="R1153" s="280"/>
      <c r="S1153" s="280"/>
      <c r="T1153" s="297"/>
    </row>
    <row r="1154" spans="1:20" x14ac:dyDescent="0.25">
      <c r="A1154" s="274" t="s">
        <v>78</v>
      </c>
      <c r="B1154" s="274" t="s">
        <v>79</v>
      </c>
      <c r="C1154" s="274" t="s">
        <v>3741</v>
      </c>
      <c r="D1154" s="274" t="s">
        <v>3742</v>
      </c>
      <c r="E1154" s="274" t="s">
        <v>59</v>
      </c>
      <c r="F1154" s="274" t="s">
        <v>199</v>
      </c>
      <c r="G1154" s="274" t="s">
        <v>93</v>
      </c>
      <c r="H1154" s="274" t="s">
        <v>94</v>
      </c>
      <c r="I1154" s="274" t="s">
        <v>5410</v>
      </c>
      <c r="J1154" s="274" t="s">
        <v>6571</v>
      </c>
      <c r="K1154" s="274" t="s">
        <v>6546</v>
      </c>
      <c r="L1154" s="274" t="s">
        <v>5394</v>
      </c>
      <c r="M1154" s="281">
        <v>4861.6000000000004</v>
      </c>
      <c r="N1154" s="280"/>
      <c r="O1154" s="280">
        <v>4861.6000000000004</v>
      </c>
      <c r="P1154" s="280"/>
      <c r="Q1154" s="280"/>
      <c r="R1154" s="280"/>
      <c r="S1154" s="280"/>
      <c r="T1154" s="297"/>
    </row>
    <row r="1155" spans="1:20" x14ac:dyDescent="0.25">
      <c r="A1155" s="274" t="s">
        <v>78</v>
      </c>
      <c r="B1155" s="274" t="s">
        <v>79</v>
      </c>
      <c r="C1155" s="274" t="s">
        <v>3741</v>
      </c>
      <c r="D1155" s="274" t="s">
        <v>3742</v>
      </c>
      <c r="E1155" s="274" t="s">
        <v>59</v>
      </c>
      <c r="F1155" s="274" t="s">
        <v>199</v>
      </c>
      <c r="G1155" s="274" t="s">
        <v>93</v>
      </c>
      <c r="H1155" s="274" t="s">
        <v>94</v>
      </c>
      <c r="I1155" s="274" t="s">
        <v>5411</v>
      </c>
      <c r="J1155" s="274" t="s">
        <v>6571</v>
      </c>
      <c r="K1155" s="274" t="s">
        <v>3746</v>
      </c>
      <c r="L1155" s="274" t="s">
        <v>5412</v>
      </c>
      <c r="M1155" s="281">
        <v>1230</v>
      </c>
      <c r="N1155" s="280"/>
      <c r="O1155" s="280"/>
      <c r="P1155" s="280">
        <v>1230</v>
      </c>
      <c r="Q1155" s="280"/>
      <c r="R1155" s="280"/>
      <c r="S1155" s="280"/>
      <c r="T1155" s="297"/>
    </row>
    <row r="1156" spans="1:20" x14ac:dyDescent="0.25">
      <c r="A1156" s="274" t="s">
        <v>78</v>
      </c>
      <c r="B1156" s="274" t="s">
        <v>79</v>
      </c>
      <c r="C1156" s="274" t="s">
        <v>3741</v>
      </c>
      <c r="D1156" s="274" t="s">
        <v>3742</v>
      </c>
      <c r="E1156" s="274" t="s">
        <v>59</v>
      </c>
      <c r="F1156" s="274" t="s">
        <v>199</v>
      </c>
      <c r="G1156" s="274" t="s">
        <v>93</v>
      </c>
      <c r="H1156" s="274" t="s">
        <v>94</v>
      </c>
      <c r="I1156" s="274" t="s">
        <v>5413</v>
      </c>
      <c r="J1156" s="274" t="s">
        <v>6571</v>
      </c>
      <c r="K1156" s="274" t="s">
        <v>6506</v>
      </c>
      <c r="L1156" s="274" t="s">
        <v>5414</v>
      </c>
      <c r="M1156" s="281">
        <v>4761.6000000000004</v>
      </c>
      <c r="N1156" s="280"/>
      <c r="O1156" s="280"/>
      <c r="P1156" s="280">
        <v>4761.6000000000004</v>
      </c>
      <c r="Q1156" s="280"/>
      <c r="R1156" s="280"/>
      <c r="S1156" s="280"/>
      <c r="T1156" s="297"/>
    </row>
    <row r="1157" spans="1:20" x14ac:dyDescent="0.25">
      <c r="A1157" s="274" t="s">
        <v>78</v>
      </c>
      <c r="B1157" s="274" t="s">
        <v>79</v>
      </c>
      <c r="C1157" s="274" t="s">
        <v>3741</v>
      </c>
      <c r="D1157" s="274" t="s">
        <v>3742</v>
      </c>
      <c r="E1157" s="274" t="s">
        <v>59</v>
      </c>
      <c r="F1157" s="274" t="s">
        <v>199</v>
      </c>
      <c r="G1157" s="274" t="s">
        <v>93</v>
      </c>
      <c r="H1157" s="274" t="s">
        <v>94</v>
      </c>
      <c r="I1157" s="274" t="s">
        <v>5415</v>
      </c>
      <c r="J1157" s="274" t="s">
        <v>6571</v>
      </c>
      <c r="K1157" s="274" t="s">
        <v>6546</v>
      </c>
      <c r="L1157" s="274" t="s">
        <v>5416</v>
      </c>
      <c r="M1157" s="281">
        <v>4861.6000000000004</v>
      </c>
      <c r="N1157" s="280"/>
      <c r="O1157" s="280"/>
      <c r="P1157" s="280">
        <v>4861.6000000000004</v>
      </c>
      <c r="Q1157" s="280"/>
      <c r="R1157" s="280"/>
      <c r="S1157" s="280"/>
      <c r="T1157" s="297"/>
    </row>
    <row r="1158" spans="1:20" x14ac:dyDescent="0.25">
      <c r="A1158" s="274" t="s">
        <v>78</v>
      </c>
      <c r="B1158" s="274" t="s">
        <v>79</v>
      </c>
      <c r="C1158" s="274" t="s">
        <v>3741</v>
      </c>
      <c r="D1158" s="274" t="s">
        <v>3742</v>
      </c>
      <c r="E1158" s="274" t="s">
        <v>59</v>
      </c>
      <c r="F1158" s="274" t="s">
        <v>199</v>
      </c>
      <c r="G1158" s="274" t="s">
        <v>93</v>
      </c>
      <c r="H1158" s="274" t="s">
        <v>94</v>
      </c>
      <c r="I1158" s="274" t="s">
        <v>5417</v>
      </c>
      <c r="J1158" s="274" t="s">
        <v>6571</v>
      </c>
      <c r="K1158" s="274" t="s">
        <v>6589</v>
      </c>
      <c r="L1158" s="274" t="s">
        <v>5418</v>
      </c>
      <c r="M1158" s="281">
        <v>16200</v>
      </c>
      <c r="N1158" s="280"/>
      <c r="O1158" s="280"/>
      <c r="P1158" s="280">
        <v>16200</v>
      </c>
      <c r="Q1158" s="280"/>
      <c r="R1158" s="280"/>
      <c r="S1158" s="280"/>
      <c r="T1158" s="297"/>
    </row>
    <row r="1159" spans="1:20" x14ac:dyDescent="0.25">
      <c r="A1159" s="274" t="s">
        <v>78</v>
      </c>
      <c r="B1159" s="274" t="s">
        <v>79</v>
      </c>
      <c r="C1159" s="274" t="s">
        <v>3741</v>
      </c>
      <c r="D1159" s="274" t="s">
        <v>3742</v>
      </c>
      <c r="E1159" s="274" t="s">
        <v>59</v>
      </c>
      <c r="F1159" s="274" t="s">
        <v>199</v>
      </c>
      <c r="G1159" s="274" t="s">
        <v>93</v>
      </c>
      <c r="H1159" s="274" t="s">
        <v>94</v>
      </c>
      <c r="I1159" s="274" t="s">
        <v>5419</v>
      </c>
      <c r="J1159" s="274" t="s">
        <v>6718</v>
      </c>
      <c r="K1159" s="274" t="s">
        <v>3746</v>
      </c>
      <c r="L1159" s="274" t="s">
        <v>5420</v>
      </c>
      <c r="M1159" s="281">
        <v>7876.67</v>
      </c>
      <c r="N1159" s="280"/>
      <c r="O1159" s="280"/>
      <c r="P1159" s="280">
        <v>7876.67</v>
      </c>
      <c r="Q1159" s="280"/>
      <c r="R1159" s="280"/>
      <c r="S1159" s="280"/>
      <c r="T1159" s="297"/>
    </row>
    <row r="1160" spans="1:20" x14ac:dyDescent="0.25">
      <c r="A1160" s="274" t="s">
        <v>78</v>
      </c>
      <c r="B1160" s="274" t="s">
        <v>79</v>
      </c>
      <c r="C1160" s="274" t="s">
        <v>3741</v>
      </c>
      <c r="D1160" s="274" t="s">
        <v>3742</v>
      </c>
      <c r="E1160" s="274" t="s">
        <v>59</v>
      </c>
      <c r="F1160" s="274" t="s">
        <v>199</v>
      </c>
      <c r="G1160" s="274" t="s">
        <v>93</v>
      </c>
      <c r="H1160" s="274" t="s">
        <v>94</v>
      </c>
      <c r="I1160" s="274" t="s">
        <v>5421</v>
      </c>
      <c r="J1160" s="274" t="s">
        <v>6588</v>
      </c>
      <c r="K1160" s="274" t="s">
        <v>6674</v>
      </c>
      <c r="L1160" s="274" t="s">
        <v>5422</v>
      </c>
      <c r="M1160" s="281">
        <v>4627.42</v>
      </c>
      <c r="N1160" s="280"/>
      <c r="O1160" s="280"/>
      <c r="P1160" s="280">
        <v>4627.42</v>
      </c>
      <c r="Q1160" s="280"/>
      <c r="R1160" s="280"/>
      <c r="S1160" s="280"/>
      <c r="T1160" s="297"/>
    </row>
    <row r="1161" spans="1:20" x14ac:dyDescent="0.25">
      <c r="A1161" s="274" t="s">
        <v>78</v>
      </c>
      <c r="B1161" s="274" t="s">
        <v>79</v>
      </c>
      <c r="C1161" s="274" t="s">
        <v>3741</v>
      </c>
      <c r="D1161" s="274" t="s">
        <v>3742</v>
      </c>
      <c r="E1161" s="274" t="s">
        <v>59</v>
      </c>
      <c r="F1161" s="274" t="s">
        <v>199</v>
      </c>
      <c r="G1161" s="274" t="s">
        <v>93</v>
      </c>
      <c r="H1161" s="274" t="s">
        <v>94</v>
      </c>
      <c r="I1161" s="274" t="s">
        <v>5423</v>
      </c>
      <c r="J1161" s="274" t="s">
        <v>6571</v>
      </c>
      <c r="K1161" s="274" t="s">
        <v>3746</v>
      </c>
      <c r="L1161" s="274" t="s">
        <v>5390</v>
      </c>
      <c r="M1161" s="281">
        <v>1400</v>
      </c>
      <c r="N1161" s="280"/>
      <c r="O1161" s="280"/>
      <c r="P1161" s="280">
        <v>1400</v>
      </c>
      <c r="Q1161" s="280"/>
      <c r="R1161" s="280"/>
      <c r="S1161" s="280"/>
      <c r="T1161" s="297"/>
    </row>
    <row r="1162" spans="1:20" x14ac:dyDescent="0.25">
      <c r="A1162" s="274" t="s">
        <v>78</v>
      </c>
      <c r="B1162" s="274" t="s">
        <v>79</v>
      </c>
      <c r="C1162" s="274" t="s">
        <v>3741</v>
      </c>
      <c r="D1162" s="274" t="s">
        <v>3742</v>
      </c>
      <c r="E1162" s="274" t="s">
        <v>59</v>
      </c>
      <c r="F1162" s="274" t="s">
        <v>199</v>
      </c>
      <c r="G1162" s="274" t="s">
        <v>93</v>
      </c>
      <c r="H1162" s="274" t="s">
        <v>94</v>
      </c>
      <c r="I1162" s="274" t="s">
        <v>5424</v>
      </c>
      <c r="J1162" s="274" t="s">
        <v>6571</v>
      </c>
      <c r="K1162" s="274" t="s">
        <v>6506</v>
      </c>
      <c r="L1162" s="274" t="s">
        <v>5392</v>
      </c>
      <c r="M1162" s="281">
        <v>3172.4</v>
      </c>
      <c r="N1162" s="280"/>
      <c r="O1162" s="280"/>
      <c r="P1162" s="280">
        <v>3172.4</v>
      </c>
      <c r="Q1162" s="280"/>
      <c r="R1162" s="280"/>
      <c r="S1162" s="280"/>
      <c r="T1162" s="297"/>
    </row>
    <row r="1163" spans="1:20" x14ac:dyDescent="0.25">
      <c r="A1163" s="274" t="s">
        <v>78</v>
      </c>
      <c r="B1163" s="274" t="s">
        <v>79</v>
      </c>
      <c r="C1163" s="274" t="s">
        <v>3741</v>
      </c>
      <c r="D1163" s="274" t="s">
        <v>3742</v>
      </c>
      <c r="E1163" s="274" t="s">
        <v>59</v>
      </c>
      <c r="F1163" s="274" t="s">
        <v>199</v>
      </c>
      <c r="G1163" s="274" t="s">
        <v>93</v>
      </c>
      <c r="H1163" s="274" t="s">
        <v>94</v>
      </c>
      <c r="I1163" s="274" t="s">
        <v>5425</v>
      </c>
      <c r="J1163" s="274" t="s">
        <v>6571</v>
      </c>
      <c r="K1163" s="274" t="s">
        <v>6546</v>
      </c>
      <c r="L1163" s="274" t="s">
        <v>5394</v>
      </c>
      <c r="M1163" s="281">
        <v>-4861.6000000000004</v>
      </c>
      <c r="N1163" s="280"/>
      <c r="O1163" s="280"/>
      <c r="P1163" s="280">
        <v>-4861.6000000000004</v>
      </c>
      <c r="Q1163" s="280"/>
      <c r="R1163" s="280"/>
      <c r="S1163" s="280"/>
      <c r="T1163" s="297"/>
    </row>
    <row r="1164" spans="1:20" x14ac:dyDescent="0.25">
      <c r="A1164" s="274" t="s">
        <v>78</v>
      </c>
      <c r="B1164" s="274" t="s">
        <v>79</v>
      </c>
      <c r="C1164" s="274" t="s">
        <v>3741</v>
      </c>
      <c r="D1164" s="274" t="s">
        <v>3742</v>
      </c>
      <c r="E1164" s="274" t="s">
        <v>59</v>
      </c>
      <c r="F1164" s="274" t="s">
        <v>199</v>
      </c>
      <c r="G1164" s="274" t="s">
        <v>93</v>
      </c>
      <c r="H1164" s="274" t="s">
        <v>94</v>
      </c>
      <c r="I1164" s="274" t="s">
        <v>5426</v>
      </c>
      <c r="J1164" s="274" t="s">
        <v>6571</v>
      </c>
      <c r="K1164" s="274" t="s">
        <v>6546</v>
      </c>
      <c r="L1164" s="274" t="s">
        <v>5394</v>
      </c>
      <c r="M1164" s="281">
        <v>3883.5</v>
      </c>
      <c r="N1164" s="280"/>
      <c r="O1164" s="280"/>
      <c r="P1164" s="280">
        <v>3883.5</v>
      </c>
      <c r="Q1164" s="280"/>
      <c r="R1164" s="280"/>
      <c r="S1164" s="280"/>
      <c r="T1164" s="297"/>
    </row>
    <row r="1165" spans="1:20" x14ac:dyDescent="0.25">
      <c r="A1165" s="274" t="s">
        <v>78</v>
      </c>
      <c r="B1165" s="274" t="s">
        <v>79</v>
      </c>
      <c r="C1165" s="274" t="s">
        <v>3741</v>
      </c>
      <c r="D1165" s="274" t="s">
        <v>3742</v>
      </c>
      <c r="E1165" s="274" t="s">
        <v>59</v>
      </c>
      <c r="F1165" s="274" t="s">
        <v>199</v>
      </c>
      <c r="G1165" s="274" t="s">
        <v>93</v>
      </c>
      <c r="H1165" s="274" t="s">
        <v>94</v>
      </c>
      <c r="I1165" s="274" t="s">
        <v>5427</v>
      </c>
      <c r="J1165" s="274" t="s">
        <v>6571</v>
      </c>
      <c r="K1165" s="274" t="s">
        <v>6589</v>
      </c>
      <c r="L1165" s="274" t="s">
        <v>5396</v>
      </c>
      <c r="M1165" s="281">
        <v>3795.2</v>
      </c>
      <c r="N1165" s="280"/>
      <c r="O1165" s="280"/>
      <c r="P1165" s="280">
        <v>3795.2</v>
      </c>
      <c r="Q1165" s="280"/>
      <c r="R1165" s="280"/>
      <c r="S1165" s="280"/>
      <c r="T1165" s="297"/>
    </row>
    <row r="1166" spans="1:20" x14ac:dyDescent="0.25">
      <c r="A1166" s="274" t="s">
        <v>78</v>
      </c>
      <c r="B1166" s="274" t="s">
        <v>79</v>
      </c>
      <c r="C1166" s="274" t="s">
        <v>3741</v>
      </c>
      <c r="D1166" s="274" t="s">
        <v>3742</v>
      </c>
      <c r="E1166" s="274" t="s">
        <v>59</v>
      </c>
      <c r="F1166" s="274" t="s">
        <v>199</v>
      </c>
      <c r="G1166" s="274" t="s">
        <v>93</v>
      </c>
      <c r="H1166" s="274" t="s">
        <v>94</v>
      </c>
      <c r="I1166" s="274" t="s">
        <v>5428</v>
      </c>
      <c r="J1166" s="274" t="s">
        <v>6588</v>
      </c>
      <c r="K1166" s="274" t="s">
        <v>6674</v>
      </c>
      <c r="L1166" s="274" t="s">
        <v>5429</v>
      </c>
      <c r="M1166" s="281">
        <v>4627.42</v>
      </c>
      <c r="N1166" s="280"/>
      <c r="O1166" s="280"/>
      <c r="P1166" s="280"/>
      <c r="Q1166" s="280">
        <v>4627.42</v>
      </c>
      <c r="R1166" s="280"/>
      <c r="S1166" s="280"/>
      <c r="T1166" s="297"/>
    </row>
    <row r="1167" spans="1:20" x14ac:dyDescent="0.25">
      <c r="A1167" s="274" t="s">
        <v>78</v>
      </c>
      <c r="B1167" s="274" t="s">
        <v>79</v>
      </c>
      <c r="C1167" s="274" t="s">
        <v>3741</v>
      </c>
      <c r="D1167" s="274" t="s">
        <v>3742</v>
      </c>
      <c r="E1167" s="274" t="s">
        <v>59</v>
      </c>
      <c r="F1167" s="274" t="s">
        <v>199</v>
      </c>
      <c r="G1167" s="274" t="s">
        <v>93</v>
      </c>
      <c r="H1167" s="274" t="s">
        <v>94</v>
      </c>
      <c r="I1167" s="274" t="s">
        <v>5430</v>
      </c>
      <c r="J1167" s="274" t="s">
        <v>6571</v>
      </c>
      <c r="K1167" s="274" t="s">
        <v>6589</v>
      </c>
      <c r="L1167" s="274" t="s">
        <v>5431</v>
      </c>
      <c r="M1167" s="281">
        <v>16200</v>
      </c>
      <c r="N1167" s="280"/>
      <c r="O1167" s="280"/>
      <c r="P1167" s="280"/>
      <c r="Q1167" s="280">
        <v>16200</v>
      </c>
      <c r="R1167" s="280"/>
      <c r="S1167" s="280"/>
      <c r="T1167" s="297"/>
    </row>
    <row r="1168" spans="1:20" x14ac:dyDescent="0.25">
      <c r="A1168" s="274" t="s">
        <v>78</v>
      </c>
      <c r="B1168" s="274" t="s">
        <v>79</v>
      </c>
      <c r="C1168" s="274" t="s">
        <v>3741</v>
      </c>
      <c r="D1168" s="274" t="s">
        <v>3742</v>
      </c>
      <c r="E1168" s="274" t="s">
        <v>59</v>
      </c>
      <c r="F1168" s="274" t="s">
        <v>199</v>
      </c>
      <c r="G1168" s="274" t="s">
        <v>93</v>
      </c>
      <c r="H1168" s="274" t="s">
        <v>94</v>
      </c>
      <c r="I1168" s="274" t="s">
        <v>5432</v>
      </c>
      <c r="J1168" s="274" t="s">
        <v>6571</v>
      </c>
      <c r="K1168" s="274" t="s">
        <v>6506</v>
      </c>
      <c r="L1168" s="274" t="s">
        <v>5414</v>
      </c>
      <c r="M1168" s="281">
        <v>3172.4</v>
      </c>
      <c r="N1168" s="280"/>
      <c r="O1168" s="280"/>
      <c r="P1168" s="280"/>
      <c r="Q1168" s="280">
        <v>3172.4</v>
      </c>
      <c r="R1168" s="280"/>
      <c r="S1168" s="280"/>
      <c r="T1168" s="297"/>
    </row>
    <row r="1169" spans="1:20" x14ac:dyDescent="0.25">
      <c r="A1169" s="274" t="s">
        <v>78</v>
      </c>
      <c r="B1169" s="274" t="s">
        <v>79</v>
      </c>
      <c r="C1169" s="274" t="s">
        <v>3741</v>
      </c>
      <c r="D1169" s="274" t="s">
        <v>3742</v>
      </c>
      <c r="E1169" s="274" t="s">
        <v>59</v>
      </c>
      <c r="F1169" s="274" t="s">
        <v>199</v>
      </c>
      <c r="G1169" s="274" t="s">
        <v>93</v>
      </c>
      <c r="H1169" s="274" t="s">
        <v>94</v>
      </c>
      <c r="I1169" s="274" t="s">
        <v>5433</v>
      </c>
      <c r="J1169" s="274" t="s">
        <v>6571</v>
      </c>
      <c r="K1169" s="274" t="s">
        <v>6506</v>
      </c>
      <c r="L1169" s="274" t="s">
        <v>5434</v>
      </c>
      <c r="M1169" s="281">
        <v>7934.9</v>
      </c>
      <c r="N1169" s="280"/>
      <c r="O1169" s="280"/>
      <c r="P1169" s="280"/>
      <c r="Q1169" s="280">
        <v>7934.9</v>
      </c>
      <c r="R1169" s="280"/>
      <c r="S1169" s="280"/>
      <c r="T1169" s="297"/>
    </row>
    <row r="1170" spans="1:20" x14ac:dyDescent="0.25">
      <c r="A1170" s="274" t="s">
        <v>78</v>
      </c>
      <c r="B1170" s="274" t="s">
        <v>79</v>
      </c>
      <c r="C1170" s="274" t="s">
        <v>3741</v>
      </c>
      <c r="D1170" s="274" t="s">
        <v>3742</v>
      </c>
      <c r="E1170" s="274" t="s">
        <v>59</v>
      </c>
      <c r="F1170" s="274" t="s">
        <v>199</v>
      </c>
      <c r="G1170" s="274" t="s">
        <v>93</v>
      </c>
      <c r="H1170" s="274" t="s">
        <v>94</v>
      </c>
      <c r="I1170" s="274" t="s">
        <v>5435</v>
      </c>
      <c r="J1170" s="274" t="s">
        <v>6571</v>
      </c>
      <c r="K1170" s="274" t="s">
        <v>3746</v>
      </c>
      <c r="L1170" s="274" t="s">
        <v>5412</v>
      </c>
      <c r="M1170" s="281">
        <v>1400</v>
      </c>
      <c r="N1170" s="280"/>
      <c r="O1170" s="280"/>
      <c r="P1170" s="280"/>
      <c r="Q1170" s="280">
        <v>1400</v>
      </c>
      <c r="R1170" s="280"/>
      <c r="S1170" s="280"/>
      <c r="T1170" s="297"/>
    </row>
    <row r="1171" spans="1:20" x14ac:dyDescent="0.25">
      <c r="A1171" s="274" t="s">
        <v>78</v>
      </c>
      <c r="B1171" s="274" t="s">
        <v>79</v>
      </c>
      <c r="C1171" s="274" t="s">
        <v>3741</v>
      </c>
      <c r="D1171" s="274" t="s">
        <v>3742</v>
      </c>
      <c r="E1171" s="274" t="s">
        <v>59</v>
      </c>
      <c r="F1171" s="274" t="s">
        <v>199</v>
      </c>
      <c r="G1171" s="274" t="s">
        <v>93</v>
      </c>
      <c r="H1171" s="274" t="s">
        <v>94</v>
      </c>
      <c r="I1171" s="274" t="s">
        <v>5436</v>
      </c>
      <c r="J1171" s="274" t="s">
        <v>6571</v>
      </c>
      <c r="K1171" s="274" t="s">
        <v>3746</v>
      </c>
      <c r="L1171" s="274" t="s">
        <v>5437</v>
      </c>
      <c r="M1171" s="281">
        <v>2630</v>
      </c>
      <c r="N1171" s="280"/>
      <c r="O1171" s="280"/>
      <c r="P1171" s="280"/>
      <c r="Q1171" s="280">
        <v>2630</v>
      </c>
      <c r="R1171" s="280"/>
      <c r="S1171" s="280"/>
      <c r="T1171" s="297"/>
    </row>
    <row r="1172" spans="1:20" x14ac:dyDescent="0.25">
      <c r="A1172" s="274" t="s">
        <v>78</v>
      </c>
      <c r="B1172" s="274" t="s">
        <v>79</v>
      </c>
      <c r="C1172" s="274" t="s">
        <v>3741</v>
      </c>
      <c r="D1172" s="274" t="s">
        <v>3742</v>
      </c>
      <c r="E1172" s="274" t="s">
        <v>59</v>
      </c>
      <c r="F1172" s="274" t="s">
        <v>199</v>
      </c>
      <c r="G1172" s="274" t="s">
        <v>93</v>
      </c>
      <c r="H1172" s="274" t="s">
        <v>94</v>
      </c>
      <c r="I1172" s="274" t="s">
        <v>5438</v>
      </c>
      <c r="J1172" s="274" t="s">
        <v>6571</v>
      </c>
      <c r="K1172" s="274" t="s">
        <v>3746</v>
      </c>
      <c r="L1172" s="274" t="s">
        <v>5439</v>
      </c>
      <c r="M1172" s="281">
        <v>2630</v>
      </c>
      <c r="N1172" s="280"/>
      <c r="O1172" s="280"/>
      <c r="P1172" s="280"/>
      <c r="Q1172" s="280"/>
      <c r="R1172" s="280">
        <v>2630</v>
      </c>
      <c r="S1172" s="280"/>
      <c r="T1172" s="297"/>
    </row>
    <row r="1173" spans="1:20" x14ac:dyDescent="0.25">
      <c r="A1173" s="274" t="s">
        <v>78</v>
      </c>
      <c r="B1173" s="274" t="s">
        <v>79</v>
      </c>
      <c r="C1173" s="274" t="s">
        <v>3741</v>
      </c>
      <c r="D1173" s="274" t="s">
        <v>3742</v>
      </c>
      <c r="E1173" s="274" t="s">
        <v>59</v>
      </c>
      <c r="F1173" s="274" t="s">
        <v>199</v>
      </c>
      <c r="G1173" s="274" t="s">
        <v>93</v>
      </c>
      <c r="H1173" s="274" t="s">
        <v>94</v>
      </c>
      <c r="I1173" s="274" t="s">
        <v>5440</v>
      </c>
      <c r="J1173" s="274" t="s">
        <v>6571</v>
      </c>
      <c r="K1173" s="274" t="s">
        <v>6506</v>
      </c>
      <c r="L1173" s="274" t="s">
        <v>5441</v>
      </c>
      <c r="M1173" s="281">
        <v>7934.9</v>
      </c>
      <c r="N1173" s="280"/>
      <c r="O1173" s="280"/>
      <c r="P1173" s="280"/>
      <c r="Q1173" s="280"/>
      <c r="R1173" s="280">
        <v>7934.9</v>
      </c>
      <c r="S1173" s="280"/>
      <c r="T1173" s="297"/>
    </row>
    <row r="1174" spans="1:20" x14ac:dyDescent="0.25">
      <c r="A1174" s="274" t="s">
        <v>78</v>
      </c>
      <c r="B1174" s="274" t="s">
        <v>79</v>
      </c>
      <c r="C1174" s="274" t="s">
        <v>3741</v>
      </c>
      <c r="D1174" s="274" t="s">
        <v>3742</v>
      </c>
      <c r="E1174" s="274" t="s">
        <v>59</v>
      </c>
      <c r="F1174" s="274" t="s">
        <v>199</v>
      </c>
      <c r="G1174" s="274" t="s">
        <v>93</v>
      </c>
      <c r="H1174" s="274" t="s">
        <v>94</v>
      </c>
      <c r="I1174" s="274" t="s">
        <v>5442</v>
      </c>
      <c r="J1174" s="274" t="s">
        <v>6571</v>
      </c>
      <c r="K1174" s="274" t="s">
        <v>6546</v>
      </c>
      <c r="L1174" s="274" t="s">
        <v>5443</v>
      </c>
      <c r="M1174" s="281">
        <v>3883.5</v>
      </c>
      <c r="N1174" s="280"/>
      <c r="O1174" s="280"/>
      <c r="P1174" s="280"/>
      <c r="Q1174" s="280"/>
      <c r="R1174" s="280">
        <v>3883.5</v>
      </c>
      <c r="S1174" s="280"/>
      <c r="T1174" s="297"/>
    </row>
    <row r="1175" spans="1:20" x14ac:dyDescent="0.25">
      <c r="A1175" s="274" t="s">
        <v>78</v>
      </c>
      <c r="B1175" s="274" t="s">
        <v>79</v>
      </c>
      <c r="C1175" s="274" t="s">
        <v>3741</v>
      </c>
      <c r="D1175" s="274" t="s">
        <v>3742</v>
      </c>
      <c r="E1175" s="274" t="s">
        <v>59</v>
      </c>
      <c r="F1175" s="274" t="s">
        <v>199</v>
      </c>
      <c r="G1175" s="274" t="s">
        <v>93</v>
      </c>
      <c r="H1175" s="274" t="s">
        <v>94</v>
      </c>
      <c r="I1175" s="274" t="s">
        <v>5444</v>
      </c>
      <c r="J1175" s="274" t="s">
        <v>6571</v>
      </c>
      <c r="K1175" s="274" t="s">
        <v>6589</v>
      </c>
      <c r="L1175" s="274" t="s">
        <v>5445</v>
      </c>
      <c r="M1175" s="281">
        <v>16200</v>
      </c>
      <c r="N1175" s="280"/>
      <c r="O1175" s="280"/>
      <c r="P1175" s="280"/>
      <c r="Q1175" s="280"/>
      <c r="R1175" s="280">
        <v>16200</v>
      </c>
      <c r="S1175" s="280"/>
      <c r="T1175" s="297"/>
    </row>
    <row r="1176" spans="1:20" x14ac:dyDescent="0.25">
      <c r="A1176" s="274" t="s">
        <v>78</v>
      </c>
      <c r="B1176" s="274" t="s">
        <v>79</v>
      </c>
      <c r="C1176" s="274" t="s">
        <v>3741</v>
      </c>
      <c r="D1176" s="274" t="s">
        <v>3742</v>
      </c>
      <c r="E1176" s="274" t="s">
        <v>59</v>
      </c>
      <c r="F1176" s="274" t="s">
        <v>199</v>
      </c>
      <c r="G1176" s="274" t="s">
        <v>93</v>
      </c>
      <c r="H1176" s="274" t="s">
        <v>94</v>
      </c>
      <c r="I1176" s="274" t="s">
        <v>5446</v>
      </c>
      <c r="J1176" s="274" t="s">
        <v>6571</v>
      </c>
      <c r="K1176" s="274" t="s">
        <v>6546</v>
      </c>
      <c r="L1176" s="274" t="s">
        <v>5416</v>
      </c>
      <c r="M1176" s="281">
        <v>-4861.6000000000004</v>
      </c>
      <c r="N1176" s="280"/>
      <c r="O1176" s="280"/>
      <c r="P1176" s="280"/>
      <c r="Q1176" s="280"/>
      <c r="R1176" s="280">
        <v>-4861.6000000000004</v>
      </c>
      <c r="S1176" s="280"/>
      <c r="T1176" s="297"/>
    </row>
    <row r="1177" spans="1:20" x14ac:dyDescent="0.25">
      <c r="A1177" s="274" t="s">
        <v>78</v>
      </c>
      <c r="B1177" s="274" t="s">
        <v>79</v>
      </c>
      <c r="C1177" s="274" t="s">
        <v>3741</v>
      </c>
      <c r="D1177" s="274" t="s">
        <v>3742</v>
      </c>
      <c r="E1177" s="274" t="s">
        <v>59</v>
      </c>
      <c r="F1177" s="274" t="s">
        <v>199</v>
      </c>
      <c r="G1177" s="274" t="s">
        <v>93</v>
      </c>
      <c r="H1177" s="274" t="s">
        <v>94</v>
      </c>
      <c r="I1177" s="274" t="s">
        <v>5447</v>
      </c>
      <c r="J1177" s="274" t="s">
        <v>6571</v>
      </c>
      <c r="K1177" s="274" t="s">
        <v>6546</v>
      </c>
      <c r="L1177" s="274" t="s">
        <v>5416</v>
      </c>
      <c r="M1177" s="281">
        <v>3883.5</v>
      </c>
      <c r="N1177" s="280"/>
      <c r="O1177" s="280"/>
      <c r="P1177" s="280"/>
      <c r="Q1177" s="280"/>
      <c r="R1177" s="280">
        <v>3883.5</v>
      </c>
      <c r="S1177" s="280"/>
      <c r="T1177" s="297"/>
    </row>
    <row r="1178" spans="1:20" x14ac:dyDescent="0.25">
      <c r="A1178" s="274" t="s">
        <v>78</v>
      </c>
      <c r="B1178" s="274" t="s">
        <v>79</v>
      </c>
      <c r="C1178" s="274" t="s">
        <v>3741</v>
      </c>
      <c r="D1178" s="274" t="s">
        <v>3742</v>
      </c>
      <c r="E1178" s="274" t="s">
        <v>59</v>
      </c>
      <c r="F1178" s="274" t="s">
        <v>199</v>
      </c>
      <c r="G1178" s="274" t="s">
        <v>93</v>
      </c>
      <c r="H1178" s="274" t="s">
        <v>94</v>
      </c>
      <c r="I1178" s="274" t="s">
        <v>5448</v>
      </c>
      <c r="J1178" s="274" t="s">
        <v>6588</v>
      </c>
      <c r="K1178" s="274" t="s">
        <v>6674</v>
      </c>
      <c r="L1178" s="274" t="s">
        <v>5449</v>
      </c>
      <c r="M1178" s="281">
        <v>4627.42</v>
      </c>
      <c r="N1178" s="280"/>
      <c r="O1178" s="280"/>
      <c r="P1178" s="280"/>
      <c r="Q1178" s="280"/>
      <c r="R1178" s="280">
        <v>4627.42</v>
      </c>
      <c r="S1178" s="280"/>
      <c r="T1178" s="297"/>
    </row>
    <row r="1179" spans="1:20" x14ac:dyDescent="0.25">
      <c r="A1179" s="274" t="s">
        <v>78</v>
      </c>
      <c r="B1179" s="274" t="s">
        <v>79</v>
      </c>
      <c r="C1179" s="274" t="s">
        <v>3741</v>
      </c>
      <c r="D1179" s="274" t="s">
        <v>3742</v>
      </c>
      <c r="E1179" s="274" t="s">
        <v>59</v>
      </c>
      <c r="F1179" s="274" t="s">
        <v>199</v>
      </c>
      <c r="G1179" s="274" t="s">
        <v>93</v>
      </c>
      <c r="H1179" s="274" t="s">
        <v>94</v>
      </c>
      <c r="I1179" s="274" t="s">
        <v>6432</v>
      </c>
      <c r="J1179" s="274" t="s">
        <v>6571</v>
      </c>
      <c r="K1179" s="274" t="s">
        <v>6546</v>
      </c>
      <c r="L1179" s="274" t="s">
        <v>6433</v>
      </c>
      <c r="M1179" s="281">
        <v>3883.5</v>
      </c>
      <c r="N1179" s="280"/>
      <c r="O1179" s="280"/>
      <c r="P1179" s="280"/>
      <c r="Q1179" s="280"/>
      <c r="R1179" s="280"/>
      <c r="S1179" s="280">
        <v>3883.5</v>
      </c>
      <c r="T1179" s="297"/>
    </row>
    <row r="1180" spans="1:20" x14ac:dyDescent="0.25">
      <c r="A1180" s="274" t="s">
        <v>78</v>
      </c>
      <c r="B1180" s="274" t="s">
        <v>79</v>
      </c>
      <c r="C1180" s="274" t="s">
        <v>3741</v>
      </c>
      <c r="D1180" s="274" t="s">
        <v>3742</v>
      </c>
      <c r="E1180" s="274" t="s">
        <v>59</v>
      </c>
      <c r="F1180" s="274" t="s">
        <v>199</v>
      </c>
      <c r="G1180" s="274" t="s">
        <v>93</v>
      </c>
      <c r="H1180" s="274" t="s">
        <v>94</v>
      </c>
      <c r="I1180" s="274" t="s">
        <v>6434</v>
      </c>
      <c r="J1180" s="274" t="s">
        <v>6571</v>
      </c>
      <c r="K1180" s="274" t="s">
        <v>6589</v>
      </c>
      <c r="L1180" s="274" t="s">
        <v>6435</v>
      </c>
      <c r="M1180" s="281">
        <v>16200</v>
      </c>
      <c r="N1180" s="280"/>
      <c r="O1180" s="280"/>
      <c r="P1180" s="280"/>
      <c r="Q1180" s="280"/>
      <c r="R1180" s="280"/>
      <c r="S1180" s="280">
        <v>16200</v>
      </c>
      <c r="T1180" s="297"/>
    </row>
    <row r="1181" spans="1:20" x14ac:dyDescent="0.25">
      <c r="A1181" s="274" t="s">
        <v>78</v>
      </c>
      <c r="B1181" s="274" t="s">
        <v>79</v>
      </c>
      <c r="C1181" s="274" t="s">
        <v>3741</v>
      </c>
      <c r="D1181" s="274" t="s">
        <v>3742</v>
      </c>
      <c r="E1181" s="274" t="s">
        <v>59</v>
      </c>
      <c r="F1181" s="274" t="s">
        <v>199</v>
      </c>
      <c r="G1181" s="274" t="s">
        <v>93</v>
      </c>
      <c r="H1181" s="274" t="s">
        <v>94</v>
      </c>
      <c r="I1181" s="274" t="s">
        <v>6436</v>
      </c>
      <c r="J1181" s="274" t="s">
        <v>6588</v>
      </c>
      <c r="K1181" s="274" t="s">
        <v>6674</v>
      </c>
      <c r="L1181" s="274" t="s">
        <v>6437</v>
      </c>
      <c r="M1181" s="281">
        <v>4627.42</v>
      </c>
      <c r="N1181" s="280"/>
      <c r="O1181" s="280"/>
      <c r="P1181" s="280"/>
      <c r="Q1181" s="280"/>
      <c r="R1181" s="280"/>
      <c r="S1181" s="280">
        <v>4627.42</v>
      </c>
      <c r="T1181" s="297"/>
    </row>
    <row r="1182" spans="1:20" x14ac:dyDescent="0.25">
      <c r="A1182" s="274" t="s">
        <v>78</v>
      </c>
      <c r="B1182" s="274" t="s">
        <v>79</v>
      </c>
      <c r="C1182" s="274" t="s">
        <v>3741</v>
      </c>
      <c r="D1182" s="274" t="s">
        <v>3742</v>
      </c>
      <c r="E1182" s="274" t="s">
        <v>59</v>
      </c>
      <c r="F1182" s="274" t="s">
        <v>199</v>
      </c>
      <c r="G1182" s="274" t="s">
        <v>93</v>
      </c>
      <c r="H1182" s="274" t="s">
        <v>94</v>
      </c>
      <c r="I1182" s="274" t="s">
        <v>6438</v>
      </c>
      <c r="J1182" s="274" t="s">
        <v>6571</v>
      </c>
      <c r="K1182" s="274" t="s">
        <v>6546</v>
      </c>
      <c r="L1182" s="274" t="s">
        <v>6439</v>
      </c>
      <c r="M1182" s="281">
        <v>3883.5</v>
      </c>
      <c r="N1182" s="280"/>
      <c r="O1182" s="280"/>
      <c r="P1182" s="280"/>
      <c r="Q1182" s="280"/>
      <c r="R1182" s="280"/>
      <c r="S1182" s="280">
        <v>3883.5</v>
      </c>
      <c r="T1182" s="297"/>
    </row>
    <row r="1183" spans="1:20" x14ac:dyDescent="0.25">
      <c r="A1183" s="274" t="s">
        <v>78</v>
      </c>
      <c r="B1183" s="274" t="s">
        <v>79</v>
      </c>
      <c r="C1183" s="274" t="s">
        <v>3741</v>
      </c>
      <c r="D1183" s="274" t="s">
        <v>3742</v>
      </c>
      <c r="E1183" s="274" t="s">
        <v>59</v>
      </c>
      <c r="F1183" s="274" t="s">
        <v>199</v>
      </c>
      <c r="G1183" s="274" t="s">
        <v>93</v>
      </c>
      <c r="H1183" s="274" t="s">
        <v>94</v>
      </c>
      <c r="I1183" s="274" t="s">
        <v>6440</v>
      </c>
      <c r="J1183" s="274" t="s">
        <v>6571</v>
      </c>
      <c r="K1183" s="274" t="s">
        <v>6589</v>
      </c>
      <c r="L1183" s="274" t="s">
        <v>5396</v>
      </c>
      <c r="M1183" s="281">
        <v>-3795.2</v>
      </c>
      <c r="N1183" s="280"/>
      <c r="O1183" s="280"/>
      <c r="P1183" s="280"/>
      <c r="Q1183" s="280"/>
      <c r="R1183" s="280"/>
      <c r="S1183" s="280">
        <v>-3795.2</v>
      </c>
      <c r="T1183" s="297"/>
    </row>
    <row r="1184" spans="1:20" x14ac:dyDescent="0.25">
      <c r="A1184" s="274" t="s">
        <v>78</v>
      </c>
      <c r="B1184" s="274" t="s">
        <v>79</v>
      </c>
      <c r="C1184" s="274" t="s">
        <v>3741</v>
      </c>
      <c r="D1184" s="274" t="s">
        <v>3742</v>
      </c>
      <c r="E1184" s="274" t="s">
        <v>59</v>
      </c>
      <c r="F1184" s="274" t="s">
        <v>199</v>
      </c>
      <c r="G1184" s="274" t="s">
        <v>93</v>
      </c>
      <c r="H1184" s="274" t="s">
        <v>94</v>
      </c>
      <c r="I1184" s="274" t="s">
        <v>6441</v>
      </c>
      <c r="J1184" s="274" t="s">
        <v>6571</v>
      </c>
      <c r="K1184" s="274" t="s">
        <v>6589</v>
      </c>
      <c r="L1184" s="274" t="s">
        <v>5396</v>
      </c>
      <c r="M1184" s="281">
        <v>3595.2</v>
      </c>
      <c r="N1184" s="280"/>
      <c r="O1184" s="280"/>
      <c r="P1184" s="280"/>
      <c r="Q1184" s="280"/>
      <c r="R1184" s="280"/>
      <c r="S1184" s="280">
        <v>3595.2</v>
      </c>
      <c r="T1184" s="297"/>
    </row>
    <row r="1185" spans="1:20" x14ac:dyDescent="0.25">
      <c r="A1185" s="274" t="s">
        <v>78</v>
      </c>
      <c r="B1185" s="274" t="s">
        <v>79</v>
      </c>
      <c r="C1185" s="274" t="s">
        <v>3741</v>
      </c>
      <c r="D1185" s="274" t="s">
        <v>3742</v>
      </c>
      <c r="E1185" s="274" t="s">
        <v>59</v>
      </c>
      <c r="F1185" s="274" t="s">
        <v>199</v>
      </c>
      <c r="G1185" s="274" t="s">
        <v>93</v>
      </c>
      <c r="H1185" s="274" t="s">
        <v>94</v>
      </c>
      <c r="I1185" s="274" t="s">
        <v>6442</v>
      </c>
      <c r="J1185" s="274" t="s">
        <v>6571</v>
      </c>
      <c r="K1185" s="274" t="s">
        <v>3746</v>
      </c>
      <c r="L1185" s="274" t="s">
        <v>6443</v>
      </c>
      <c r="M1185" s="281">
        <v>2630</v>
      </c>
      <c r="N1185" s="280"/>
      <c r="O1185" s="280"/>
      <c r="P1185" s="280"/>
      <c r="Q1185" s="280"/>
      <c r="R1185" s="280"/>
      <c r="S1185" s="280">
        <v>2630</v>
      </c>
      <c r="T1185" s="297"/>
    </row>
    <row r="1186" spans="1:20" x14ac:dyDescent="0.25">
      <c r="A1186" s="274" t="s">
        <v>78</v>
      </c>
      <c r="B1186" s="274" t="s">
        <v>79</v>
      </c>
      <c r="C1186" s="274" t="s">
        <v>3741</v>
      </c>
      <c r="D1186" s="274" t="s">
        <v>3742</v>
      </c>
      <c r="E1186" s="274" t="s">
        <v>59</v>
      </c>
      <c r="F1186" s="274" t="s">
        <v>199</v>
      </c>
      <c r="G1186" s="274" t="s">
        <v>93</v>
      </c>
      <c r="H1186" s="274" t="s">
        <v>94</v>
      </c>
      <c r="I1186" s="274" t="s">
        <v>6444</v>
      </c>
      <c r="J1186" s="274" t="s">
        <v>6571</v>
      </c>
      <c r="K1186" s="274" t="s">
        <v>6506</v>
      </c>
      <c r="L1186" s="274" t="s">
        <v>6445</v>
      </c>
      <c r="M1186" s="281">
        <v>7934.9</v>
      </c>
      <c r="N1186" s="280"/>
      <c r="O1186" s="280"/>
      <c r="P1186" s="280"/>
      <c r="Q1186" s="280"/>
      <c r="R1186" s="280"/>
      <c r="S1186" s="280">
        <v>7934.9</v>
      </c>
      <c r="T1186" s="297"/>
    </row>
    <row r="1187" spans="1:20" x14ac:dyDescent="0.25">
      <c r="A1187" s="274" t="s">
        <v>78</v>
      </c>
      <c r="B1187" s="274" t="s">
        <v>79</v>
      </c>
      <c r="C1187" s="274" t="s">
        <v>3741</v>
      </c>
      <c r="D1187" s="274" t="s">
        <v>3742</v>
      </c>
      <c r="E1187" s="274" t="s">
        <v>59</v>
      </c>
      <c r="F1187" s="274" t="s">
        <v>199</v>
      </c>
      <c r="G1187" s="274" t="s">
        <v>93</v>
      </c>
      <c r="H1187" s="274" t="s">
        <v>94</v>
      </c>
      <c r="I1187" s="274" t="s">
        <v>5450</v>
      </c>
      <c r="J1187" s="274" t="s">
        <v>6571</v>
      </c>
      <c r="K1187" s="274" t="s">
        <v>6589</v>
      </c>
      <c r="L1187" s="274" t="s">
        <v>5418</v>
      </c>
      <c r="M1187" s="281">
        <v>0.9</v>
      </c>
      <c r="N1187" s="280"/>
      <c r="O1187" s="280"/>
      <c r="P1187" s="280"/>
      <c r="Q1187" s="280"/>
      <c r="R1187" s="280">
        <v>0.9</v>
      </c>
      <c r="S1187" s="280"/>
      <c r="T1187" s="297"/>
    </row>
    <row r="1188" spans="1:20" x14ac:dyDescent="0.25">
      <c r="A1188" s="274" t="s">
        <v>78</v>
      </c>
      <c r="B1188" s="274" t="s">
        <v>79</v>
      </c>
      <c r="C1188" s="274" t="s">
        <v>3741</v>
      </c>
      <c r="D1188" s="274" t="s">
        <v>3742</v>
      </c>
      <c r="E1188" s="274" t="s">
        <v>59</v>
      </c>
      <c r="F1188" s="274" t="s">
        <v>199</v>
      </c>
      <c r="G1188" s="274" t="s">
        <v>222</v>
      </c>
      <c r="H1188" s="274" t="s">
        <v>223</v>
      </c>
      <c r="I1188" s="274" t="s">
        <v>5451</v>
      </c>
      <c r="J1188" s="274" t="s">
        <v>6719</v>
      </c>
      <c r="K1188" s="274" t="s">
        <v>3746</v>
      </c>
      <c r="L1188" s="274" t="s">
        <v>5452</v>
      </c>
      <c r="M1188" s="281">
        <v>99447.5</v>
      </c>
      <c r="N1188" s="280"/>
      <c r="O1188" s="280"/>
      <c r="P1188" s="280">
        <v>99447.5</v>
      </c>
      <c r="Q1188" s="280"/>
      <c r="R1188" s="280"/>
      <c r="S1188" s="280"/>
      <c r="T1188" s="297"/>
    </row>
    <row r="1189" spans="1:20" x14ac:dyDescent="0.25">
      <c r="A1189" s="274" t="s">
        <v>78</v>
      </c>
      <c r="B1189" s="274" t="s">
        <v>79</v>
      </c>
      <c r="C1189" s="274" t="s">
        <v>3741</v>
      </c>
      <c r="D1189" s="274" t="s">
        <v>3742</v>
      </c>
      <c r="E1189" s="274" t="s">
        <v>59</v>
      </c>
      <c r="F1189" s="274" t="s">
        <v>199</v>
      </c>
      <c r="G1189" s="274" t="s">
        <v>224</v>
      </c>
      <c r="H1189" s="274" t="s">
        <v>225</v>
      </c>
      <c r="I1189" s="274" t="s">
        <v>5453</v>
      </c>
      <c r="J1189" s="274" t="s">
        <v>6720</v>
      </c>
      <c r="K1189" s="274" t="s">
        <v>3746</v>
      </c>
      <c r="L1189" s="274" t="s">
        <v>5454</v>
      </c>
      <c r="M1189" s="281">
        <v>97877.77</v>
      </c>
      <c r="N1189" s="280">
        <v>97877.77</v>
      </c>
      <c r="O1189" s="280"/>
      <c r="P1189" s="280"/>
      <c r="Q1189" s="280"/>
      <c r="R1189" s="280"/>
      <c r="S1189" s="280"/>
      <c r="T1189" s="297"/>
    </row>
    <row r="1190" spans="1:20" x14ac:dyDescent="0.25">
      <c r="A1190" s="274" t="s">
        <v>78</v>
      </c>
      <c r="B1190" s="274" t="s">
        <v>79</v>
      </c>
      <c r="C1190" s="274" t="s">
        <v>3741</v>
      </c>
      <c r="D1190" s="274" t="s">
        <v>3742</v>
      </c>
      <c r="E1190" s="274" t="s">
        <v>59</v>
      </c>
      <c r="F1190" s="274" t="s">
        <v>199</v>
      </c>
      <c r="G1190" s="274" t="s">
        <v>224</v>
      </c>
      <c r="H1190" s="274" t="s">
        <v>225</v>
      </c>
      <c r="I1190" s="274" t="s">
        <v>5455</v>
      </c>
      <c r="J1190" s="274" t="s">
        <v>6720</v>
      </c>
      <c r="K1190" s="274" t="s">
        <v>3746</v>
      </c>
      <c r="L1190" s="274" t="s">
        <v>5456</v>
      </c>
      <c r="M1190" s="281">
        <v>37667.89</v>
      </c>
      <c r="N1190" s="280"/>
      <c r="O1190" s="280"/>
      <c r="P1190" s="280">
        <v>37667.89</v>
      </c>
      <c r="Q1190" s="280"/>
      <c r="R1190" s="280"/>
      <c r="S1190" s="280"/>
      <c r="T1190" s="297"/>
    </row>
    <row r="1191" spans="1:20" x14ac:dyDescent="0.25">
      <c r="A1191" s="274" t="s">
        <v>78</v>
      </c>
      <c r="B1191" s="274" t="s">
        <v>79</v>
      </c>
      <c r="C1191" s="274" t="s">
        <v>3741</v>
      </c>
      <c r="D1191" s="274" t="s">
        <v>3742</v>
      </c>
      <c r="E1191" s="274" t="s">
        <v>59</v>
      </c>
      <c r="F1191" s="274" t="s">
        <v>199</v>
      </c>
      <c r="G1191" s="274" t="s">
        <v>152</v>
      </c>
      <c r="H1191" s="274" t="s">
        <v>153</v>
      </c>
      <c r="I1191" s="274" t="s">
        <v>5457</v>
      </c>
      <c r="J1191" s="274" t="s">
        <v>6644</v>
      </c>
      <c r="K1191" s="274" t="s">
        <v>6590</v>
      </c>
      <c r="L1191" s="274" t="s">
        <v>5458</v>
      </c>
      <c r="M1191" s="281">
        <v>37000</v>
      </c>
      <c r="N1191" s="280"/>
      <c r="O1191" s="280"/>
      <c r="P1191" s="280"/>
      <c r="Q1191" s="280"/>
      <c r="R1191" s="280">
        <v>37000</v>
      </c>
      <c r="S1191" s="280"/>
      <c r="T1191" s="297"/>
    </row>
    <row r="1192" spans="1:20" x14ac:dyDescent="0.25">
      <c r="A1192" s="274" t="s">
        <v>78</v>
      </c>
      <c r="B1192" s="274" t="s">
        <v>79</v>
      </c>
      <c r="C1192" s="274" t="s">
        <v>3741</v>
      </c>
      <c r="D1192" s="274" t="s">
        <v>3742</v>
      </c>
      <c r="E1192" s="274" t="s">
        <v>59</v>
      </c>
      <c r="F1192" s="274" t="s">
        <v>199</v>
      </c>
      <c r="G1192" s="274" t="s">
        <v>226</v>
      </c>
      <c r="H1192" s="274" t="s">
        <v>227</v>
      </c>
      <c r="I1192" s="274" t="s">
        <v>5459</v>
      </c>
      <c r="J1192" s="274" t="s">
        <v>6721</v>
      </c>
      <c r="K1192" s="274" t="s">
        <v>6546</v>
      </c>
      <c r="L1192" s="274" t="s">
        <v>5460</v>
      </c>
      <c r="M1192" s="281">
        <v>819.77</v>
      </c>
      <c r="N1192" s="280">
        <v>819.77</v>
      </c>
      <c r="O1192" s="280"/>
      <c r="P1192" s="280"/>
      <c r="Q1192" s="280"/>
      <c r="R1192" s="280"/>
      <c r="S1192" s="280"/>
      <c r="T1192" s="297"/>
    </row>
    <row r="1193" spans="1:20" x14ac:dyDescent="0.25">
      <c r="A1193" s="274" t="s">
        <v>78</v>
      </c>
      <c r="B1193" s="274" t="s">
        <v>79</v>
      </c>
      <c r="C1193" s="274" t="s">
        <v>3741</v>
      </c>
      <c r="D1193" s="274" t="s">
        <v>3742</v>
      </c>
      <c r="E1193" s="274" t="s">
        <v>59</v>
      </c>
      <c r="F1193" s="274" t="s">
        <v>199</v>
      </c>
      <c r="G1193" s="274" t="s">
        <v>226</v>
      </c>
      <c r="H1193" s="274" t="s">
        <v>227</v>
      </c>
      <c r="I1193" s="274" t="s">
        <v>5461</v>
      </c>
      <c r="J1193" s="274" t="s">
        <v>6722</v>
      </c>
      <c r="K1193" s="274" t="s">
        <v>3746</v>
      </c>
      <c r="L1193" s="274" t="s">
        <v>5462</v>
      </c>
      <c r="M1193" s="281">
        <v>130566.61</v>
      </c>
      <c r="N1193" s="280"/>
      <c r="O1193" s="280"/>
      <c r="P1193" s="280"/>
      <c r="Q1193" s="280">
        <v>130566.61</v>
      </c>
      <c r="R1193" s="280"/>
      <c r="S1193" s="280"/>
      <c r="T1193" s="297"/>
    </row>
    <row r="1194" spans="1:20" x14ac:dyDescent="0.25">
      <c r="A1194" s="274" t="s">
        <v>78</v>
      </c>
      <c r="B1194" s="274" t="s">
        <v>79</v>
      </c>
      <c r="C1194" s="274" t="s">
        <v>3741</v>
      </c>
      <c r="D1194" s="274" t="s">
        <v>3742</v>
      </c>
      <c r="E1194" s="274" t="s">
        <v>59</v>
      </c>
      <c r="F1194" s="274" t="s">
        <v>199</v>
      </c>
      <c r="G1194" s="274" t="s">
        <v>226</v>
      </c>
      <c r="H1194" s="274" t="s">
        <v>227</v>
      </c>
      <c r="I1194" s="274" t="s">
        <v>5463</v>
      </c>
      <c r="J1194" s="274" t="s">
        <v>6722</v>
      </c>
      <c r="K1194" s="274" t="s">
        <v>3746</v>
      </c>
      <c r="L1194" s="274" t="s">
        <v>5462</v>
      </c>
      <c r="M1194" s="281">
        <v>3935.06</v>
      </c>
      <c r="N1194" s="280"/>
      <c r="O1194" s="280"/>
      <c r="P1194" s="280"/>
      <c r="Q1194" s="280">
        <v>3935.06</v>
      </c>
      <c r="R1194" s="280"/>
      <c r="S1194" s="280"/>
      <c r="T1194" s="297"/>
    </row>
    <row r="1195" spans="1:20" x14ac:dyDescent="0.25">
      <c r="A1195" s="274" t="s">
        <v>78</v>
      </c>
      <c r="B1195" s="274" t="s">
        <v>79</v>
      </c>
      <c r="C1195" s="274" t="s">
        <v>3741</v>
      </c>
      <c r="D1195" s="274" t="s">
        <v>3742</v>
      </c>
      <c r="E1195" s="274" t="s">
        <v>59</v>
      </c>
      <c r="F1195" s="274" t="s">
        <v>199</v>
      </c>
      <c r="G1195" s="274" t="s">
        <v>228</v>
      </c>
      <c r="H1195" s="274" t="s">
        <v>229</v>
      </c>
      <c r="I1195" s="274" t="s">
        <v>5464</v>
      </c>
      <c r="J1195" s="274" t="s">
        <v>6723</v>
      </c>
      <c r="K1195" s="274" t="s">
        <v>3746</v>
      </c>
      <c r="L1195" s="274" t="s">
        <v>5465</v>
      </c>
      <c r="M1195" s="281">
        <v>14000</v>
      </c>
      <c r="N1195" s="280"/>
      <c r="O1195" s="280">
        <v>14000</v>
      </c>
      <c r="P1195" s="280"/>
      <c r="Q1195" s="280"/>
      <c r="R1195" s="280"/>
      <c r="S1195" s="280"/>
      <c r="T1195" s="297"/>
    </row>
    <row r="1196" spans="1:20" x14ac:dyDescent="0.25">
      <c r="A1196" s="274" t="s">
        <v>78</v>
      </c>
      <c r="B1196" s="274" t="s">
        <v>79</v>
      </c>
      <c r="C1196" s="274" t="s">
        <v>3741</v>
      </c>
      <c r="D1196" s="274" t="s">
        <v>3742</v>
      </c>
      <c r="E1196" s="274" t="s">
        <v>59</v>
      </c>
      <c r="F1196" s="274" t="s">
        <v>199</v>
      </c>
      <c r="G1196" s="274" t="s">
        <v>160</v>
      </c>
      <c r="H1196" s="274" t="s">
        <v>161</v>
      </c>
      <c r="I1196" s="274" t="s">
        <v>5466</v>
      </c>
      <c r="J1196" s="274" t="s">
        <v>6724</v>
      </c>
      <c r="K1196" s="274" t="s">
        <v>3746</v>
      </c>
      <c r="L1196" s="274" t="s">
        <v>5467</v>
      </c>
      <c r="M1196" s="281">
        <v>13562.5</v>
      </c>
      <c r="N1196" s="280">
        <v>13562.5</v>
      </c>
      <c r="O1196" s="280"/>
      <c r="P1196" s="280"/>
      <c r="Q1196" s="280"/>
      <c r="R1196" s="280"/>
      <c r="S1196" s="280"/>
      <c r="T1196" s="297"/>
    </row>
    <row r="1197" spans="1:20" x14ac:dyDescent="0.25">
      <c r="A1197" s="274" t="s">
        <v>78</v>
      </c>
      <c r="B1197" s="274" t="s">
        <v>79</v>
      </c>
      <c r="C1197" s="274" t="s">
        <v>3741</v>
      </c>
      <c r="D1197" s="274" t="s">
        <v>3742</v>
      </c>
      <c r="E1197" s="274" t="s">
        <v>59</v>
      </c>
      <c r="F1197" s="274" t="s">
        <v>199</v>
      </c>
      <c r="G1197" s="274" t="s">
        <v>160</v>
      </c>
      <c r="H1197" s="274" t="s">
        <v>161</v>
      </c>
      <c r="I1197" s="274" t="s">
        <v>5468</v>
      </c>
      <c r="J1197" s="274" t="s">
        <v>6725</v>
      </c>
      <c r="K1197" s="274" t="s">
        <v>3746</v>
      </c>
      <c r="L1197" s="274" t="s">
        <v>5469</v>
      </c>
      <c r="M1197" s="281">
        <v>50000</v>
      </c>
      <c r="N1197" s="280"/>
      <c r="O1197" s="280">
        <v>50000</v>
      </c>
      <c r="P1197" s="280"/>
      <c r="Q1197" s="280"/>
      <c r="R1197" s="280"/>
      <c r="S1197" s="280"/>
      <c r="T1197" s="297"/>
    </row>
    <row r="1198" spans="1:20" x14ac:dyDescent="0.25">
      <c r="A1198" s="274" t="s">
        <v>78</v>
      </c>
      <c r="B1198" s="274" t="s">
        <v>79</v>
      </c>
      <c r="C1198" s="274" t="s">
        <v>3741</v>
      </c>
      <c r="D1198" s="274" t="s">
        <v>3742</v>
      </c>
      <c r="E1198" s="274" t="s">
        <v>59</v>
      </c>
      <c r="F1198" s="274" t="s">
        <v>199</v>
      </c>
      <c r="G1198" s="274" t="s">
        <v>230</v>
      </c>
      <c r="H1198" s="274" t="s">
        <v>231</v>
      </c>
      <c r="I1198" s="274" t="s">
        <v>5470</v>
      </c>
      <c r="J1198" s="274" t="s">
        <v>6726</v>
      </c>
      <c r="K1198" s="274" t="s">
        <v>3746</v>
      </c>
      <c r="L1198" s="274" t="s">
        <v>5471</v>
      </c>
      <c r="M1198" s="281">
        <v>98400</v>
      </c>
      <c r="N1198" s="280">
        <v>98400</v>
      </c>
      <c r="O1198" s="280"/>
      <c r="P1198" s="280"/>
      <c r="Q1198" s="280"/>
      <c r="R1198" s="280"/>
      <c r="S1198" s="280"/>
      <c r="T1198" s="297"/>
    </row>
    <row r="1199" spans="1:20" x14ac:dyDescent="0.25">
      <c r="A1199" s="274" t="s">
        <v>78</v>
      </c>
      <c r="B1199" s="274" t="s">
        <v>79</v>
      </c>
      <c r="C1199" s="274" t="s">
        <v>3741</v>
      </c>
      <c r="D1199" s="274" t="s">
        <v>3742</v>
      </c>
      <c r="E1199" s="274" t="s">
        <v>59</v>
      </c>
      <c r="F1199" s="274" t="s">
        <v>199</v>
      </c>
      <c r="G1199" s="274" t="s">
        <v>6160</v>
      </c>
      <c r="H1199" s="274" t="s">
        <v>6161</v>
      </c>
      <c r="I1199" s="274" t="s">
        <v>6446</v>
      </c>
      <c r="J1199" s="274" t="s">
        <v>6727</v>
      </c>
      <c r="K1199" s="274" t="s">
        <v>6506</v>
      </c>
      <c r="L1199" s="274" t="s">
        <v>6447</v>
      </c>
      <c r="M1199" s="281">
        <v>129208.48</v>
      </c>
      <c r="N1199" s="280"/>
      <c r="O1199" s="280"/>
      <c r="P1199" s="280"/>
      <c r="Q1199" s="280"/>
      <c r="R1199" s="280"/>
      <c r="S1199" s="280">
        <v>129208.48</v>
      </c>
      <c r="T1199" s="297"/>
    </row>
    <row r="1200" spans="1:20" x14ac:dyDescent="0.25">
      <c r="A1200" s="274" t="s">
        <v>78</v>
      </c>
      <c r="B1200" s="274" t="s">
        <v>79</v>
      </c>
      <c r="C1200" s="274" t="s">
        <v>3741</v>
      </c>
      <c r="D1200" s="274" t="s">
        <v>3742</v>
      </c>
      <c r="E1200" s="274" t="s">
        <v>59</v>
      </c>
      <c r="F1200" s="274" t="s">
        <v>199</v>
      </c>
      <c r="G1200" s="274" t="s">
        <v>232</v>
      </c>
      <c r="H1200" s="274" t="s">
        <v>233</v>
      </c>
      <c r="I1200" s="274" t="s">
        <v>5472</v>
      </c>
      <c r="J1200" s="274" t="s">
        <v>6728</v>
      </c>
      <c r="K1200" s="274" t="s">
        <v>3746</v>
      </c>
      <c r="L1200" s="274" t="s">
        <v>5473</v>
      </c>
      <c r="M1200" s="281">
        <v>88655</v>
      </c>
      <c r="N1200" s="280">
        <v>88655</v>
      </c>
      <c r="O1200" s="280"/>
      <c r="P1200" s="280"/>
      <c r="Q1200" s="280"/>
      <c r="R1200" s="280"/>
      <c r="S1200" s="280"/>
      <c r="T1200" s="297"/>
    </row>
    <row r="1201" spans="1:20" x14ac:dyDescent="0.25">
      <c r="A1201" s="274" t="s">
        <v>78</v>
      </c>
      <c r="B1201" s="274" t="s">
        <v>79</v>
      </c>
      <c r="C1201" s="274" t="s">
        <v>3741</v>
      </c>
      <c r="D1201" s="274" t="s">
        <v>3742</v>
      </c>
      <c r="E1201" s="274" t="s">
        <v>59</v>
      </c>
      <c r="F1201" s="274" t="s">
        <v>199</v>
      </c>
      <c r="G1201" s="274" t="s">
        <v>166</v>
      </c>
      <c r="H1201" s="274" t="s">
        <v>167</v>
      </c>
      <c r="I1201" s="274" t="s">
        <v>6448</v>
      </c>
      <c r="J1201" s="274" t="s">
        <v>6729</v>
      </c>
      <c r="K1201" s="274" t="s">
        <v>3746</v>
      </c>
      <c r="L1201" s="274" t="s">
        <v>6449</v>
      </c>
      <c r="M1201" s="281">
        <v>52263.6</v>
      </c>
      <c r="N1201" s="280"/>
      <c r="O1201" s="280"/>
      <c r="P1201" s="280"/>
      <c r="Q1201" s="280"/>
      <c r="R1201" s="280">
        <v>52263.6</v>
      </c>
      <c r="S1201" s="280"/>
      <c r="T1201" s="297"/>
    </row>
    <row r="1202" spans="1:20" x14ac:dyDescent="0.25">
      <c r="A1202" s="274" t="s">
        <v>78</v>
      </c>
      <c r="B1202" s="274" t="s">
        <v>79</v>
      </c>
      <c r="C1202" s="274" t="s">
        <v>3741</v>
      </c>
      <c r="D1202" s="274" t="s">
        <v>3742</v>
      </c>
      <c r="E1202" s="274" t="s">
        <v>59</v>
      </c>
      <c r="F1202" s="274" t="s">
        <v>199</v>
      </c>
      <c r="G1202" s="274" t="s">
        <v>234</v>
      </c>
      <c r="H1202" s="274" t="s">
        <v>235</v>
      </c>
      <c r="I1202" s="274" t="s">
        <v>5474</v>
      </c>
      <c r="J1202" s="274" t="s">
        <v>6730</v>
      </c>
      <c r="K1202" s="274" t="s">
        <v>3746</v>
      </c>
      <c r="L1202" s="274" t="s">
        <v>5475</v>
      </c>
      <c r="M1202" s="281">
        <v>-20276.98</v>
      </c>
      <c r="N1202" s="280">
        <v>-20276.98</v>
      </c>
      <c r="O1202" s="280"/>
      <c r="P1202" s="280"/>
      <c r="Q1202" s="280"/>
      <c r="R1202" s="280"/>
      <c r="S1202" s="280"/>
      <c r="T1202" s="297"/>
    </row>
    <row r="1203" spans="1:20" x14ac:dyDescent="0.25">
      <c r="A1203" s="274" t="s">
        <v>78</v>
      </c>
      <c r="B1203" s="274" t="s">
        <v>79</v>
      </c>
      <c r="C1203" s="274" t="s">
        <v>3741</v>
      </c>
      <c r="D1203" s="274" t="s">
        <v>3742</v>
      </c>
      <c r="E1203" s="274" t="s">
        <v>59</v>
      </c>
      <c r="F1203" s="274" t="s">
        <v>199</v>
      </c>
      <c r="G1203" s="274" t="s">
        <v>234</v>
      </c>
      <c r="H1203" s="274" t="s">
        <v>235</v>
      </c>
      <c r="I1203" s="274" t="s">
        <v>5476</v>
      </c>
      <c r="J1203" s="274" t="s">
        <v>6730</v>
      </c>
      <c r="K1203" s="274" t="s">
        <v>3746</v>
      </c>
      <c r="L1203" s="274" t="s">
        <v>5475</v>
      </c>
      <c r="M1203" s="281">
        <v>10889.6</v>
      </c>
      <c r="N1203" s="280">
        <v>10889.6</v>
      </c>
      <c r="O1203" s="280"/>
      <c r="P1203" s="280"/>
      <c r="Q1203" s="280"/>
      <c r="R1203" s="280"/>
      <c r="S1203" s="280"/>
      <c r="T1203" s="297"/>
    </row>
    <row r="1204" spans="1:20" x14ac:dyDescent="0.25">
      <c r="A1204" s="274" t="s">
        <v>78</v>
      </c>
      <c r="B1204" s="274" t="s">
        <v>79</v>
      </c>
      <c r="C1204" s="274" t="s">
        <v>3741</v>
      </c>
      <c r="D1204" s="274" t="s">
        <v>3742</v>
      </c>
      <c r="E1204" s="274" t="s">
        <v>59</v>
      </c>
      <c r="F1204" s="274" t="s">
        <v>199</v>
      </c>
      <c r="G1204" s="274" t="s">
        <v>234</v>
      </c>
      <c r="H1204" s="274" t="s">
        <v>235</v>
      </c>
      <c r="I1204" s="274" t="s">
        <v>5477</v>
      </c>
      <c r="J1204" s="274" t="s">
        <v>6730</v>
      </c>
      <c r="K1204" s="274" t="s">
        <v>6506</v>
      </c>
      <c r="L1204" s="274" t="s">
        <v>5478</v>
      </c>
      <c r="M1204" s="281">
        <v>10889.6</v>
      </c>
      <c r="N1204" s="280">
        <v>10889.6</v>
      </c>
      <c r="O1204" s="280"/>
      <c r="P1204" s="280"/>
      <c r="Q1204" s="280"/>
      <c r="R1204" s="280"/>
      <c r="S1204" s="280"/>
      <c r="T1204" s="297"/>
    </row>
    <row r="1205" spans="1:20" x14ac:dyDescent="0.25">
      <c r="A1205" s="274" t="s">
        <v>78</v>
      </c>
      <c r="B1205" s="274" t="s">
        <v>79</v>
      </c>
      <c r="C1205" s="274" t="s">
        <v>3741</v>
      </c>
      <c r="D1205" s="274" t="s">
        <v>3742</v>
      </c>
      <c r="E1205" s="274" t="s">
        <v>59</v>
      </c>
      <c r="F1205" s="274" t="s">
        <v>199</v>
      </c>
      <c r="G1205" s="274" t="s">
        <v>234</v>
      </c>
      <c r="H1205" s="274" t="s">
        <v>235</v>
      </c>
      <c r="I1205" s="274" t="s">
        <v>5479</v>
      </c>
      <c r="J1205" s="274" t="s">
        <v>6730</v>
      </c>
      <c r="K1205" s="274" t="s">
        <v>6506</v>
      </c>
      <c r="L1205" s="274" t="s">
        <v>5480</v>
      </c>
      <c r="M1205" s="281">
        <v>10818.54</v>
      </c>
      <c r="N1205" s="280"/>
      <c r="O1205" s="280">
        <v>10818.54</v>
      </c>
      <c r="P1205" s="280"/>
      <c r="Q1205" s="280"/>
      <c r="R1205" s="280"/>
      <c r="S1205" s="280"/>
      <c r="T1205" s="297"/>
    </row>
    <row r="1206" spans="1:20" x14ac:dyDescent="0.25">
      <c r="A1206" s="274" t="s">
        <v>78</v>
      </c>
      <c r="B1206" s="274" t="s">
        <v>79</v>
      </c>
      <c r="C1206" s="274" t="s">
        <v>3741</v>
      </c>
      <c r="D1206" s="274" t="s">
        <v>3742</v>
      </c>
      <c r="E1206" s="274" t="s">
        <v>59</v>
      </c>
      <c r="F1206" s="274" t="s">
        <v>199</v>
      </c>
      <c r="G1206" s="274" t="s">
        <v>234</v>
      </c>
      <c r="H1206" s="274" t="s">
        <v>235</v>
      </c>
      <c r="I1206" s="274" t="s">
        <v>5481</v>
      </c>
      <c r="J1206" s="274" t="s">
        <v>6730</v>
      </c>
      <c r="K1206" s="274" t="s">
        <v>6506</v>
      </c>
      <c r="L1206" s="274" t="s">
        <v>5482</v>
      </c>
      <c r="M1206" s="281">
        <v>10752.5</v>
      </c>
      <c r="N1206" s="280"/>
      <c r="O1206" s="280"/>
      <c r="P1206" s="280">
        <v>10752.5</v>
      </c>
      <c r="Q1206" s="280"/>
      <c r="R1206" s="280"/>
      <c r="S1206" s="280"/>
      <c r="T1206" s="297"/>
    </row>
    <row r="1207" spans="1:20" x14ac:dyDescent="0.25">
      <c r="A1207" s="274" t="s">
        <v>78</v>
      </c>
      <c r="B1207" s="274" t="s">
        <v>79</v>
      </c>
      <c r="C1207" s="274" t="s">
        <v>3741</v>
      </c>
      <c r="D1207" s="274" t="s">
        <v>3742</v>
      </c>
      <c r="E1207" s="274" t="s">
        <v>59</v>
      </c>
      <c r="F1207" s="274" t="s">
        <v>199</v>
      </c>
      <c r="G1207" s="274" t="s">
        <v>234</v>
      </c>
      <c r="H1207" s="274" t="s">
        <v>235</v>
      </c>
      <c r="I1207" s="274" t="s">
        <v>5483</v>
      </c>
      <c r="J1207" s="274" t="s">
        <v>6730</v>
      </c>
      <c r="K1207" s="274" t="s">
        <v>6506</v>
      </c>
      <c r="L1207" s="274" t="s">
        <v>5484</v>
      </c>
      <c r="M1207" s="281">
        <v>10437.92</v>
      </c>
      <c r="N1207" s="280"/>
      <c r="O1207" s="280"/>
      <c r="P1207" s="280"/>
      <c r="Q1207" s="280">
        <v>10437.92</v>
      </c>
      <c r="R1207" s="280"/>
      <c r="S1207" s="280"/>
      <c r="T1207" s="297"/>
    </row>
    <row r="1208" spans="1:20" x14ac:dyDescent="0.25">
      <c r="A1208" s="274" t="s">
        <v>78</v>
      </c>
      <c r="B1208" s="274" t="s">
        <v>79</v>
      </c>
      <c r="C1208" s="274" t="s">
        <v>3741</v>
      </c>
      <c r="D1208" s="274" t="s">
        <v>3742</v>
      </c>
      <c r="E1208" s="274" t="s">
        <v>59</v>
      </c>
      <c r="F1208" s="274" t="s">
        <v>199</v>
      </c>
      <c r="G1208" s="274" t="s">
        <v>234</v>
      </c>
      <c r="H1208" s="274" t="s">
        <v>235</v>
      </c>
      <c r="I1208" s="274" t="s">
        <v>5485</v>
      </c>
      <c r="J1208" s="274" t="s">
        <v>6730</v>
      </c>
      <c r="K1208" s="274" t="s">
        <v>6506</v>
      </c>
      <c r="L1208" s="274" t="s">
        <v>5486</v>
      </c>
      <c r="M1208" s="281">
        <v>9872.15</v>
      </c>
      <c r="N1208" s="280"/>
      <c r="O1208" s="280"/>
      <c r="P1208" s="280"/>
      <c r="Q1208" s="280"/>
      <c r="R1208" s="280">
        <v>9872.15</v>
      </c>
      <c r="S1208" s="280"/>
      <c r="T1208" s="297"/>
    </row>
    <row r="1209" spans="1:20" x14ac:dyDescent="0.25">
      <c r="A1209" s="274" t="s">
        <v>78</v>
      </c>
      <c r="B1209" s="274" t="s">
        <v>79</v>
      </c>
      <c r="C1209" s="274" t="s">
        <v>3741</v>
      </c>
      <c r="D1209" s="274" t="s">
        <v>3742</v>
      </c>
      <c r="E1209" s="274" t="s">
        <v>59</v>
      </c>
      <c r="F1209" s="274" t="s">
        <v>199</v>
      </c>
      <c r="G1209" s="274" t="s">
        <v>234</v>
      </c>
      <c r="H1209" s="274" t="s">
        <v>235</v>
      </c>
      <c r="I1209" s="274" t="s">
        <v>6450</v>
      </c>
      <c r="J1209" s="274" t="s">
        <v>6730</v>
      </c>
      <c r="K1209" s="274" t="s">
        <v>6506</v>
      </c>
      <c r="L1209" s="274" t="s">
        <v>6451</v>
      </c>
      <c r="M1209" s="281">
        <v>9952.33</v>
      </c>
      <c r="N1209" s="280"/>
      <c r="O1209" s="280"/>
      <c r="P1209" s="280"/>
      <c r="Q1209" s="280"/>
      <c r="R1209" s="280"/>
      <c r="S1209" s="280">
        <v>9952.33</v>
      </c>
      <c r="T1209" s="297"/>
    </row>
    <row r="1210" spans="1:20" x14ac:dyDescent="0.25">
      <c r="A1210" s="274" t="s">
        <v>78</v>
      </c>
      <c r="B1210" s="274" t="s">
        <v>79</v>
      </c>
      <c r="C1210" s="274" t="s">
        <v>3741</v>
      </c>
      <c r="D1210" s="274" t="s">
        <v>3742</v>
      </c>
      <c r="E1210" s="274" t="s">
        <v>59</v>
      </c>
      <c r="F1210" s="274" t="s">
        <v>199</v>
      </c>
      <c r="G1210" s="274" t="s">
        <v>234</v>
      </c>
      <c r="H1210" s="274" t="s">
        <v>235</v>
      </c>
      <c r="I1210" s="274" t="s">
        <v>5487</v>
      </c>
      <c r="J1210" s="274" t="s">
        <v>6730</v>
      </c>
      <c r="K1210" s="274" t="s">
        <v>6506</v>
      </c>
      <c r="L1210" s="274" t="s">
        <v>5478</v>
      </c>
      <c r="M1210" s="281">
        <v>-71.06</v>
      </c>
      <c r="N1210" s="280"/>
      <c r="O1210" s="280">
        <v>-71.06</v>
      </c>
      <c r="P1210" s="280"/>
      <c r="Q1210" s="280"/>
      <c r="R1210" s="280"/>
      <c r="S1210" s="280"/>
      <c r="T1210" s="297"/>
    </row>
    <row r="1211" spans="1:20" x14ac:dyDescent="0.25">
      <c r="A1211" s="274" t="s">
        <v>78</v>
      </c>
      <c r="B1211" s="274" t="s">
        <v>79</v>
      </c>
      <c r="C1211" s="274" t="s">
        <v>3741</v>
      </c>
      <c r="D1211" s="274" t="s">
        <v>3742</v>
      </c>
      <c r="E1211" s="274" t="s">
        <v>59</v>
      </c>
      <c r="F1211" s="274" t="s">
        <v>199</v>
      </c>
      <c r="G1211" s="274" t="s">
        <v>234</v>
      </c>
      <c r="H1211" s="274" t="s">
        <v>235</v>
      </c>
      <c r="I1211" s="274" t="s">
        <v>5488</v>
      </c>
      <c r="J1211" s="274" t="s">
        <v>6730</v>
      </c>
      <c r="K1211" s="274" t="s">
        <v>6506</v>
      </c>
      <c r="L1211" s="274" t="s">
        <v>5480</v>
      </c>
      <c r="M1211" s="281">
        <v>-66.040000000000006</v>
      </c>
      <c r="N1211" s="280"/>
      <c r="O1211" s="280"/>
      <c r="P1211" s="280">
        <v>-66.040000000000006</v>
      </c>
      <c r="Q1211" s="280"/>
      <c r="R1211" s="280"/>
      <c r="S1211" s="280"/>
      <c r="T1211" s="297"/>
    </row>
    <row r="1212" spans="1:20" x14ac:dyDescent="0.25">
      <c r="A1212" s="274" t="s">
        <v>78</v>
      </c>
      <c r="B1212" s="274" t="s">
        <v>79</v>
      </c>
      <c r="C1212" s="274" t="s">
        <v>3741</v>
      </c>
      <c r="D1212" s="274" t="s">
        <v>3742</v>
      </c>
      <c r="E1212" s="274" t="s">
        <v>59</v>
      </c>
      <c r="F1212" s="274" t="s">
        <v>199</v>
      </c>
      <c r="G1212" s="274" t="s">
        <v>234</v>
      </c>
      <c r="H1212" s="274" t="s">
        <v>235</v>
      </c>
      <c r="I1212" s="274" t="s">
        <v>5489</v>
      </c>
      <c r="J1212" s="274" t="s">
        <v>6730</v>
      </c>
      <c r="K1212" s="274" t="s">
        <v>6506</v>
      </c>
      <c r="L1212" s="274" t="s">
        <v>5482</v>
      </c>
      <c r="M1212" s="281">
        <v>-314.58</v>
      </c>
      <c r="N1212" s="280"/>
      <c r="O1212" s="280"/>
      <c r="P1212" s="280"/>
      <c r="Q1212" s="280">
        <v>-314.58</v>
      </c>
      <c r="R1212" s="280"/>
      <c r="S1212" s="280"/>
      <c r="T1212" s="297"/>
    </row>
    <row r="1213" spans="1:20" x14ac:dyDescent="0.25">
      <c r="A1213" s="274" t="s">
        <v>78</v>
      </c>
      <c r="B1213" s="274" t="s">
        <v>79</v>
      </c>
      <c r="C1213" s="274" t="s">
        <v>3741</v>
      </c>
      <c r="D1213" s="274" t="s">
        <v>3742</v>
      </c>
      <c r="E1213" s="274" t="s">
        <v>59</v>
      </c>
      <c r="F1213" s="274" t="s">
        <v>199</v>
      </c>
      <c r="G1213" s="274" t="s">
        <v>234</v>
      </c>
      <c r="H1213" s="274" t="s">
        <v>235</v>
      </c>
      <c r="I1213" s="274" t="s">
        <v>5490</v>
      </c>
      <c r="J1213" s="274" t="s">
        <v>6730</v>
      </c>
      <c r="K1213" s="274" t="s">
        <v>6506</v>
      </c>
      <c r="L1213" s="274" t="s">
        <v>5484</v>
      </c>
      <c r="M1213" s="281">
        <v>-565.77</v>
      </c>
      <c r="N1213" s="280"/>
      <c r="O1213" s="280"/>
      <c r="P1213" s="280"/>
      <c r="Q1213" s="280"/>
      <c r="R1213" s="280">
        <v>-565.77</v>
      </c>
      <c r="S1213" s="280"/>
      <c r="T1213" s="297"/>
    </row>
    <row r="1214" spans="1:20" x14ac:dyDescent="0.25">
      <c r="A1214" s="274" t="s">
        <v>78</v>
      </c>
      <c r="B1214" s="274" t="s">
        <v>79</v>
      </c>
      <c r="C1214" s="274" t="s">
        <v>3741</v>
      </c>
      <c r="D1214" s="274" t="s">
        <v>3742</v>
      </c>
      <c r="E1214" s="274" t="s">
        <v>59</v>
      </c>
      <c r="F1214" s="274" t="s">
        <v>199</v>
      </c>
      <c r="G1214" s="274" t="s">
        <v>236</v>
      </c>
      <c r="H1214" s="274" t="s">
        <v>237</v>
      </c>
      <c r="I1214" s="274" t="s">
        <v>5491</v>
      </c>
      <c r="J1214" s="274" t="s">
        <v>6731</v>
      </c>
      <c r="K1214" s="274" t="s">
        <v>3746</v>
      </c>
      <c r="L1214" s="274" t="s">
        <v>5492</v>
      </c>
      <c r="M1214" s="281">
        <v>44940</v>
      </c>
      <c r="N1214" s="280"/>
      <c r="O1214" s="280"/>
      <c r="P1214" s="280"/>
      <c r="Q1214" s="280"/>
      <c r="R1214" s="280">
        <v>44940</v>
      </c>
      <c r="S1214" s="280"/>
      <c r="T1214" s="297"/>
    </row>
    <row r="1215" spans="1:20" x14ac:dyDescent="0.25">
      <c r="A1215" s="274" t="s">
        <v>78</v>
      </c>
      <c r="B1215" s="274" t="s">
        <v>79</v>
      </c>
      <c r="C1215" s="274" t="s">
        <v>3741</v>
      </c>
      <c r="D1215" s="274" t="s">
        <v>3742</v>
      </c>
      <c r="E1215" s="274" t="s">
        <v>59</v>
      </c>
      <c r="F1215" s="274" t="s">
        <v>199</v>
      </c>
      <c r="G1215" s="274" t="s">
        <v>168</v>
      </c>
      <c r="H1215" s="274" t="s">
        <v>169</v>
      </c>
      <c r="I1215" s="274" t="s">
        <v>5493</v>
      </c>
      <c r="J1215" s="274" t="s">
        <v>6732</v>
      </c>
      <c r="K1215" s="274" t="s">
        <v>3746</v>
      </c>
      <c r="L1215" s="274" t="s">
        <v>5494</v>
      </c>
      <c r="M1215" s="281">
        <v>1551.5</v>
      </c>
      <c r="N1215" s="280">
        <v>1551.5</v>
      </c>
      <c r="O1215" s="280"/>
      <c r="P1215" s="280"/>
      <c r="Q1215" s="280"/>
      <c r="R1215" s="280"/>
      <c r="S1215" s="280"/>
      <c r="T1215" s="297"/>
    </row>
    <row r="1216" spans="1:20" x14ac:dyDescent="0.25">
      <c r="A1216" s="274" t="s">
        <v>78</v>
      </c>
      <c r="B1216" s="274" t="s">
        <v>79</v>
      </c>
      <c r="C1216" s="274" t="s">
        <v>3741</v>
      </c>
      <c r="D1216" s="274" t="s">
        <v>3742</v>
      </c>
      <c r="E1216" s="274" t="s">
        <v>59</v>
      </c>
      <c r="F1216" s="274" t="s">
        <v>199</v>
      </c>
      <c r="G1216" s="274" t="s">
        <v>168</v>
      </c>
      <c r="H1216" s="274" t="s">
        <v>169</v>
      </c>
      <c r="I1216" s="274" t="s">
        <v>5495</v>
      </c>
      <c r="J1216" s="274" t="s">
        <v>6732</v>
      </c>
      <c r="K1216" s="274" t="s">
        <v>6506</v>
      </c>
      <c r="L1216" s="274" t="s">
        <v>5496</v>
      </c>
      <c r="M1216" s="281">
        <v>797.5</v>
      </c>
      <c r="N1216" s="280">
        <v>797.5</v>
      </c>
      <c r="O1216" s="280"/>
      <c r="P1216" s="280"/>
      <c r="Q1216" s="280"/>
      <c r="R1216" s="280"/>
      <c r="S1216" s="280"/>
      <c r="T1216" s="297"/>
    </row>
    <row r="1217" spans="1:20" x14ac:dyDescent="0.25">
      <c r="A1217" s="274" t="s">
        <v>78</v>
      </c>
      <c r="B1217" s="274" t="s">
        <v>79</v>
      </c>
      <c r="C1217" s="274" t="s">
        <v>3741</v>
      </c>
      <c r="D1217" s="274" t="s">
        <v>3742</v>
      </c>
      <c r="E1217" s="274" t="s">
        <v>59</v>
      </c>
      <c r="F1217" s="274" t="s">
        <v>199</v>
      </c>
      <c r="G1217" s="274" t="s">
        <v>168</v>
      </c>
      <c r="H1217" s="274" t="s">
        <v>169</v>
      </c>
      <c r="I1217" s="274" t="s">
        <v>5497</v>
      </c>
      <c r="J1217" s="274" t="s">
        <v>6733</v>
      </c>
      <c r="K1217" s="274" t="s">
        <v>3746</v>
      </c>
      <c r="L1217" s="274" t="s">
        <v>5498</v>
      </c>
      <c r="M1217" s="281">
        <v>580</v>
      </c>
      <c r="N1217" s="280"/>
      <c r="O1217" s="280">
        <v>580</v>
      </c>
      <c r="P1217" s="280"/>
      <c r="Q1217" s="280"/>
      <c r="R1217" s="280"/>
      <c r="S1217" s="280"/>
      <c r="T1217" s="297"/>
    </row>
    <row r="1218" spans="1:20" x14ac:dyDescent="0.25">
      <c r="A1218" s="274" t="s">
        <v>78</v>
      </c>
      <c r="B1218" s="274" t="s">
        <v>79</v>
      </c>
      <c r="C1218" s="274" t="s">
        <v>3741</v>
      </c>
      <c r="D1218" s="274" t="s">
        <v>3742</v>
      </c>
      <c r="E1218" s="274" t="s">
        <v>59</v>
      </c>
      <c r="F1218" s="274" t="s">
        <v>199</v>
      </c>
      <c r="G1218" s="274" t="s">
        <v>168</v>
      </c>
      <c r="H1218" s="274" t="s">
        <v>169</v>
      </c>
      <c r="I1218" s="274" t="s">
        <v>5499</v>
      </c>
      <c r="J1218" s="274" t="s">
        <v>6733</v>
      </c>
      <c r="K1218" s="274" t="s">
        <v>3746</v>
      </c>
      <c r="L1218" s="274" t="s">
        <v>5498</v>
      </c>
      <c r="M1218" s="281">
        <v>145</v>
      </c>
      <c r="N1218" s="280"/>
      <c r="O1218" s="280">
        <v>145</v>
      </c>
      <c r="P1218" s="280"/>
      <c r="Q1218" s="280"/>
      <c r="R1218" s="280"/>
      <c r="S1218" s="280"/>
      <c r="T1218" s="297"/>
    </row>
    <row r="1219" spans="1:20" x14ac:dyDescent="0.25">
      <c r="A1219" s="274" t="s">
        <v>78</v>
      </c>
      <c r="B1219" s="274" t="s">
        <v>79</v>
      </c>
      <c r="C1219" s="274" t="s">
        <v>3741</v>
      </c>
      <c r="D1219" s="274" t="s">
        <v>3742</v>
      </c>
      <c r="E1219" s="274" t="s">
        <v>59</v>
      </c>
      <c r="F1219" s="274" t="s">
        <v>199</v>
      </c>
      <c r="G1219" s="274" t="s">
        <v>168</v>
      </c>
      <c r="H1219" s="274" t="s">
        <v>169</v>
      </c>
      <c r="I1219" s="274" t="s">
        <v>5500</v>
      </c>
      <c r="J1219" s="274" t="s">
        <v>6734</v>
      </c>
      <c r="K1219" s="274" t="s">
        <v>3746</v>
      </c>
      <c r="L1219" s="274" t="s">
        <v>5501</v>
      </c>
      <c r="M1219" s="281">
        <v>2025</v>
      </c>
      <c r="N1219" s="280"/>
      <c r="O1219" s="280"/>
      <c r="P1219" s="280"/>
      <c r="Q1219" s="280"/>
      <c r="R1219" s="280">
        <v>2025</v>
      </c>
      <c r="S1219" s="280"/>
      <c r="T1219" s="297"/>
    </row>
    <row r="1220" spans="1:20" x14ac:dyDescent="0.25">
      <c r="A1220" s="274" t="s">
        <v>78</v>
      </c>
      <c r="B1220" s="274" t="s">
        <v>79</v>
      </c>
      <c r="C1220" s="274" t="s">
        <v>3741</v>
      </c>
      <c r="D1220" s="274" t="s">
        <v>3742</v>
      </c>
      <c r="E1220" s="274" t="s">
        <v>59</v>
      </c>
      <c r="F1220" s="274" t="s">
        <v>199</v>
      </c>
      <c r="G1220" s="274" t="s">
        <v>238</v>
      </c>
      <c r="H1220" s="274" t="s">
        <v>239</v>
      </c>
      <c r="I1220" s="274" t="s">
        <v>5502</v>
      </c>
      <c r="J1220" s="274" t="s">
        <v>6735</v>
      </c>
      <c r="K1220" s="274" t="s">
        <v>3746</v>
      </c>
      <c r="L1220" s="274" t="s">
        <v>5503</v>
      </c>
      <c r="M1220" s="281">
        <v>93916.53</v>
      </c>
      <c r="N1220" s="280">
        <v>93916.53</v>
      </c>
      <c r="O1220" s="280"/>
      <c r="P1220" s="280"/>
      <c r="Q1220" s="280"/>
      <c r="R1220" s="280"/>
      <c r="S1220" s="280"/>
      <c r="T1220" s="297"/>
    </row>
    <row r="1221" spans="1:20" x14ac:dyDescent="0.25">
      <c r="A1221" s="274" t="s">
        <v>78</v>
      </c>
      <c r="B1221" s="274" t="s">
        <v>79</v>
      </c>
      <c r="C1221" s="274" t="s">
        <v>3741</v>
      </c>
      <c r="D1221" s="274" t="s">
        <v>3742</v>
      </c>
      <c r="E1221" s="274" t="s">
        <v>59</v>
      </c>
      <c r="F1221" s="274" t="s">
        <v>199</v>
      </c>
      <c r="G1221" s="274" t="s">
        <v>238</v>
      </c>
      <c r="H1221" s="274" t="s">
        <v>239</v>
      </c>
      <c r="I1221" s="274" t="s">
        <v>5504</v>
      </c>
      <c r="J1221" s="274" t="s">
        <v>6736</v>
      </c>
      <c r="K1221" s="274" t="s">
        <v>3746</v>
      </c>
      <c r="L1221" s="274" t="s">
        <v>5505</v>
      </c>
      <c r="M1221" s="281">
        <v>-8035.35</v>
      </c>
      <c r="N1221" s="280">
        <v>-8035.35</v>
      </c>
      <c r="O1221" s="280"/>
      <c r="P1221" s="280"/>
      <c r="Q1221" s="280"/>
      <c r="R1221" s="280"/>
      <c r="S1221" s="280"/>
      <c r="T1221" s="297"/>
    </row>
    <row r="1222" spans="1:20" x14ac:dyDescent="0.25">
      <c r="A1222" s="274" t="s">
        <v>78</v>
      </c>
      <c r="B1222" s="274" t="s">
        <v>79</v>
      </c>
      <c r="C1222" s="274" t="s">
        <v>3741</v>
      </c>
      <c r="D1222" s="274" t="s">
        <v>3742</v>
      </c>
      <c r="E1222" s="274" t="s">
        <v>59</v>
      </c>
      <c r="F1222" s="274" t="s">
        <v>199</v>
      </c>
      <c r="G1222" s="274" t="s">
        <v>238</v>
      </c>
      <c r="H1222" s="274" t="s">
        <v>239</v>
      </c>
      <c r="I1222" s="274" t="s">
        <v>5506</v>
      </c>
      <c r="J1222" s="274" t="s">
        <v>6737</v>
      </c>
      <c r="K1222" s="274" t="s">
        <v>3746</v>
      </c>
      <c r="L1222" s="274" t="s">
        <v>5507</v>
      </c>
      <c r="M1222" s="281">
        <v>-9120</v>
      </c>
      <c r="N1222" s="280"/>
      <c r="O1222" s="280"/>
      <c r="P1222" s="280"/>
      <c r="Q1222" s="280"/>
      <c r="R1222" s="280">
        <v>-9120</v>
      </c>
      <c r="S1222" s="280"/>
      <c r="T1222" s="297"/>
    </row>
    <row r="1223" spans="1:20" x14ac:dyDescent="0.25">
      <c r="A1223" s="274" t="s">
        <v>78</v>
      </c>
      <c r="B1223" s="274" t="s">
        <v>79</v>
      </c>
      <c r="C1223" s="274" t="s">
        <v>3741</v>
      </c>
      <c r="D1223" s="274" t="s">
        <v>3742</v>
      </c>
      <c r="E1223" s="274" t="s">
        <v>59</v>
      </c>
      <c r="F1223" s="274" t="s">
        <v>199</v>
      </c>
      <c r="G1223" s="274" t="s">
        <v>238</v>
      </c>
      <c r="H1223" s="274" t="s">
        <v>239</v>
      </c>
      <c r="I1223" s="274" t="s">
        <v>5508</v>
      </c>
      <c r="J1223" s="274" t="s">
        <v>6737</v>
      </c>
      <c r="K1223" s="274" t="s">
        <v>3746</v>
      </c>
      <c r="L1223" s="274" t="s">
        <v>5507</v>
      </c>
      <c r="M1223" s="281">
        <v>6688</v>
      </c>
      <c r="N1223" s="280"/>
      <c r="O1223" s="280"/>
      <c r="P1223" s="280"/>
      <c r="Q1223" s="280"/>
      <c r="R1223" s="280">
        <v>6688</v>
      </c>
      <c r="S1223" s="280"/>
      <c r="T1223" s="297"/>
    </row>
    <row r="1224" spans="1:20" x14ac:dyDescent="0.25">
      <c r="A1224" s="274" t="s">
        <v>78</v>
      </c>
      <c r="B1224" s="274" t="s">
        <v>79</v>
      </c>
      <c r="C1224" s="274" t="s">
        <v>3741</v>
      </c>
      <c r="D1224" s="274" t="s">
        <v>3742</v>
      </c>
      <c r="E1224" s="274" t="s">
        <v>59</v>
      </c>
      <c r="F1224" s="274" t="s">
        <v>199</v>
      </c>
      <c r="G1224" s="274" t="s">
        <v>238</v>
      </c>
      <c r="H1224" s="274" t="s">
        <v>239</v>
      </c>
      <c r="I1224" s="274" t="s">
        <v>5509</v>
      </c>
      <c r="J1224" s="274" t="s">
        <v>6737</v>
      </c>
      <c r="K1224" s="274" t="s">
        <v>3746</v>
      </c>
      <c r="L1224" s="274" t="s">
        <v>5507</v>
      </c>
      <c r="M1224" s="281">
        <v>2432</v>
      </c>
      <c r="N1224" s="280"/>
      <c r="O1224" s="280"/>
      <c r="P1224" s="280"/>
      <c r="Q1224" s="280"/>
      <c r="R1224" s="280">
        <v>2432</v>
      </c>
      <c r="S1224" s="280"/>
      <c r="T1224" s="297"/>
    </row>
    <row r="1225" spans="1:20" x14ac:dyDescent="0.25">
      <c r="A1225" s="274" t="s">
        <v>78</v>
      </c>
      <c r="B1225" s="274" t="s">
        <v>79</v>
      </c>
      <c r="C1225" s="274" t="s">
        <v>3741</v>
      </c>
      <c r="D1225" s="274" t="s">
        <v>3742</v>
      </c>
      <c r="E1225" s="274" t="s">
        <v>59</v>
      </c>
      <c r="F1225" s="274" t="s">
        <v>199</v>
      </c>
      <c r="G1225" s="274" t="s">
        <v>240</v>
      </c>
      <c r="H1225" s="274" t="s">
        <v>241</v>
      </c>
      <c r="I1225" s="274" t="s">
        <v>5510</v>
      </c>
      <c r="J1225" s="274" t="s">
        <v>6738</v>
      </c>
      <c r="K1225" s="274" t="s">
        <v>3746</v>
      </c>
      <c r="L1225" s="274" t="s">
        <v>5511</v>
      </c>
      <c r="M1225" s="281">
        <v>34874.550000000003</v>
      </c>
      <c r="N1225" s="280"/>
      <c r="O1225" s="280"/>
      <c r="P1225" s="280"/>
      <c r="Q1225" s="280">
        <v>34874.550000000003</v>
      </c>
      <c r="R1225" s="280"/>
      <c r="S1225" s="280"/>
      <c r="T1225" s="297"/>
    </row>
    <row r="1226" spans="1:20" x14ac:dyDescent="0.25">
      <c r="A1226" s="274" t="s">
        <v>78</v>
      </c>
      <c r="B1226" s="274" t="s">
        <v>79</v>
      </c>
      <c r="C1226" s="274" t="s">
        <v>3741</v>
      </c>
      <c r="D1226" s="274" t="s">
        <v>3742</v>
      </c>
      <c r="E1226" s="274" t="s">
        <v>59</v>
      </c>
      <c r="F1226" s="274" t="s">
        <v>199</v>
      </c>
      <c r="G1226" s="274" t="s">
        <v>240</v>
      </c>
      <c r="H1226" s="274" t="s">
        <v>241</v>
      </c>
      <c r="I1226" s="274" t="s">
        <v>5512</v>
      </c>
      <c r="J1226" s="274" t="s">
        <v>6739</v>
      </c>
      <c r="K1226" s="274" t="s">
        <v>3746</v>
      </c>
      <c r="L1226" s="274" t="s">
        <v>5513</v>
      </c>
      <c r="M1226" s="281">
        <v>23886.68</v>
      </c>
      <c r="N1226" s="280"/>
      <c r="O1226" s="280"/>
      <c r="P1226" s="280"/>
      <c r="Q1226" s="280">
        <v>23886.68</v>
      </c>
      <c r="R1226" s="280"/>
      <c r="S1226" s="280"/>
      <c r="T1226" s="297"/>
    </row>
    <row r="1227" spans="1:20" x14ac:dyDescent="0.25">
      <c r="A1227" s="274" t="s">
        <v>78</v>
      </c>
      <c r="B1227" s="274" t="s">
        <v>79</v>
      </c>
      <c r="C1227" s="274" t="s">
        <v>3741</v>
      </c>
      <c r="D1227" s="274" t="s">
        <v>3742</v>
      </c>
      <c r="E1227" s="274" t="s">
        <v>59</v>
      </c>
      <c r="F1227" s="274" t="s">
        <v>199</v>
      </c>
      <c r="G1227" s="274" t="s">
        <v>240</v>
      </c>
      <c r="H1227" s="274" t="s">
        <v>241</v>
      </c>
      <c r="I1227" s="274" t="s">
        <v>5514</v>
      </c>
      <c r="J1227" s="274" t="s">
        <v>6740</v>
      </c>
      <c r="K1227" s="274" t="s">
        <v>6546</v>
      </c>
      <c r="L1227" s="274" t="s">
        <v>5515</v>
      </c>
      <c r="M1227" s="281">
        <v>38475.83</v>
      </c>
      <c r="N1227" s="280"/>
      <c r="O1227" s="280"/>
      <c r="P1227" s="280"/>
      <c r="Q1227" s="280">
        <v>38475.83</v>
      </c>
      <c r="R1227" s="280"/>
      <c r="S1227" s="280"/>
      <c r="T1227" s="297"/>
    </row>
    <row r="1228" spans="1:20" x14ac:dyDescent="0.25">
      <c r="A1228" s="274" t="s">
        <v>78</v>
      </c>
      <c r="B1228" s="274" t="s">
        <v>79</v>
      </c>
      <c r="C1228" s="274" t="s">
        <v>3741</v>
      </c>
      <c r="D1228" s="274" t="s">
        <v>3742</v>
      </c>
      <c r="E1228" s="274" t="s">
        <v>59</v>
      </c>
      <c r="F1228" s="274" t="s">
        <v>199</v>
      </c>
      <c r="G1228" s="274" t="s">
        <v>240</v>
      </c>
      <c r="H1228" s="274" t="s">
        <v>241</v>
      </c>
      <c r="I1228" s="274" t="s">
        <v>5516</v>
      </c>
      <c r="J1228" s="274" t="s">
        <v>6740</v>
      </c>
      <c r="K1228" s="274" t="s">
        <v>6546</v>
      </c>
      <c r="L1228" s="274" t="s">
        <v>5515</v>
      </c>
      <c r="M1228" s="281">
        <v>1159.5899999999999</v>
      </c>
      <c r="N1228" s="280"/>
      <c r="O1228" s="280"/>
      <c r="P1228" s="280"/>
      <c r="Q1228" s="280">
        <v>1159.5899999999999</v>
      </c>
      <c r="R1228" s="280"/>
      <c r="S1228" s="280"/>
      <c r="T1228" s="297"/>
    </row>
    <row r="1229" spans="1:20" x14ac:dyDescent="0.25">
      <c r="A1229" s="274" t="s">
        <v>78</v>
      </c>
      <c r="B1229" s="274" t="s">
        <v>79</v>
      </c>
      <c r="C1229" s="274" t="s">
        <v>3741</v>
      </c>
      <c r="D1229" s="274" t="s">
        <v>3742</v>
      </c>
      <c r="E1229" s="274" t="s">
        <v>59</v>
      </c>
      <c r="F1229" s="274" t="s">
        <v>199</v>
      </c>
      <c r="G1229" s="274" t="s">
        <v>240</v>
      </c>
      <c r="H1229" s="274" t="s">
        <v>241</v>
      </c>
      <c r="I1229" s="274" t="s">
        <v>5516</v>
      </c>
      <c r="J1229" s="274" t="s">
        <v>6739</v>
      </c>
      <c r="K1229" s="274" t="s">
        <v>3746</v>
      </c>
      <c r="L1229" s="274" t="s">
        <v>5513</v>
      </c>
      <c r="M1229" s="281">
        <v>719.9</v>
      </c>
      <c r="N1229" s="280"/>
      <c r="O1229" s="280"/>
      <c r="P1229" s="280"/>
      <c r="Q1229" s="280">
        <v>719.9</v>
      </c>
      <c r="R1229" s="280"/>
      <c r="S1229" s="280"/>
      <c r="T1229" s="297"/>
    </row>
    <row r="1230" spans="1:20" x14ac:dyDescent="0.25">
      <c r="A1230" s="274" t="s">
        <v>78</v>
      </c>
      <c r="B1230" s="274" t="s">
        <v>79</v>
      </c>
      <c r="C1230" s="274" t="s">
        <v>3741</v>
      </c>
      <c r="D1230" s="274" t="s">
        <v>3742</v>
      </c>
      <c r="E1230" s="274" t="s">
        <v>59</v>
      </c>
      <c r="F1230" s="274" t="s">
        <v>199</v>
      </c>
      <c r="G1230" s="274" t="s">
        <v>240</v>
      </c>
      <c r="H1230" s="274" t="s">
        <v>241</v>
      </c>
      <c r="I1230" s="274" t="s">
        <v>5516</v>
      </c>
      <c r="J1230" s="274" t="s">
        <v>6738</v>
      </c>
      <c r="K1230" s="274" t="s">
        <v>3746</v>
      </c>
      <c r="L1230" s="274" t="s">
        <v>5511</v>
      </c>
      <c r="M1230" s="281">
        <v>1051.06</v>
      </c>
      <c r="N1230" s="280"/>
      <c r="O1230" s="280"/>
      <c r="P1230" s="280"/>
      <c r="Q1230" s="280">
        <v>1051.06</v>
      </c>
      <c r="R1230" s="280"/>
      <c r="S1230" s="280"/>
      <c r="T1230" s="297"/>
    </row>
    <row r="1231" spans="1:20" x14ac:dyDescent="0.25">
      <c r="A1231" s="274" t="s">
        <v>78</v>
      </c>
      <c r="B1231" s="274" t="s">
        <v>79</v>
      </c>
      <c r="C1231" s="274" t="s">
        <v>3741</v>
      </c>
      <c r="D1231" s="274" t="s">
        <v>3742</v>
      </c>
      <c r="E1231" s="274" t="s">
        <v>59</v>
      </c>
      <c r="F1231" s="274" t="s">
        <v>199</v>
      </c>
      <c r="G1231" s="274" t="s">
        <v>242</v>
      </c>
      <c r="H1231" s="274" t="s">
        <v>243</v>
      </c>
      <c r="I1231" s="274" t="s">
        <v>5517</v>
      </c>
      <c r="J1231" s="274" t="s">
        <v>6741</v>
      </c>
      <c r="K1231" s="274" t="s">
        <v>6506</v>
      </c>
      <c r="L1231" s="274" t="s">
        <v>5518</v>
      </c>
      <c r="M1231" s="281">
        <v>39950</v>
      </c>
      <c r="N1231" s="280">
        <v>39950</v>
      </c>
      <c r="O1231" s="280"/>
      <c r="P1231" s="280"/>
      <c r="Q1231" s="280"/>
      <c r="R1231" s="280"/>
      <c r="S1231" s="280"/>
      <c r="T1231" s="297"/>
    </row>
    <row r="1232" spans="1:20" x14ac:dyDescent="0.25">
      <c r="A1232" s="274" t="s">
        <v>78</v>
      </c>
      <c r="B1232" s="274" t="s">
        <v>79</v>
      </c>
      <c r="C1232" s="274" t="s">
        <v>3741</v>
      </c>
      <c r="D1232" s="274" t="s">
        <v>3742</v>
      </c>
      <c r="E1232" s="274" t="s">
        <v>59</v>
      </c>
      <c r="F1232" s="274" t="s">
        <v>199</v>
      </c>
      <c r="G1232" s="274" t="s">
        <v>242</v>
      </c>
      <c r="H1232" s="274" t="s">
        <v>243</v>
      </c>
      <c r="I1232" s="274" t="s">
        <v>5519</v>
      </c>
      <c r="J1232" s="274" t="s">
        <v>6742</v>
      </c>
      <c r="K1232" s="274" t="s">
        <v>6506</v>
      </c>
      <c r="L1232" s="274" t="s">
        <v>5520</v>
      </c>
      <c r="M1232" s="281">
        <v>-2315.06</v>
      </c>
      <c r="N1232" s="280">
        <v>-2315.06</v>
      </c>
      <c r="O1232" s="280"/>
      <c r="P1232" s="280"/>
      <c r="Q1232" s="280"/>
      <c r="R1232" s="280"/>
      <c r="S1232" s="280"/>
      <c r="T1232" s="297"/>
    </row>
    <row r="1233" spans="1:20" x14ac:dyDescent="0.25">
      <c r="A1233" s="274" t="s">
        <v>78</v>
      </c>
      <c r="B1233" s="274" t="s">
        <v>79</v>
      </c>
      <c r="C1233" s="274" t="s">
        <v>3741</v>
      </c>
      <c r="D1233" s="274" t="s">
        <v>3742</v>
      </c>
      <c r="E1233" s="274" t="s">
        <v>59</v>
      </c>
      <c r="F1233" s="274" t="s">
        <v>199</v>
      </c>
      <c r="G1233" s="274" t="s">
        <v>242</v>
      </c>
      <c r="H1233" s="274" t="s">
        <v>243</v>
      </c>
      <c r="I1233" s="274" t="s">
        <v>5521</v>
      </c>
      <c r="J1233" s="274" t="s">
        <v>6742</v>
      </c>
      <c r="K1233" s="274" t="s">
        <v>6589</v>
      </c>
      <c r="L1233" s="274" t="s">
        <v>5522</v>
      </c>
      <c r="M1233" s="281">
        <v>-11451.83</v>
      </c>
      <c r="N1233" s="280">
        <v>-11451.83</v>
      </c>
      <c r="O1233" s="280"/>
      <c r="P1233" s="280"/>
      <c r="Q1233" s="280"/>
      <c r="R1233" s="280"/>
      <c r="S1233" s="280"/>
      <c r="T1233" s="297"/>
    </row>
    <row r="1234" spans="1:20" x14ac:dyDescent="0.25">
      <c r="A1234" s="274" t="s">
        <v>78</v>
      </c>
      <c r="B1234" s="274" t="s">
        <v>79</v>
      </c>
      <c r="C1234" s="274" t="s">
        <v>3741</v>
      </c>
      <c r="D1234" s="274" t="s">
        <v>3742</v>
      </c>
      <c r="E1234" s="274" t="s">
        <v>59</v>
      </c>
      <c r="F1234" s="274" t="s">
        <v>199</v>
      </c>
      <c r="G1234" s="274" t="s">
        <v>244</v>
      </c>
      <c r="H1234" s="274" t="s">
        <v>245</v>
      </c>
      <c r="I1234" s="274" t="s">
        <v>5523</v>
      </c>
      <c r="J1234" s="274" t="s">
        <v>6743</v>
      </c>
      <c r="K1234" s="274" t="s">
        <v>3746</v>
      </c>
      <c r="L1234" s="274" t="s">
        <v>5524</v>
      </c>
      <c r="M1234" s="281">
        <v>62155.9</v>
      </c>
      <c r="N1234" s="280">
        <v>62155.9</v>
      </c>
      <c r="O1234" s="280"/>
      <c r="P1234" s="280"/>
      <c r="Q1234" s="280"/>
      <c r="R1234" s="280"/>
      <c r="S1234" s="280"/>
      <c r="T1234" s="297"/>
    </row>
    <row r="1235" spans="1:20" x14ac:dyDescent="0.25">
      <c r="A1235" s="274" t="s">
        <v>78</v>
      </c>
      <c r="B1235" s="274" t="s">
        <v>79</v>
      </c>
      <c r="C1235" s="274" t="s">
        <v>3741</v>
      </c>
      <c r="D1235" s="274" t="s">
        <v>3742</v>
      </c>
      <c r="E1235" s="274" t="s">
        <v>59</v>
      </c>
      <c r="F1235" s="274" t="s">
        <v>199</v>
      </c>
      <c r="G1235" s="274" t="s">
        <v>244</v>
      </c>
      <c r="H1235" s="274" t="s">
        <v>245</v>
      </c>
      <c r="I1235" s="274" t="s">
        <v>5525</v>
      </c>
      <c r="J1235" s="274" t="s">
        <v>6744</v>
      </c>
      <c r="K1235" s="274" t="s">
        <v>3746</v>
      </c>
      <c r="L1235" s="274" t="s">
        <v>5526</v>
      </c>
      <c r="M1235" s="281">
        <v>6619.76</v>
      </c>
      <c r="N1235" s="280"/>
      <c r="O1235" s="280"/>
      <c r="P1235" s="280"/>
      <c r="Q1235" s="280">
        <v>6619.76</v>
      </c>
      <c r="R1235" s="280"/>
      <c r="S1235" s="280"/>
      <c r="T1235" s="297"/>
    </row>
    <row r="1236" spans="1:20" x14ac:dyDescent="0.25">
      <c r="A1236" s="274" t="s">
        <v>78</v>
      </c>
      <c r="B1236" s="274" t="s">
        <v>79</v>
      </c>
      <c r="C1236" s="274" t="s">
        <v>3741</v>
      </c>
      <c r="D1236" s="274" t="s">
        <v>3742</v>
      </c>
      <c r="E1236" s="274" t="s">
        <v>59</v>
      </c>
      <c r="F1236" s="274" t="s">
        <v>199</v>
      </c>
      <c r="G1236" s="274" t="s">
        <v>244</v>
      </c>
      <c r="H1236" s="274" t="s">
        <v>245</v>
      </c>
      <c r="I1236" s="274" t="s">
        <v>5527</v>
      </c>
      <c r="J1236" s="274" t="s">
        <v>6743</v>
      </c>
      <c r="K1236" s="274" t="s">
        <v>3746</v>
      </c>
      <c r="L1236" s="274" t="s">
        <v>5524</v>
      </c>
      <c r="M1236" s="281">
        <v>-4582.3100000000004</v>
      </c>
      <c r="N1236" s="280">
        <v>-4582.3100000000004</v>
      </c>
      <c r="O1236" s="280"/>
      <c r="P1236" s="280"/>
      <c r="Q1236" s="280"/>
      <c r="R1236" s="280"/>
      <c r="S1236" s="280"/>
      <c r="T1236" s="297"/>
    </row>
    <row r="1237" spans="1:20" x14ac:dyDescent="0.25">
      <c r="A1237" s="274" t="s">
        <v>78</v>
      </c>
      <c r="B1237" s="274" t="s">
        <v>79</v>
      </c>
      <c r="C1237" s="274" t="s">
        <v>3741</v>
      </c>
      <c r="D1237" s="274" t="s">
        <v>3742</v>
      </c>
      <c r="E1237" s="274" t="s">
        <v>59</v>
      </c>
      <c r="F1237" s="274" t="s">
        <v>199</v>
      </c>
      <c r="G1237" s="274" t="s">
        <v>6745</v>
      </c>
      <c r="H1237" s="274" t="s">
        <v>3502</v>
      </c>
      <c r="I1237" s="274" t="s">
        <v>6746</v>
      </c>
      <c r="J1237" s="274" t="s">
        <v>6747</v>
      </c>
      <c r="K1237" s="274" t="s">
        <v>6589</v>
      </c>
      <c r="L1237" s="274" t="s">
        <v>98</v>
      </c>
      <c r="M1237" s="281">
        <v>-17378.52</v>
      </c>
      <c r="N1237" s="280"/>
      <c r="O1237" s="280"/>
      <c r="P1237" s="280"/>
      <c r="Q1237" s="280"/>
      <c r="R1237" s="280"/>
      <c r="S1237" s="280"/>
      <c r="T1237" s="297">
        <v>-17378.52</v>
      </c>
    </row>
    <row r="1238" spans="1:20" x14ac:dyDescent="0.25">
      <c r="A1238" s="274" t="s">
        <v>78</v>
      </c>
      <c r="B1238" s="274" t="s">
        <v>79</v>
      </c>
      <c r="C1238" s="274" t="s">
        <v>3741</v>
      </c>
      <c r="D1238" s="274" t="s">
        <v>3742</v>
      </c>
      <c r="E1238" s="274" t="s">
        <v>59</v>
      </c>
      <c r="F1238" s="274" t="s">
        <v>199</v>
      </c>
      <c r="G1238" s="274" t="s">
        <v>246</v>
      </c>
      <c r="H1238" s="274" t="s">
        <v>247</v>
      </c>
      <c r="I1238" s="274" t="s">
        <v>5528</v>
      </c>
      <c r="J1238" s="274" t="s">
        <v>6748</v>
      </c>
      <c r="K1238" s="274" t="s">
        <v>6546</v>
      </c>
      <c r="L1238" s="274" t="s">
        <v>5529</v>
      </c>
      <c r="M1238" s="281">
        <v>109800</v>
      </c>
      <c r="N1238" s="280"/>
      <c r="O1238" s="280"/>
      <c r="P1238" s="280">
        <v>109800</v>
      </c>
      <c r="Q1238" s="280"/>
      <c r="R1238" s="280"/>
      <c r="S1238" s="280"/>
      <c r="T1238" s="297"/>
    </row>
    <row r="1239" spans="1:20" x14ac:dyDescent="0.25">
      <c r="A1239" s="274" t="s">
        <v>78</v>
      </c>
      <c r="B1239" s="274" t="s">
        <v>79</v>
      </c>
      <c r="C1239" s="274" t="s">
        <v>3741</v>
      </c>
      <c r="D1239" s="274" t="s">
        <v>3742</v>
      </c>
      <c r="E1239" s="274" t="s">
        <v>59</v>
      </c>
      <c r="F1239" s="274" t="s">
        <v>199</v>
      </c>
      <c r="G1239" s="274" t="s">
        <v>246</v>
      </c>
      <c r="H1239" s="274" t="s">
        <v>247</v>
      </c>
      <c r="I1239" s="274" t="s">
        <v>5530</v>
      </c>
      <c r="J1239" s="274" t="s">
        <v>6748</v>
      </c>
      <c r="K1239" s="274" t="s">
        <v>3746</v>
      </c>
      <c r="L1239" s="274" t="s">
        <v>5531</v>
      </c>
      <c r="M1239" s="281">
        <v>37964.86</v>
      </c>
      <c r="N1239" s="280"/>
      <c r="O1239" s="280"/>
      <c r="P1239" s="280">
        <v>37964.86</v>
      </c>
      <c r="Q1239" s="280"/>
      <c r="R1239" s="280"/>
      <c r="S1239" s="280"/>
      <c r="T1239" s="297"/>
    </row>
    <row r="1240" spans="1:20" x14ac:dyDescent="0.25">
      <c r="A1240" s="274" t="s">
        <v>78</v>
      </c>
      <c r="B1240" s="274" t="s">
        <v>79</v>
      </c>
      <c r="C1240" s="274" t="s">
        <v>3741</v>
      </c>
      <c r="D1240" s="274" t="s">
        <v>3742</v>
      </c>
      <c r="E1240" s="274" t="s">
        <v>59</v>
      </c>
      <c r="F1240" s="274" t="s">
        <v>199</v>
      </c>
      <c r="G1240" s="274" t="s">
        <v>248</v>
      </c>
      <c r="H1240" s="274" t="s">
        <v>249</v>
      </c>
      <c r="I1240" s="274" t="s">
        <v>5532</v>
      </c>
      <c r="J1240" s="274" t="s">
        <v>6749</v>
      </c>
      <c r="K1240" s="274" t="s">
        <v>3746</v>
      </c>
      <c r="L1240" s="274" t="s">
        <v>5533</v>
      </c>
      <c r="M1240" s="281">
        <v>1305</v>
      </c>
      <c r="N1240" s="280">
        <v>1305</v>
      </c>
      <c r="O1240" s="280"/>
      <c r="P1240" s="280"/>
      <c r="Q1240" s="280"/>
      <c r="R1240" s="280"/>
      <c r="S1240" s="280"/>
      <c r="T1240" s="297"/>
    </row>
    <row r="1241" spans="1:20" x14ac:dyDescent="0.25">
      <c r="A1241" s="274" t="s">
        <v>78</v>
      </c>
      <c r="B1241" s="274" t="s">
        <v>79</v>
      </c>
      <c r="C1241" s="274" t="s">
        <v>3741</v>
      </c>
      <c r="D1241" s="274" t="s">
        <v>3742</v>
      </c>
      <c r="E1241" s="274" t="s">
        <v>59</v>
      </c>
      <c r="F1241" s="274" t="s">
        <v>199</v>
      </c>
      <c r="G1241" s="274" t="s">
        <v>248</v>
      </c>
      <c r="H1241" s="274" t="s">
        <v>249</v>
      </c>
      <c r="I1241" s="274" t="s">
        <v>5534</v>
      </c>
      <c r="J1241" s="274" t="s">
        <v>6750</v>
      </c>
      <c r="K1241" s="274" t="s">
        <v>6506</v>
      </c>
      <c r="L1241" s="274" t="s">
        <v>5535</v>
      </c>
      <c r="M1241" s="281">
        <v>22836</v>
      </c>
      <c r="N1241" s="280"/>
      <c r="O1241" s="280"/>
      <c r="P1241" s="280"/>
      <c r="Q1241" s="280">
        <v>22836</v>
      </c>
      <c r="R1241" s="280"/>
      <c r="S1241" s="280"/>
      <c r="T1241" s="297"/>
    </row>
    <row r="1242" spans="1:20" x14ac:dyDescent="0.25">
      <c r="A1242" s="274" t="s">
        <v>78</v>
      </c>
      <c r="B1242" s="274" t="s">
        <v>79</v>
      </c>
      <c r="C1242" s="274" t="s">
        <v>3741</v>
      </c>
      <c r="D1242" s="274" t="s">
        <v>3742</v>
      </c>
      <c r="E1242" s="274" t="s">
        <v>59</v>
      </c>
      <c r="F1242" s="274" t="s">
        <v>199</v>
      </c>
      <c r="G1242" s="274" t="s">
        <v>248</v>
      </c>
      <c r="H1242" s="274" t="s">
        <v>249</v>
      </c>
      <c r="I1242" s="274" t="s">
        <v>5536</v>
      </c>
      <c r="J1242" s="274" t="s">
        <v>6750</v>
      </c>
      <c r="K1242" s="274" t="s">
        <v>3746</v>
      </c>
      <c r="L1242" s="274" t="s">
        <v>5537</v>
      </c>
      <c r="M1242" s="281">
        <v>281677.2</v>
      </c>
      <c r="N1242" s="280"/>
      <c r="O1242" s="280"/>
      <c r="P1242" s="280"/>
      <c r="Q1242" s="280"/>
      <c r="R1242" s="280">
        <v>281677.2</v>
      </c>
      <c r="S1242" s="280"/>
      <c r="T1242" s="297"/>
    </row>
    <row r="1243" spans="1:20" x14ac:dyDescent="0.25">
      <c r="A1243" s="274" t="s">
        <v>78</v>
      </c>
      <c r="B1243" s="274" t="s">
        <v>79</v>
      </c>
      <c r="C1243" s="274" t="s">
        <v>3741</v>
      </c>
      <c r="D1243" s="274" t="s">
        <v>3742</v>
      </c>
      <c r="E1243" s="274" t="s">
        <v>59</v>
      </c>
      <c r="F1243" s="274" t="s">
        <v>199</v>
      </c>
      <c r="G1243" s="274" t="s">
        <v>6162</v>
      </c>
      <c r="H1243" s="274" t="s">
        <v>6163</v>
      </c>
      <c r="I1243" s="274" t="s">
        <v>6452</v>
      </c>
      <c r="J1243" s="274" t="s">
        <v>6751</v>
      </c>
      <c r="K1243" s="274" t="s">
        <v>3746</v>
      </c>
      <c r="L1243" s="274" t="s">
        <v>6453</v>
      </c>
      <c r="M1243" s="281">
        <v>5926</v>
      </c>
      <c r="N1243" s="280"/>
      <c r="O1243" s="280"/>
      <c r="P1243" s="280"/>
      <c r="Q1243" s="280"/>
      <c r="R1243" s="280"/>
      <c r="S1243" s="280">
        <v>5926</v>
      </c>
      <c r="T1243" s="297"/>
    </row>
    <row r="1244" spans="1:20" x14ac:dyDescent="0.25">
      <c r="A1244" s="274" t="s">
        <v>78</v>
      </c>
      <c r="B1244" s="274" t="s">
        <v>79</v>
      </c>
      <c r="C1244" s="274" t="s">
        <v>3741</v>
      </c>
      <c r="D1244" s="274" t="s">
        <v>3742</v>
      </c>
      <c r="E1244" s="274" t="s">
        <v>59</v>
      </c>
      <c r="F1244" s="274" t="s">
        <v>199</v>
      </c>
      <c r="G1244" s="274" t="s">
        <v>250</v>
      </c>
      <c r="H1244" s="274" t="s">
        <v>251</v>
      </c>
      <c r="I1244" s="274" t="s">
        <v>5538</v>
      </c>
      <c r="J1244" s="274" t="s">
        <v>6752</v>
      </c>
      <c r="K1244" s="274" t="s">
        <v>3746</v>
      </c>
      <c r="L1244" s="274" t="s">
        <v>5539</v>
      </c>
      <c r="M1244" s="281">
        <v>-330</v>
      </c>
      <c r="N1244" s="280"/>
      <c r="O1244" s="280"/>
      <c r="P1244" s="280"/>
      <c r="Q1244" s="280"/>
      <c r="R1244" s="280">
        <v>-330</v>
      </c>
      <c r="S1244" s="280"/>
      <c r="T1244" s="297"/>
    </row>
    <row r="1245" spans="1:20" x14ac:dyDescent="0.25">
      <c r="A1245" s="274" t="s">
        <v>78</v>
      </c>
      <c r="B1245" s="274" t="s">
        <v>79</v>
      </c>
      <c r="C1245" s="274" t="s">
        <v>3741</v>
      </c>
      <c r="D1245" s="274" t="s">
        <v>3742</v>
      </c>
      <c r="E1245" s="274" t="s">
        <v>59</v>
      </c>
      <c r="F1245" s="274" t="s">
        <v>199</v>
      </c>
      <c r="G1245" s="274" t="s">
        <v>250</v>
      </c>
      <c r="H1245" s="274" t="s">
        <v>251</v>
      </c>
      <c r="I1245" s="274" t="s">
        <v>5540</v>
      </c>
      <c r="J1245" s="274" t="s">
        <v>6752</v>
      </c>
      <c r="K1245" s="274" t="s">
        <v>3746</v>
      </c>
      <c r="L1245" s="274" t="s">
        <v>5539</v>
      </c>
      <c r="M1245" s="281">
        <v>297</v>
      </c>
      <c r="N1245" s="280"/>
      <c r="O1245" s="280"/>
      <c r="P1245" s="280"/>
      <c r="Q1245" s="280"/>
      <c r="R1245" s="280">
        <v>297</v>
      </c>
      <c r="S1245" s="280"/>
      <c r="T1245" s="297"/>
    </row>
    <row r="1246" spans="1:20" x14ac:dyDescent="0.25">
      <c r="A1246" s="274" t="s">
        <v>78</v>
      </c>
      <c r="B1246" s="274" t="s">
        <v>79</v>
      </c>
      <c r="C1246" s="274" t="s">
        <v>3741</v>
      </c>
      <c r="D1246" s="274" t="s">
        <v>3742</v>
      </c>
      <c r="E1246" s="274" t="s">
        <v>59</v>
      </c>
      <c r="F1246" s="274" t="s">
        <v>199</v>
      </c>
      <c r="G1246" s="274" t="s">
        <v>250</v>
      </c>
      <c r="H1246" s="274" t="s">
        <v>251</v>
      </c>
      <c r="I1246" s="274" t="s">
        <v>5541</v>
      </c>
      <c r="J1246" s="274" t="s">
        <v>6752</v>
      </c>
      <c r="K1246" s="274" t="s">
        <v>3746</v>
      </c>
      <c r="L1246" s="274" t="s">
        <v>5539</v>
      </c>
      <c r="M1246" s="281">
        <v>33</v>
      </c>
      <c r="N1246" s="280"/>
      <c r="O1246" s="280"/>
      <c r="P1246" s="280"/>
      <c r="Q1246" s="280"/>
      <c r="R1246" s="280">
        <v>33</v>
      </c>
      <c r="S1246" s="280"/>
      <c r="T1246" s="297"/>
    </row>
    <row r="1247" spans="1:20" x14ac:dyDescent="0.25">
      <c r="A1247" s="274" t="s">
        <v>78</v>
      </c>
      <c r="B1247" s="274" t="s">
        <v>79</v>
      </c>
      <c r="C1247" s="274" t="s">
        <v>3741</v>
      </c>
      <c r="D1247" s="274" t="s">
        <v>3742</v>
      </c>
      <c r="E1247" s="274" t="s">
        <v>59</v>
      </c>
      <c r="F1247" s="274" t="s">
        <v>199</v>
      </c>
      <c r="G1247" s="274" t="s">
        <v>252</v>
      </c>
      <c r="H1247" s="274" t="s">
        <v>253</v>
      </c>
      <c r="I1247" s="274" t="s">
        <v>5542</v>
      </c>
      <c r="J1247" s="274" t="s">
        <v>6753</v>
      </c>
      <c r="K1247" s="274" t="s">
        <v>3746</v>
      </c>
      <c r="L1247" s="274" t="s">
        <v>5543</v>
      </c>
      <c r="M1247" s="281">
        <v>5739.9</v>
      </c>
      <c r="N1247" s="280">
        <v>5739.9</v>
      </c>
      <c r="O1247" s="280"/>
      <c r="P1247" s="280"/>
      <c r="Q1247" s="280"/>
      <c r="R1247" s="280"/>
      <c r="S1247" s="280"/>
      <c r="T1247" s="297"/>
    </row>
    <row r="1248" spans="1:20" x14ac:dyDescent="0.25">
      <c r="A1248" s="274" t="s">
        <v>78</v>
      </c>
      <c r="B1248" s="274" t="s">
        <v>79</v>
      </c>
      <c r="C1248" s="274" t="s">
        <v>3741</v>
      </c>
      <c r="D1248" s="274" t="s">
        <v>3742</v>
      </c>
      <c r="E1248" s="274" t="s">
        <v>59</v>
      </c>
      <c r="F1248" s="274" t="s">
        <v>199</v>
      </c>
      <c r="G1248" s="274" t="s">
        <v>252</v>
      </c>
      <c r="H1248" s="274" t="s">
        <v>253</v>
      </c>
      <c r="I1248" s="274" t="s">
        <v>5544</v>
      </c>
      <c r="J1248" s="274" t="s">
        <v>6753</v>
      </c>
      <c r="K1248" s="274" t="s">
        <v>3746</v>
      </c>
      <c r="L1248" s="274" t="s">
        <v>5545</v>
      </c>
      <c r="M1248" s="281">
        <v>9352.7000000000007</v>
      </c>
      <c r="N1248" s="280">
        <v>9352.7000000000007</v>
      </c>
      <c r="O1248" s="280"/>
      <c r="P1248" s="280"/>
      <c r="Q1248" s="280"/>
      <c r="R1248" s="280"/>
      <c r="S1248" s="280"/>
      <c r="T1248" s="297"/>
    </row>
    <row r="1249" spans="1:20" x14ac:dyDescent="0.25">
      <c r="A1249" s="274" t="s">
        <v>78</v>
      </c>
      <c r="B1249" s="274" t="s">
        <v>79</v>
      </c>
      <c r="C1249" s="274" t="s">
        <v>3741</v>
      </c>
      <c r="D1249" s="274" t="s">
        <v>3742</v>
      </c>
      <c r="E1249" s="274" t="s">
        <v>59</v>
      </c>
      <c r="F1249" s="274" t="s">
        <v>199</v>
      </c>
      <c r="G1249" s="274" t="s">
        <v>252</v>
      </c>
      <c r="H1249" s="274" t="s">
        <v>253</v>
      </c>
      <c r="I1249" s="274" t="s">
        <v>5546</v>
      </c>
      <c r="J1249" s="274" t="s">
        <v>6753</v>
      </c>
      <c r="K1249" s="274" t="s">
        <v>3746</v>
      </c>
      <c r="L1249" s="274" t="s">
        <v>5547</v>
      </c>
      <c r="M1249" s="281">
        <v>9352.7000000000007</v>
      </c>
      <c r="N1249" s="280"/>
      <c r="O1249" s="280">
        <v>9352.7000000000007</v>
      </c>
      <c r="P1249" s="280"/>
      <c r="Q1249" s="280"/>
      <c r="R1249" s="280"/>
      <c r="S1249" s="280"/>
      <c r="T1249" s="297"/>
    </row>
    <row r="1250" spans="1:20" x14ac:dyDescent="0.25">
      <c r="A1250" s="274" t="s">
        <v>78</v>
      </c>
      <c r="B1250" s="274" t="s">
        <v>79</v>
      </c>
      <c r="C1250" s="274" t="s">
        <v>3741</v>
      </c>
      <c r="D1250" s="274" t="s">
        <v>3742</v>
      </c>
      <c r="E1250" s="274" t="s">
        <v>59</v>
      </c>
      <c r="F1250" s="274" t="s">
        <v>199</v>
      </c>
      <c r="G1250" s="274" t="s">
        <v>252</v>
      </c>
      <c r="H1250" s="274" t="s">
        <v>253</v>
      </c>
      <c r="I1250" s="274" t="s">
        <v>5548</v>
      </c>
      <c r="J1250" s="274" t="s">
        <v>6753</v>
      </c>
      <c r="K1250" s="274" t="s">
        <v>3746</v>
      </c>
      <c r="L1250" s="274" t="s">
        <v>5549</v>
      </c>
      <c r="M1250" s="281">
        <v>5739.9</v>
      </c>
      <c r="N1250" s="280"/>
      <c r="O1250" s="280">
        <v>5739.9</v>
      </c>
      <c r="P1250" s="280"/>
      <c r="Q1250" s="280"/>
      <c r="R1250" s="280"/>
      <c r="S1250" s="280"/>
      <c r="T1250" s="297"/>
    </row>
    <row r="1251" spans="1:20" x14ac:dyDescent="0.25">
      <c r="A1251" s="274" t="s">
        <v>78</v>
      </c>
      <c r="B1251" s="274" t="s">
        <v>79</v>
      </c>
      <c r="C1251" s="274" t="s">
        <v>3741</v>
      </c>
      <c r="D1251" s="274" t="s">
        <v>3742</v>
      </c>
      <c r="E1251" s="274" t="s">
        <v>59</v>
      </c>
      <c r="F1251" s="274" t="s">
        <v>199</v>
      </c>
      <c r="G1251" s="274" t="s">
        <v>252</v>
      </c>
      <c r="H1251" s="274" t="s">
        <v>253</v>
      </c>
      <c r="I1251" s="274" t="s">
        <v>5550</v>
      </c>
      <c r="J1251" s="274" t="s">
        <v>6753</v>
      </c>
      <c r="K1251" s="274" t="s">
        <v>3746</v>
      </c>
      <c r="L1251" s="274" t="s">
        <v>5551</v>
      </c>
      <c r="M1251" s="281">
        <v>1485</v>
      </c>
      <c r="N1251" s="280"/>
      <c r="O1251" s="280">
        <v>1485</v>
      </c>
      <c r="P1251" s="280"/>
      <c r="Q1251" s="280"/>
      <c r="R1251" s="280"/>
      <c r="S1251" s="280"/>
      <c r="T1251" s="297"/>
    </row>
    <row r="1252" spans="1:20" x14ac:dyDescent="0.25">
      <c r="A1252" s="274" t="s">
        <v>78</v>
      </c>
      <c r="B1252" s="274" t="s">
        <v>79</v>
      </c>
      <c r="C1252" s="274" t="s">
        <v>3741</v>
      </c>
      <c r="D1252" s="274" t="s">
        <v>3742</v>
      </c>
      <c r="E1252" s="274" t="s">
        <v>59</v>
      </c>
      <c r="F1252" s="274" t="s">
        <v>199</v>
      </c>
      <c r="G1252" s="274" t="s">
        <v>252</v>
      </c>
      <c r="H1252" s="274" t="s">
        <v>253</v>
      </c>
      <c r="I1252" s="274" t="s">
        <v>5552</v>
      </c>
      <c r="J1252" s="274" t="s">
        <v>6753</v>
      </c>
      <c r="K1252" s="274" t="s">
        <v>3746</v>
      </c>
      <c r="L1252" s="274" t="s">
        <v>5553</v>
      </c>
      <c r="M1252" s="281">
        <v>1485</v>
      </c>
      <c r="N1252" s="280"/>
      <c r="O1252" s="280">
        <v>1485</v>
      </c>
      <c r="P1252" s="280"/>
      <c r="Q1252" s="280"/>
      <c r="R1252" s="280"/>
      <c r="S1252" s="280"/>
      <c r="T1252" s="297"/>
    </row>
    <row r="1253" spans="1:20" x14ac:dyDescent="0.25">
      <c r="A1253" s="274" t="s">
        <v>78</v>
      </c>
      <c r="B1253" s="274" t="s">
        <v>79</v>
      </c>
      <c r="C1253" s="274" t="s">
        <v>3741</v>
      </c>
      <c r="D1253" s="274" t="s">
        <v>3742</v>
      </c>
      <c r="E1253" s="274" t="s">
        <v>59</v>
      </c>
      <c r="F1253" s="274" t="s">
        <v>199</v>
      </c>
      <c r="G1253" s="274" t="s">
        <v>252</v>
      </c>
      <c r="H1253" s="274" t="s">
        <v>253</v>
      </c>
      <c r="I1253" s="274" t="s">
        <v>5554</v>
      </c>
      <c r="J1253" s="274" t="s">
        <v>6753</v>
      </c>
      <c r="K1253" s="274" t="s">
        <v>3746</v>
      </c>
      <c r="L1253" s="274" t="s">
        <v>5555</v>
      </c>
      <c r="M1253" s="281">
        <v>9352.7000000000007</v>
      </c>
      <c r="N1253" s="280"/>
      <c r="O1253" s="280"/>
      <c r="P1253" s="280">
        <v>9352.7000000000007</v>
      </c>
      <c r="Q1253" s="280"/>
      <c r="R1253" s="280"/>
      <c r="S1253" s="280"/>
      <c r="T1253" s="297"/>
    </row>
    <row r="1254" spans="1:20" x14ac:dyDescent="0.25">
      <c r="A1254" s="274" t="s">
        <v>78</v>
      </c>
      <c r="B1254" s="274" t="s">
        <v>79</v>
      </c>
      <c r="C1254" s="274" t="s">
        <v>3741</v>
      </c>
      <c r="D1254" s="274" t="s">
        <v>3742</v>
      </c>
      <c r="E1254" s="274" t="s">
        <v>59</v>
      </c>
      <c r="F1254" s="274" t="s">
        <v>199</v>
      </c>
      <c r="G1254" s="274" t="s">
        <v>252</v>
      </c>
      <c r="H1254" s="274" t="s">
        <v>253</v>
      </c>
      <c r="I1254" s="274" t="s">
        <v>5556</v>
      </c>
      <c r="J1254" s="274" t="s">
        <v>6753</v>
      </c>
      <c r="K1254" s="274" t="s">
        <v>3746</v>
      </c>
      <c r="L1254" s="274" t="s">
        <v>5557</v>
      </c>
      <c r="M1254" s="281">
        <v>5739.9</v>
      </c>
      <c r="N1254" s="280"/>
      <c r="O1254" s="280"/>
      <c r="P1254" s="280">
        <v>5739.9</v>
      </c>
      <c r="Q1254" s="280"/>
      <c r="R1254" s="280"/>
      <c r="S1254" s="280"/>
      <c r="T1254" s="297"/>
    </row>
    <row r="1255" spans="1:20" x14ac:dyDescent="0.25">
      <c r="A1255" s="274" t="s">
        <v>78</v>
      </c>
      <c r="B1255" s="274" t="s">
        <v>79</v>
      </c>
      <c r="C1255" s="274" t="s">
        <v>3741</v>
      </c>
      <c r="D1255" s="274" t="s">
        <v>3742</v>
      </c>
      <c r="E1255" s="274" t="s">
        <v>59</v>
      </c>
      <c r="F1255" s="274" t="s">
        <v>199</v>
      </c>
      <c r="G1255" s="274" t="s">
        <v>252</v>
      </c>
      <c r="H1255" s="274" t="s">
        <v>253</v>
      </c>
      <c r="I1255" s="274" t="s">
        <v>5558</v>
      </c>
      <c r="J1255" s="274" t="s">
        <v>6753</v>
      </c>
      <c r="K1255" s="274" t="s">
        <v>3746</v>
      </c>
      <c r="L1255" s="274" t="s">
        <v>5559</v>
      </c>
      <c r="M1255" s="281">
        <v>9352.7000000000007</v>
      </c>
      <c r="N1255" s="280"/>
      <c r="O1255" s="280"/>
      <c r="P1255" s="280"/>
      <c r="Q1255" s="280">
        <v>9352.7000000000007</v>
      </c>
      <c r="R1255" s="280"/>
      <c r="S1255" s="280"/>
      <c r="T1255" s="297"/>
    </row>
    <row r="1256" spans="1:20" x14ac:dyDescent="0.25">
      <c r="A1256" s="274" t="s">
        <v>78</v>
      </c>
      <c r="B1256" s="274" t="s">
        <v>79</v>
      </c>
      <c r="C1256" s="274" t="s">
        <v>3741</v>
      </c>
      <c r="D1256" s="274" t="s">
        <v>3742</v>
      </c>
      <c r="E1256" s="274" t="s">
        <v>59</v>
      </c>
      <c r="F1256" s="274" t="s">
        <v>199</v>
      </c>
      <c r="G1256" s="274" t="s">
        <v>252</v>
      </c>
      <c r="H1256" s="274" t="s">
        <v>253</v>
      </c>
      <c r="I1256" s="274" t="s">
        <v>5560</v>
      </c>
      <c r="J1256" s="274" t="s">
        <v>6753</v>
      </c>
      <c r="K1256" s="274" t="s">
        <v>3746</v>
      </c>
      <c r="L1256" s="274" t="s">
        <v>5561</v>
      </c>
      <c r="M1256" s="281">
        <v>5739.9</v>
      </c>
      <c r="N1256" s="280"/>
      <c r="O1256" s="280"/>
      <c r="P1256" s="280"/>
      <c r="Q1256" s="280">
        <v>5739.9</v>
      </c>
      <c r="R1256" s="280"/>
      <c r="S1256" s="280"/>
      <c r="T1256" s="297"/>
    </row>
    <row r="1257" spans="1:20" x14ac:dyDescent="0.25">
      <c r="A1257" s="274" t="s">
        <v>78</v>
      </c>
      <c r="B1257" s="274" t="s">
        <v>79</v>
      </c>
      <c r="C1257" s="274" t="s">
        <v>3741</v>
      </c>
      <c r="D1257" s="274" t="s">
        <v>3742</v>
      </c>
      <c r="E1257" s="274" t="s">
        <v>59</v>
      </c>
      <c r="F1257" s="274" t="s">
        <v>199</v>
      </c>
      <c r="G1257" s="274" t="s">
        <v>252</v>
      </c>
      <c r="H1257" s="274" t="s">
        <v>253</v>
      </c>
      <c r="I1257" s="274" t="s">
        <v>5562</v>
      </c>
      <c r="J1257" s="274" t="s">
        <v>6753</v>
      </c>
      <c r="K1257" s="274" t="s">
        <v>3746</v>
      </c>
      <c r="L1257" s="274" t="s">
        <v>5563</v>
      </c>
      <c r="M1257" s="281">
        <v>1485</v>
      </c>
      <c r="N1257" s="280"/>
      <c r="O1257" s="280"/>
      <c r="P1257" s="280"/>
      <c r="Q1257" s="280">
        <v>1485</v>
      </c>
      <c r="R1257" s="280"/>
      <c r="S1257" s="280"/>
      <c r="T1257" s="297"/>
    </row>
    <row r="1258" spans="1:20" x14ac:dyDescent="0.25">
      <c r="A1258" s="274" t="s">
        <v>78</v>
      </c>
      <c r="B1258" s="274" t="s">
        <v>79</v>
      </c>
      <c r="C1258" s="274" t="s">
        <v>3741</v>
      </c>
      <c r="D1258" s="274" t="s">
        <v>3742</v>
      </c>
      <c r="E1258" s="274" t="s">
        <v>59</v>
      </c>
      <c r="F1258" s="274" t="s">
        <v>199</v>
      </c>
      <c r="G1258" s="274" t="s">
        <v>252</v>
      </c>
      <c r="H1258" s="274" t="s">
        <v>253</v>
      </c>
      <c r="I1258" s="274" t="s">
        <v>5564</v>
      </c>
      <c r="J1258" s="274" t="s">
        <v>6753</v>
      </c>
      <c r="K1258" s="274" t="s">
        <v>3746</v>
      </c>
      <c r="L1258" s="274" t="s">
        <v>5565</v>
      </c>
      <c r="M1258" s="281">
        <v>9352.7000000000007</v>
      </c>
      <c r="N1258" s="280"/>
      <c r="O1258" s="280"/>
      <c r="P1258" s="280"/>
      <c r="Q1258" s="280"/>
      <c r="R1258" s="280">
        <v>9352.7000000000007</v>
      </c>
      <c r="S1258" s="280"/>
      <c r="T1258" s="297"/>
    </row>
    <row r="1259" spans="1:20" x14ac:dyDescent="0.25">
      <c r="A1259" s="274" t="s">
        <v>78</v>
      </c>
      <c r="B1259" s="274" t="s">
        <v>79</v>
      </c>
      <c r="C1259" s="274" t="s">
        <v>3741</v>
      </c>
      <c r="D1259" s="274" t="s">
        <v>3742</v>
      </c>
      <c r="E1259" s="274" t="s">
        <v>59</v>
      </c>
      <c r="F1259" s="274" t="s">
        <v>199</v>
      </c>
      <c r="G1259" s="274" t="s">
        <v>252</v>
      </c>
      <c r="H1259" s="274" t="s">
        <v>253</v>
      </c>
      <c r="I1259" s="274" t="s">
        <v>5566</v>
      </c>
      <c r="J1259" s="274" t="s">
        <v>6753</v>
      </c>
      <c r="K1259" s="274" t="s">
        <v>3746</v>
      </c>
      <c r="L1259" s="274" t="s">
        <v>5567</v>
      </c>
      <c r="M1259" s="281">
        <v>5739.9</v>
      </c>
      <c r="N1259" s="280"/>
      <c r="O1259" s="280"/>
      <c r="P1259" s="280"/>
      <c r="Q1259" s="280"/>
      <c r="R1259" s="280">
        <v>5739.9</v>
      </c>
      <c r="S1259" s="280"/>
      <c r="T1259" s="297"/>
    </row>
    <row r="1260" spans="1:20" x14ac:dyDescent="0.25">
      <c r="A1260" s="274" t="s">
        <v>78</v>
      </c>
      <c r="B1260" s="274" t="s">
        <v>79</v>
      </c>
      <c r="C1260" s="274" t="s">
        <v>3741</v>
      </c>
      <c r="D1260" s="274" t="s">
        <v>3742</v>
      </c>
      <c r="E1260" s="274" t="s">
        <v>59</v>
      </c>
      <c r="F1260" s="274" t="s">
        <v>199</v>
      </c>
      <c r="G1260" s="274" t="s">
        <v>252</v>
      </c>
      <c r="H1260" s="274" t="s">
        <v>253</v>
      </c>
      <c r="I1260" s="274" t="s">
        <v>5568</v>
      </c>
      <c r="J1260" s="274" t="s">
        <v>6753</v>
      </c>
      <c r="K1260" s="274" t="s">
        <v>3746</v>
      </c>
      <c r="L1260" s="274" t="s">
        <v>5569</v>
      </c>
      <c r="M1260" s="281">
        <v>1485</v>
      </c>
      <c r="N1260" s="280"/>
      <c r="O1260" s="280"/>
      <c r="P1260" s="280"/>
      <c r="Q1260" s="280"/>
      <c r="R1260" s="280">
        <v>1485</v>
      </c>
      <c r="S1260" s="280"/>
      <c r="T1260" s="297"/>
    </row>
    <row r="1261" spans="1:20" x14ac:dyDescent="0.25">
      <c r="A1261" s="274" t="s">
        <v>78</v>
      </c>
      <c r="B1261" s="274" t="s">
        <v>79</v>
      </c>
      <c r="C1261" s="274" t="s">
        <v>3741</v>
      </c>
      <c r="D1261" s="274" t="s">
        <v>3742</v>
      </c>
      <c r="E1261" s="274" t="s">
        <v>59</v>
      </c>
      <c r="F1261" s="274" t="s">
        <v>199</v>
      </c>
      <c r="G1261" s="274" t="s">
        <v>252</v>
      </c>
      <c r="H1261" s="274" t="s">
        <v>253</v>
      </c>
      <c r="I1261" s="274" t="s">
        <v>6454</v>
      </c>
      <c r="J1261" s="274" t="s">
        <v>6753</v>
      </c>
      <c r="K1261" s="274" t="s">
        <v>3746</v>
      </c>
      <c r="L1261" s="274" t="s">
        <v>6455</v>
      </c>
      <c r="M1261" s="281">
        <v>9352.7000000000007</v>
      </c>
      <c r="N1261" s="280"/>
      <c r="O1261" s="280"/>
      <c r="P1261" s="280"/>
      <c r="Q1261" s="280"/>
      <c r="R1261" s="280"/>
      <c r="S1261" s="280">
        <v>9352.7000000000007</v>
      </c>
      <c r="T1261" s="297"/>
    </row>
    <row r="1262" spans="1:20" x14ac:dyDescent="0.25">
      <c r="A1262" s="274" t="s">
        <v>78</v>
      </c>
      <c r="B1262" s="274" t="s">
        <v>79</v>
      </c>
      <c r="C1262" s="274" t="s">
        <v>3741</v>
      </c>
      <c r="D1262" s="274" t="s">
        <v>3742</v>
      </c>
      <c r="E1262" s="274" t="s">
        <v>59</v>
      </c>
      <c r="F1262" s="274" t="s">
        <v>199</v>
      </c>
      <c r="G1262" s="274" t="s">
        <v>252</v>
      </c>
      <c r="H1262" s="274" t="s">
        <v>253</v>
      </c>
      <c r="I1262" s="274" t="s">
        <v>6456</v>
      </c>
      <c r="J1262" s="274" t="s">
        <v>6753</v>
      </c>
      <c r="K1262" s="274" t="s">
        <v>3746</v>
      </c>
      <c r="L1262" s="274" t="s">
        <v>6457</v>
      </c>
      <c r="M1262" s="281">
        <v>5739.9</v>
      </c>
      <c r="N1262" s="280"/>
      <c r="O1262" s="280"/>
      <c r="P1262" s="280"/>
      <c r="Q1262" s="280"/>
      <c r="R1262" s="280"/>
      <c r="S1262" s="280">
        <v>5739.9</v>
      </c>
      <c r="T1262" s="297"/>
    </row>
    <row r="1263" spans="1:20" x14ac:dyDescent="0.25">
      <c r="A1263" s="274" t="s">
        <v>78</v>
      </c>
      <c r="B1263" s="274" t="s">
        <v>79</v>
      </c>
      <c r="C1263" s="274" t="s">
        <v>3741</v>
      </c>
      <c r="D1263" s="274" t="s">
        <v>3742</v>
      </c>
      <c r="E1263" s="274" t="s">
        <v>59</v>
      </c>
      <c r="F1263" s="274" t="s">
        <v>199</v>
      </c>
      <c r="G1263" s="274" t="s">
        <v>252</v>
      </c>
      <c r="H1263" s="274" t="s">
        <v>253</v>
      </c>
      <c r="I1263" s="274" t="s">
        <v>6458</v>
      </c>
      <c r="J1263" s="274" t="s">
        <v>6753</v>
      </c>
      <c r="K1263" s="274" t="s">
        <v>3746</v>
      </c>
      <c r="L1263" s="274" t="s">
        <v>6459</v>
      </c>
      <c r="M1263" s="281">
        <v>1485</v>
      </c>
      <c r="N1263" s="280"/>
      <c r="O1263" s="280"/>
      <c r="P1263" s="280"/>
      <c r="Q1263" s="280"/>
      <c r="R1263" s="280"/>
      <c r="S1263" s="280">
        <v>1485</v>
      </c>
      <c r="T1263" s="297"/>
    </row>
    <row r="1264" spans="1:20" x14ac:dyDescent="0.25">
      <c r="A1264" s="274" t="s">
        <v>78</v>
      </c>
      <c r="B1264" s="274" t="s">
        <v>79</v>
      </c>
      <c r="C1264" s="274" t="s">
        <v>3741</v>
      </c>
      <c r="D1264" s="274" t="s">
        <v>3742</v>
      </c>
      <c r="E1264" s="274" t="s">
        <v>59</v>
      </c>
      <c r="F1264" s="274" t="s">
        <v>199</v>
      </c>
      <c r="G1264" s="274" t="s">
        <v>254</v>
      </c>
      <c r="H1264" s="274" t="s">
        <v>255</v>
      </c>
      <c r="I1264" s="274" t="s">
        <v>5570</v>
      </c>
      <c r="J1264" s="274" t="s">
        <v>6754</v>
      </c>
      <c r="K1264" s="274" t="s">
        <v>3746</v>
      </c>
      <c r="L1264" s="274" t="s">
        <v>5571</v>
      </c>
      <c r="M1264" s="281">
        <v>26225.45</v>
      </c>
      <c r="N1264" s="280"/>
      <c r="O1264" s="280"/>
      <c r="P1264" s="280"/>
      <c r="Q1264" s="280">
        <v>26225.45</v>
      </c>
      <c r="R1264" s="280"/>
      <c r="S1264" s="280"/>
      <c r="T1264" s="297"/>
    </row>
    <row r="1265" spans="1:20" x14ac:dyDescent="0.25">
      <c r="A1265" s="274" t="s">
        <v>78</v>
      </c>
      <c r="B1265" s="274" t="s">
        <v>79</v>
      </c>
      <c r="C1265" s="274" t="s">
        <v>3741</v>
      </c>
      <c r="D1265" s="274" t="s">
        <v>3742</v>
      </c>
      <c r="E1265" s="274" t="s">
        <v>59</v>
      </c>
      <c r="F1265" s="274" t="s">
        <v>199</v>
      </c>
      <c r="G1265" s="274" t="s">
        <v>256</v>
      </c>
      <c r="H1265" s="274" t="s">
        <v>257</v>
      </c>
      <c r="I1265" s="274" t="s">
        <v>5572</v>
      </c>
      <c r="J1265" s="274" t="s">
        <v>6755</v>
      </c>
      <c r="K1265" s="274" t="s">
        <v>6572</v>
      </c>
      <c r="L1265" s="274" t="s">
        <v>5573</v>
      </c>
      <c r="M1265" s="281">
        <v>329000</v>
      </c>
      <c r="N1265" s="280">
        <v>329000</v>
      </c>
      <c r="O1265" s="280"/>
      <c r="P1265" s="280"/>
      <c r="Q1265" s="280"/>
      <c r="R1265" s="280"/>
      <c r="S1265" s="280"/>
      <c r="T1265" s="297"/>
    </row>
    <row r="1266" spans="1:20" x14ac:dyDescent="0.25">
      <c r="A1266" s="274" t="s">
        <v>78</v>
      </c>
      <c r="B1266" s="274" t="s">
        <v>79</v>
      </c>
      <c r="C1266" s="274" t="s">
        <v>3741</v>
      </c>
      <c r="D1266" s="274" t="s">
        <v>3742</v>
      </c>
      <c r="E1266" s="274" t="s">
        <v>59</v>
      </c>
      <c r="F1266" s="274" t="s">
        <v>199</v>
      </c>
      <c r="G1266" s="274" t="s">
        <v>258</v>
      </c>
      <c r="H1266" s="274" t="s">
        <v>259</v>
      </c>
      <c r="I1266" s="274" t="s">
        <v>5574</v>
      </c>
      <c r="J1266" s="274" t="s">
        <v>6756</v>
      </c>
      <c r="K1266" s="274" t="s">
        <v>6506</v>
      </c>
      <c r="L1266" s="274" t="s">
        <v>5575</v>
      </c>
      <c r="M1266" s="281">
        <v>29793</v>
      </c>
      <c r="N1266" s="280"/>
      <c r="O1266" s="280">
        <v>29793</v>
      </c>
      <c r="P1266" s="280"/>
      <c r="Q1266" s="280"/>
      <c r="R1266" s="280"/>
      <c r="S1266" s="280"/>
      <c r="T1266" s="297"/>
    </row>
    <row r="1267" spans="1:20" x14ac:dyDescent="0.25">
      <c r="A1267" s="274" t="s">
        <v>78</v>
      </c>
      <c r="B1267" s="274" t="s">
        <v>79</v>
      </c>
      <c r="C1267" s="274" t="s">
        <v>3741</v>
      </c>
      <c r="D1267" s="274" t="s">
        <v>3742</v>
      </c>
      <c r="E1267" s="274" t="s">
        <v>59</v>
      </c>
      <c r="F1267" s="274" t="s">
        <v>199</v>
      </c>
      <c r="G1267" s="274" t="s">
        <v>258</v>
      </c>
      <c r="H1267" s="274" t="s">
        <v>259</v>
      </c>
      <c r="I1267" s="274" t="s">
        <v>5576</v>
      </c>
      <c r="J1267" s="274" t="s">
        <v>6757</v>
      </c>
      <c r="K1267" s="274" t="s">
        <v>6590</v>
      </c>
      <c r="L1267" s="274" t="s">
        <v>5577</v>
      </c>
      <c r="M1267" s="281">
        <v>313215.87</v>
      </c>
      <c r="N1267" s="280"/>
      <c r="O1267" s="280">
        <v>313215.87</v>
      </c>
      <c r="P1267" s="280"/>
      <c r="Q1267" s="280"/>
      <c r="R1267" s="280"/>
      <c r="S1267" s="280"/>
      <c r="T1267" s="297"/>
    </row>
    <row r="1268" spans="1:20" x14ac:dyDescent="0.25">
      <c r="A1268" s="274" t="s">
        <v>78</v>
      </c>
      <c r="B1268" s="274" t="s">
        <v>79</v>
      </c>
      <c r="C1268" s="274" t="s">
        <v>3741</v>
      </c>
      <c r="D1268" s="274" t="s">
        <v>3742</v>
      </c>
      <c r="E1268" s="274" t="s">
        <v>59</v>
      </c>
      <c r="F1268" s="274" t="s">
        <v>199</v>
      </c>
      <c r="G1268" s="274" t="s">
        <v>258</v>
      </c>
      <c r="H1268" s="274" t="s">
        <v>259</v>
      </c>
      <c r="I1268" s="274" t="s">
        <v>5578</v>
      </c>
      <c r="J1268" s="274" t="s">
        <v>6757</v>
      </c>
      <c r="K1268" s="274" t="s">
        <v>6590</v>
      </c>
      <c r="L1268" s="274" t="s">
        <v>5579</v>
      </c>
      <c r="M1268" s="281">
        <v>115699.92</v>
      </c>
      <c r="N1268" s="280"/>
      <c r="O1268" s="280">
        <v>115699.92</v>
      </c>
      <c r="P1268" s="280"/>
      <c r="Q1268" s="280"/>
      <c r="R1268" s="280"/>
      <c r="S1268" s="280"/>
      <c r="T1268" s="297"/>
    </row>
    <row r="1269" spans="1:20" x14ac:dyDescent="0.25">
      <c r="A1269" s="274" t="s">
        <v>78</v>
      </c>
      <c r="B1269" s="274" t="s">
        <v>79</v>
      </c>
      <c r="C1269" s="274" t="s">
        <v>3741</v>
      </c>
      <c r="D1269" s="274" t="s">
        <v>3742</v>
      </c>
      <c r="E1269" s="274" t="s">
        <v>59</v>
      </c>
      <c r="F1269" s="274" t="s">
        <v>199</v>
      </c>
      <c r="G1269" s="274" t="s">
        <v>258</v>
      </c>
      <c r="H1269" s="274" t="s">
        <v>259</v>
      </c>
      <c r="I1269" s="274" t="s">
        <v>5580</v>
      </c>
      <c r="J1269" s="274" t="s">
        <v>6758</v>
      </c>
      <c r="K1269" s="274" t="s">
        <v>6589</v>
      </c>
      <c r="L1269" s="274" t="s">
        <v>5581</v>
      </c>
      <c r="M1269" s="281">
        <v>128714.04</v>
      </c>
      <c r="N1269" s="280"/>
      <c r="O1269" s="280">
        <v>128714.04</v>
      </c>
      <c r="P1269" s="280"/>
      <c r="Q1269" s="280"/>
      <c r="R1269" s="280"/>
      <c r="S1269" s="280"/>
      <c r="T1269" s="297"/>
    </row>
    <row r="1270" spans="1:20" x14ac:dyDescent="0.25">
      <c r="A1270" s="274" t="s">
        <v>78</v>
      </c>
      <c r="B1270" s="274" t="s">
        <v>79</v>
      </c>
      <c r="C1270" s="274" t="s">
        <v>3741</v>
      </c>
      <c r="D1270" s="274" t="s">
        <v>3742</v>
      </c>
      <c r="E1270" s="274" t="s">
        <v>59</v>
      </c>
      <c r="F1270" s="274" t="s">
        <v>199</v>
      </c>
      <c r="G1270" s="274" t="s">
        <v>258</v>
      </c>
      <c r="H1270" s="274" t="s">
        <v>259</v>
      </c>
      <c r="I1270" s="274" t="s">
        <v>5582</v>
      </c>
      <c r="J1270" s="274" t="s">
        <v>6759</v>
      </c>
      <c r="K1270" s="274" t="s">
        <v>6589</v>
      </c>
      <c r="L1270" s="274" t="s">
        <v>5583</v>
      </c>
      <c r="M1270" s="281">
        <v>36474</v>
      </c>
      <c r="N1270" s="280"/>
      <c r="O1270" s="280">
        <v>36474</v>
      </c>
      <c r="P1270" s="280"/>
      <c r="Q1270" s="280"/>
      <c r="R1270" s="280"/>
      <c r="S1270" s="280"/>
      <c r="T1270" s="297"/>
    </row>
    <row r="1271" spans="1:20" x14ac:dyDescent="0.25">
      <c r="A1271" s="274" t="s">
        <v>78</v>
      </c>
      <c r="B1271" s="274" t="s">
        <v>79</v>
      </c>
      <c r="C1271" s="274" t="s">
        <v>3741</v>
      </c>
      <c r="D1271" s="274" t="s">
        <v>3742</v>
      </c>
      <c r="E1271" s="274" t="s">
        <v>59</v>
      </c>
      <c r="F1271" s="274" t="s">
        <v>199</v>
      </c>
      <c r="G1271" s="274" t="s">
        <v>258</v>
      </c>
      <c r="H1271" s="274" t="s">
        <v>259</v>
      </c>
      <c r="I1271" s="274" t="s">
        <v>5584</v>
      </c>
      <c r="J1271" s="274" t="s">
        <v>6760</v>
      </c>
      <c r="K1271" s="274" t="s">
        <v>6589</v>
      </c>
      <c r="L1271" s="274" t="s">
        <v>5585</v>
      </c>
      <c r="M1271" s="281">
        <v>33526.230000000003</v>
      </c>
      <c r="N1271" s="280"/>
      <c r="O1271" s="280">
        <v>33526.230000000003</v>
      </c>
      <c r="P1271" s="280"/>
      <c r="Q1271" s="280"/>
      <c r="R1271" s="280"/>
      <c r="S1271" s="280"/>
      <c r="T1271" s="297"/>
    </row>
    <row r="1272" spans="1:20" x14ac:dyDescent="0.25">
      <c r="A1272" s="274" t="s">
        <v>78</v>
      </c>
      <c r="B1272" s="274" t="s">
        <v>79</v>
      </c>
      <c r="C1272" s="274" t="s">
        <v>3741</v>
      </c>
      <c r="D1272" s="274" t="s">
        <v>3742</v>
      </c>
      <c r="E1272" s="274" t="s">
        <v>59</v>
      </c>
      <c r="F1272" s="274" t="s">
        <v>199</v>
      </c>
      <c r="G1272" s="274" t="s">
        <v>258</v>
      </c>
      <c r="H1272" s="274" t="s">
        <v>259</v>
      </c>
      <c r="I1272" s="274" t="s">
        <v>5586</v>
      </c>
      <c r="J1272" s="274" t="s">
        <v>6761</v>
      </c>
      <c r="K1272" s="274" t="s">
        <v>6589</v>
      </c>
      <c r="L1272" s="274" t="s">
        <v>5587</v>
      </c>
      <c r="M1272" s="281">
        <v>23118.48</v>
      </c>
      <c r="N1272" s="280"/>
      <c r="O1272" s="280">
        <v>23118.48</v>
      </c>
      <c r="P1272" s="280"/>
      <c r="Q1272" s="280"/>
      <c r="R1272" s="280"/>
      <c r="S1272" s="280"/>
      <c r="T1272" s="297"/>
    </row>
    <row r="1273" spans="1:20" x14ac:dyDescent="0.25">
      <c r="A1273" s="274" t="s">
        <v>78</v>
      </c>
      <c r="B1273" s="274" t="s">
        <v>79</v>
      </c>
      <c r="C1273" s="274" t="s">
        <v>3741</v>
      </c>
      <c r="D1273" s="274" t="s">
        <v>3742</v>
      </c>
      <c r="E1273" s="274" t="s">
        <v>59</v>
      </c>
      <c r="F1273" s="274" t="s">
        <v>199</v>
      </c>
      <c r="G1273" s="274" t="s">
        <v>260</v>
      </c>
      <c r="H1273" s="274" t="s">
        <v>261</v>
      </c>
      <c r="I1273" s="274" t="s">
        <v>6460</v>
      </c>
      <c r="J1273" s="274" t="s">
        <v>6762</v>
      </c>
      <c r="K1273" s="274" t="s">
        <v>3746</v>
      </c>
      <c r="L1273" s="274" t="s">
        <v>6461</v>
      </c>
      <c r="M1273" s="281">
        <v>-3626.78</v>
      </c>
      <c r="N1273" s="280"/>
      <c r="O1273" s="280"/>
      <c r="P1273" s="280"/>
      <c r="Q1273" s="280"/>
      <c r="R1273" s="280"/>
      <c r="S1273" s="280">
        <v>-3626.78</v>
      </c>
      <c r="T1273" s="297"/>
    </row>
    <row r="1274" spans="1:20" x14ac:dyDescent="0.25">
      <c r="A1274" s="274" t="s">
        <v>78</v>
      </c>
      <c r="B1274" s="274" t="s">
        <v>79</v>
      </c>
      <c r="C1274" s="274" t="s">
        <v>3741</v>
      </c>
      <c r="D1274" s="274" t="s">
        <v>3742</v>
      </c>
      <c r="E1274" s="274" t="s">
        <v>59</v>
      </c>
      <c r="F1274" s="274" t="s">
        <v>199</v>
      </c>
      <c r="G1274" s="274" t="s">
        <v>262</v>
      </c>
      <c r="H1274" s="274" t="s">
        <v>263</v>
      </c>
      <c r="I1274" s="274" t="s">
        <v>5588</v>
      </c>
      <c r="J1274" s="274" t="s">
        <v>6763</v>
      </c>
      <c r="K1274" s="274" t="s">
        <v>3746</v>
      </c>
      <c r="L1274" s="274" t="s">
        <v>5589</v>
      </c>
      <c r="M1274" s="281">
        <v>13828.72</v>
      </c>
      <c r="N1274" s="280"/>
      <c r="O1274" s="280"/>
      <c r="P1274" s="280">
        <v>13828.72</v>
      </c>
      <c r="Q1274" s="280"/>
      <c r="R1274" s="280"/>
      <c r="S1274" s="280"/>
      <c r="T1274" s="297"/>
    </row>
    <row r="1275" spans="1:20" x14ac:dyDescent="0.25">
      <c r="A1275" s="274" t="s">
        <v>78</v>
      </c>
      <c r="B1275" s="274" t="s">
        <v>79</v>
      </c>
      <c r="C1275" s="274" t="s">
        <v>3741</v>
      </c>
      <c r="D1275" s="274" t="s">
        <v>3742</v>
      </c>
      <c r="E1275" s="274" t="s">
        <v>59</v>
      </c>
      <c r="F1275" s="274" t="s">
        <v>199</v>
      </c>
      <c r="G1275" s="274" t="s">
        <v>176</v>
      </c>
      <c r="H1275" s="274" t="s">
        <v>177</v>
      </c>
      <c r="I1275" s="274" t="s">
        <v>5590</v>
      </c>
      <c r="J1275" s="274" t="s">
        <v>6764</v>
      </c>
      <c r="K1275" s="274" t="s">
        <v>3746</v>
      </c>
      <c r="L1275" s="274" t="s">
        <v>5591</v>
      </c>
      <c r="M1275" s="281">
        <v>66276</v>
      </c>
      <c r="N1275" s="280"/>
      <c r="O1275" s="280">
        <v>66276</v>
      </c>
      <c r="P1275" s="280"/>
      <c r="Q1275" s="280"/>
      <c r="R1275" s="280"/>
      <c r="S1275" s="280"/>
      <c r="T1275" s="297"/>
    </row>
    <row r="1276" spans="1:20" x14ac:dyDescent="0.25">
      <c r="A1276" s="274" t="s">
        <v>78</v>
      </c>
      <c r="B1276" s="274" t="s">
        <v>79</v>
      </c>
      <c r="C1276" s="274" t="s">
        <v>3741</v>
      </c>
      <c r="D1276" s="274" t="s">
        <v>3742</v>
      </c>
      <c r="E1276" s="274" t="s">
        <v>59</v>
      </c>
      <c r="F1276" s="274" t="s">
        <v>199</v>
      </c>
      <c r="G1276" s="274" t="s">
        <v>264</v>
      </c>
      <c r="H1276" s="274" t="s">
        <v>265</v>
      </c>
      <c r="I1276" s="274" t="s">
        <v>5592</v>
      </c>
      <c r="J1276" s="274" t="s">
        <v>6765</v>
      </c>
      <c r="K1276" s="274" t="s">
        <v>3746</v>
      </c>
      <c r="L1276" s="274" t="s">
        <v>5593</v>
      </c>
      <c r="M1276" s="281">
        <v>34772.53</v>
      </c>
      <c r="N1276" s="280">
        <v>34772.53</v>
      </c>
      <c r="O1276" s="280"/>
      <c r="P1276" s="280"/>
      <c r="Q1276" s="280"/>
      <c r="R1276" s="280"/>
      <c r="S1276" s="280"/>
      <c r="T1276" s="297"/>
    </row>
    <row r="1277" spans="1:20" x14ac:dyDescent="0.25">
      <c r="A1277" s="274" t="s">
        <v>78</v>
      </c>
      <c r="B1277" s="274" t="s">
        <v>79</v>
      </c>
      <c r="C1277" s="274" t="s">
        <v>3741</v>
      </c>
      <c r="D1277" s="274" t="s">
        <v>3742</v>
      </c>
      <c r="E1277" s="274" t="s">
        <v>59</v>
      </c>
      <c r="F1277" s="274" t="s">
        <v>199</v>
      </c>
      <c r="G1277" s="274" t="s">
        <v>264</v>
      </c>
      <c r="H1277" s="274" t="s">
        <v>265</v>
      </c>
      <c r="I1277" s="274" t="s">
        <v>5594</v>
      </c>
      <c r="J1277" s="274" t="s">
        <v>6766</v>
      </c>
      <c r="K1277" s="274" t="s">
        <v>6572</v>
      </c>
      <c r="L1277" s="274" t="s">
        <v>5595</v>
      </c>
      <c r="M1277" s="281">
        <v>162271.81</v>
      </c>
      <c r="N1277" s="280">
        <v>162271.81</v>
      </c>
      <c r="O1277" s="280"/>
      <c r="P1277" s="280"/>
      <c r="Q1277" s="280"/>
      <c r="R1277" s="280"/>
      <c r="S1277" s="280"/>
      <c r="T1277" s="297"/>
    </row>
    <row r="1278" spans="1:20" x14ac:dyDescent="0.25">
      <c r="A1278" s="274" t="s">
        <v>78</v>
      </c>
      <c r="B1278" s="274" t="s">
        <v>79</v>
      </c>
      <c r="C1278" s="274" t="s">
        <v>3741</v>
      </c>
      <c r="D1278" s="274" t="s">
        <v>3742</v>
      </c>
      <c r="E1278" s="274" t="s">
        <v>59</v>
      </c>
      <c r="F1278" s="274" t="s">
        <v>199</v>
      </c>
      <c r="G1278" s="274" t="s">
        <v>264</v>
      </c>
      <c r="H1278" s="274" t="s">
        <v>265</v>
      </c>
      <c r="I1278" s="274" t="s">
        <v>5596</v>
      </c>
      <c r="J1278" s="274" t="s">
        <v>6765</v>
      </c>
      <c r="K1278" s="274" t="s">
        <v>3746</v>
      </c>
      <c r="L1278" s="274" t="s">
        <v>5593</v>
      </c>
      <c r="M1278" s="281">
        <v>-1497.74</v>
      </c>
      <c r="N1278" s="280">
        <v>-1497.74</v>
      </c>
      <c r="O1278" s="280"/>
      <c r="P1278" s="280"/>
      <c r="Q1278" s="280"/>
      <c r="R1278" s="280"/>
      <c r="S1278" s="280"/>
      <c r="T1278" s="297"/>
    </row>
    <row r="1279" spans="1:20" x14ac:dyDescent="0.25">
      <c r="A1279" s="274" t="s">
        <v>78</v>
      </c>
      <c r="B1279" s="274" t="s">
        <v>79</v>
      </c>
      <c r="C1279" s="274" t="s">
        <v>3741</v>
      </c>
      <c r="D1279" s="274" t="s">
        <v>3742</v>
      </c>
      <c r="E1279" s="274" t="s">
        <v>59</v>
      </c>
      <c r="F1279" s="274" t="s">
        <v>199</v>
      </c>
      <c r="G1279" s="274" t="s">
        <v>264</v>
      </c>
      <c r="H1279" s="274" t="s">
        <v>265</v>
      </c>
      <c r="I1279" s="274" t="s">
        <v>5597</v>
      </c>
      <c r="J1279" s="274" t="s">
        <v>6766</v>
      </c>
      <c r="K1279" s="274" t="s">
        <v>6572</v>
      </c>
      <c r="L1279" s="274" t="s">
        <v>5595</v>
      </c>
      <c r="M1279" s="281">
        <v>-6989.44</v>
      </c>
      <c r="N1279" s="280">
        <v>-6989.44</v>
      </c>
      <c r="O1279" s="280"/>
      <c r="P1279" s="280"/>
      <c r="Q1279" s="280"/>
      <c r="R1279" s="280"/>
      <c r="S1279" s="280"/>
      <c r="T1279" s="297"/>
    </row>
    <row r="1280" spans="1:20" x14ac:dyDescent="0.25">
      <c r="A1280" s="274" t="s">
        <v>78</v>
      </c>
      <c r="B1280" s="274" t="s">
        <v>79</v>
      </c>
      <c r="C1280" s="274" t="s">
        <v>3741</v>
      </c>
      <c r="D1280" s="274" t="s">
        <v>3742</v>
      </c>
      <c r="E1280" s="274" t="s">
        <v>59</v>
      </c>
      <c r="F1280" s="274" t="s">
        <v>199</v>
      </c>
      <c r="G1280" s="274" t="s">
        <v>266</v>
      </c>
      <c r="H1280" s="274" t="s">
        <v>267</v>
      </c>
      <c r="I1280" s="274" t="s">
        <v>5598</v>
      </c>
      <c r="J1280" s="274" t="s">
        <v>6767</v>
      </c>
      <c r="K1280" s="274" t="s">
        <v>6546</v>
      </c>
      <c r="L1280" s="274" t="s">
        <v>5599</v>
      </c>
      <c r="M1280" s="281">
        <v>68581.75</v>
      </c>
      <c r="N1280" s="280"/>
      <c r="O1280" s="280">
        <v>68581.75</v>
      </c>
      <c r="P1280" s="280"/>
      <c r="Q1280" s="280"/>
      <c r="R1280" s="280"/>
      <c r="S1280" s="280"/>
      <c r="T1280" s="297"/>
    </row>
    <row r="1281" spans="1:20" x14ac:dyDescent="0.25">
      <c r="A1281" s="274" t="s">
        <v>78</v>
      </c>
      <c r="B1281" s="274" t="s">
        <v>79</v>
      </c>
      <c r="C1281" s="274" t="s">
        <v>3741</v>
      </c>
      <c r="D1281" s="274" t="s">
        <v>3742</v>
      </c>
      <c r="E1281" s="274" t="s">
        <v>59</v>
      </c>
      <c r="F1281" s="274" t="s">
        <v>199</v>
      </c>
      <c r="G1281" s="274" t="s">
        <v>266</v>
      </c>
      <c r="H1281" s="274" t="s">
        <v>267</v>
      </c>
      <c r="I1281" s="274" t="s">
        <v>5600</v>
      </c>
      <c r="J1281" s="274" t="s">
        <v>6768</v>
      </c>
      <c r="K1281" s="274" t="s">
        <v>6506</v>
      </c>
      <c r="L1281" s="274" t="s">
        <v>5601</v>
      </c>
      <c r="M1281" s="281">
        <v>24000</v>
      </c>
      <c r="N1281" s="280"/>
      <c r="O1281" s="280"/>
      <c r="P1281" s="280"/>
      <c r="Q1281" s="280">
        <v>24000</v>
      </c>
      <c r="R1281" s="280"/>
      <c r="S1281" s="280"/>
      <c r="T1281" s="297"/>
    </row>
    <row r="1282" spans="1:20" x14ac:dyDescent="0.25">
      <c r="A1282" s="274" t="s">
        <v>78</v>
      </c>
      <c r="B1282" s="274" t="s">
        <v>79</v>
      </c>
      <c r="C1282" s="274" t="s">
        <v>3741</v>
      </c>
      <c r="D1282" s="274" t="s">
        <v>3742</v>
      </c>
      <c r="E1282" s="274" t="s">
        <v>59</v>
      </c>
      <c r="F1282" s="274" t="s">
        <v>199</v>
      </c>
      <c r="G1282" s="274" t="s">
        <v>268</v>
      </c>
      <c r="H1282" s="274" t="s">
        <v>269</v>
      </c>
      <c r="I1282" s="274" t="s">
        <v>5602</v>
      </c>
      <c r="J1282" s="274" t="s">
        <v>6769</v>
      </c>
      <c r="K1282" s="274" t="s">
        <v>3746</v>
      </c>
      <c r="L1282" s="274" t="s">
        <v>5603</v>
      </c>
      <c r="M1282" s="281">
        <v>7050</v>
      </c>
      <c r="N1282" s="280"/>
      <c r="O1282" s="280">
        <v>7050</v>
      </c>
      <c r="P1282" s="280"/>
      <c r="Q1282" s="280"/>
      <c r="R1282" s="280"/>
      <c r="S1282" s="280"/>
      <c r="T1282" s="297"/>
    </row>
    <row r="1283" spans="1:20" x14ac:dyDescent="0.25">
      <c r="A1283" s="274" t="s">
        <v>78</v>
      </c>
      <c r="B1283" s="274" t="s">
        <v>79</v>
      </c>
      <c r="C1283" s="274" t="s">
        <v>3741</v>
      </c>
      <c r="D1283" s="274" t="s">
        <v>3742</v>
      </c>
      <c r="E1283" s="274" t="s">
        <v>59</v>
      </c>
      <c r="F1283" s="274" t="s">
        <v>199</v>
      </c>
      <c r="G1283" s="274" t="s">
        <v>268</v>
      </c>
      <c r="H1283" s="274" t="s">
        <v>269</v>
      </c>
      <c r="I1283" s="274" t="s">
        <v>5604</v>
      </c>
      <c r="J1283" s="274" t="s">
        <v>6769</v>
      </c>
      <c r="K1283" s="274" t="s">
        <v>3746</v>
      </c>
      <c r="L1283" s="274" t="s">
        <v>5605</v>
      </c>
      <c r="M1283" s="281">
        <v>77544</v>
      </c>
      <c r="N1283" s="280"/>
      <c r="O1283" s="280"/>
      <c r="P1283" s="280"/>
      <c r="Q1283" s="280"/>
      <c r="R1283" s="280">
        <v>77544</v>
      </c>
      <c r="S1283" s="280"/>
      <c r="T1283" s="297"/>
    </row>
    <row r="1284" spans="1:20" x14ac:dyDescent="0.25">
      <c r="A1284" s="274" t="s">
        <v>78</v>
      </c>
      <c r="B1284" s="274" t="s">
        <v>79</v>
      </c>
      <c r="C1284" s="274" t="s">
        <v>3741</v>
      </c>
      <c r="D1284" s="274" t="s">
        <v>3742</v>
      </c>
      <c r="E1284" s="274" t="s">
        <v>59</v>
      </c>
      <c r="F1284" s="274" t="s">
        <v>199</v>
      </c>
      <c r="G1284" s="274" t="s">
        <v>270</v>
      </c>
      <c r="H1284" s="274" t="s">
        <v>271</v>
      </c>
      <c r="I1284" s="274" t="s">
        <v>5606</v>
      </c>
      <c r="J1284" s="274" t="s">
        <v>6770</v>
      </c>
      <c r="K1284" s="274" t="s">
        <v>6546</v>
      </c>
      <c r="L1284" s="274" t="s">
        <v>5607</v>
      </c>
      <c r="M1284" s="281">
        <v>241581</v>
      </c>
      <c r="N1284" s="280"/>
      <c r="O1284" s="280">
        <v>241581</v>
      </c>
      <c r="P1284" s="280"/>
      <c r="Q1284" s="280"/>
      <c r="R1284" s="280"/>
      <c r="S1284" s="280"/>
      <c r="T1284" s="297"/>
    </row>
    <row r="1285" spans="1:20" x14ac:dyDescent="0.25">
      <c r="A1285" s="274" t="s">
        <v>78</v>
      </c>
      <c r="B1285" s="274" t="s">
        <v>79</v>
      </c>
      <c r="C1285" s="274" t="s">
        <v>3741</v>
      </c>
      <c r="D1285" s="274" t="s">
        <v>3742</v>
      </c>
      <c r="E1285" s="274" t="s">
        <v>59</v>
      </c>
      <c r="F1285" s="274" t="s">
        <v>199</v>
      </c>
      <c r="G1285" s="274" t="s">
        <v>270</v>
      </c>
      <c r="H1285" s="274" t="s">
        <v>271</v>
      </c>
      <c r="I1285" s="274" t="s">
        <v>5608</v>
      </c>
      <c r="J1285" s="274" t="s">
        <v>6770</v>
      </c>
      <c r="K1285" s="274" t="s">
        <v>6546</v>
      </c>
      <c r="L1285" s="274" t="s">
        <v>5607</v>
      </c>
      <c r="M1285" s="281">
        <v>11640</v>
      </c>
      <c r="N1285" s="280"/>
      <c r="O1285" s="280"/>
      <c r="P1285" s="280">
        <v>11640</v>
      </c>
      <c r="Q1285" s="280"/>
      <c r="R1285" s="280"/>
      <c r="S1285" s="280"/>
      <c r="T1285" s="297"/>
    </row>
    <row r="1286" spans="1:20" x14ac:dyDescent="0.25">
      <c r="A1286" s="274" t="s">
        <v>78</v>
      </c>
      <c r="B1286" s="274" t="s">
        <v>79</v>
      </c>
      <c r="C1286" s="274" t="s">
        <v>3741</v>
      </c>
      <c r="D1286" s="274" t="s">
        <v>3742</v>
      </c>
      <c r="E1286" s="274" t="s">
        <v>59</v>
      </c>
      <c r="F1286" s="274" t="s">
        <v>199</v>
      </c>
      <c r="G1286" s="274" t="s">
        <v>270</v>
      </c>
      <c r="H1286" s="274" t="s">
        <v>271</v>
      </c>
      <c r="I1286" s="274" t="s">
        <v>5609</v>
      </c>
      <c r="J1286" s="274" t="s">
        <v>6770</v>
      </c>
      <c r="K1286" s="274" t="s">
        <v>6546</v>
      </c>
      <c r="L1286" s="274" t="s">
        <v>5607</v>
      </c>
      <c r="M1286" s="281">
        <v>11640</v>
      </c>
      <c r="N1286" s="280"/>
      <c r="O1286" s="280">
        <v>11640</v>
      </c>
      <c r="P1286" s="280"/>
      <c r="Q1286" s="280"/>
      <c r="R1286" s="280"/>
      <c r="S1286" s="280"/>
      <c r="T1286" s="297"/>
    </row>
    <row r="1287" spans="1:20" x14ac:dyDescent="0.25">
      <c r="A1287" s="274" t="s">
        <v>78</v>
      </c>
      <c r="B1287" s="274" t="s">
        <v>79</v>
      </c>
      <c r="C1287" s="274" t="s">
        <v>3741</v>
      </c>
      <c r="D1287" s="274" t="s">
        <v>3742</v>
      </c>
      <c r="E1287" s="274" t="s">
        <v>59</v>
      </c>
      <c r="F1287" s="274" t="s">
        <v>199</v>
      </c>
      <c r="G1287" s="274" t="s">
        <v>270</v>
      </c>
      <c r="H1287" s="274" t="s">
        <v>271</v>
      </c>
      <c r="I1287" s="274" t="s">
        <v>5610</v>
      </c>
      <c r="J1287" s="274" t="s">
        <v>6770</v>
      </c>
      <c r="K1287" s="274" t="s">
        <v>6546</v>
      </c>
      <c r="L1287" s="274" t="s">
        <v>5607</v>
      </c>
      <c r="M1287" s="281">
        <v>-11640</v>
      </c>
      <c r="N1287" s="280"/>
      <c r="O1287" s="280"/>
      <c r="P1287" s="280">
        <v>-11640</v>
      </c>
      <c r="Q1287" s="280"/>
      <c r="R1287" s="280"/>
      <c r="S1287" s="280"/>
      <c r="T1287" s="297"/>
    </row>
    <row r="1288" spans="1:20" x14ac:dyDescent="0.25">
      <c r="A1288" s="274" t="s">
        <v>78</v>
      </c>
      <c r="B1288" s="274" t="s">
        <v>79</v>
      </c>
      <c r="C1288" s="274" t="s">
        <v>3741</v>
      </c>
      <c r="D1288" s="274" t="s">
        <v>3742</v>
      </c>
      <c r="E1288" s="274" t="s">
        <v>59</v>
      </c>
      <c r="F1288" s="274" t="s">
        <v>199</v>
      </c>
      <c r="G1288" s="274" t="s">
        <v>270</v>
      </c>
      <c r="H1288" s="274" t="s">
        <v>271</v>
      </c>
      <c r="I1288" s="274" t="s">
        <v>5611</v>
      </c>
      <c r="J1288" s="274" t="s">
        <v>6770</v>
      </c>
      <c r="K1288" s="274" t="s">
        <v>6546</v>
      </c>
      <c r="L1288" s="274" t="s">
        <v>5607</v>
      </c>
      <c r="M1288" s="281">
        <v>11640</v>
      </c>
      <c r="N1288" s="280"/>
      <c r="O1288" s="280"/>
      <c r="P1288" s="280">
        <v>11640</v>
      </c>
      <c r="Q1288" s="280"/>
      <c r="R1288" s="280"/>
      <c r="S1288" s="280"/>
      <c r="T1288" s="297"/>
    </row>
    <row r="1289" spans="1:20" x14ac:dyDescent="0.25">
      <c r="A1289" s="274" t="s">
        <v>78</v>
      </c>
      <c r="B1289" s="274" t="s">
        <v>79</v>
      </c>
      <c r="C1289" s="274" t="s">
        <v>3741</v>
      </c>
      <c r="D1289" s="274" t="s">
        <v>3742</v>
      </c>
      <c r="E1289" s="274" t="s">
        <v>59</v>
      </c>
      <c r="F1289" s="274" t="s">
        <v>199</v>
      </c>
      <c r="G1289" s="274" t="s">
        <v>270</v>
      </c>
      <c r="H1289" s="274" t="s">
        <v>271</v>
      </c>
      <c r="I1289" s="274" t="s">
        <v>5612</v>
      </c>
      <c r="J1289" s="274" t="s">
        <v>6770</v>
      </c>
      <c r="K1289" s="274" t="s">
        <v>6546</v>
      </c>
      <c r="L1289" s="274" t="s">
        <v>5607</v>
      </c>
      <c r="M1289" s="281">
        <v>-11640</v>
      </c>
      <c r="N1289" s="280"/>
      <c r="O1289" s="280"/>
      <c r="P1289" s="280">
        <v>-11640</v>
      </c>
      <c r="Q1289" s="280"/>
      <c r="R1289" s="280"/>
      <c r="S1289" s="280"/>
      <c r="T1289" s="297"/>
    </row>
    <row r="1290" spans="1:20" x14ac:dyDescent="0.25">
      <c r="A1290" s="274" t="s">
        <v>78</v>
      </c>
      <c r="B1290" s="274" t="s">
        <v>79</v>
      </c>
      <c r="C1290" s="274" t="s">
        <v>3741</v>
      </c>
      <c r="D1290" s="274" t="s">
        <v>3742</v>
      </c>
      <c r="E1290" s="274" t="s">
        <v>59</v>
      </c>
      <c r="F1290" s="274" t="s">
        <v>199</v>
      </c>
      <c r="G1290" s="274" t="s">
        <v>272</v>
      </c>
      <c r="H1290" s="274" t="s">
        <v>273</v>
      </c>
      <c r="I1290" s="274" t="s">
        <v>5613</v>
      </c>
      <c r="J1290" s="274" t="s">
        <v>6771</v>
      </c>
      <c r="K1290" s="274" t="s">
        <v>3746</v>
      </c>
      <c r="L1290" s="274" t="s">
        <v>5614</v>
      </c>
      <c r="M1290" s="281">
        <v>12640.5</v>
      </c>
      <c r="N1290" s="280">
        <v>12640.5</v>
      </c>
      <c r="O1290" s="280"/>
      <c r="P1290" s="280"/>
      <c r="Q1290" s="280"/>
      <c r="R1290" s="280"/>
      <c r="S1290" s="280"/>
      <c r="T1290" s="297"/>
    </row>
    <row r="1291" spans="1:20" x14ac:dyDescent="0.25">
      <c r="A1291" s="274" t="s">
        <v>78</v>
      </c>
      <c r="B1291" s="274" t="s">
        <v>79</v>
      </c>
      <c r="C1291" s="274" t="s">
        <v>3741</v>
      </c>
      <c r="D1291" s="274" t="s">
        <v>3742</v>
      </c>
      <c r="E1291" s="274" t="s">
        <v>59</v>
      </c>
      <c r="F1291" s="274" t="s">
        <v>199</v>
      </c>
      <c r="G1291" s="274" t="s">
        <v>272</v>
      </c>
      <c r="H1291" s="274" t="s">
        <v>273</v>
      </c>
      <c r="I1291" s="274" t="s">
        <v>5615</v>
      </c>
      <c r="J1291" s="274" t="s">
        <v>6772</v>
      </c>
      <c r="K1291" s="274" t="s">
        <v>3746</v>
      </c>
      <c r="L1291" s="274" t="s">
        <v>5616</v>
      </c>
      <c r="M1291" s="281">
        <v>15824</v>
      </c>
      <c r="N1291" s="280"/>
      <c r="O1291" s="280"/>
      <c r="P1291" s="280"/>
      <c r="Q1291" s="280">
        <v>15824</v>
      </c>
      <c r="R1291" s="280"/>
      <c r="S1291" s="280"/>
      <c r="T1291" s="297"/>
    </row>
    <row r="1292" spans="1:20" x14ac:dyDescent="0.25">
      <c r="A1292" s="274" t="s">
        <v>78</v>
      </c>
      <c r="B1292" s="274" t="s">
        <v>79</v>
      </c>
      <c r="C1292" s="274" t="s">
        <v>3741</v>
      </c>
      <c r="D1292" s="274" t="s">
        <v>3742</v>
      </c>
      <c r="E1292" s="274" t="s">
        <v>59</v>
      </c>
      <c r="F1292" s="274" t="s">
        <v>199</v>
      </c>
      <c r="G1292" s="274" t="s">
        <v>274</v>
      </c>
      <c r="H1292" s="274" t="s">
        <v>275</v>
      </c>
      <c r="I1292" s="274" t="s">
        <v>5617</v>
      </c>
      <c r="J1292" s="274" t="s">
        <v>6773</v>
      </c>
      <c r="K1292" s="274" t="s">
        <v>3746</v>
      </c>
      <c r="L1292" s="274" t="s">
        <v>5618</v>
      </c>
      <c r="M1292" s="281">
        <v>5018.84</v>
      </c>
      <c r="N1292" s="280">
        <v>5018.84</v>
      </c>
      <c r="O1292" s="280"/>
      <c r="P1292" s="280"/>
      <c r="Q1292" s="280"/>
      <c r="R1292" s="280"/>
      <c r="S1292" s="280"/>
      <c r="T1292" s="297"/>
    </row>
    <row r="1293" spans="1:20" x14ac:dyDescent="0.25">
      <c r="A1293" s="274" t="s">
        <v>78</v>
      </c>
      <c r="B1293" s="274" t="s">
        <v>79</v>
      </c>
      <c r="C1293" s="274" t="s">
        <v>3741</v>
      </c>
      <c r="D1293" s="274" t="s">
        <v>3742</v>
      </c>
      <c r="E1293" s="274" t="s">
        <v>59</v>
      </c>
      <c r="F1293" s="274" t="s">
        <v>199</v>
      </c>
      <c r="G1293" s="274" t="s">
        <v>274</v>
      </c>
      <c r="H1293" s="274" t="s">
        <v>275</v>
      </c>
      <c r="I1293" s="274" t="s">
        <v>5619</v>
      </c>
      <c r="J1293" s="274" t="s">
        <v>6774</v>
      </c>
      <c r="K1293" s="274" t="s">
        <v>3746</v>
      </c>
      <c r="L1293" s="274" t="s">
        <v>5620</v>
      </c>
      <c r="M1293" s="281">
        <v>14488.55</v>
      </c>
      <c r="N1293" s="280">
        <v>14488.55</v>
      </c>
      <c r="O1293" s="280"/>
      <c r="P1293" s="280"/>
      <c r="Q1293" s="280"/>
      <c r="R1293" s="280"/>
      <c r="S1293" s="280"/>
      <c r="T1293" s="297"/>
    </row>
    <row r="1294" spans="1:20" x14ac:dyDescent="0.25">
      <c r="A1294" s="274" t="s">
        <v>78</v>
      </c>
      <c r="B1294" s="274" t="s">
        <v>79</v>
      </c>
      <c r="C1294" s="274" t="s">
        <v>3741</v>
      </c>
      <c r="D1294" s="274" t="s">
        <v>3742</v>
      </c>
      <c r="E1294" s="274" t="s">
        <v>59</v>
      </c>
      <c r="F1294" s="274" t="s">
        <v>199</v>
      </c>
      <c r="G1294" s="274" t="s">
        <v>274</v>
      </c>
      <c r="H1294" s="274" t="s">
        <v>275</v>
      </c>
      <c r="I1294" s="274" t="s">
        <v>5621</v>
      </c>
      <c r="J1294" s="274" t="s">
        <v>6774</v>
      </c>
      <c r="K1294" s="274" t="s">
        <v>3746</v>
      </c>
      <c r="L1294" s="274" t="s">
        <v>5622</v>
      </c>
      <c r="M1294" s="281">
        <v>13887.6</v>
      </c>
      <c r="N1294" s="280"/>
      <c r="O1294" s="280"/>
      <c r="P1294" s="280"/>
      <c r="Q1294" s="280">
        <v>13887.6</v>
      </c>
      <c r="R1294" s="280"/>
      <c r="S1294" s="280"/>
      <c r="T1294" s="297"/>
    </row>
    <row r="1295" spans="1:20" x14ac:dyDescent="0.25">
      <c r="A1295" s="274" t="s">
        <v>78</v>
      </c>
      <c r="B1295" s="274" t="s">
        <v>79</v>
      </c>
      <c r="C1295" s="274" t="s">
        <v>3741</v>
      </c>
      <c r="D1295" s="274" t="s">
        <v>3742</v>
      </c>
      <c r="E1295" s="274" t="s">
        <v>59</v>
      </c>
      <c r="F1295" s="274" t="s">
        <v>199</v>
      </c>
      <c r="G1295" s="274" t="s">
        <v>274</v>
      </c>
      <c r="H1295" s="274" t="s">
        <v>275</v>
      </c>
      <c r="I1295" s="274" t="s">
        <v>5623</v>
      </c>
      <c r="J1295" s="274" t="s">
        <v>6773</v>
      </c>
      <c r="K1295" s="274" t="s">
        <v>3746</v>
      </c>
      <c r="L1295" s="274" t="s">
        <v>5618</v>
      </c>
      <c r="M1295" s="281">
        <v>444.92</v>
      </c>
      <c r="N1295" s="280">
        <v>444.92</v>
      </c>
      <c r="O1295" s="280"/>
      <c r="P1295" s="280"/>
      <c r="Q1295" s="280"/>
      <c r="R1295" s="280"/>
      <c r="S1295" s="280"/>
      <c r="T1295" s="297"/>
    </row>
    <row r="1296" spans="1:20" x14ac:dyDescent="0.25">
      <c r="A1296" s="274" t="s">
        <v>78</v>
      </c>
      <c r="B1296" s="274" t="s">
        <v>79</v>
      </c>
      <c r="C1296" s="274" t="s">
        <v>3741</v>
      </c>
      <c r="D1296" s="274" t="s">
        <v>3742</v>
      </c>
      <c r="E1296" s="274" t="s">
        <v>59</v>
      </c>
      <c r="F1296" s="274" t="s">
        <v>199</v>
      </c>
      <c r="G1296" s="274" t="s">
        <v>276</v>
      </c>
      <c r="H1296" s="274" t="s">
        <v>277</v>
      </c>
      <c r="I1296" s="274" t="s">
        <v>5624</v>
      </c>
      <c r="J1296" s="274" t="s">
        <v>6775</v>
      </c>
      <c r="K1296" s="274" t="s">
        <v>6546</v>
      </c>
      <c r="L1296" s="274" t="s">
        <v>5625</v>
      </c>
      <c r="M1296" s="281">
        <v>1280</v>
      </c>
      <c r="N1296" s="280">
        <v>1280</v>
      </c>
      <c r="O1296" s="280"/>
      <c r="P1296" s="280"/>
      <c r="Q1296" s="280"/>
      <c r="R1296" s="280"/>
      <c r="S1296" s="280"/>
      <c r="T1296" s="297"/>
    </row>
    <row r="1297" spans="1:20" x14ac:dyDescent="0.25">
      <c r="A1297" s="274" t="s">
        <v>78</v>
      </c>
      <c r="B1297" s="274" t="s">
        <v>79</v>
      </c>
      <c r="C1297" s="274" t="s">
        <v>3741</v>
      </c>
      <c r="D1297" s="274" t="s">
        <v>3742</v>
      </c>
      <c r="E1297" s="274" t="s">
        <v>59</v>
      </c>
      <c r="F1297" s="274" t="s">
        <v>199</v>
      </c>
      <c r="G1297" s="274" t="s">
        <v>276</v>
      </c>
      <c r="H1297" s="274" t="s">
        <v>277</v>
      </c>
      <c r="I1297" s="274" t="s">
        <v>5626</v>
      </c>
      <c r="J1297" s="274" t="s">
        <v>6775</v>
      </c>
      <c r="K1297" s="274" t="s">
        <v>6546</v>
      </c>
      <c r="L1297" s="274" t="s">
        <v>5627</v>
      </c>
      <c r="M1297" s="281">
        <v>3225</v>
      </c>
      <c r="N1297" s="280">
        <v>3225</v>
      </c>
      <c r="O1297" s="280"/>
      <c r="P1297" s="280"/>
      <c r="Q1297" s="280"/>
      <c r="R1297" s="280"/>
      <c r="S1297" s="280"/>
      <c r="T1297" s="297"/>
    </row>
    <row r="1298" spans="1:20" x14ac:dyDescent="0.25">
      <c r="A1298" s="274" t="s">
        <v>78</v>
      </c>
      <c r="B1298" s="274" t="s">
        <v>79</v>
      </c>
      <c r="C1298" s="274" t="s">
        <v>3741</v>
      </c>
      <c r="D1298" s="274" t="s">
        <v>3742</v>
      </c>
      <c r="E1298" s="274" t="s">
        <v>59</v>
      </c>
      <c r="F1298" s="274" t="s">
        <v>199</v>
      </c>
      <c r="G1298" s="274" t="s">
        <v>276</v>
      </c>
      <c r="H1298" s="274" t="s">
        <v>277</v>
      </c>
      <c r="I1298" s="274" t="s">
        <v>5628</v>
      </c>
      <c r="J1298" s="274" t="s">
        <v>6775</v>
      </c>
      <c r="K1298" s="274" t="s">
        <v>6546</v>
      </c>
      <c r="L1298" s="274" t="s">
        <v>5629</v>
      </c>
      <c r="M1298" s="281">
        <v>21500</v>
      </c>
      <c r="N1298" s="280">
        <v>21500</v>
      </c>
      <c r="O1298" s="280"/>
      <c r="P1298" s="280"/>
      <c r="Q1298" s="280"/>
      <c r="R1298" s="280"/>
      <c r="S1298" s="280"/>
      <c r="T1298" s="297"/>
    </row>
    <row r="1299" spans="1:20" x14ac:dyDescent="0.25">
      <c r="A1299" s="274" t="s">
        <v>78</v>
      </c>
      <c r="B1299" s="274" t="s">
        <v>79</v>
      </c>
      <c r="C1299" s="274" t="s">
        <v>3741</v>
      </c>
      <c r="D1299" s="274" t="s">
        <v>3742</v>
      </c>
      <c r="E1299" s="274" t="s">
        <v>59</v>
      </c>
      <c r="F1299" s="274" t="s">
        <v>199</v>
      </c>
      <c r="G1299" s="274" t="s">
        <v>278</v>
      </c>
      <c r="H1299" s="274" t="s">
        <v>279</v>
      </c>
      <c r="I1299" s="274" t="s">
        <v>5630</v>
      </c>
      <c r="J1299" s="274" t="s">
        <v>6776</v>
      </c>
      <c r="K1299" s="274" t="s">
        <v>3746</v>
      </c>
      <c r="L1299" s="274" t="s">
        <v>5631</v>
      </c>
      <c r="M1299" s="281">
        <v>55.55</v>
      </c>
      <c r="N1299" s="280"/>
      <c r="O1299" s="280"/>
      <c r="P1299" s="280"/>
      <c r="Q1299" s="280">
        <v>55.55</v>
      </c>
      <c r="R1299" s="280"/>
      <c r="S1299" s="280"/>
      <c r="T1299" s="297"/>
    </row>
    <row r="1300" spans="1:20" x14ac:dyDescent="0.25">
      <c r="A1300" s="274" t="s">
        <v>78</v>
      </c>
      <c r="B1300" s="274" t="s">
        <v>79</v>
      </c>
      <c r="C1300" s="274" t="s">
        <v>3741</v>
      </c>
      <c r="D1300" s="274" t="s">
        <v>3742</v>
      </c>
      <c r="E1300" s="274" t="s">
        <v>59</v>
      </c>
      <c r="F1300" s="274" t="s">
        <v>199</v>
      </c>
      <c r="G1300" s="274" t="s">
        <v>278</v>
      </c>
      <c r="H1300" s="274" t="s">
        <v>279</v>
      </c>
      <c r="I1300" s="274" t="s">
        <v>5632</v>
      </c>
      <c r="J1300" s="274" t="s">
        <v>6776</v>
      </c>
      <c r="K1300" s="274" t="s">
        <v>3746</v>
      </c>
      <c r="L1300" s="274" t="s">
        <v>5631</v>
      </c>
      <c r="M1300" s="281">
        <v>1.67</v>
      </c>
      <c r="N1300" s="280"/>
      <c r="O1300" s="280"/>
      <c r="P1300" s="280"/>
      <c r="Q1300" s="280">
        <v>1.67</v>
      </c>
      <c r="R1300" s="280"/>
      <c r="S1300" s="280"/>
      <c r="T1300" s="297"/>
    </row>
    <row r="1301" spans="1:20" x14ac:dyDescent="0.25">
      <c r="A1301" s="274" t="s">
        <v>78</v>
      </c>
      <c r="B1301" s="274" t="s">
        <v>79</v>
      </c>
      <c r="C1301" s="274" t="s">
        <v>3741</v>
      </c>
      <c r="D1301" s="274" t="s">
        <v>3742</v>
      </c>
      <c r="E1301" s="274" t="s">
        <v>59</v>
      </c>
      <c r="F1301" s="274" t="s">
        <v>199</v>
      </c>
      <c r="G1301" s="274" t="s">
        <v>278</v>
      </c>
      <c r="H1301" s="274" t="s">
        <v>279</v>
      </c>
      <c r="I1301" s="274" t="s">
        <v>5632</v>
      </c>
      <c r="J1301" s="274" t="s">
        <v>6776</v>
      </c>
      <c r="K1301" s="274" t="s">
        <v>3746</v>
      </c>
      <c r="L1301" s="274" t="s">
        <v>5633</v>
      </c>
      <c r="M1301" s="281">
        <v>120.64</v>
      </c>
      <c r="N1301" s="280"/>
      <c r="O1301" s="280"/>
      <c r="P1301" s="280"/>
      <c r="Q1301" s="280">
        <v>120.64</v>
      </c>
      <c r="R1301" s="280"/>
      <c r="S1301" s="280"/>
      <c r="T1301" s="297"/>
    </row>
    <row r="1302" spans="1:20" x14ac:dyDescent="0.25">
      <c r="A1302" s="274" t="s">
        <v>78</v>
      </c>
      <c r="B1302" s="274" t="s">
        <v>79</v>
      </c>
      <c r="C1302" s="274" t="s">
        <v>3741</v>
      </c>
      <c r="D1302" s="274" t="s">
        <v>3742</v>
      </c>
      <c r="E1302" s="274" t="s">
        <v>59</v>
      </c>
      <c r="F1302" s="274" t="s">
        <v>199</v>
      </c>
      <c r="G1302" s="274" t="s">
        <v>280</v>
      </c>
      <c r="H1302" s="274" t="s">
        <v>281</v>
      </c>
      <c r="I1302" s="274" t="s">
        <v>5634</v>
      </c>
      <c r="J1302" s="274" t="s">
        <v>6777</v>
      </c>
      <c r="K1302" s="274" t="s">
        <v>3746</v>
      </c>
      <c r="L1302" s="274" t="s">
        <v>5635</v>
      </c>
      <c r="M1302" s="281">
        <v>38838.46</v>
      </c>
      <c r="N1302" s="280"/>
      <c r="O1302" s="280"/>
      <c r="P1302" s="280"/>
      <c r="Q1302" s="280">
        <v>38838.46</v>
      </c>
      <c r="R1302" s="280"/>
      <c r="S1302" s="280"/>
      <c r="T1302" s="297"/>
    </row>
    <row r="1303" spans="1:20" x14ac:dyDescent="0.25">
      <c r="A1303" s="274" t="s">
        <v>78</v>
      </c>
      <c r="B1303" s="274" t="s">
        <v>79</v>
      </c>
      <c r="C1303" s="274" t="s">
        <v>3741</v>
      </c>
      <c r="D1303" s="274" t="s">
        <v>3742</v>
      </c>
      <c r="E1303" s="274" t="s">
        <v>59</v>
      </c>
      <c r="F1303" s="274" t="s">
        <v>199</v>
      </c>
      <c r="G1303" s="274" t="s">
        <v>282</v>
      </c>
      <c r="H1303" s="274" t="s">
        <v>283</v>
      </c>
      <c r="I1303" s="274" t="s">
        <v>5636</v>
      </c>
      <c r="J1303" s="274" t="s">
        <v>6778</v>
      </c>
      <c r="K1303" s="274" t="s">
        <v>6589</v>
      </c>
      <c r="L1303" s="274" t="s">
        <v>5637</v>
      </c>
      <c r="M1303" s="281">
        <v>9827</v>
      </c>
      <c r="N1303" s="280"/>
      <c r="O1303" s="280"/>
      <c r="P1303" s="280">
        <v>9827</v>
      </c>
      <c r="Q1303" s="280"/>
      <c r="R1303" s="280"/>
      <c r="S1303" s="280"/>
      <c r="T1303" s="297"/>
    </row>
    <row r="1304" spans="1:20" x14ac:dyDescent="0.25">
      <c r="A1304" s="274" t="s">
        <v>78</v>
      </c>
      <c r="B1304" s="274" t="s">
        <v>79</v>
      </c>
      <c r="C1304" s="274" t="s">
        <v>3741</v>
      </c>
      <c r="D1304" s="274" t="s">
        <v>3742</v>
      </c>
      <c r="E1304" s="274" t="s">
        <v>59</v>
      </c>
      <c r="F1304" s="274" t="s">
        <v>199</v>
      </c>
      <c r="G1304" s="274" t="s">
        <v>282</v>
      </c>
      <c r="H1304" s="274" t="s">
        <v>283</v>
      </c>
      <c r="I1304" s="274" t="s">
        <v>5638</v>
      </c>
      <c r="J1304" s="274" t="s">
        <v>6778</v>
      </c>
      <c r="K1304" s="274" t="s">
        <v>6589</v>
      </c>
      <c r="L1304" s="274" t="s">
        <v>5639</v>
      </c>
      <c r="M1304" s="281">
        <v>9827</v>
      </c>
      <c r="N1304" s="280"/>
      <c r="O1304" s="280"/>
      <c r="P1304" s="280"/>
      <c r="Q1304" s="280">
        <v>9827</v>
      </c>
      <c r="R1304" s="280"/>
      <c r="S1304" s="280"/>
      <c r="T1304" s="297"/>
    </row>
    <row r="1305" spans="1:20" x14ac:dyDescent="0.25">
      <c r="A1305" s="274" t="s">
        <v>78</v>
      </c>
      <c r="B1305" s="274" t="s">
        <v>79</v>
      </c>
      <c r="C1305" s="274" t="s">
        <v>3741</v>
      </c>
      <c r="D1305" s="274" t="s">
        <v>3742</v>
      </c>
      <c r="E1305" s="274" t="s">
        <v>59</v>
      </c>
      <c r="F1305" s="274" t="s">
        <v>199</v>
      </c>
      <c r="G1305" s="274" t="s">
        <v>282</v>
      </c>
      <c r="H1305" s="274" t="s">
        <v>283</v>
      </c>
      <c r="I1305" s="274" t="s">
        <v>5640</v>
      </c>
      <c r="J1305" s="274" t="s">
        <v>6778</v>
      </c>
      <c r="K1305" s="274" t="s">
        <v>6589</v>
      </c>
      <c r="L1305" s="274" t="s">
        <v>5641</v>
      </c>
      <c r="M1305" s="281">
        <v>9827</v>
      </c>
      <c r="N1305" s="280"/>
      <c r="O1305" s="280"/>
      <c r="P1305" s="280"/>
      <c r="Q1305" s="280"/>
      <c r="R1305" s="280">
        <v>9827</v>
      </c>
      <c r="S1305" s="280"/>
      <c r="T1305" s="297"/>
    </row>
    <row r="1306" spans="1:20" x14ac:dyDescent="0.25">
      <c r="A1306" s="274" t="s">
        <v>78</v>
      </c>
      <c r="B1306" s="274" t="s">
        <v>79</v>
      </c>
      <c r="C1306" s="274" t="s">
        <v>3741</v>
      </c>
      <c r="D1306" s="274" t="s">
        <v>3742</v>
      </c>
      <c r="E1306" s="274" t="s">
        <v>59</v>
      </c>
      <c r="F1306" s="274" t="s">
        <v>199</v>
      </c>
      <c r="G1306" s="274" t="s">
        <v>282</v>
      </c>
      <c r="H1306" s="274" t="s">
        <v>283</v>
      </c>
      <c r="I1306" s="274" t="s">
        <v>5642</v>
      </c>
      <c r="J1306" s="274" t="s">
        <v>6778</v>
      </c>
      <c r="K1306" s="274" t="s">
        <v>6589</v>
      </c>
      <c r="L1306" s="274" t="s">
        <v>5643</v>
      </c>
      <c r="M1306" s="281">
        <v>76511</v>
      </c>
      <c r="N1306" s="280"/>
      <c r="O1306" s="280"/>
      <c r="P1306" s="280"/>
      <c r="Q1306" s="280"/>
      <c r="R1306" s="280">
        <v>76511</v>
      </c>
      <c r="S1306" s="280"/>
      <c r="T1306" s="297"/>
    </row>
    <row r="1307" spans="1:20" x14ac:dyDescent="0.25">
      <c r="A1307" s="274" t="s">
        <v>78</v>
      </c>
      <c r="B1307" s="274" t="s">
        <v>79</v>
      </c>
      <c r="C1307" s="274" t="s">
        <v>3741</v>
      </c>
      <c r="D1307" s="274" t="s">
        <v>3742</v>
      </c>
      <c r="E1307" s="274" t="s">
        <v>59</v>
      </c>
      <c r="F1307" s="274" t="s">
        <v>199</v>
      </c>
      <c r="G1307" s="274" t="s">
        <v>284</v>
      </c>
      <c r="H1307" s="274" t="s">
        <v>285</v>
      </c>
      <c r="I1307" s="274" t="s">
        <v>5644</v>
      </c>
      <c r="J1307" s="274" t="s">
        <v>6779</v>
      </c>
      <c r="K1307" s="274" t="s">
        <v>6506</v>
      </c>
      <c r="L1307" s="274" t="s">
        <v>5645</v>
      </c>
      <c r="M1307" s="281">
        <v>300000</v>
      </c>
      <c r="N1307" s="280">
        <v>300000</v>
      </c>
      <c r="O1307" s="280"/>
      <c r="P1307" s="280"/>
      <c r="Q1307" s="280"/>
      <c r="R1307" s="280"/>
      <c r="S1307" s="280"/>
      <c r="T1307" s="297"/>
    </row>
    <row r="1308" spans="1:20" x14ac:dyDescent="0.25">
      <c r="A1308" s="274" t="s">
        <v>78</v>
      </c>
      <c r="B1308" s="274" t="s">
        <v>79</v>
      </c>
      <c r="C1308" s="274" t="s">
        <v>3741</v>
      </c>
      <c r="D1308" s="274" t="s">
        <v>3742</v>
      </c>
      <c r="E1308" s="274" t="s">
        <v>59</v>
      </c>
      <c r="F1308" s="274" t="s">
        <v>199</v>
      </c>
      <c r="G1308" s="274" t="s">
        <v>286</v>
      </c>
      <c r="H1308" s="274" t="s">
        <v>287</v>
      </c>
      <c r="I1308" s="274" t="s">
        <v>5646</v>
      </c>
      <c r="J1308" s="274" t="s">
        <v>6780</v>
      </c>
      <c r="K1308" s="274" t="s">
        <v>6589</v>
      </c>
      <c r="L1308" s="274" t="s">
        <v>5647</v>
      </c>
      <c r="M1308" s="281">
        <v>34778</v>
      </c>
      <c r="N1308" s="280"/>
      <c r="O1308" s="280"/>
      <c r="P1308" s="280">
        <v>34778</v>
      </c>
      <c r="Q1308" s="280"/>
      <c r="R1308" s="280"/>
      <c r="S1308" s="280"/>
      <c r="T1308" s="297"/>
    </row>
    <row r="1309" spans="1:20" x14ac:dyDescent="0.25">
      <c r="A1309" s="274" t="s">
        <v>78</v>
      </c>
      <c r="B1309" s="274" t="s">
        <v>79</v>
      </c>
      <c r="C1309" s="274" t="s">
        <v>3741</v>
      </c>
      <c r="D1309" s="274" t="s">
        <v>3742</v>
      </c>
      <c r="E1309" s="274" t="s">
        <v>59</v>
      </c>
      <c r="F1309" s="274" t="s">
        <v>199</v>
      </c>
      <c r="G1309" s="274" t="s">
        <v>288</v>
      </c>
      <c r="H1309" s="274" t="s">
        <v>289</v>
      </c>
      <c r="I1309" s="274" t="s">
        <v>5648</v>
      </c>
      <c r="J1309" s="274" t="s">
        <v>6781</v>
      </c>
      <c r="K1309" s="274" t="s">
        <v>3746</v>
      </c>
      <c r="L1309" s="274" t="s">
        <v>5649</v>
      </c>
      <c r="M1309" s="281">
        <v>21811.200000000001</v>
      </c>
      <c r="N1309" s="280">
        <v>21811.200000000001</v>
      </c>
      <c r="O1309" s="280"/>
      <c r="P1309" s="280"/>
      <c r="Q1309" s="280"/>
      <c r="R1309" s="280"/>
      <c r="S1309" s="280"/>
      <c r="T1309" s="297"/>
    </row>
    <row r="1310" spans="1:20" x14ac:dyDescent="0.25">
      <c r="A1310" s="274" t="s">
        <v>78</v>
      </c>
      <c r="B1310" s="274" t="s">
        <v>79</v>
      </c>
      <c r="C1310" s="274" t="s">
        <v>3741</v>
      </c>
      <c r="D1310" s="274" t="s">
        <v>3742</v>
      </c>
      <c r="E1310" s="274" t="s">
        <v>59</v>
      </c>
      <c r="F1310" s="274" t="s">
        <v>199</v>
      </c>
      <c r="G1310" s="274" t="s">
        <v>290</v>
      </c>
      <c r="H1310" s="274" t="s">
        <v>291</v>
      </c>
      <c r="I1310" s="274" t="s">
        <v>5650</v>
      </c>
      <c r="J1310" s="274" t="s">
        <v>3601</v>
      </c>
      <c r="K1310" s="274" t="s">
        <v>3746</v>
      </c>
      <c r="L1310" s="274" t="s">
        <v>5651</v>
      </c>
      <c r="M1310" s="281">
        <v>14652.65</v>
      </c>
      <c r="N1310" s="280"/>
      <c r="O1310" s="280"/>
      <c r="P1310" s="280">
        <v>14652.65</v>
      </c>
      <c r="Q1310" s="280"/>
      <c r="R1310" s="280"/>
      <c r="S1310" s="280"/>
      <c r="T1310" s="297"/>
    </row>
    <row r="1311" spans="1:20" x14ac:dyDescent="0.25">
      <c r="A1311" s="274" t="s">
        <v>78</v>
      </c>
      <c r="B1311" s="274" t="s">
        <v>79</v>
      </c>
      <c r="C1311" s="274" t="s">
        <v>3741</v>
      </c>
      <c r="D1311" s="274" t="s">
        <v>3742</v>
      </c>
      <c r="E1311" s="274" t="s">
        <v>59</v>
      </c>
      <c r="F1311" s="274" t="s">
        <v>199</v>
      </c>
      <c r="G1311" s="274" t="s">
        <v>290</v>
      </c>
      <c r="H1311" s="274" t="s">
        <v>291</v>
      </c>
      <c r="I1311" s="274" t="s">
        <v>5652</v>
      </c>
      <c r="J1311" s="274" t="s">
        <v>3601</v>
      </c>
      <c r="K1311" s="274" t="s">
        <v>6506</v>
      </c>
      <c r="L1311" s="274" t="s">
        <v>5653</v>
      </c>
      <c r="M1311" s="281">
        <v>5058.1000000000004</v>
      </c>
      <c r="N1311" s="280"/>
      <c r="O1311" s="280"/>
      <c r="P1311" s="280">
        <v>5058.1000000000004</v>
      </c>
      <c r="Q1311" s="280"/>
      <c r="R1311" s="280"/>
      <c r="S1311" s="280"/>
      <c r="T1311" s="297"/>
    </row>
    <row r="1312" spans="1:20" x14ac:dyDescent="0.25">
      <c r="A1312" s="274" t="s">
        <v>78</v>
      </c>
      <c r="B1312" s="274" t="s">
        <v>79</v>
      </c>
      <c r="C1312" s="274" t="s">
        <v>3741</v>
      </c>
      <c r="D1312" s="274" t="s">
        <v>3742</v>
      </c>
      <c r="E1312" s="274" t="s">
        <v>59</v>
      </c>
      <c r="F1312" s="274" t="s">
        <v>199</v>
      </c>
      <c r="G1312" s="274" t="s">
        <v>290</v>
      </c>
      <c r="H1312" s="274" t="s">
        <v>291</v>
      </c>
      <c r="I1312" s="274" t="s">
        <v>5654</v>
      </c>
      <c r="J1312" s="274" t="s">
        <v>3601</v>
      </c>
      <c r="K1312" s="274" t="s">
        <v>3746</v>
      </c>
      <c r="L1312" s="274" t="s">
        <v>5655</v>
      </c>
      <c r="M1312" s="281">
        <v>16698.07</v>
      </c>
      <c r="N1312" s="280"/>
      <c r="O1312" s="280"/>
      <c r="P1312" s="280"/>
      <c r="Q1312" s="280">
        <v>16698.07</v>
      </c>
      <c r="R1312" s="280"/>
      <c r="S1312" s="280"/>
      <c r="T1312" s="297"/>
    </row>
    <row r="1313" spans="1:20" x14ac:dyDescent="0.25">
      <c r="A1313" s="274" t="s">
        <v>78</v>
      </c>
      <c r="B1313" s="274" t="s">
        <v>79</v>
      </c>
      <c r="C1313" s="274" t="s">
        <v>3741</v>
      </c>
      <c r="D1313" s="274" t="s">
        <v>3742</v>
      </c>
      <c r="E1313" s="274" t="s">
        <v>59</v>
      </c>
      <c r="F1313" s="274" t="s">
        <v>199</v>
      </c>
      <c r="G1313" s="274" t="s">
        <v>290</v>
      </c>
      <c r="H1313" s="274" t="s">
        <v>291</v>
      </c>
      <c r="I1313" s="274" t="s">
        <v>5656</v>
      </c>
      <c r="J1313" s="274" t="s">
        <v>3601</v>
      </c>
      <c r="K1313" s="274" t="s">
        <v>6506</v>
      </c>
      <c r="L1313" s="274" t="s">
        <v>5657</v>
      </c>
      <c r="M1313" s="281">
        <v>5058.1000000000004</v>
      </c>
      <c r="N1313" s="280"/>
      <c r="O1313" s="280"/>
      <c r="P1313" s="280"/>
      <c r="Q1313" s="280">
        <v>5058.1000000000004</v>
      </c>
      <c r="R1313" s="280"/>
      <c r="S1313" s="280"/>
      <c r="T1313" s="297"/>
    </row>
    <row r="1314" spans="1:20" x14ac:dyDescent="0.25">
      <c r="A1314" s="274" t="s">
        <v>78</v>
      </c>
      <c r="B1314" s="274" t="s">
        <v>79</v>
      </c>
      <c r="C1314" s="274" t="s">
        <v>3741</v>
      </c>
      <c r="D1314" s="274" t="s">
        <v>3742</v>
      </c>
      <c r="E1314" s="274" t="s">
        <v>59</v>
      </c>
      <c r="F1314" s="274" t="s">
        <v>199</v>
      </c>
      <c r="G1314" s="274" t="s">
        <v>290</v>
      </c>
      <c r="H1314" s="274" t="s">
        <v>291</v>
      </c>
      <c r="I1314" s="274" t="s">
        <v>5658</v>
      </c>
      <c r="J1314" s="274" t="s">
        <v>3601</v>
      </c>
      <c r="K1314" s="274" t="s">
        <v>3746</v>
      </c>
      <c r="L1314" s="274" t="s">
        <v>5659</v>
      </c>
      <c r="M1314" s="281">
        <v>16698.07</v>
      </c>
      <c r="N1314" s="280"/>
      <c r="O1314" s="280"/>
      <c r="P1314" s="280"/>
      <c r="Q1314" s="280"/>
      <c r="R1314" s="280">
        <v>16698.07</v>
      </c>
      <c r="S1314" s="280"/>
      <c r="T1314" s="297"/>
    </row>
    <row r="1315" spans="1:20" x14ac:dyDescent="0.25">
      <c r="A1315" s="274" t="s">
        <v>78</v>
      </c>
      <c r="B1315" s="274" t="s">
        <v>79</v>
      </c>
      <c r="C1315" s="274" t="s">
        <v>3741</v>
      </c>
      <c r="D1315" s="274" t="s">
        <v>3742</v>
      </c>
      <c r="E1315" s="274" t="s">
        <v>59</v>
      </c>
      <c r="F1315" s="274" t="s">
        <v>199</v>
      </c>
      <c r="G1315" s="274" t="s">
        <v>290</v>
      </c>
      <c r="H1315" s="274" t="s">
        <v>291</v>
      </c>
      <c r="I1315" s="274" t="s">
        <v>5660</v>
      </c>
      <c r="J1315" s="274" t="s">
        <v>3601</v>
      </c>
      <c r="K1315" s="274" t="s">
        <v>6506</v>
      </c>
      <c r="L1315" s="274" t="s">
        <v>5661</v>
      </c>
      <c r="M1315" s="281">
        <v>5058.1000000000004</v>
      </c>
      <c r="N1315" s="280"/>
      <c r="O1315" s="280"/>
      <c r="P1315" s="280"/>
      <c r="Q1315" s="280"/>
      <c r="R1315" s="280">
        <v>5058.1000000000004</v>
      </c>
      <c r="S1315" s="280"/>
      <c r="T1315" s="297"/>
    </row>
    <row r="1316" spans="1:20" x14ac:dyDescent="0.25">
      <c r="A1316" s="274" t="s">
        <v>78</v>
      </c>
      <c r="B1316" s="274" t="s">
        <v>79</v>
      </c>
      <c r="C1316" s="274" t="s">
        <v>3741</v>
      </c>
      <c r="D1316" s="274" t="s">
        <v>3742</v>
      </c>
      <c r="E1316" s="274" t="s">
        <v>59</v>
      </c>
      <c r="F1316" s="274" t="s">
        <v>199</v>
      </c>
      <c r="G1316" s="274" t="s">
        <v>290</v>
      </c>
      <c r="H1316" s="274" t="s">
        <v>291</v>
      </c>
      <c r="I1316" s="274" t="s">
        <v>6462</v>
      </c>
      <c r="J1316" s="274" t="s">
        <v>3601</v>
      </c>
      <c r="K1316" s="274" t="s">
        <v>6506</v>
      </c>
      <c r="L1316" s="274" t="s">
        <v>6463</v>
      </c>
      <c r="M1316" s="281">
        <v>5058.1000000000004</v>
      </c>
      <c r="N1316" s="280"/>
      <c r="O1316" s="280"/>
      <c r="P1316" s="280"/>
      <c r="Q1316" s="280"/>
      <c r="R1316" s="280"/>
      <c r="S1316" s="280">
        <v>5058.1000000000004</v>
      </c>
      <c r="T1316" s="297"/>
    </row>
    <row r="1317" spans="1:20" x14ac:dyDescent="0.25">
      <c r="A1317" s="274" t="s">
        <v>78</v>
      </c>
      <c r="B1317" s="274" t="s">
        <v>79</v>
      </c>
      <c r="C1317" s="274" t="s">
        <v>3741</v>
      </c>
      <c r="D1317" s="274" t="s">
        <v>3742</v>
      </c>
      <c r="E1317" s="274" t="s">
        <v>59</v>
      </c>
      <c r="F1317" s="274" t="s">
        <v>199</v>
      </c>
      <c r="G1317" s="274" t="s">
        <v>290</v>
      </c>
      <c r="H1317" s="274" t="s">
        <v>291</v>
      </c>
      <c r="I1317" s="274" t="s">
        <v>6464</v>
      </c>
      <c r="J1317" s="274" t="s">
        <v>3601</v>
      </c>
      <c r="K1317" s="274" t="s">
        <v>3746</v>
      </c>
      <c r="L1317" s="274" t="s">
        <v>6465</v>
      </c>
      <c r="M1317" s="281">
        <v>16698.07</v>
      </c>
      <c r="N1317" s="280"/>
      <c r="O1317" s="280"/>
      <c r="P1317" s="280"/>
      <c r="Q1317" s="280"/>
      <c r="R1317" s="280"/>
      <c r="S1317" s="280">
        <v>16698.07</v>
      </c>
      <c r="T1317" s="297"/>
    </row>
    <row r="1318" spans="1:20" x14ac:dyDescent="0.25">
      <c r="A1318" s="274" t="s">
        <v>78</v>
      </c>
      <c r="B1318" s="274" t="s">
        <v>79</v>
      </c>
      <c r="C1318" s="274" t="s">
        <v>3741</v>
      </c>
      <c r="D1318" s="274" t="s">
        <v>3742</v>
      </c>
      <c r="E1318" s="274" t="s">
        <v>59</v>
      </c>
      <c r="F1318" s="274" t="s">
        <v>199</v>
      </c>
      <c r="G1318" s="274" t="s">
        <v>290</v>
      </c>
      <c r="H1318" s="274" t="s">
        <v>291</v>
      </c>
      <c r="I1318" s="274" t="s">
        <v>6466</v>
      </c>
      <c r="J1318" s="274" t="s">
        <v>3601</v>
      </c>
      <c r="K1318" s="274" t="s">
        <v>3746</v>
      </c>
      <c r="L1318" s="274" t="s">
        <v>5651</v>
      </c>
      <c r="M1318" s="281">
        <v>-0.13</v>
      </c>
      <c r="N1318" s="280"/>
      <c r="O1318" s="280"/>
      <c r="P1318" s="280"/>
      <c r="Q1318" s="280"/>
      <c r="R1318" s="280"/>
      <c r="S1318" s="280">
        <v>-0.13</v>
      </c>
      <c r="T1318" s="297"/>
    </row>
    <row r="1319" spans="1:20" x14ac:dyDescent="0.25">
      <c r="A1319" s="274" t="s">
        <v>78</v>
      </c>
      <c r="B1319" s="274" t="s">
        <v>79</v>
      </c>
      <c r="C1319" s="274" t="s">
        <v>3741</v>
      </c>
      <c r="D1319" s="274" t="s">
        <v>3742</v>
      </c>
      <c r="E1319" s="274" t="s">
        <v>59</v>
      </c>
      <c r="F1319" s="274" t="s">
        <v>199</v>
      </c>
      <c r="G1319" s="274" t="s">
        <v>292</v>
      </c>
      <c r="H1319" s="274" t="s">
        <v>293</v>
      </c>
      <c r="I1319" s="274" t="s">
        <v>5662</v>
      </c>
      <c r="J1319" s="274" t="s">
        <v>6782</v>
      </c>
      <c r="K1319" s="274" t="s">
        <v>3746</v>
      </c>
      <c r="L1319" s="274" t="s">
        <v>5663</v>
      </c>
      <c r="M1319" s="281">
        <v>32634.61</v>
      </c>
      <c r="N1319" s="280"/>
      <c r="O1319" s="280">
        <v>32634.61</v>
      </c>
      <c r="P1319" s="280"/>
      <c r="Q1319" s="280"/>
      <c r="R1319" s="280"/>
      <c r="S1319" s="280"/>
      <c r="T1319" s="297"/>
    </row>
    <row r="1320" spans="1:20" x14ac:dyDescent="0.25">
      <c r="A1320" s="274" t="s">
        <v>78</v>
      </c>
      <c r="B1320" s="274" t="s">
        <v>79</v>
      </c>
      <c r="C1320" s="274" t="s">
        <v>3741</v>
      </c>
      <c r="D1320" s="274" t="s">
        <v>3742</v>
      </c>
      <c r="E1320" s="274" t="s">
        <v>59</v>
      </c>
      <c r="F1320" s="274" t="s">
        <v>199</v>
      </c>
      <c r="G1320" s="274" t="s">
        <v>292</v>
      </c>
      <c r="H1320" s="274" t="s">
        <v>293</v>
      </c>
      <c r="I1320" s="274" t="s">
        <v>5664</v>
      </c>
      <c r="J1320" s="274" t="s">
        <v>6782</v>
      </c>
      <c r="K1320" s="274" t="s">
        <v>3746</v>
      </c>
      <c r="L1320" s="274" t="s">
        <v>5665</v>
      </c>
      <c r="M1320" s="281">
        <v>26196.5</v>
      </c>
      <c r="N1320" s="280"/>
      <c r="O1320" s="280">
        <v>26196.5</v>
      </c>
      <c r="P1320" s="280"/>
      <c r="Q1320" s="280"/>
      <c r="R1320" s="280"/>
      <c r="S1320" s="280"/>
      <c r="T1320" s="297"/>
    </row>
    <row r="1321" spans="1:20" x14ac:dyDescent="0.25">
      <c r="A1321" s="274" t="s">
        <v>78</v>
      </c>
      <c r="B1321" s="274" t="s">
        <v>79</v>
      </c>
      <c r="C1321" s="274" t="s">
        <v>3741</v>
      </c>
      <c r="D1321" s="274" t="s">
        <v>3742</v>
      </c>
      <c r="E1321" s="274" t="s">
        <v>59</v>
      </c>
      <c r="F1321" s="274" t="s">
        <v>199</v>
      </c>
      <c r="G1321" s="274" t="s">
        <v>292</v>
      </c>
      <c r="H1321" s="274" t="s">
        <v>293</v>
      </c>
      <c r="I1321" s="274" t="s">
        <v>6467</v>
      </c>
      <c r="J1321" s="274" t="s">
        <v>6782</v>
      </c>
      <c r="K1321" s="274" t="s">
        <v>3746</v>
      </c>
      <c r="L1321" s="274" t="s">
        <v>6468</v>
      </c>
      <c r="M1321" s="281">
        <v>1452.12</v>
      </c>
      <c r="N1321" s="280"/>
      <c r="O1321" s="280"/>
      <c r="P1321" s="280"/>
      <c r="Q1321" s="280"/>
      <c r="R1321" s="280"/>
      <c r="S1321" s="280">
        <v>1452.12</v>
      </c>
      <c r="T1321" s="297"/>
    </row>
    <row r="1322" spans="1:20" x14ac:dyDescent="0.25">
      <c r="A1322" s="274" t="s">
        <v>78</v>
      </c>
      <c r="B1322" s="274" t="s">
        <v>79</v>
      </c>
      <c r="C1322" s="274" t="s">
        <v>3741</v>
      </c>
      <c r="D1322" s="274" t="s">
        <v>3742</v>
      </c>
      <c r="E1322" s="274" t="s">
        <v>59</v>
      </c>
      <c r="F1322" s="274" t="s">
        <v>199</v>
      </c>
      <c r="G1322" s="274" t="s">
        <v>294</v>
      </c>
      <c r="H1322" s="274" t="s">
        <v>295</v>
      </c>
      <c r="I1322" s="274" t="s">
        <v>5666</v>
      </c>
      <c r="J1322" s="274" t="s">
        <v>6783</v>
      </c>
      <c r="K1322" s="274" t="s">
        <v>3746</v>
      </c>
      <c r="L1322" s="274" t="s">
        <v>5667</v>
      </c>
      <c r="M1322" s="281">
        <v>4320</v>
      </c>
      <c r="N1322" s="280"/>
      <c r="O1322" s="280"/>
      <c r="P1322" s="280">
        <v>4320</v>
      </c>
      <c r="Q1322" s="280"/>
      <c r="R1322" s="280"/>
      <c r="S1322" s="280"/>
      <c r="T1322" s="297"/>
    </row>
    <row r="1323" spans="1:20" x14ac:dyDescent="0.25">
      <c r="A1323" s="274" t="s">
        <v>78</v>
      </c>
      <c r="B1323" s="274" t="s">
        <v>79</v>
      </c>
      <c r="C1323" s="274" t="s">
        <v>3741</v>
      </c>
      <c r="D1323" s="274" t="s">
        <v>3742</v>
      </c>
      <c r="E1323" s="274" t="s">
        <v>59</v>
      </c>
      <c r="F1323" s="274" t="s">
        <v>199</v>
      </c>
      <c r="G1323" s="274" t="s">
        <v>98</v>
      </c>
      <c r="H1323" s="274" t="s">
        <v>99</v>
      </c>
      <c r="I1323" s="274" t="s">
        <v>3847</v>
      </c>
      <c r="J1323" s="274" t="s">
        <v>98</v>
      </c>
      <c r="K1323" s="274" t="s">
        <v>98</v>
      </c>
      <c r="L1323" s="274" t="s">
        <v>5668</v>
      </c>
      <c r="M1323" s="281">
        <v>-48592</v>
      </c>
      <c r="N1323" s="280">
        <v>-48592</v>
      </c>
      <c r="O1323" s="280"/>
      <c r="P1323" s="280"/>
      <c r="Q1323" s="280"/>
      <c r="R1323" s="280"/>
      <c r="S1323" s="280"/>
      <c r="T1323" s="297"/>
    </row>
    <row r="1324" spans="1:20" x14ac:dyDescent="0.25">
      <c r="A1324" s="274" t="s">
        <v>78</v>
      </c>
      <c r="B1324" s="274" t="s">
        <v>79</v>
      </c>
      <c r="C1324" s="274" t="s">
        <v>3741</v>
      </c>
      <c r="D1324" s="274" t="s">
        <v>3742</v>
      </c>
      <c r="E1324" s="274" t="s">
        <v>59</v>
      </c>
      <c r="F1324" s="274" t="s">
        <v>199</v>
      </c>
      <c r="G1324" s="274" t="s">
        <v>98</v>
      </c>
      <c r="H1324" s="274" t="s">
        <v>99</v>
      </c>
      <c r="I1324" s="274" t="s">
        <v>3847</v>
      </c>
      <c r="J1324" s="274" t="s">
        <v>98</v>
      </c>
      <c r="K1324" s="274" t="s">
        <v>98</v>
      </c>
      <c r="L1324" s="274" t="s">
        <v>5669</v>
      </c>
      <c r="M1324" s="281">
        <v>-128826.49</v>
      </c>
      <c r="N1324" s="280">
        <v>-128826.49</v>
      </c>
      <c r="O1324" s="280"/>
      <c r="P1324" s="280"/>
      <c r="Q1324" s="280"/>
      <c r="R1324" s="280"/>
      <c r="S1324" s="280"/>
      <c r="T1324" s="297"/>
    </row>
    <row r="1325" spans="1:20" x14ac:dyDescent="0.25">
      <c r="A1325" s="274" t="s">
        <v>78</v>
      </c>
      <c r="B1325" s="274" t="s">
        <v>79</v>
      </c>
      <c r="C1325" s="274" t="s">
        <v>3741</v>
      </c>
      <c r="D1325" s="274" t="s">
        <v>3742</v>
      </c>
      <c r="E1325" s="274" t="s">
        <v>59</v>
      </c>
      <c r="F1325" s="274" t="s">
        <v>199</v>
      </c>
      <c r="G1325" s="274" t="s">
        <v>98</v>
      </c>
      <c r="H1325" s="274" t="s">
        <v>99</v>
      </c>
      <c r="I1325" s="274" t="s">
        <v>3847</v>
      </c>
      <c r="J1325" s="274" t="s">
        <v>98</v>
      </c>
      <c r="K1325" s="274" t="s">
        <v>98</v>
      </c>
      <c r="L1325" s="274" t="s">
        <v>5670</v>
      </c>
      <c r="M1325" s="281">
        <v>-26818.080000000002</v>
      </c>
      <c r="N1325" s="280">
        <v>-26818.080000000002</v>
      </c>
      <c r="O1325" s="280"/>
      <c r="P1325" s="280"/>
      <c r="Q1325" s="280"/>
      <c r="R1325" s="280"/>
      <c r="S1325" s="280"/>
      <c r="T1325" s="297"/>
    </row>
    <row r="1326" spans="1:20" x14ac:dyDescent="0.25">
      <c r="A1326" s="274" t="s">
        <v>78</v>
      </c>
      <c r="B1326" s="274" t="s">
        <v>79</v>
      </c>
      <c r="C1326" s="274" t="s">
        <v>3741</v>
      </c>
      <c r="D1326" s="274" t="s">
        <v>3742</v>
      </c>
      <c r="E1326" s="274" t="s">
        <v>59</v>
      </c>
      <c r="F1326" s="274" t="s">
        <v>199</v>
      </c>
      <c r="G1326" s="274" t="s">
        <v>98</v>
      </c>
      <c r="H1326" s="274" t="s">
        <v>99</v>
      </c>
      <c r="I1326" s="274" t="s">
        <v>3847</v>
      </c>
      <c r="J1326" s="274" t="s">
        <v>98</v>
      </c>
      <c r="K1326" s="274" t="s">
        <v>98</v>
      </c>
      <c r="L1326" s="274" t="s">
        <v>5671</v>
      </c>
      <c r="M1326" s="281">
        <v>-229808.33</v>
      </c>
      <c r="N1326" s="280">
        <v>-229808.33</v>
      </c>
      <c r="O1326" s="280"/>
      <c r="P1326" s="280"/>
      <c r="Q1326" s="280"/>
      <c r="R1326" s="280"/>
      <c r="S1326" s="280"/>
      <c r="T1326" s="297"/>
    </row>
    <row r="1327" spans="1:20" x14ac:dyDescent="0.25">
      <c r="A1327" s="274" t="s">
        <v>78</v>
      </c>
      <c r="B1327" s="274" t="s">
        <v>79</v>
      </c>
      <c r="C1327" s="274" t="s">
        <v>3741</v>
      </c>
      <c r="D1327" s="274" t="s">
        <v>3742</v>
      </c>
      <c r="E1327" s="274" t="s">
        <v>59</v>
      </c>
      <c r="F1327" s="274" t="s">
        <v>199</v>
      </c>
      <c r="G1327" s="274" t="s">
        <v>98</v>
      </c>
      <c r="H1327" s="274" t="s">
        <v>99</v>
      </c>
      <c r="I1327" s="274" t="s">
        <v>5074</v>
      </c>
      <c r="J1327" s="274" t="s">
        <v>98</v>
      </c>
      <c r="K1327" s="274" t="s">
        <v>98</v>
      </c>
      <c r="L1327" s="274" t="s">
        <v>5075</v>
      </c>
      <c r="M1327" s="281">
        <v>27965.08</v>
      </c>
      <c r="N1327" s="280"/>
      <c r="O1327" s="280">
        <v>27965.08</v>
      </c>
      <c r="P1327" s="280"/>
      <c r="Q1327" s="280"/>
      <c r="R1327" s="280"/>
      <c r="S1327" s="280"/>
      <c r="T1327" s="297"/>
    </row>
    <row r="1328" spans="1:20" x14ac:dyDescent="0.25">
      <c r="A1328" s="274" t="s">
        <v>78</v>
      </c>
      <c r="B1328" s="274" t="s">
        <v>79</v>
      </c>
      <c r="C1328" s="274" t="s">
        <v>3741</v>
      </c>
      <c r="D1328" s="274" t="s">
        <v>3742</v>
      </c>
      <c r="E1328" s="274" t="s">
        <v>59</v>
      </c>
      <c r="F1328" s="274" t="s">
        <v>199</v>
      </c>
      <c r="G1328" s="274" t="s">
        <v>98</v>
      </c>
      <c r="H1328" s="274" t="s">
        <v>99</v>
      </c>
      <c r="I1328" s="274" t="s">
        <v>6469</v>
      </c>
      <c r="J1328" s="274" t="s">
        <v>98</v>
      </c>
      <c r="K1328" s="274" t="s">
        <v>98</v>
      </c>
      <c r="L1328" s="274" t="s">
        <v>6470</v>
      </c>
      <c r="M1328" s="281">
        <v>44078.76</v>
      </c>
      <c r="N1328" s="280"/>
      <c r="O1328" s="280"/>
      <c r="P1328" s="280"/>
      <c r="Q1328" s="280"/>
      <c r="R1328" s="280"/>
      <c r="S1328" s="280">
        <v>44078.76</v>
      </c>
      <c r="T1328" s="297"/>
    </row>
    <row r="1329" spans="1:20" x14ac:dyDescent="0.25">
      <c r="A1329" s="274" t="s">
        <v>78</v>
      </c>
      <c r="B1329" s="274" t="s">
        <v>79</v>
      </c>
      <c r="C1329" s="274" t="s">
        <v>3741</v>
      </c>
      <c r="D1329" s="274" t="s">
        <v>3742</v>
      </c>
      <c r="E1329" s="274" t="s">
        <v>59</v>
      </c>
      <c r="F1329" s="274" t="s">
        <v>199</v>
      </c>
      <c r="G1329" s="274" t="s">
        <v>98</v>
      </c>
      <c r="H1329" s="274" t="s">
        <v>99</v>
      </c>
      <c r="I1329" s="274" t="s">
        <v>6471</v>
      </c>
      <c r="J1329" s="274" t="s">
        <v>98</v>
      </c>
      <c r="K1329" s="274" t="s">
        <v>98</v>
      </c>
      <c r="L1329" s="274" t="s">
        <v>5717</v>
      </c>
      <c r="M1329" s="281">
        <v>75054</v>
      </c>
      <c r="N1329" s="280"/>
      <c r="O1329" s="280"/>
      <c r="P1329" s="280"/>
      <c r="Q1329" s="280"/>
      <c r="R1329" s="280"/>
      <c r="S1329" s="280">
        <v>75054</v>
      </c>
      <c r="T1329" s="297"/>
    </row>
    <row r="1330" spans="1:20" x14ac:dyDescent="0.25">
      <c r="A1330" s="274" t="s">
        <v>78</v>
      </c>
      <c r="B1330" s="274" t="s">
        <v>79</v>
      </c>
      <c r="C1330" s="274" t="s">
        <v>3741</v>
      </c>
      <c r="D1330" s="274" t="s">
        <v>3742</v>
      </c>
      <c r="E1330" s="274" t="s">
        <v>59</v>
      </c>
      <c r="F1330" s="274" t="s">
        <v>199</v>
      </c>
      <c r="G1330" s="274" t="s">
        <v>98</v>
      </c>
      <c r="H1330" s="274" t="s">
        <v>99</v>
      </c>
      <c r="I1330" s="274" t="s">
        <v>6471</v>
      </c>
      <c r="J1330" s="274" t="s">
        <v>98</v>
      </c>
      <c r="K1330" s="274" t="s">
        <v>98</v>
      </c>
      <c r="L1330" s="274" t="s">
        <v>5738</v>
      </c>
      <c r="M1330" s="281">
        <v>-97184.320000000007</v>
      </c>
      <c r="N1330" s="280"/>
      <c r="O1330" s="280"/>
      <c r="P1330" s="280"/>
      <c r="Q1330" s="280"/>
      <c r="R1330" s="280"/>
      <c r="S1330" s="280">
        <v>-97184.320000000007</v>
      </c>
      <c r="T1330" s="297"/>
    </row>
    <row r="1331" spans="1:20" x14ac:dyDescent="0.25">
      <c r="A1331" s="274" t="s">
        <v>78</v>
      </c>
      <c r="B1331" s="274" t="s">
        <v>79</v>
      </c>
      <c r="C1331" s="274" t="s">
        <v>3741</v>
      </c>
      <c r="D1331" s="274" t="s">
        <v>3742</v>
      </c>
      <c r="E1331" s="274" t="s">
        <v>59</v>
      </c>
      <c r="F1331" s="274" t="s">
        <v>199</v>
      </c>
      <c r="G1331" s="274" t="s">
        <v>98</v>
      </c>
      <c r="H1331" s="274" t="s">
        <v>99</v>
      </c>
      <c r="I1331" s="274" t="s">
        <v>6472</v>
      </c>
      <c r="J1331" s="274" t="s">
        <v>98</v>
      </c>
      <c r="K1331" s="274" t="s">
        <v>98</v>
      </c>
      <c r="L1331" s="274" t="s">
        <v>6473</v>
      </c>
      <c r="M1331" s="281">
        <v>350</v>
      </c>
      <c r="N1331" s="280"/>
      <c r="O1331" s="280"/>
      <c r="P1331" s="280"/>
      <c r="Q1331" s="280"/>
      <c r="R1331" s="280"/>
      <c r="S1331" s="280">
        <v>350</v>
      </c>
      <c r="T1331" s="297"/>
    </row>
    <row r="1332" spans="1:20" x14ac:dyDescent="0.25">
      <c r="A1332" s="274" t="s">
        <v>78</v>
      </c>
      <c r="B1332" s="274" t="s">
        <v>79</v>
      </c>
      <c r="C1332" s="274" t="s">
        <v>3741</v>
      </c>
      <c r="D1332" s="274" t="s">
        <v>3742</v>
      </c>
      <c r="E1332" s="274" t="s">
        <v>59</v>
      </c>
      <c r="F1332" s="274" t="s">
        <v>199</v>
      </c>
      <c r="G1332" s="274" t="s">
        <v>98</v>
      </c>
      <c r="H1332" s="274" t="s">
        <v>99</v>
      </c>
      <c r="I1332" s="274" t="s">
        <v>6472</v>
      </c>
      <c r="J1332" s="274" t="s">
        <v>98</v>
      </c>
      <c r="K1332" s="274" t="s">
        <v>98</v>
      </c>
      <c r="L1332" s="274" t="s">
        <v>6474</v>
      </c>
      <c r="M1332" s="281">
        <v>9856.25</v>
      </c>
      <c r="N1332" s="280"/>
      <c r="O1332" s="280"/>
      <c r="P1332" s="280"/>
      <c r="Q1332" s="280"/>
      <c r="R1332" s="280"/>
      <c r="S1332" s="280">
        <v>9856.25</v>
      </c>
      <c r="T1332" s="297"/>
    </row>
    <row r="1333" spans="1:20" x14ac:dyDescent="0.25">
      <c r="A1333" s="274" t="s">
        <v>78</v>
      </c>
      <c r="B1333" s="274" t="s">
        <v>79</v>
      </c>
      <c r="C1333" s="274" t="s">
        <v>3741</v>
      </c>
      <c r="D1333" s="274" t="s">
        <v>3742</v>
      </c>
      <c r="E1333" s="274" t="s">
        <v>59</v>
      </c>
      <c r="F1333" s="274" t="s">
        <v>199</v>
      </c>
      <c r="G1333" s="274" t="s">
        <v>98</v>
      </c>
      <c r="H1333" s="274" t="s">
        <v>99</v>
      </c>
      <c r="I1333" s="274" t="s">
        <v>6472</v>
      </c>
      <c r="J1333" s="274" t="s">
        <v>98</v>
      </c>
      <c r="K1333" s="274" t="s">
        <v>98</v>
      </c>
      <c r="L1333" s="274" t="s">
        <v>6475</v>
      </c>
      <c r="M1333" s="281">
        <v>350</v>
      </c>
      <c r="N1333" s="280"/>
      <c r="O1333" s="280"/>
      <c r="P1333" s="280"/>
      <c r="Q1333" s="280"/>
      <c r="R1333" s="280"/>
      <c r="S1333" s="280">
        <v>350</v>
      </c>
      <c r="T1333" s="297"/>
    </row>
    <row r="1334" spans="1:20" x14ac:dyDescent="0.25">
      <c r="A1334" s="274" t="s">
        <v>78</v>
      </c>
      <c r="B1334" s="274" t="s">
        <v>79</v>
      </c>
      <c r="C1334" s="274" t="s">
        <v>3741</v>
      </c>
      <c r="D1334" s="274" t="s">
        <v>3742</v>
      </c>
      <c r="E1334" s="274" t="s">
        <v>59</v>
      </c>
      <c r="F1334" s="274" t="s">
        <v>199</v>
      </c>
      <c r="G1334" s="274" t="s">
        <v>98</v>
      </c>
      <c r="H1334" s="274" t="s">
        <v>99</v>
      </c>
      <c r="I1334" s="274" t="s">
        <v>6472</v>
      </c>
      <c r="J1334" s="274" t="s">
        <v>98</v>
      </c>
      <c r="K1334" s="274" t="s">
        <v>98</v>
      </c>
      <c r="L1334" s="274" t="s">
        <v>6476</v>
      </c>
      <c r="M1334" s="281">
        <v>9856.25</v>
      </c>
      <c r="N1334" s="280"/>
      <c r="O1334" s="280"/>
      <c r="P1334" s="280"/>
      <c r="Q1334" s="280"/>
      <c r="R1334" s="280"/>
      <c r="S1334" s="280">
        <v>9856.25</v>
      </c>
      <c r="T1334" s="297"/>
    </row>
    <row r="1335" spans="1:20" x14ac:dyDescent="0.25">
      <c r="A1335" s="274" t="s">
        <v>78</v>
      </c>
      <c r="B1335" s="274" t="s">
        <v>79</v>
      </c>
      <c r="C1335" s="274" t="s">
        <v>3741</v>
      </c>
      <c r="D1335" s="274" t="s">
        <v>3742</v>
      </c>
      <c r="E1335" s="274" t="s">
        <v>59</v>
      </c>
      <c r="F1335" s="274" t="s">
        <v>199</v>
      </c>
      <c r="G1335" s="274" t="s">
        <v>98</v>
      </c>
      <c r="H1335" s="274" t="s">
        <v>99</v>
      </c>
      <c r="I1335" s="274" t="s">
        <v>6472</v>
      </c>
      <c r="J1335" s="274" t="s">
        <v>98</v>
      </c>
      <c r="K1335" s="274" t="s">
        <v>98</v>
      </c>
      <c r="L1335" s="274" t="s">
        <v>6477</v>
      </c>
      <c r="M1335" s="281">
        <v>350</v>
      </c>
      <c r="N1335" s="280"/>
      <c r="O1335" s="280"/>
      <c r="P1335" s="280"/>
      <c r="Q1335" s="280"/>
      <c r="R1335" s="280"/>
      <c r="S1335" s="280">
        <v>350</v>
      </c>
      <c r="T1335" s="297"/>
    </row>
    <row r="1336" spans="1:20" x14ac:dyDescent="0.25">
      <c r="A1336" s="274" t="s">
        <v>78</v>
      </c>
      <c r="B1336" s="274" t="s">
        <v>79</v>
      </c>
      <c r="C1336" s="274" t="s">
        <v>3741</v>
      </c>
      <c r="D1336" s="274" t="s">
        <v>3742</v>
      </c>
      <c r="E1336" s="274" t="s">
        <v>59</v>
      </c>
      <c r="F1336" s="274" t="s">
        <v>199</v>
      </c>
      <c r="G1336" s="274" t="s">
        <v>98</v>
      </c>
      <c r="H1336" s="274" t="s">
        <v>99</v>
      </c>
      <c r="I1336" s="274" t="s">
        <v>6472</v>
      </c>
      <c r="J1336" s="274" t="s">
        <v>98</v>
      </c>
      <c r="K1336" s="274" t="s">
        <v>98</v>
      </c>
      <c r="L1336" s="274" t="s">
        <v>6478</v>
      </c>
      <c r="M1336" s="281">
        <v>9856.25</v>
      </c>
      <c r="N1336" s="280"/>
      <c r="O1336" s="280"/>
      <c r="P1336" s="280"/>
      <c r="Q1336" s="280"/>
      <c r="R1336" s="280"/>
      <c r="S1336" s="280">
        <v>9856.25</v>
      </c>
      <c r="T1336" s="297"/>
    </row>
    <row r="1337" spans="1:20" x14ac:dyDescent="0.25">
      <c r="A1337" s="274" t="s">
        <v>78</v>
      </c>
      <c r="B1337" s="274" t="s">
        <v>79</v>
      </c>
      <c r="C1337" s="274" t="s">
        <v>3741</v>
      </c>
      <c r="D1337" s="274" t="s">
        <v>3742</v>
      </c>
      <c r="E1337" s="274" t="s">
        <v>59</v>
      </c>
      <c r="F1337" s="274" t="s">
        <v>199</v>
      </c>
      <c r="G1337" s="274" t="s">
        <v>98</v>
      </c>
      <c r="H1337" s="274" t="s">
        <v>99</v>
      </c>
      <c r="I1337" s="274" t="s">
        <v>6472</v>
      </c>
      <c r="J1337" s="274" t="s">
        <v>98</v>
      </c>
      <c r="K1337" s="274" t="s">
        <v>98</v>
      </c>
      <c r="L1337" s="274" t="s">
        <v>6479</v>
      </c>
      <c r="M1337" s="281">
        <v>-4200</v>
      </c>
      <c r="N1337" s="280"/>
      <c r="O1337" s="280"/>
      <c r="P1337" s="280"/>
      <c r="Q1337" s="280"/>
      <c r="R1337" s="280"/>
      <c r="S1337" s="280">
        <v>-4200</v>
      </c>
      <c r="T1337" s="297"/>
    </row>
    <row r="1338" spans="1:20" x14ac:dyDescent="0.25">
      <c r="A1338" s="274" t="s">
        <v>78</v>
      </c>
      <c r="B1338" s="274" t="s">
        <v>79</v>
      </c>
      <c r="C1338" s="274" t="s">
        <v>3741</v>
      </c>
      <c r="D1338" s="274" t="s">
        <v>3742</v>
      </c>
      <c r="E1338" s="274" t="s">
        <v>59</v>
      </c>
      <c r="F1338" s="274" t="s">
        <v>199</v>
      </c>
      <c r="G1338" s="274" t="s">
        <v>98</v>
      </c>
      <c r="H1338" s="274" t="s">
        <v>99</v>
      </c>
      <c r="I1338" s="274" t="s">
        <v>6472</v>
      </c>
      <c r="J1338" s="274" t="s">
        <v>98</v>
      </c>
      <c r="K1338" s="274" t="s">
        <v>98</v>
      </c>
      <c r="L1338" s="274" t="s">
        <v>6480</v>
      </c>
      <c r="M1338" s="281">
        <v>350</v>
      </c>
      <c r="N1338" s="280"/>
      <c r="O1338" s="280"/>
      <c r="P1338" s="280"/>
      <c r="Q1338" s="280"/>
      <c r="R1338" s="280"/>
      <c r="S1338" s="280">
        <v>350</v>
      </c>
      <c r="T1338" s="297"/>
    </row>
    <row r="1339" spans="1:20" x14ac:dyDescent="0.25">
      <c r="A1339" s="274" t="s">
        <v>78</v>
      </c>
      <c r="B1339" s="274" t="s">
        <v>79</v>
      </c>
      <c r="C1339" s="274" t="s">
        <v>3741</v>
      </c>
      <c r="D1339" s="274" t="s">
        <v>3742</v>
      </c>
      <c r="E1339" s="274" t="s">
        <v>59</v>
      </c>
      <c r="F1339" s="274" t="s">
        <v>199</v>
      </c>
      <c r="G1339" s="274" t="s">
        <v>98</v>
      </c>
      <c r="H1339" s="274" t="s">
        <v>99</v>
      </c>
      <c r="I1339" s="274" t="s">
        <v>6472</v>
      </c>
      <c r="J1339" s="274" t="s">
        <v>98</v>
      </c>
      <c r="K1339" s="274" t="s">
        <v>98</v>
      </c>
      <c r="L1339" s="274" t="s">
        <v>6481</v>
      </c>
      <c r="M1339" s="281">
        <v>9856.25</v>
      </c>
      <c r="N1339" s="280"/>
      <c r="O1339" s="280"/>
      <c r="P1339" s="280"/>
      <c r="Q1339" s="280"/>
      <c r="R1339" s="280"/>
      <c r="S1339" s="280">
        <v>9856.25</v>
      </c>
      <c r="T1339" s="297"/>
    </row>
    <row r="1340" spans="1:20" x14ac:dyDescent="0.25">
      <c r="A1340" s="274" t="s">
        <v>78</v>
      </c>
      <c r="B1340" s="274" t="s">
        <v>79</v>
      </c>
      <c r="C1340" s="274" t="s">
        <v>3741</v>
      </c>
      <c r="D1340" s="274" t="s">
        <v>3742</v>
      </c>
      <c r="E1340" s="274" t="s">
        <v>59</v>
      </c>
      <c r="F1340" s="274" t="s">
        <v>199</v>
      </c>
      <c r="G1340" s="274" t="s">
        <v>98</v>
      </c>
      <c r="H1340" s="274" t="s">
        <v>99</v>
      </c>
      <c r="I1340" s="274" t="s">
        <v>6472</v>
      </c>
      <c r="J1340" s="274" t="s">
        <v>98</v>
      </c>
      <c r="K1340" s="274" t="s">
        <v>98</v>
      </c>
      <c r="L1340" s="274" t="s">
        <v>6482</v>
      </c>
      <c r="M1340" s="281">
        <v>350</v>
      </c>
      <c r="N1340" s="280"/>
      <c r="O1340" s="280"/>
      <c r="P1340" s="280"/>
      <c r="Q1340" s="280"/>
      <c r="R1340" s="280"/>
      <c r="S1340" s="280">
        <v>350</v>
      </c>
      <c r="T1340" s="297"/>
    </row>
    <row r="1341" spans="1:20" x14ac:dyDescent="0.25">
      <c r="A1341" s="274" t="s">
        <v>78</v>
      </c>
      <c r="B1341" s="274" t="s">
        <v>79</v>
      </c>
      <c r="C1341" s="274" t="s">
        <v>3741</v>
      </c>
      <c r="D1341" s="274" t="s">
        <v>3742</v>
      </c>
      <c r="E1341" s="274" t="s">
        <v>59</v>
      </c>
      <c r="F1341" s="274" t="s">
        <v>199</v>
      </c>
      <c r="G1341" s="274" t="s">
        <v>98</v>
      </c>
      <c r="H1341" s="274" t="s">
        <v>99</v>
      </c>
      <c r="I1341" s="274" t="s">
        <v>6472</v>
      </c>
      <c r="J1341" s="274" t="s">
        <v>98</v>
      </c>
      <c r="K1341" s="274" t="s">
        <v>98</v>
      </c>
      <c r="L1341" s="274" t="s">
        <v>6483</v>
      </c>
      <c r="M1341" s="281">
        <v>9856.25</v>
      </c>
      <c r="N1341" s="280"/>
      <c r="O1341" s="280"/>
      <c r="P1341" s="280"/>
      <c r="Q1341" s="280"/>
      <c r="R1341" s="280"/>
      <c r="S1341" s="280">
        <v>9856.25</v>
      </c>
      <c r="T1341" s="297"/>
    </row>
    <row r="1342" spans="1:20" x14ac:dyDescent="0.25">
      <c r="A1342" s="274" t="s">
        <v>78</v>
      </c>
      <c r="B1342" s="274" t="s">
        <v>79</v>
      </c>
      <c r="C1342" s="274" t="s">
        <v>3741</v>
      </c>
      <c r="D1342" s="274" t="s">
        <v>3742</v>
      </c>
      <c r="E1342" s="274" t="s">
        <v>59</v>
      </c>
      <c r="F1342" s="274" t="s">
        <v>199</v>
      </c>
      <c r="G1342" s="274" t="s">
        <v>98</v>
      </c>
      <c r="H1342" s="274" t="s">
        <v>99</v>
      </c>
      <c r="I1342" s="274" t="s">
        <v>6472</v>
      </c>
      <c r="J1342" s="274" t="s">
        <v>98</v>
      </c>
      <c r="K1342" s="274" t="s">
        <v>98</v>
      </c>
      <c r="L1342" s="274" t="s">
        <v>6484</v>
      </c>
      <c r="M1342" s="281">
        <v>-54</v>
      </c>
      <c r="N1342" s="280"/>
      <c r="O1342" s="280"/>
      <c r="P1342" s="280"/>
      <c r="Q1342" s="280"/>
      <c r="R1342" s="280"/>
      <c r="S1342" s="280">
        <v>-54</v>
      </c>
      <c r="T1342" s="297"/>
    </row>
    <row r="1343" spans="1:20" x14ac:dyDescent="0.25">
      <c r="A1343" s="274" t="s">
        <v>78</v>
      </c>
      <c r="B1343" s="274" t="s">
        <v>79</v>
      </c>
      <c r="C1343" s="274" t="s">
        <v>3741</v>
      </c>
      <c r="D1343" s="274" t="s">
        <v>3742</v>
      </c>
      <c r="E1343" s="274" t="s">
        <v>59</v>
      </c>
      <c r="F1343" s="274" t="s">
        <v>199</v>
      </c>
      <c r="G1343" s="274" t="s">
        <v>98</v>
      </c>
      <c r="H1343" s="274" t="s">
        <v>99</v>
      </c>
      <c r="I1343" s="274" t="s">
        <v>6472</v>
      </c>
      <c r="J1343" s="274" t="s">
        <v>98</v>
      </c>
      <c r="K1343" s="274" t="s">
        <v>98</v>
      </c>
      <c r="L1343" s="274" t="s">
        <v>6485</v>
      </c>
      <c r="M1343" s="281">
        <v>6</v>
      </c>
      <c r="N1343" s="280"/>
      <c r="O1343" s="280"/>
      <c r="P1343" s="280"/>
      <c r="Q1343" s="280"/>
      <c r="R1343" s="280"/>
      <c r="S1343" s="280">
        <v>6</v>
      </c>
      <c r="T1343" s="297"/>
    </row>
    <row r="1344" spans="1:20" x14ac:dyDescent="0.25">
      <c r="A1344" s="274" t="s">
        <v>78</v>
      </c>
      <c r="B1344" s="274" t="s">
        <v>79</v>
      </c>
      <c r="C1344" s="274" t="s">
        <v>3741</v>
      </c>
      <c r="D1344" s="274" t="s">
        <v>3742</v>
      </c>
      <c r="E1344" s="274" t="s">
        <v>59</v>
      </c>
      <c r="F1344" s="274" t="s">
        <v>199</v>
      </c>
      <c r="G1344" s="274" t="s">
        <v>98</v>
      </c>
      <c r="H1344" s="274" t="s">
        <v>99</v>
      </c>
      <c r="I1344" s="274" t="s">
        <v>6472</v>
      </c>
      <c r="J1344" s="274" t="s">
        <v>98</v>
      </c>
      <c r="K1344" s="274" t="s">
        <v>98</v>
      </c>
      <c r="L1344" s="274" t="s">
        <v>6486</v>
      </c>
      <c r="M1344" s="281">
        <v>48</v>
      </c>
      <c r="N1344" s="280"/>
      <c r="O1344" s="280"/>
      <c r="P1344" s="280"/>
      <c r="Q1344" s="280"/>
      <c r="R1344" s="280"/>
      <c r="S1344" s="280">
        <v>48</v>
      </c>
      <c r="T1344" s="297"/>
    </row>
    <row r="1345" spans="1:20" x14ac:dyDescent="0.25">
      <c r="A1345" s="274" t="s">
        <v>78</v>
      </c>
      <c r="B1345" s="274" t="s">
        <v>79</v>
      </c>
      <c r="C1345" s="274" t="s">
        <v>3741</v>
      </c>
      <c r="D1345" s="274" t="s">
        <v>3742</v>
      </c>
      <c r="E1345" s="274" t="s">
        <v>59</v>
      </c>
      <c r="F1345" s="274" t="s">
        <v>199</v>
      </c>
      <c r="G1345" s="274" t="s">
        <v>98</v>
      </c>
      <c r="H1345" s="274" t="s">
        <v>99</v>
      </c>
      <c r="I1345" s="274" t="s">
        <v>6472</v>
      </c>
      <c r="J1345" s="274" t="s">
        <v>98</v>
      </c>
      <c r="K1345" s="274" t="s">
        <v>98</v>
      </c>
      <c r="L1345" s="274" t="s">
        <v>6487</v>
      </c>
      <c r="M1345" s="281">
        <v>-25941.48</v>
      </c>
      <c r="N1345" s="280"/>
      <c r="O1345" s="280"/>
      <c r="P1345" s="280"/>
      <c r="Q1345" s="280"/>
      <c r="R1345" s="280"/>
      <c r="S1345" s="280">
        <v>-25941.48</v>
      </c>
      <c r="T1345" s="297"/>
    </row>
    <row r="1346" spans="1:20" x14ac:dyDescent="0.25">
      <c r="A1346" s="274" t="s">
        <v>78</v>
      </c>
      <c r="B1346" s="274" t="s">
        <v>79</v>
      </c>
      <c r="C1346" s="274" t="s">
        <v>3741</v>
      </c>
      <c r="D1346" s="274" t="s">
        <v>3742</v>
      </c>
      <c r="E1346" s="274" t="s">
        <v>59</v>
      </c>
      <c r="F1346" s="274" t="s">
        <v>199</v>
      </c>
      <c r="G1346" s="274" t="s">
        <v>98</v>
      </c>
      <c r="H1346" s="274" t="s">
        <v>99</v>
      </c>
      <c r="I1346" s="274" t="s">
        <v>6784</v>
      </c>
      <c r="J1346" s="274" t="s">
        <v>98</v>
      </c>
      <c r="K1346" s="274" t="s">
        <v>98</v>
      </c>
      <c r="L1346" s="274" t="s">
        <v>6785</v>
      </c>
      <c r="M1346" s="281">
        <v>31940.51</v>
      </c>
      <c r="N1346" s="280"/>
      <c r="O1346" s="280"/>
      <c r="P1346" s="280"/>
      <c r="Q1346" s="280"/>
      <c r="R1346" s="280"/>
      <c r="S1346" s="280">
        <v>31940.51</v>
      </c>
      <c r="T1346" s="297"/>
    </row>
    <row r="1347" spans="1:20" x14ac:dyDescent="0.25">
      <c r="A1347" s="274" t="s">
        <v>78</v>
      </c>
      <c r="B1347" s="274" t="s">
        <v>79</v>
      </c>
      <c r="C1347" s="274" t="s">
        <v>3741</v>
      </c>
      <c r="D1347" s="274" t="s">
        <v>3742</v>
      </c>
      <c r="E1347" s="274" t="s">
        <v>59</v>
      </c>
      <c r="F1347" s="274" t="s">
        <v>199</v>
      </c>
      <c r="G1347" s="274" t="s">
        <v>98</v>
      </c>
      <c r="H1347" s="274" t="s">
        <v>99</v>
      </c>
      <c r="I1347" s="274" t="s">
        <v>6784</v>
      </c>
      <c r="J1347" s="274" t="s">
        <v>98</v>
      </c>
      <c r="K1347" s="274" t="s">
        <v>98</v>
      </c>
      <c r="L1347" s="274" t="s">
        <v>6786</v>
      </c>
      <c r="M1347" s="281">
        <v>0</v>
      </c>
      <c r="N1347" s="280"/>
      <c r="O1347" s="280"/>
      <c r="P1347" s="280"/>
      <c r="Q1347" s="280"/>
      <c r="R1347" s="280"/>
      <c r="S1347" s="280">
        <v>0</v>
      </c>
      <c r="T1347" s="297"/>
    </row>
    <row r="1348" spans="1:20" x14ac:dyDescent="0.25">
      <c r="A1348" s="274" t="s">
        <v>78</v>
      </c>
      <c r="B1348" s="274" t="s">
        <v>79</v>
      </c>
      <c r="C1348" s="274" t="s">
        <v>3741</v>
      </c>
      <c r="D1348" s="274" t="s">
        <v>3742</v>
      </c>
      <c r="E1348" s="274" t="s">
        <v>59</v>
      </c>
      <c r="F1348" s="274" t="s">
        <v>199</v>
      </c>
      <c r="G1348" s="274" t="s">
        <v>98</v>
      </c>
      <c r="H1348" s="274" t="s">
        <v>99</v>
      </c>
      <c r="I1348" s="274" t="s">
        <v>6784</v>
      </c>
      <c r="J1348" s="274" t="s">
        <v>98</v>
      </c>
      <c r="K1348" s="274" t="s">
        <v>98</v>
      </c>
      <c r="L1348" s="274" t="s">
        <v>6787</v>
      </c>
      <c r="M1348" s="281">
        <v>20411.96</v>
      </c>
      <c r="N1348" s="280"/>
      <c r="O1348" s="280"/>
      <c r="P1348" s="280"/>
      <c r="Q1348" s="280"/>
      <c r="R1348" s="280"/>
      <c r="S1348" s="280">
        <v>20411.96</v>
      </c>
      <c r="T1348" s="297"/>
    </row>
    <row r="1349" spans="1:20" x14ac:dyDescent="0.25">
      <c r="A1349" s="274" t="s">
        <v>78</v>
      </c>
      <c r="B1349" s="274" t="s">
        <v>79</v>
      </c>
      <c r="C1349" s="274" t="s">
        <v>3741</v>
      </c>
      <c r="D1349" s="274" t="s">
        <v>3742</v>
      </c>
      <c r="E1349" s="274" t="s">
        <v>59</v>
      </c>
      <c r="F1349" s="274" t="s">
        <v>199</v>
      </c>
      <c r="G1349" s="274" t="s">
        <v>98</v>
      </c>
      <c r="H1349" s="274" t="s">
        <v>99</v>
      </c>
      <c r="I1349" s="274" t="s">
        <v>6784</v>
      </c>
      <c r="J1349" s="274" t="s">
        <v>98</v>
      </c>
      <c r="K1349" s="274" t="s">
        <v>98</v>
      </c>
      <c r="L1349" s="274" t="s">
        <v>6788</v>
      </c>
      <c r="M1349" s="281">
        <v>0</v>
      </c>
      <c r="N1349" s="280"/>
      <c r="O1349" s="280"/>
      <c r="P1349" s="280"/>
      <c r="Q1349" s="280"/>
      <c r="R1349" s="280"/>
      <c r="S1349" s="280">
        <v>0</v>
      </c>
      <c r="T1349" s="297"/>
    </row>
    <row r="1350" spans="1:20" x14ac:dyDescent="0.25">
      <c r="A1350" s="274" t="s">
        <v>78</v>
      </c>
      <c r="B1350" s="274" t="s">
        <v>79</v>
      </c>
      <c r="C1350" s="274" t="s">
        <v>3741</v>
      </c>
      <c r="D1350" s="274" t="s">
        <v>3742</v>
      </c>
      <c r="E1350" s="274" t="s">
        <v>59</v>
      </c>
      <c r="F1350" s="274" t="s">
        <v>199</v>
      </c>
      <c r="G1350" s="274" t="s">
        <v>98</v>
      </c>
      <c r="H1350" s="274" t="s">
        <v>99</v>
      </c>
      <c r="I1350" s="274" t="s">
        <v>6784</v>
      </c>
      <c r="J1350" s="274" t="s">
        <v>98</v>
      </c>
      <c r="K1350" s="274" t="s">
        <v>98</v>
      </c>
      <c r="L1350" s="274" t="s">
        <v>6789</v>
      </c>
      <c r="M1350" s="281">
        <v>42587.360000000001</v>
      </c>
      <c r="N1350" s="280"/>
      <c r="O1350" s="280"/>
      <c r="P1350" s="280"/>
      <c r="Q1350" s="280"/>
      <c r="R1350" s="280"/>
      <c r="S1350" s="280">
        <v>42587.360000000001</v>
      </c>
      <c r="T1350" s="297"/>
    </row>
    <row r="1351" spans="1:20" x14ac:dyDescent="0.25">
      <c r="A1351" s="274" t="s">
        <v>78</v>
      </c>
      <c r="B1351" s="274" t="s">
        <v>79</v>
      </c>
      <c r="C1351" s="274" t="s">
        <v>3741</v>
      </c>
      <c r="D1351" s="274" t="s">
        <v>3742</v>
      </c>
      <c r="E1351" s="274" t="s">
        <v>59</v>
      </c>
      <c r="F1351" s="274" t="s">
        <v>199</v>
      </c>
      <c r="G1351" s="274" t="s">
        <v>98</v>
      </c>
      <c r="H1351" s="274" t="s">
        <v>99</v>
      </c>
      <c r="I1351" s="274" t="s">
        <v>6784</v>
      </c>
      <c r="J1351" s="274" t="s">
        <v>98</v>
      </c>
      <c r="K1351" s="274" t="s">
        <v>98</v>
      </c>
      <c r="L1351" s="274" t="s">
        <v>6790</v>
      </c>
      <c r="M1351" s="281">
        <v>0</v>
      </c>
      <c r="N1351" s="280"/>
      <c r="O1351" s="280"/>
      <c r="P1351" s="280"/>
      <c r="Q1351" s="280"/>
      <c r="R1351" s="280"/>
      <c r="S1351" s="280">
        <v>0</v>
      </c>
      <c r="T1351" s="297"/>
    </row>
    <row r="1352" spans="1:20" x14ac:dyDescent="0.25">
      <c r="A1352" s="274" t="s">
        <v>78</v>
      </c>
      <c r="B1352" s="274" t="s">
        <v>79</v>
      </c>
      <c r="C1352" s="274" t="s">
        <v>3741</v>
      </c>
      <c r="D1352" s="274" t="s">
        <v>3742</v>
      </c>
      <c r="E1352" s="274" t="s">
        <v>59</v>
      </c>
      <c r="F1352" s="274" t="s">
        <v>199</v>
      </c>
      <c r="G1352" s="274" t="s">
        <v>98</v>
      </c>
      <c r="H1352" s="274" t="s">
        <v>99</v>
      </c>
      <c r="I1352" s="274" t="s">
        <v>6784</v>
      </c>
      <c r="J1352" s="274" t="s">
        <v>98</v>
      </c>
      <c r="K1352" s="274" t="s">
        <v>98</v>
      </c>
      <c r="L1352" s="274" t="s">
        <v>6791</v>
      </c>
      <c r="M1352" s="281">
        <v>90565.88</v>
      </c>
      <c r="N1352" s="280"/>
      <c r="O1352" s="280"/>
      <c r="P1352" s="280"/>
      <c r="Q1352" s="280"/>
      <c r="R1352" s="280"/>
      <c r="S1352" s="280">
        <v>90565.88</v>
      </c>
      <c r="T1352" s="297"/>
    </row>
    <row r="1353" spans="1:20" x14ac:dyDescent="0.25">
      <c r="A1353" s="274" t="s">
        <v>78</v>
      </c>
      <c r="B1353" s="274" t="s">
        <v>79</v>
      </c>
      <c r="C1353" s="274" t="s">
        <v>3741</v>
      </c>
      <c r="D1353" s="274" t="s">
        <v>3742</v>
      </c>
      <c r="E1353" s="274" t="s">
        <v>59</v>
      </c>
      <c r="F1353" s="274" t="s">
        <v>199</v>
      </c>
      <c r="G1353" s="274" t="s">
        <v>98</v>
      </c>
      <c r="H1353" s="274" t="s">
        <v>99</v>
      </c>
      <c r="I1353" s="274" t="s">
        <v>6488</v>
      </c>
      <c r="J1353" s="274" t="s">
        <v>98</v>
      </c>
      <c r="K1353" s="274" t="s">
        <v>98</v>
      </c>
      <c r="L1353" s="274" t="s">
        <v>6489</v>
      </c>
      <c r="M1353" s="281">
        <v>15254.78</v>
      </c>
      <c r="N1353" s="280"/>
      <c r="O1353" s="280"/>
      <c r="P1353" s="280"/>
      <c r="Q1353" s="280"/>
      <c r="R1353" s="280"/>
      <c r="S1353" s="280">
        <v>15254.78</v>
      </c>
      <c r="T1353" s="297"/>
    </row>
    <row r="1354" spans="1:20" x14ac:dyDescent="0.25">
      <c r="A1354" s="274" t="s">
        <v>78</v>
      </c>
      <c r="B1354" s="274" t="s">
        <v>79</v>
      </c>
      <c r="C1354" s="274" t="s">
        <v>3741</v>
      </c>
      <c r="D1354" s="274" t="s">
        <v>3742</v>
      </c>
      <c r="E1354" s="274" t="s">
        <v>59</v>
      </c>
      <c r="F1354" s="274" t="s">
        <v>199</v>
      </c>
      <c r="G1354" s="274" t="s">
        <v>98</v>
      </c>
      <c r="H1354" s="274" t="s">
        <v>99</v>
      </c>
      <c r="I1354" s="274" t="s">
        <v>6792</v>
      </c>
      <c r="J1354" s="274" t="s">
        <v>98</v>
      </c>
      <c r="K1354" s="274" t="s">
        <v>98</v>
      </c>
      <c r="L1354" s="274" t="s">
        <v>6793</v>
      </c>
      <c r="M1354" s="281">
        <v>-1383710</v>
      </c>
      <c r="N1354" s="280"/>
      <c r="O1354" s="280"/>
      <c r="P1354" s="280"/>
      <c r="Q1354" s="280"/>
      <c r="R1354" s="280"/>
      <c r="S1354" s="280">
        <v>-1383710</v>
      </c>
      <c r="T1354" s="297">
        <v>0</v>
      </c>
    </row>
    <row r="1355" spans="1:20" x14ac:dyDescent="0.25">
      <c r="A1355" s="274" t="s">
        <v>78</v>
      </c>
      <c r="B1355" s="274" t="s">
        <v>79</v>
      </c>
      <c r="C1355" s="274" t="s">
        <v>3741</v>
      </c>
      <c r="D1355" s="274" t="s">
        <v>3742</v>
      </c>
      <c r="E1355" s="274" t="s">
        <v>59</v>
      </c>
      <c r="F1355" s="274" t="s">
        <v>199</v>
      </c>
      <c r="G1355" s="274" t="s">
        <v>98</v>
      </c>
      <c r="H1355" s="274" t="s">
        <v>99</v>
      </c>
      <c r="I1355" s="274" t="s">
        <v>6792</v>
      </c>
      <c r="J1355" s="274" t="s">
        <v>98</v>
      </c>
      <c r="K1355" s="274" t="s">
        <v>98</v>
      </c>
      <c r="L1355" s="274" t="s">
        <v>6794</v>
      </c>
      <c r="M1355" s="281">
        <v>-106290</v>
      </c>
      <c r="N1355" s="280"/>
      <c r="O1355" s="280"/>
      <c r="P1355" s="280"/>
      <c r="Q1355" s="280"/>
      <c r="R1355" s="280"/>
      <c r="S1355" s="280">
        <v>-106290</v>
      </c>
      <c r="T1355" s="297">
        <v>0</v>
      </c>
    </row>
    <row r="1356" spans="1:20" x14ac:dyDescent="0.25">
      <c r="A1356" s="274" t="s">
        <v>78</v>
      </c>
      <c r="B1356" s="274" t="s">
        <v>79</v>
      </c>
      <c r="C1356" s="274" t="s">
        <v>3741</v>
      </c>
      <c r="D1356" s="274" t="s">
        <v>3742</v>
      </c>
      <c r="E1356" s="274" t="s">
        <v>59</v>
      </c>
      <c r="F1356" s="274" t="s">
        <v>199</v>
      </c>
      <c r="G1356" s="274" t="s">
        <v>98</v>
      </c>
      <c r="H1356" s="274" t="s">
        <v>99</v>
      </c>
      <c r="I1356" s="274" t="s">
        <v>6490</v>
      </c>
      <c r="J1356" s="274" t="s">
        <v>98</v>
      </c>
      <c r="K1356" s="274" t="s">
        <v>98</v>
      </c>
      <c r="L1356" s="274" t="s">
        <v>6491</v>
      </c>
      <c r="M1356" s="281">
        <v>1490000</v>
      </c>
      <c r="N1356" s="280"/>
      <c r="O1356" s="280"/>
      <c r="P1356" s="280"/>
      <c r="Q1356" s="280"/>
      <c r="R1356" s="280"/>
      <c r="S1356" s="280">
        <v>1490000</v>
      </c>
      <c r="T1356" s="297"/>
    </row>
    <row r="1357" spans="1:20" x14ac:dyDescent="0.25">
      <c r="A1357" s="274" t="s">
        <v>78</v>
      </c>
      <c r="B1357" s="274" t="s">
        <v>79</v>
      </c>
      <c r="C1357" s="274" t="s">
        <v>3741</v>
      </c>
      <c r="D1357" s="274" t="s">
        <v>3742</v>
      </c>
      <c r="E1357" s="274" t="s">
        <v>59</v>
      </c>
      <c r="F1357" s="274" t="s">
        <v>199</v>
      </c>
      <c r="G1357" s="274" t="s">
        <v>98</v>
      </c>
      <c r="H1357" s="274" t="s">
        <v>99</v>
      </c>
      <c r="I1357" s="274" t="s">
        <v>5672</v>
      </c>
      <c r="J1357" s="274" t="s">
        <v>98</v>
      </c>
      <c r="K1357" s="274" t="s">
        <v>98</v>
      </c>
      <c r="L1357" s="274" t="s">
        <v>5673</v>
      </c>
      <c r="M1357" s="281">
        <v>21450</v>
      </c>
      <c r="N1357" s="280">
        <v>3575</v>
      </c>
      <c r="O1357" s="280">
        <v>3575</v>
      </c>
      <c r="P1357" s="280">
        <v>3575</v>
      </c>
      <c r="Q1357" s="280">
        <v>3575</v>
      </c>
      <c r="R1357" s="280">
        <v>3575</v>
      </c>
      <c r="S1357" s="280">
        <v>3575</v>
      </c>
      <c r="T1357" s="297"/>
    </row>
    <row r="1358" spans="1:20" x14ac:dyDescent="0.25">
      <c r="A1358" s="274" t="s">
        <v>78</v>
      </c>
      <c r="B1358" s="274" t="s">
        <v>79</v>
      </c>
      <c r="C1358" s="274" t="s">
        <v>3741</v>
      </c>
      <c r="D1358" s="274" t="s">
        <v>3742</v>
      </c>
      <c r="E1358" s="274" t="s">
        <v>59</v>
      </c>
      <c r="F1358" s="274" t="s">
        <v>199</v>
      </c>
      <c r="G1358" s="274" t="s">
        <v>98</v>
      </c>
      <c r="H1358" s="274" t="s">
        <v>99</v>
      </c>
      <c r="I1358" s="274" t="s">
        <v>5674</v>
      </c>
      <c r="J1358" s="274" t="s">
        <v>98</v>
      </c>
      <c r="K1358" s="274" t="s">
        <v>98</v>
      </c>
      <c r="L1358" s="274" t="s">
        <v>5675</v>
      </c>
      <c r="M1358" s="281">
        <v>31140</v>
      </c>
      <c r="N1358" s="280">
        <v>5190</v>
      </c>
      <c r="O1358" s="280">
        <v>5190</v>
      </c>
      <c r="P1358" s="280">
        <v>5190</v>
      </c>
      <c r="Q1358" s="280">
        <v>5190</v>
      </c>
      <c r="R1358" s="280">
        <v>5190</v>
      </c>
      <c r="S1358" s="280">
        <v>5190</v>
      </c>
      <c r="T1358" s="297"/>
    </row>
    <row r="1359" spans="1:20" x14ac:dyDescent="0.25">
      <c r="A1359" s="274" t="s">
        <v>78</v>
      </c>
      <c r="B1359" s="274" t="s">
        <v>79</v>
      </c>
      <c r="C1359" s="274" t="s">
        <v>3741</v>
      </c>
      <c r="D1359" s="274" t="s">
        <v>3742</v>
      </c>
      <c r="E1359" s="274" t="s">
        <v>59</v>
      </c>
      <c r="F1359" s="274" t="s">
        <v>199</v>
      </c>
      <c r="G1359" s="274" t="s">
        <v>98</v>
      </c>
      <c r="H1359" s="274" t="s">
        <v>99</v>
      </c>
      <c r="I1359" s="274" t="s">
        <v>5676</v>
      </c>
      <c r="J1359" s="274" t="s">
        <v>98</v>
      </c>
      <c r="K1359" s="274" t="s">
        <v>98</v>
      </c>
      <c r="L1359" s="274" t="s">
        <v>5677</v>
      </c>
      <c r="M1359" s="281">
        <v>11130</v>
      </c>
      <c r="N1359" s="280">
        <v>3710</v>
      </c>
      <c r="O1359" s="280">
        <v>3710</v>
      </c>
      <c r="P1359" s="280">
        <v>3710</v>
      </c>
      <c r="Q1359" s="280"/>
      <c r="R1359" s="280"/>
      <c r="S1359" s="280"/>
      <c r="T1359" s="297"/>
    </row>
    <row r="1360" spans="1:20" x14ac:dyDescent="0.25">
      <c r="A1360" s="274" t="s">
        <v>78</v>
      </c>
      <c r="B1360" s="274" t="s">
        <v>79</v>
      </c>
      <c r="C1360" s="274" t="s">
        <v>3741</v>
      </c>
      <c r="D1360" s="274" t="s">
        <v>3742</v>
      </c>
      <c r="E1360" s="274" t="s">
        <v>59</v>
      </c>
      <c r="F1360" s="274" t="s">
        <v>199</v>
      </c>
      <c r="G1360" s="274" t="s">
        <v>98</v>
      </c>
      <c r="H1360" s="274" t="s">
        <v>99</v>
      </c>
      <c r="I1360" s="274" t="s">
        <v>4415</v>
      </c>
      <c r="J1360" s="274" t="s">
        <v>98</v>
      </c>
      <c r="K1360" s="274" t="s">
        <v>98</v>
      </c>
      <c r="L1360" s="274" t="s">
        <v>4416</v>
      </c>
      <c r="M1360" s="281">
        <v>0</v>
      </c>
      <c r="N1360" s="280">
        <v>0</v>
      </c>
      <c r="O1360" s="280">
        <v>0</v>
      </c>
      <c r="P1360" s="280">
        <v>0</v>
      </c>
      <c r="Q1360" s="280">
        <v>0</v>
      </c>
      <c r="R1360" s="280">
        <v>0</v>
      </c>
      <c r="S1360" s="280">
        <v>0</v>
      </c>
      <c r="T1360" s="297"/>
    </row>
    <row r="1361" spans="1:20" x14ac:dyDescent="0.25">
      <c r="A1361" s="274" t="s">
        <v>78</v>
      </c>
      <c r="B1361" s="274" t="s">
        <v>79</v>
      </c>
      <c r="C1361" s="274" t="s">
        <v>3741</v>
      </c>
      <c r="D1361" s="274" t="s">
        <v>3742</v>
      </c>
      <c r="E1361" s="274" t="s">
        <v>59</v>
      </c>
      <c r="F1361" s="274" t="s">
        <v>199</v>
      </c>
      <c r="G1361" s="274" t="s">
        <v>98</v>
      </c>
      <c r="H1361" s="274" t="s">
        <v>99</v>
      </c>
      <c r="I1361" s="274" t="s">
        <v>4417</v>
      </c>
      <c r="J1361" s="274" t="s">
        <v>98</v>
      </c>
      <c r="K1361" s="274" t="s">
        <v>98</v>
      </c>
      <c r="L1361" s="274" t="s">
        <v>4418</v>
      </c>
      <c r="M1361" s="281">
        <v>0</v>
      </c>
      <c r="N1361" s="280">
        <v>0</v>
      </c>
      <c r="O1361" s="280"/>
      <c r="P1361" s="280"/>
      <c r="Q1361" s="280"/>
      <c r="R1361" s="280"/>
      <c r="S1361" s="280"/>
      <c r="T1361" s="297"/>
    </row>
    <row r="1362" spans="1:20" x14ac:dyDescent="0.25">
      <c r="A1362" s="274" t="s">
        <v>78</v>
      </c>
      <c r="B1362" s="274" t="s">
        <v>79</v>
      </c>
      <c r="C1362" s="274" t="s">
        <v>3741</v>
      </c>
      <c r="D1362" s="274" t="s">
        <v>3742</v>
      </c>
      <c r="E1362" s="274" t="s">
        <v>59</v>
      </c>
      <c r="F1362" s="274" t="s">
        <v>199</v>
      </c>
      <c r="G1362" s="274" t="s">
        <v>98</v>
      </c>
      <c r="H1362" s="274" t="s">
        <v>99</v>
      </c>
      <c r="I1362" s="274" t="s">
        <v>5678</v>
      </c>
      <c r="J1362" s="274" t="s">
        <v>98</v>
      </c>
      <c r="K1362" s="274" t="s">
        <v>98</v>
      </c>
      <c r="L1362" s="274" t="s">
        <v>5679</v>
      </c>
      <c r="M1362" s="281">
        <v>26101</v>
      </c>
      <c r="N1362" s="280">
        <v>26101</v>
      </c>
      <c r="O1362" s="280"/>
      <c r="P1362" s="280"/>
      <c r="Q1362" s="280"/>
      <c r="R1362" s="280"/>
      <c r="S1362" s="280"/>
      <c r="T1362" s="297"/>
    </row>
    <row r="1363" spans="1:20" x14ac:dyDescent="0.25">
      <c r="A1363" s="274" t="s">
        <v>78</v>
      </c>
      <c r="B1363" s="274" t="s">
        <v>79</v>
      </c>
      <c r="C1363" s="274" t="s">
        <v>3741</v>
      </c>
      <c r="D1363" s="274" t="s">
        <v>3742</v>
      </c>
      <c r="E1363" s="274" t="s">
        <v>59</v>
      </c>
      <c r="F1363" s="274" t="s">
        <v>199</v>
      </c>
      <c r="G1363" s="274" t="s">
        <v>98</v>
      </c>
      <c r="H1363" s="274" t="s">
        <v>99</v>
      </c>
      <c r="I1363" s="274" t="s">
        <v>5680</v>
      </c>
      <c r="J1363" s="274" t="s">
        <v>98</v>
      </c>
      <c r="K1363" s="274" t="s">
        <v>98</v>
      </c>
      <c r="L1363" s="274" t="s">
        <v>5681</v>
      </c>
      <c r="M1363" s="281">
        <v>6889</v>
      </c>
      <c r="N1363" s="280">
        <v>6889</v>
      </c>
      <c r="O1363" s="280"/>
      <c r="P1363" s="280"/>
      <c r="Q1363" s="280"/>
      <c r="R1363" s="280"/>
      <c r="S1363" s="280"/>
      <c r="T1363" s="297"/>
    </row>
    <row r="1364" spans="1:20" x14ac:dyDescent="0.25">
      <c r="A1364" s="274" t="s">
        <v>78</v>
      </c>
      <c r="B1364" s="274" t="s">
        <v>79</v>
      </c>
      <c r="C1364" s="274" t="s">
        <v>3741</v>
      </c>
      <c r="D1364" s="274" t="s">
        <v>3742</v>
      </c>
      <c r="E1364" s="274" t="s">
        <v>59</v>
      </c>
      <c r="F1364" s="274" t="s">
        <v>199</v>
      </c>
      <c r="G1364" s="274" t="s">
        <v>98</v>
      </c>
      <c r="H1364" s="274" t="s">
        <v>99</v>
      </c>
      <c r="I1364" s="274" t="s">
        <v>5682</v>
      </c>
      <c r="J1364" s="274" t="s">
        <v>98</v>
      </c>
      <c r="K1364" s="274" t="s">
        <v>98</v>
      </c>
      <c r="L1364" s="274" t="s">
        <v>5669</v>
      </c>
      <c r="M1364" s="281">
        <v>128826.49</v>
      </c>
      <c r="N1364" s="280">
        <v>128826.49</v>
      </c>
      <c r="O1364" s="280"/>
      <c r="P1364" s="280"/>
      <c r="Q1364" s="280"/>
      <c r="R1364" s="280"/>
      <c r="S1364" s="280"/>
      <c r="T1364" s="297"/>
    </row>
    <row r="1365" spans="1:20" x14ac:dyDescent="0.25">
      <c r="A1365" s="274" t="s">
        <v>78</v>
      </c>
      <c r="B1365" s="274" t="s">
        <v>79</v>
      </c>
      <c r="C1365" s="274" t="s">
        <v>3741</v>
      </c>
      <c r="D1365" s="274" t="s">
        <v>3742</v>
      </c>
      <c r="E1365" s="274" t="s">
        <v>59</v>
      </c>
      <c r="F1365" s="274" t="s">
        <v>199</v>
      </c>
      <c r="G1365" s="274" t="s">
        <v>98</v>
      </c>
      <c r="H1365" s="274" t="s">
        <v>99</v>
      </c>
      <c r="I1365" s="274" t="s">
        <v>5682</v>
      </c>
      <c r="J1365" s="274" t="s">
        <v>98</v>
      </c>
      <c r="K1365" s="274" t="s">
        <v>98</v>
      </c>
      <c r="L1365" s="274" t="s">
        <v>5670</v>
      </c>
      <c r="M1365" s="281">
        <v>26818.080000000002</v>
      </c>
      <c r="N1365" s="280">
        <v>26818.080000000002</v>
      </c>
      <c r="O1365" s="280"/>
      <c r="P1365" s="280"/>
      <c r="Q1365" s="280"/>
      <c r="R1365" s="280"/>
      <c r="S1365" s="280"/>
      <c r="T1365" s="297"/>
    </row>
    <row r="1366" spans="1:20" x14ac:dyDescent="0.25">
      <c r="A1366" s="274" t="s">
        <v>78</v>
      </c>
      <c r="B1366" s="274" t="s">
        <v>79</v>
      </c>
      <c r="C1366" s="274" t="s">
        <v>3741</v>
      </c>
      <c r="D1366" s="274" t="s">
        <v>3742</v>
      </c>
      <c r="E1366" s="274" t="s">
        <v>59</v>
      </c>
      <c r="F1366" s="274" t="s">
        <v>199</v>
      </c>
      <c r="G1366" s="274" t="s">
        <v>98</v>
      </c>
      <c r="H1366" s="274" t="s">
        <v>99</v>
      </c>
      <c r="I1366" s="274" t="s">
        <v>5682</v>
      </c>
      <c r="J1366" s="274" t="s">
        <v>98</v>
      </c>
      <c r="K1366" s="274" t="s">
        <v>98</v>
      </c>
      <c r="L1366" s="274" t="s">
        <v>5671</v>
      </c>
      <c r="M1366" s="281">
        <v>229808.33</v>
      </c>
      <c r="N1366" s="280">
        <v>229808.33</v>
      </c>
      <c r="O1366" s="280"/>
      <c r="P1366" s="280"/>
      <c r="Q1366" s="280"/>
      <c r="R1366" s="280"/>
      <c r="S1366" s="280"/>
      <c r="T1366" s="297"/>
    </row>
    <row r="1367" spans="1:20" x14ac:dyDescent="0.25">
      <c r="A1367" s="274" t="s">
        <v>78</v>
      </c>
      <c r="B1367" s="274" t="s">
        <v>79</v>
      </c>
      <c r="C1367" s="274" t="s">
        <v>3741</v>
      </c>
      <c r="D1367" s="274" t="s">
        <v>3742</v>
      </c>
      <c r="E1367" s="274" t="s">
        <v>59</v>
      </c>
      <c r="F1367" s="274" t="s">
        <v>199</v>
      </c>
      <c r="G1367" s="274" t="s">
        <v>98</v>
      </c>
      <c r="H1367" s="274" t="s">
        <v>99</v>
      </c>
      <c r="I1367" s="274" t="s">
        <v>5683</v>
      </c>
      <c r="J1367" s="274" t="s">
        <v>98</v>
      </c>
      <c r="K1367" s="274" t="s">
        <v>98</v>
      </c>
      <c r="L1367" s="274" t="s">
        <v>5684</v>
      </c>
      <c r="M1367" s="281">
        <v>10250</v>
      </c>
      <c r="N1367" s="280">
        <v>10380</v>
      </c>
      <c r="O1367" s="280">
        <v>-130</v>
      </c>
      <c r="P1367" s="280"/>
      <c r="Q1367" s="280"/>
      <c r="R1367" s="280"/>
      <c r="S1367" s="280"/>
      <c r="T1367" s="297"/>
    </row>
    <row r="1368" spans="1:20" x14ac:dyDescent="0.25">
      <c r="A1368" s="274" t="s">
        <v>78</v>
      </c>
      <c r="B1368" s="274" t="s">
        <v>79</v>
      </c>
      <c r="C1368" s="274" t="s">
        <v>3741</v>
      </c>
      <c r="D1368" s="274" t="s">
        <v>3742</v>
      </c>
      <c r="E1368" s="274" t="s">
        <v>59</v>
      </c>
      <c r="F1368" s="274" t="s">
        <v>199</v>
      </c>
      <c r="G1368" s="274" t="s">
        <v>98</v>
      </c>
      <c r="H1368" s="274" t="s">
        <v>99</v>
      </c>
      <c r="I1368" s="274" t="s">
        <v>5685</v>
      </c>
      <c r="J1368" s="274" t="s">
        <v>98</v>
      </c>
      <c r="K1368" s="274" t="s">
        <v>98</v>
      </c>
      <c r="L1368" s="274" t="s">
        <v>5686</v>
      </c>
      <c r="M1368" s="281">
        <v>34554</v>
      </c>
      <c r="N1368" s="280">
        <v>11518</v>
      </c>
      <c r="O1368" s="280">
        <v>11518</v>
      </c>
      <c r="P1368" s="280">
        <v>11518</v>
      </c>
      <c r="Q1368" s="280"/>
      <c r="R1368" s="280"/>
      <c r="S1368" s="280"/>
      <c r="T1368" s="297"/>
    </row>
    <row r="1369" spans="1:20" x14ac:dyDescent="0.25">
      <c r="A1369" s="274" t="s">
        <v>78</v>
      </c>
      <c r="B1369" s="274" t="s">
        <v>79</v>
      </c>
      <c r="C1369" s="274" t="s">
        <v>3741</v>
      </c>
      <c r="D1369" s="274" t="s">
        <v>3742</v>
      </c>
      <c r="E1369" s="274" t="s">
        <v>59</v>
      </c>
      <c r="F1369" s="274" t="s">
        <v>199</v>
      </c>
      <c r="G1369" s="274" t="s">
        <v>98</v>
      </c>
      <c r="H1369" s="274" t="s">
        <v>99</v>
      </c>
      <c r="I1369" s="274" t="s">
        <v>5687</v>
      </c>
      <c r="J1369" s="274" t="s">
        <v>98</v>
      </c>
      <c r="K1369" s="274" t="s">
        <v>98</v>
      </c>
      <c r="L1369" s="274" t="s">
        <v>5688</v>
      </c>
      <c r="M1369" s="281">
        <v>28874</v>
      </c>
      <c r="N1369" s="280">
        <v>28874</v>
      </c>
      <c r="O1369" s="280"/>
      <c r="P1369" s="280"/>
      <c r="Q1369" s="280"/>
      <c r="R1369" s="280"/>
      <c r="S1369" s="280"/>
      <c r="T1369" s="297"/>
    </row>
    <row r="1370" spans="1:20" x14ac:dyDescent="0.25">
      <c r="A1370" s="274" t="s">
        <v>78</v>
      </c>
      <c r="B1370" s="274" t="s">
        <v>79</v>
      </c>
      <c r="C1370" s="274" t="s">
        <v>3741</v>
      </c>
      <c r="D1370" s="274" t="s">
        <v>3742</v>
      </c>
      <c r="E1370" s="274" t="s">
        <v>59</v>
      </c>
      <c r="F1370" s="274" t="s">
        <v>199</v>
      </c>
      <c r="G1370" s="274" t="s">
        <v>98</v>
      </c>
      <c r="H1370" s="274" t="s">
        <v>99</v>
      </c>
      <c r="I1370" s="274" t="s">
        <v>5689</v>
      </c>
      <c r="J1370" s="274" t="s">
        <v>98</v>
      </c>
      <c r="K1370" s="274" t="s">
        <v>98</v>
      </c>
      <c r="L1370" s="274" t="s">
        <v>5690</v>
      </c>
      <c r="M1370" s="281">
        <v>18984</v>
      </c>
      <c r="N1370" s="280">
        <v>4746</v>
      </c>
      <c r="O1370" s="280">
        <v>4746</v>
      </c>
      <c r="P1370" s="280">
        <v>4746</v>
      </c>
      <c r="Q1370" s="280">
        <v>4746</v>
      </c>
      <c r="R1370" s="280"/>
      <c r="S1370" s="280"/>
      <c r="T1370" s="297"/>
    </row>
    <row r="1371" spans="1:20" x14ac:dyDescent="0.25">
      <c r="A1371" s="274" t="s">
        <v>78</v>
      </c>
      <c r="B1371" s="274" t="s">
        <v>79</v>
      </c>
      <c r="C1371" s="274" t="s">
        <v>3741</v>
      </c>
      <c r="D1371" s="274" t="s">
        <v>3742</v>
      </c>
      <c r="E1371" s="274" t="s">
        <v>59</v>
      </c>
      <c r="F1371" s="274" t="s">
        <v>199</v>
      </c>
      <c r="G1371" s="274" t="s">
        <v>98</v>
      </c>
      <c r="H1371" s="274" t="s">
        <v>99</v>
      </c>
      <c r="I1371" s="274" t="s">
        <v>5691</v>
      </c>
      <c r="J1371" s="274" t="s">
        <v>98</v>
      </c>
      <c r="K1371" s="274" t="s">
        <v>98</v>
      </c>
      <c r="L1371" s="274" t="s">
        <v>5692</v>
      </c>
      <c r="M1371" s="281">
        <v>11830</v>
      </c>
      <c r="N1371" s="280">
        <v>5915</v>
      </c>
      <c r="O1371" s="280">
        <v>5915</v>
      </c>
      <c r="P1371" s="280"/>
      <c r="Q1371" s="280"/>
      <c r="R1371" s="280"/>
      <c r="S1371" s="280"/>
      <c r="T1371" s="297"/>
    </row>
    <row r="1372" spans="1:20" x14ac:dyDescent="0.25">
      <c r="A1372" s="274" t="s">
        <v>78</v>
      </c>
      <c r="B1372" s="274" t="s">
        <v>79</v>
      </c>
      <c r="C1372" s="274" t="s">
        <v>3741</v>
      </c>
      <c r="D1372" s="274" t="s">
        <v>3742</v>
      </c>
      <c r="E1372" s="274" t="s">
        <v>59</v>
      </c>
      <c r="F1372" s="274" t="s">
        <v>199</v>
      </c>
      <c r="G1372" s="274" t="s">
        <v>98</v>
      </c>
      <c r="H1372" s="274" t="s">
        <v>99</v>
      </c>
      <c r="I1372" s="274" t="s">
        <v>5693</v>
      </c>
      <c r="J1372" s="274" t="s">
        <v>98</v>
      </c>
      <c r="K1372" s="274" t="s">
        <v>98</v>
      </c>
      <c r="L1372" s="274" t="s">
        <v>5694</v>
      </c>
      <c r="M1372" s="281">
        <v>14980</v>
      </c>
      <c r="N1372" s="280">
        <v>3745</v>
      </c>
      <c r="O1372" s="280">
        <v>3745</v>
      </c>
      <c r="P1372" s="280">
        <v>3745</v>
      </c>
      <c r="Q1372" s="280">
        <v>3745</v>
      </c>
      <c r="R1372" s="280"/>
      <c r="S1372" s="280"/>
      <c r="T1372" s="297"/>
    </row>
    <row r="1373" spans="1:20" x14ac:dyDescent="0.25">
      <c r="A1373" s="274" t="s">
        <v>78</v>
      </c>
      <c r="B1373" s="274" t="s">
        <v>79</v>
      </c>
      <c r="C1373" s="274" t="s">
        <v>3741</v>
      </c>
      <c r="D1373" s="274" t="s">
        <v>3742</v>
      </c>
      <c r="E1373" s="274" t="s">
        <v>59</v>
      </c>
      <c r="F1373" s="274" t="s">
        <v>199</v>
      </c>
      <c r="G1373" s="274" t="s">
        <v>98</v>
      </c>
      <c r="H1373" s="274" t="s">
        <v>99</v>
      </c>
      <c r="I1373" s="274" t="s">
        <v>5695</v>
      </c>
      <c r="J1373" s="274" t="s">
        <v>98</v>
      </c>
      <c r="K1373" s="274" t="s">
        <v>98</v>
      </c>
      <c r="L1373" s="274" t="s">
        <v>5668</v>
      </c>
      <c r="M1373" s="281">
        <v>48592</v>
      </c>
      <c r="N1373" s="280">
        <v>48592</v>
      </c>
      <c r="O1373" s="280"/>
      <c r="P1373" s="280"/>
      <c r="Q1373" s="280"/>
      <c r="R1373" s="280"/>
      <c r="S1373" s="280"/>
      <c r="T1373" s="297"/>
    </row>
    <row r="1374" spans="1:20" x14ac:dyDescent="0.25">
      <c r="A1374" s="274" t="s">
        <v>78</v>
      </c>
      <c r="B1374" s="274" t="s">
        <v>79</v>
      </c>
      <c r="C1374" s="274" t="s">
        <v>3741</v>
      </c>
      <c r="D1374" s="274" t="s">
        <v>3742</v>
      </c>
      <c r="E1374" s="274" t="s">
        <v>59</v>
      </c>
      <c r="F1374" s="274" t="s">
        <v>199</v>
      </c>
      <c r="G1374" s="274" t="s">
        <v>98</v>
      </c>
      <c r="H1374" s="274" t="s">
        <v>99</v>
      </c>
      <c r="I1374" s="274" t="s">
        <v>5696</v>
      </c>
      <c r="J1374" s="274" t="s">
        <v>98</v>
      </c>
      <c r="K1374" s="274" t="s">
        <v>98</v>
      </c>
      <c r="L1374" s="274" t="s">
        <v>5697</v>
      </c>
      <c r="M1374" s="281">
        <v>99325</v>
      </c>
      <c r="N1374" s="280">
        <v>19865</v>
      </c>
      <c r="O1374" s="280">
        <v>19865</v>
      </c>
      <c r="P1374" s="280">
        <v>19865</v>
      </c>
      <c r="Q1374" s="280">
        <v>19865</v>
      </c>
      <c r="R1374" s="280">
        <v>19865</v>
      </c>
      <c r="S1374" s="280"/>
      <c r="T1374" s="297"/>
    </row>
    <row r="1375" spans="1:20" x14ac:dyDescent="0.25">
      <c r="A1375" s="274" t="s">
        <v>78</v>
      </c>
      <c r="B1375" s="274" t="s">
        <v>79</v>
      </c>
      <c r="C1375" s="274" t="s">
        <v>3741</v>
      </c>
      <c r="D1375" s="274" t="s">
        <v>3742</v>
      </c>
      <c r="E1375" s="274" t="s">
        <v>59</v>
      </c>
      <c r="F1375" s="274" t="s">
        <v>199</v>
      </c>
      <c r="G1375" s="274" t="s">
        <v>98</v>
      </c>
      <c r="H1375" s="274" t="s">
        <v>99</v>
      </c>
      <c r="I1375" s="274" t="s">
        <v>5696</v>
      </c>
      <c r="J1375" s="274" t="s">
        <v>98</v>
      </c>
      <c r="K1375" s="274" t="s">
        <v>98</v>
      </c>
      <c r="L1375" s="274" t="s">
        <v>5698</v>
      </c>
      <c r="M1375" s="281">
        <v>73660</v>
      </c>
      <c r="N1375" s="280">
        <v>14732</v>
      </c>
      <c r="O1375" s="280">
        <v>14732</v>
      </c>
      <c r="P1375" s="280">
        <v>14732</v>
      </c>
      <c r="Q1375" s="280">
        <v>14732</v>
      </c>
      <c r="R1375" s="280">
        <v>14732</v>
      </c>
      <c r="S1375" s="280"/>
      <c r="T1375" s="297"/>
    </row>
    <row r="1376" spans="1:20" x14ac:dyDescent="0.25">
      <c r="A1376" s="274" t="s">
        <v>78</v>
      </c>
      <c r="B1376" s="274" t="s">
        <v>79</v>
      </c>
      <c r="C1376" s="274" t="s">
        <v>3741</v>
      </c>
      <c r="D1376" s="274" t="s">
        <v>3742</v>
      </c>
      <c r="E1376" s="274" t="s">
        <v>59</v>
      </c>
      <c r="F1376" s="274" t="s">
        <v>199</v>
      </c>
      <c r="G1376" s="274" t="s">
        <v>98</v>
      </c>
      <c r="H1376" s="274" t="s">
        <v>99</v>
      </c>
      <c r="I1376" s="274" t="s">
        <v>5696</v>
      </c>
      <c r="J1376" s="274" t="s">
        <v>98</v>
      </c>
      <c r="K1376" s="274" t="s">
        <v>98</v>
      </c>
      <c r="L1376" s="274" t="s">
        <v>5699</v>
      </c>
      <c r="M1376" s="281">
        <v>37915</v>
      </c>
      <c r="N1376" s="280">
        <v>7583</v>
      </c>
      <c r="O1376" s="280">
        <v>7583</v>
      </c>
      <c r="P1376" s="280">
        <v>7583</v>
      </c>
      <c r="Q1376" s="280">
        <v>7583</v>
      </c>
      <c r="R1376" s="280">
        <v>7583</v>
      </c>
      <c r="S1376" s="280"/>
      <c r="T1376" s="297"/>
    </row>
    <row r="1377" spans="1:20" x14ac:dyDescent="0.25">
      <c r="A1377" s="274" t="s">
        <v>78</v>
      </c>
      <c r="B1377" s="274" t="s">
        <v>79</v>
      </c>
      <c r="C1377" s="274" t="s">
        <v>3741</v>
      </c>
      <c r="D1377" s="274" t="s">
        <v>3742</v>
      </c>
      <c r="E1377" s="274" t="s">
        <v>59</v>
      </c>
      <c r="F1377" s="274" t="s">
        <v>199</v>
      </c>
      <c r="G1377" s="274" t="s">
        <v>98</v>
      </c>
      <c r="H1377" s="274" t="s">
        <v>99</v>
      </c>
      <c r="I1377" s="274" t="s">
        <v>5696</v>
      </c>
      <c r="J1377" s="274" t="s">
        <v>98</v>
      </c>
      <c r="K1377" s="274" t="s">
        <v>98</v>
      </c>
      <c r="L1377" s="274" t="s">
        <v>5700</v>
      </c>
      <c r="M1377" s="281">
        <v>1430</v>
      </c>
      <c r="N1377" s="280">
        <v>286</v>
      </c>
      <c r="O1377" s="280">
        <v>286</v>
      </c>
      <c r="P1377" s="280">
        <v>286</v>
      </c>
      <c r="Q1377" s="280">
        <v>286</v>
      </c>
      <c r="R1377" s="280">
        <v>286</v>
      </c>
      <c r="S1377" s="280"/>
      <c r="T1377" s="297"/>
    </row>
    <row r="1378" spans="1:20" x14ac:dyDescent="0.25">
      <c r="A1378" s="274" t="s">
        <v>78</v>
      </c>
      <c r="B1378" s="274" t="s">
        <v>79</v>
      </c>
      <c r="C1378" s="274" t="s">
        <v>3741</v>
      </c>
      <c r="D1378" s="274" t="s">
        <v>3742</v>
      </c>
      <c r="E1378" s="274" t="s">
        <v>59</v>
      </c>
      <c r="F1378" s="274" t="s">
        <v>199</v>
      </c>
      <c r="G1378" s="274" t="s">
        <v>98</v>
      </c>
      <c r="H1378" s="274" t="s">
        <v>99</v>
      </c>
      <c r="I1378" s="274" t="s">
        <v>5696</v>
      </c>
      <c r="J1378" s="274" t="s">
        <v>98</v>
      </c>
      <c r="K1378" s="274" t="s">
        <v>98</v>
      </c>
      <c r="L1378" s="274" t="s">
        <v>5701</v>
      </c>
      <c r="M1378" s="281">
        <v>420</v>
      </c>
      <c r="N1378" s="280">
        <v>84</v>
      </c>
      <c r="O1378" s="280">
        <v>84</v>
      </c>
      <c r="P1378" s="280">
        <v>84</v>
      </c>
      <c r="Q1378" s="280">
        <v>84</v>
      </c>
      <c r="R1378" s="280">
        <v>84</v>
      </c>
      <c r="S1378" s="280"/>
      <c r="T1378" s="297"/>
    </row>
    <row r="1379" spans="1:20" x14ac:dyDescent="0.25">
      <c r="A1379" s="274" t="s">
        <v>78</v>
      </c>
      <c r="B1379" s="274" t="s">
        <v>79</v>
      </c>
      <c r="C1379" s="274" t="s">
        <v>3741</v>
      </c>
      <c r="D1379" s="274" t="s">
        <v>3742</v>
      </c>
      <c r="E1379" s="274" t="s">
        <v>59</v>
      </c>
      <c r="F1379" s="274" t="s">
        <v>199</v>
      </c>
      <c r="G1379" s="274" t="s">
        <v>98</v>
      </c>
      <c r="H1379" s="274" t="s">
        <v>99</v>
      </c>
      <c r="I1379" s="274" t="s">
        <v>5696</v>
      </c>
      <c r="J1379" s="274" t="s">
        <v>98</v>
      </c>
      <c r="K1379" s="274" t="s">
        <v>98</v>
      </c>
      <c r="L1379" s="274" t="s">
        <v>5702</v>
      </c>
      <c r="M1379" s="281">
        <v>13030</v>
      </c>
      <c r="N1379" s="280">
        <v>2606</v>
      </c>
      <c r="O1379" s="280">
        <v>2606</v>
      </c>
      <c r="P1379" s="280">
        <v>2606</v>
      </c>
      <c r="Q1379" s="280">
        <v>2606</v>
      </c>
      <c r="R1379" s="280">
        <v>2606</v>
      </c>
      <c r="S1379" s="280"/>
      <c r="T1379" s="297"/>
    </row>
    <row r="1380" spans="1:20" x14ac:dyDescent="0.25">
      <c r="A1380" s="274" t="s">
        <v>78</v>
      </c>
      <c r="B1380" s="274" t="s">
        <v>79</v>
      </c>
      <c r="C1380" s="274" t="s">
        <v>3741</v>
      </c>
      <c r="D1380" s="274" t="s">
        <v>3742</v>
      </c>
      <c r="E1380" s="274" t="s">
        <v>59</v>
      </c>
      <c r="F1380" s="274" t="s">
        <v>199</v>
      </c>
      <c r="G1380" s="274" t="s">
        <v>98</v>
      </c>
      <c r="H1380" s="274" t="s">
        <v>99</v>
      </c>
      <c r="I1380" s="274" t="s">
        <v>5703</v>
      </c>
      <c r="J1380" s="274" t="s">
        <v>98</v>
      </c>
      <c r="K1380" s="274" t="s">
        <v>98</v>
      </c>
      <c r="L1380" s="274" t="s">
        <v>5704</v>
      </c>
      <c r="M1380" s="281">
        <v>59634</v>
      </c>
      <c r="N1380" s="280">
        <v>9939</v>
      </c>
      <c r="O1380" s="280">
        <v>9939</v>
      </c>
      <c r="P1380" s="280">
        <v>9939</v>
      </c>
      <c r="Q1380" s="280">
        <v>9939</v>
      </c>
      <c r="R1380" s="280">
        <v>9939</v>
      </c>
      <c r="S1380" s="280">
        <v>9939</v>
      </c>
      <c r="T1380" s="297"/>
    </row>
    <row r="1381" spans="1:20" x14ac:dyDescent="0.25">
      <c r="A1381" s="274" t="s">
        <v>78</v>
      </c>
      <c r="B1381" s="274" t="s">
        <v>79</v>
      </c>
      <c r="C1381" s="274" t="s">
        <v>3741</v>
      </c>
      <c r="D1381" s="274" t="s">
        <v>3742</v>
      </c>
      <c r="E1381" s="274" t="s">
        <v>59</v>
      </c>
      <c r="F1381" s="274" t="s">
        <v>199</v>
      </c>
      <c r="G1381" s="274" t="s">
        <v>98</v>
      </c>
      <c r="H1381" s="274" t="s">
        <v>99</v>
      </c>
      <c r="I1381" s="274" t="s">
        <v>5705</v>
      </c>
      <c r="J1381" s="274" t="s">
        <v>98</v>
      </c>
      <c r="K1381" s="274" t="s">
        <v>98</v>
      </c>
      <c r="L1381" s="274" t="s">
        <v>5706</v>
      </c>
      <c r="M1381" s="281">
        <v>5577</v>
      </c>
      <c r="N1381" s="280">
        <v>5577</v>
      </c>
      <c r="O1381" s="280"/>
      <c r="P1381" s="280"/>
      <c r="Q1381" s="280"/>
      <c r="R1381" s="280"/>
      <c r="S1381" s="280"/>
      <c r="T1381" s="297"/>
    </row>
    <row r="1382" spans="1:20" x14ac:dyDescent="0.25">
      <c r="A1382" s="274" t="s">
        <v>78</v>
      </c>
      <c r="B1382" s="274" t="s">
        <v>79</v>
      </c>
      <c r="C1382" s="274" t="s">
        <v>3741</v>
      </c>
      <c r="D1382" s="274" t="s">
        <v>3742</v>
      </c>
      <c r="E1382" s="274" t="s">
        <v>59</v>
      </c>
      <c r="F1382" s="274" t="s">
        <v>199</v>
      </c>
      <c r="G1382" s="274" t="s">
        <v>98</v>
      </c>
      <c r="H1382" s="274" t="s">
        <v>99</v>
      </c>
      <c r="I1382" s="274" t="s">
        <v>5707</v>
      </c>
      <c r="J1382" s="274" t="s">
        <v>98</v>
      </c>
      <c r="K1382" s="274" t="s">
        <v>98</v>
      </c>
      <c r="L1382" s="274" t="s">
        <v>5708</v>
      </c>
      <c r="M1382" s="281">
        <v>198882</v>
      </c>
      <c r="N1382" s="280">
        <v>33147</v>
      </c>
      <c r="O1382" s="280">
        <v>33147</v>
      </c>
      <c r="P1382" s="280">
        <v>33147</v>
      </c>
      <c r="Q1382" s="280">
        <v>33147</v>
      </c>
      <c r="R1382" s="280">
        <v>33147</v>
      </c>
      <c r="S1382" s="280">
        <v>33147</v>
      </c>
      <c r="T1382" s="297"/>
    </row>
    <row r="1383" spans="1:20" x14ac:dyDescent="0.25">
      <c r="A1383" s="274" t="s">
        <v>78</v>
      </c>
      <c r="B1383" s="274" t="s">
        <v>79</v>
      </c>
      <c r="C1383" s="274" t="s">
        <v>3741</v>
      </c>
      <c r="D1383" s="274" t="s">
        <v>3742</v>
      </c>
      <c r="E1383" s="274" t="s">
        <v>59</v>
      </c>
      <c r="F1383" s="274" t="s">
        <v>199</v>
      </c>
      <c r="G1383" s="274" t="s">
        <v>98</v>
      </c>
      <c r="H1383" s="274" t="s">
        <v>99</v>
      </c>
      <c r="I1383" s="274" t="s">
        <v>5709</v>
      </c>
      <c r="J1383" s="274" t="s">
        <v>98</v>
      </c>
      <c r="K1383" s="274" t="s">
        <v>98</v>
      </c>
      <c r="L1383" s="274" t="s">
        <v>5710</v>
      </c>
      <c r="M1383" s="281">
        <v>149706</v>
      </c>
      <c r="N1383" s="280">
        <v>24951</v>
      </c>
      <c r="O1383" s="280">
        <v>24951</v>
      </c>
      <c r="P1383" s="280">
        <v>24951</v>
      </c>
      <c r="Q1383" s="280">
        <v>24951</v>
      </c>
      <c r="R1383" s="280">
        <v>24951</v>
      </c>
      <c r="S1383" s="280">
        <v>24951</v>
      </c>
      <c r="T1383" s="297"/>
    </row>
    <row r="1384" spans="1:20" x14ac:dyDescent="0.25">
      <c r="A1384" s="274" t="s">
        <v>78</v>
      </c>
      <c r="B1384" s="274" t="s">
        <v>79</v>
      </c>
      <c r="C1384" s="274" t="s">
        <v>3741</v>
      </c>
      <c r="D1384" s="274" t="s">
        <v>3742</v>
      </c>
      <c r="E1384" s="274" t="s">
        <v>59</v>
      </c>
      <c r="F1384" s="274" t="s">
        <v>199</v>
      </c>
      <c r="G1384" s="274" t="s">
        <v>98</v>
      </c>
      <c r="H1384" s="274" t="s">
        <v>99</v>
      </c>
      <c r="I1384" s="274" t="s">
        <v>5711</v>
      </c>
      <c r="J1384" s="274" t="s">
        <v>98</v>
      </c>
      <c r="K1384" s="274" t="s">
        <v>98</v>
      </c>
      <c r="L1384" s="274" t="s">
        <v>5712</v>
      </c>
      <c r="M1384" s="281">
        <v>177881.16</v>
      </c>
      <c r="N1384" s="280">
        <v>29646.86</v>
      </c>
      <c r="O1384" s="280">
        <v>29646.86</v>
      </c>
      <c r="P1384" s="280">
        <v>29646.86</v>
      </c>
      <c r="Q1384" s="280">
        <v>29646.86</v>
      </c>
      <c r="R1384" s="280">
        <v>29646.86</v>
      </c>
      <c r="S1384" s="280">
        <v>29646.86</v>
      </c>
      <c r="T1384" s="297"/>
    </row>
    <row r="1385" spans="1:20" x14ac:dyDescent="0.25">
      <c r="A1385" s="274" t="s">
        <v>78</v>
      </c>
      <c r="B1385" s="274" t="s">
        <v>79</v>
      </c>
      <c r="C1385" s="274" t="s">
        <v>3741</v>
      </c>
      <c r="D1385" s="274" t="s">
        <v>3742</v>
      </c>
      <c r="E1385" s="274" t="s">
        <v>59</v>
      </c>
      <c r="F1385" s="274" t="s">
        <v>199</v>
      </c>
      <c r="G1385" s="274" t="s">
        <v>98</v>
      </c>
      <c r="H1385" s="274" t="s">
        <v>99</v>
      </c>
      <c r="I1385" s="274" t="s">
        <v>5713</v>
      </c>
      <c r="J1385" s="274" t="s">
        <v>98</v>
      </c>
      <c r="K1385" s="274" t="s">
        <v>98</v>
      </c>
      <c r="L1385" s="274" t="s">
        <v>5714</v>
      </c>
      <c r="M1385" s="281">
        <v>170748</v>
      </c>
      <c r="N1385" s="280">
        <v>28458</v>
      </c>
      <c r="O1385" s="280">
        <v>28458</v>
      </c>
      <c r="P1385" s="280">
        <v>28458</v>
      </c>
      <c r="Q1385" s="280">
        <v>28458</v>
      </c>
      <c r="R1385" s="280">
        <v>28458</v>
      </c>
      <c r="S1385" s="280">
        <v>28458</v>
      </c>
      <c r="T1385" s="297"/>
    </row>
    <row r="1386" spans="1:20" x14ac:dyDescent="0.25">
      <c r="A1386" s="274" t="s">
        <v>78</v>
      </c>
      <c r="B1386" s="274" t="s">
        <v>79</v>
      </c>
      <c r="C1386" s="274" t="s">
        <v>3741</v>
      </c>
      <c r="D1386" s="274" t="s">
        <v>3742</v>
      </c>
      <c r="E1386" s="274" t="s">
        <v>59</v>
      </c>
      <c r="F1386" s="274" t="s">
        <v>199</v>
      </c>
      <c r="G1386" s="274" t="s">
        <v>98</v>
      </c>
      <c r="H1386" s="274" t="s">
        <v>99</v>
      </c>
      <c r="I1386" s="274" t="s">
        <v>5713</v>
      </c>
      <c r="J1386" s="274" t="s">
        <v>98</v>
      </c>
      <c r="K1386" s="274" t="s">
        <v>98</v>
      </c>
      <c r="L1386" s="274" t="s">
        <v>5715</v>
      </c>
      <c r="M1386" s="281">
        <v>37188</v>
      </c>
      <c r="N1386" s="280">
        <v>6198</v>
      </c>
      <c r="O1386" s="280">
        <v>6198</v>
      </c>
      <c r="P1386" s="280">
        <v>6198</v>
      </c>
      <c r="Q1386" s="280">
        <v>6198</v>
      </c>
      <c r="R1386" s="280">
        <v>6198</v>
      </c>
      <c r="S1386" s="280">
        <v>6198</v>
      </c>
      <c r="T1386" s="297"/>
    </row>
    <row r="1387" spans="1:20" x14ac:dyDescent="0.25">
      <c r="A1387" s="274" t="s">
        <v>78</v>
      </c>
      <c r="B1387" s="274" t="s">
        <v>79</v>
      </c>
      <c r="C1387" s="274" t="s">
        <v>3741</v>
      </c>
      <c r="D1387" s="274" t="s">
        <v>3742</v>
      </c>
      <c r="E1387" s="274" t="s">
        <v>59</v>
      </c>
      <c r="F1387" s="274" t="s">
        <v>199</v>
      </c>
      <c r="G1387" s="274" t="s">
        <v>98</v>
      </c>
      <c r="H1387" s="274" t="s">
        <v>99</v>
      </c>
      <c r="I1387" s="274" t="s">
        <v>5716</v>
      </c>
      <c r="J1387" s="274" t="s">
        <v>98</v>
      </c>
      <c r="K1387" s="274" t="s">
        <v>98</v>
      </c>
      <c r="L1387" s="274" t="s">
        <v>5717</v>
      </c>
      <c r="M1387" s="281">
        <v>37527</v>
      </c>
      <c r="N1387" s="280">
        <v>12509</v>
      </c>
      <c r="O1387" s="280">
        <v>12509</v>
      </c>
      <c r="P1387" s="280">
        <v>12509</v>
      </c>
      <c r="Q1387" s="280"/>
      <c r="R1387" s="280"/>
      <c r="S1387" s="280"/>
      <c r="T1387" s="297"/>
    </row>
    <row r="1388" spans="1:20" x14ac:dyDescent="0.25">
      <c r="A1388" s="274" t="s">
        <v>78</v>
      </c>
      <c r="B1388" s="274" t="s">
        <v>79</v>
      </c>
      <c r="C1388" s="274" t="s">
        <v>3741</v>
      </c>
      <c r="D1388" s="274" t="s">
        <v>3742</v>
      </c>
      <c r="E1388" s="274" t="s">
        <v>59</v>
      </c>
      <c r="F1388" s="274" t="s">
        <v>199</v>
      </c>
      <c r="G1388" s="274" t="s">
        <v>98</v>
      </c>
      <c r="H1388" s="274" t="s">
        <v>99</v>
      </c>
      <c r="I1388" s="274" t="s">
        <v>5718</v>
      </c>
      <c r="J1388" s="274" t="s">
        <v>98</v>
      </c>
      <c r="K1388" s="274" t="s">
        <v>98</v>
      </c>
      <c r="L1388" s="274" t="s">
        <v>5719</v>
      </c>
      <c r="M1388" s="281">
        <v>345630</v>
      </c>
      <c r="N1388" s="280">
        <v>57605</v>
      </c>
      <c r="O1388" s="280">
        <v>57605</v>
      </c>
      <c r="P1388" s="280">
        <v>57605</v>
      </c>
      <c r="Q1388" s="280">
        <v>57605</v>
      </c>
      <c r="R1388" s="280">
        <v>57605</v>
      </c>
      <c r="S1388" s="280">
        <v>57605</v>
      </c>
      <c r="T1388" s="297"/>
    </row>
    <row r="1389" spans="1:20" x14ac:dyDescent="0.25">
      <c r="A1389" s="274" t="s">
        <v>78</v>
      </c>
      <c r="B1389" s="274" t="s">
        <v>79</v>
      </c>
      <c r="C1389" s="274" t="s">
        <v>3741</v>
      </c>
      <c r="D1389" s="274" t="s">
        <v>3742</v>
      </c>
      <c r="E1389" s="274" t="s">
        <v>59</v>
      </c>
      <c r="F1389" s="274" t="s">
        <v>199</v>
      </c>
      <c r="G1389" s="274" t="s">
        <v>98</v>
      </c>
      <c r="H1389" s="274" t="s">
        <v>99</v>
      </c>
      <c r="I1389" s="274" t="s">
        <v>5720</v>
      </c>
      <c r="J1389" s="274" t="s">
        <v>98</v>
      </c>
      <c r="K1389" s="274" t="s">
        <v>98</v>
      </c>
      <c r="L1389" s="274" t="s">
        <v>5721</v>
      </c>
      <c r="M1389" s="281">
        <v>79644</v>
      </c>
      <c r="N1389" s="280">
        <v>13274</v>
      </c>
      <c r="O1389" s="280">
        <v>13274</v>
      </c>
      <c r="P1389" s="280">
        <v>13274</v>
      </c>
      <c r="Q1389" s="280">
        <v>13274</v>
      </c>
      <c r="R1389" s="280">
        <v>13274</v>
      </c>
      <c r="S1389" s="280">
        <v>13274</v>
      </c>
      <c r="T1389" s="297"/>
    </row>
    <row r="1390" spans="1:20" x14ac:dyDescent="0.25">
      <c r="A1390" s="274" t="s">
        <v>78</v>
      </c>
      <c r="B1390" s="274" t="s">
        <v>79</v>
      </c>
      <c r="C1390" s="274" t="s">
        <v>3741</v>
      </c>
      <c r="D1390" s="274" t="s">
        <v>3742</v>
      </c>
      <c r="E1390" s="274" t="s">
        <v>59</v>
      </c>
      <c r="F1390" s="274" t="s">
        <v>199</v>
      </c>
      <c r="G1390" s="274" t="s">
        <v>98</v>
      </c>
      <c r="H1390" s="274" t="s">
        <v>99</v>
      </c>
      <c r="I1390" s="274" t="s">
        <v>5722</v>
      </c>
      <c r="J1390" s="274" t="s">
        <v>98</v>
      </c>
      <c r="K1390" s="274" t="s">
        <v>98</v>
      </c>
      <c r="L1390" s="274" t="s">
        <v>5723</v>
      </c>
      <c r="M1390" s="281">
        <v>77310</v>
      </c>
      <c r="N1390" s="280">
        <v>12885</v>
      </c>
      <c r="O1390" s="280">
        <v>12885</v>
      </c>
      <c r="P1390" s="280">
        <v>12885</v>
      </c>
      <c r="Q1390" s="280">
        <v>12885</v>
      </c>
      <c r="R1390" s="280">
        <v>12885</v>
      </c>
      <c r="S1390" s="280">
        <v>12885</v>
      </c>
      <c r="T1390" s="297"/>
    </row>
    <row r="1391" spans="1:20" x14ac:dyDescent="0.25">
      <c r="A1391" s="274" t="s">
        <v>78</v>
      </c>
      <c r="B1391" s="274" t="s">
        <v>79</v>
      </c>
      <c r="C1391" s="274" t="s">
        <v>3741</v>
      </c>
      <c r="D1391" s="274" t="s">
        <v>3742</v>
      </c>
      <c r="E1391" s="274" t="s">
        <v>59</v>
      </c>
      <c r="F1391" s="274" t="s">
        <v>199</v>
      </c>
      <c r="G1391" s="274" t="s">
        <v>98</v>
      </c>
      <c r="H1391" s="274" t="s">
        <v>99</v>
      </c>
      <c r="I1391" s="274" t="s">
        <v>5724</v>
      </c>
      <c r="J1391" s="274" t="s">
        <v>98</v>
      </c>
      <c r="K1391" s="274" t="s">
        <v>98</v>
      </c>
      <c r="L1391" s="274" t="s">
        <v>5725</v>
      </c>
      <c r="M1391" s="281">
        <v>72372</v>
      </c>
      <c r="N1391" s="280">
        <v>12062</v>
      </c>
      <c r="O1391" s="280">
        <v>12062</v>
      </c>
      <c r="P1391" s="280">
        <v>12062</v>
      </c>
      <c r="Q1391" s="280">
        <v>12062</v>
      </c>
      <c r="R1391" s="280">
        <v>12062</v>
      </c>
      <c r="S1391" s="280">
        <v>12062</v>
      </c>
      <c r="T1391" s="297"/>
    </row>
    <row r="1392" spans="1:20" x14ac:dyDescent="0.25">
      <c r="A1392" s="274" t="s">
        <v>78</v>
      </c>
      <c r="B1392" s="274" t="s">
        <v>79</v>
      </c>
      <c r="C1392" s="274" t="s">
        <v>3741</v>
      </c>
      <c r="D1392" s="274" t="s">
        <v>3742</v>
      </c>
      <c r="E1392" s="274" t="s">
        <v>59</v>
      </c>
      <c r="F1392" s="274" t="s">
        <v>199</v>
      </c>
      <c r="G1392" s="274" t="s">
        <v>98</v>
      </c>
      <c r="H1392" s="274" t="s">
        <v>99</v>
      </c>
      <c r="I1392" s="274" t="s">
        <v>5726</v>
      </c>
      <c r="J1392" s="274" t="s">
        <v>98</v>
      </c>
      <c r="K1392" s="274" t="s">
        <v>98</v>
      </c>
      <c r="L1392" s="274" t="s">
        <v>5727</v>
      </c>
      <c r="M1392" s="281">
        <v>92304</v>
      </c>
      <c r="N1392" s="280">
        <v>15384</v>
      </c>
      <c r="O1392" s="280">
        <v>15384</v>
      </c>
      <c r="P1392" s="280">
        <v>15384</v>
      </c>
      <c r="Q1392" s="280">
        <v>15384</v>
      </c>
      <c r="R1392" s="280">
        <v>15384</v>
      </c>
      <c r="S1392" s="280">
        <v>15384</v>
      </c>
      <c r="T1392" s="297"/>
    </row>
    <row r="1393" spans="1:20" x14ac:dyDescent="0.25">
      <c r="A1393" s="274" t="s">
        <v>78</v>
      </c>
      <c r="B1393" s="274" t="s">
        <v>79</v>
      </c>
      <c r="C1393" s="274" t="s">
        <v>3741</v>
      </c>
      <c r="D1393" s="274" t="s">
        <v>3742</v>
      </c>
      <c r="E1393" s="274" t="s">
        <v>59</v>
      </c>
      <c r="F1393" s="274" t="s">
        <v>199</v>
      </c>
      <c r="G1393" s="274" t="s">
        <v>98</v>
      </c>
      <c r="H1393" s="274" t="s">
        <v>99</v>
      </c>
      <c r="I1393" s="274" t="s">
        <v>5728</v>
      </c>
      <c r="J1393" s="274" t="s">
        <v>98</v>
      </c>
      <c r="K1393" s="274" t="s">
        <v>98</v>
      </c>
      <c r="L1393" s="274" t="s">
        <v>5729</v>
      </c>
      <c r="M1393" s="281">
        <v>132420</v>
      </c>
      <c r="N1393" s="280">
        <v>22070</v>
      </c>
      <c r="O1393" s="280">
        <v>22070</v>
      </c>
      <c r="P1393" s="280">
        <v>22070</v>
      </c>
      <c r="Q1393" s="280">
        <v>22070</v>
      </c>
      <c r="R1393" s="280">
        <v>22070</v>
      </c>
      <c r="S1393" s="280">
        <v>22070</v>
      </c>
      <c r="T1393" s="297"/>
    </row>
    <row r="1394" spans="1:20" x14ac:dyDescent="0.25">
      <c r="A1394" s="274" t="s">
        <v>78</v>
      </c>
      <c r="B1394" s="274" t="s">
        <v>79</v>
      </c>
      <c r="C1394" s="274" t="s">
        <v>3741</v>
      </c>
      <c r="D1394" s="274" t="s">
        <v>3742</v>
      </c>
      <c r="E1394" s="274" t="s">
        <v>59</v>
      </c>
      <c r="F1394" s="274" t="s">
        <v>199</v>
      </c>
      <c r="G1394" s="274" t="s">
        <v>98</v>
      </c>
      <c r="H1394" s="274" t="s">
        <v>99</v>
      </c>
      <c r="I1394" s="274" t="s">
        <v>5730</v>
      </c>
      <c r="J1394" s="274" t="s">
        <v>98</v>
      </c>
      <c r="K1394" s="274" t="s">
        <v>98</v>
      </c>
      <c r="L1394" s="274" t="s">
        <v>5731</v>
      </c>
      <c r="M1394" s="281">
        <v>156546.29999999999</v>
      </c>
      <c r="N1394" s="280">
        <v>26091.05</v>
      </c>
      <c r="O1394" s="280">
        <v>26091.05</v>
      </c>
      <c r="P1394" s="280">
        <v>26091.05</v>
      </c>
      <c r="Q1394" s="280">
        <v>26091.05</v>
      </c>
      <c r="R1394" s="280">
        <v>26091.05</v>
      </c>
      <c r="S1394" s="280">
        <v>26091.05</v>
      </c>
      <c r="T1394" s="297"/>
    </row>
    <row r="1395" spans="1:20" x14ac:dyDescent="0.25">
      <c r="A1395" s="274" t="s">
        <v>78</v>
      </c>
      <c r="B1395" s="274" t="s">
        <v>79</v>
      </c>
      <c r="C1395" s="274" t="s">
        <v>3741</v>
      </c>
      <c r="D1395" s="274" t="s">
        <v>3742</v>
      </c>
      <c r="E1395" s="274" t="s">
        <v>59</v>
      </c>
      <c r="F1395" s="274" t="s">
        <v>199</v>
      </c>
      <c r="G1395" s="274" t="s">
        <v>98</v>
      </c>
      <c r="H1395" s="274" t="s">
        <v>99</v>
      </c>
      <c r="I1395" s="274" t="s">
        <v>5730</v>
      </c>
      <c r="J1395" s="274" t="s">
        <v>98</v>
      </c>
      <c r="K1395" s="274" t="s">
        <v>98</v>
      </c>
      <c r="L1395" s="274" t="s">
        <v>5732</v>
      </c>
      <c r="M1395" s="281">
        <v>64276.02</v>
      </c>
      <c r="N1395" s="280">
        <v>10712.67</v>
      </c>
      <c r="O1395" s="280">
        <v>10712.67</v>
      </c>
      <c r="P1395" s="280">
        <v>10712.67</v>
      </c>
      <c r="Q1395" s="280">
        <v>10712.67</v>
      </c>
      <c r="R1395" s="280">
        <v>10712.67</v>
      </c>
      <c r="S1395" s="280">
        <v>10712.67</v>
      </c>
      <c r="T1395" s="297"/>
    </row>
    <row r="1396" spans="1:20" x14ac:dyDescent="0.25">
      <c r="A1396" s="274" t="s">
        <v>78</v>
      </c>
      <c r="B1396" s="274" t="s">
        <v>79</v>
      </c>
      <c r="C1396" s="274" t="s">
        <v>3741</v>
      </c>
      <c r="D1396" s="274" t="s">
        <v>3742</v>
      </c>
      <c r="E1396" s="274" t="s">
        <v>59</v>
      </c>
      <c r="F1396" s="274" t="s">
        <v>199</v>
      </c>
      <c r="G1396" s="274" t="s">
        <v>98</v>
      </c>
      <c r="H1396" s="274" t="s">
        <v>99</v>
      </c>
      <c r="I1396" s="274" t="s">
        <v>5733</v>
      </c>
      <c r="J1396" s="274" t="s">
        <v>98</v>
      </c>
      <c r="K1396" s="274" t="s">
        <v>98</v>
      </c>
      <c r="L1396" s="274" t="s">
        <v>5734</v>
      </c>
      <c r="M1396" s="281">
        <v>114750</v>
      </c>
      <c r="N1396" s="280">
        <v>19125</v>
      </c>
      <c r="O1396" s="280">
        <v>19125</v>
      </c>
      <c r="P1396" s="280">
        <v>19125</v>
      </c>
      <c r="Q1396" s="280">
        <v>19125</v>
      </c>
      <c r="R1396" s="280">
        <v>19125</v>
      </c>
      <c r="S1396" s="280">
        <v>19125</v>
      </c>
      <c r="T1396" s="297"/>
    </row>
    <row r="1397" spans="1:20" x14ac:dyDescent="0.25">
      <c r="A1397" s="274" t="s">
        <v>78</v>
      </c>
      <c r="B1397" s="274" t="s">
        <v>79</v>
      </c>
      <c r="C1397" s="274" t="s">
        <v>3741</v>
      </c>
      <c r="D1397" s="274" t="s">
        <v>3742</v>
      </c>
      <c r="E1397" s="274" t="s">
        <v>59</v>
      </c>
      <c r="F1397" s="274" t="s">
        <v>199</v>
      </c>
      <c r="G1397" s="274" t="s">
        <v>98</v>
      </c>
      <c r="H1397" s="274" t="s">
        <v>99</v>
      </c>
      <c r="I1397" s="274" t="s">
        <v>5735</v>
      </c>
      <c r="J1397" s="274" t="s">
        <v>98</v>
      </c>
      <c r="K1397" s="274" t="s">
        <v>98</v>
      </c>
      <c r="L1397" s="274" t="s">
        <v>5736</v>
      </c>
      <c r="M1397" s="281">
        <v>225002.94</v>
      </c>
      <c r="N1397" s="280">
        <v>37500.49</v>
      </c>
      <c r="O1397" s="280">
        <v>37500.49</v>
      </c>
      <c r="P1397" s="280">
        <v>37500.49</v>
      </c>
      <c r="Q1397" s="280">
        <v>37500.49</v>
      </c>
      <c r="R1397" s="280">
        <v>37500.49</v>
      </c>
      <c r="S1397" s="280">
        <v>37500.49</v>
      </c>
      <c r="T1397" s="297"/>
    </row>
    <row r="1398" spans="1:20" x14ac:dyDescent="0.25">
      <c r="A1398" s="274" t="s">
        <v>78</v>
      </c>
      <c r="B1398" s="274" t="s">
        <v>79</v>
      </c>
      <c r="C1398" s="274" t="s">
        <v>3741</v>
      </c>
      <c r="D1398" s="274" t="s">
        <v>3742</v>
      </c>
      <c r="E1398" s="274" t="s">
        <v>59</v>
      </c>
      <c r="F1398" s="274" t="s">
        <v>199</v>
      </c>
      <c r="G1398" s="274" t="s">
        <v>98</v>
      </c>
      <c r="H1398" s="274" t="s">
        <v>99</v>
      </c>
      <c r="I1398" s="274" t="s">
        <v>5737</v>
      </c>
      <c r="J1398" s="274" t="s">
        <v>98</v>
      </c>
      <c r="K1398" s="274" t="s">
        <v>98</v>
      </c>
      <c r="L1398" s="274" t="s">
        <v>5738</v>
      </c>
      <c r="M1398" s="281">
        <v>145776.64000000001</v>
      </c>
      <c r="N1398" s="280">
        <v>48592.160000000003</v>
      </c>
      <c r="O1398" s="280">
        <v>0.16</v>
      </c>
      <c r="P1398" s="280">
        <v>24296.080000000002</v>
      </c>
      <c r="Q1398" s="280">
        <v>24296.080000000002</v>
      </c>
      <c r="R1398" s="280">
        <v>24296.080000000002</v>
      </c>
      <c r="S1398" s="280">
        <v>24296.080000000002</v>
      </c>
      <c r="T1398" s="297"/>
    </row>
    <row r="1399" spans="1:20" x14ac:dyDescent="0.25">
      <c r="A1399" s="274" t="s">
        <v>78</v>
      </c>
      <c r="B1399" s="274" t="s">
        <v>79</v>
      </c>
      <c r="C1399" s="274" t="s">
        <v>3741</v>
      </c>
      <c r="D1399" s="274" t="s">
        <v>3742</v>
      </c>
      <c r="E1399" s="274" t="s">
        <v>59</v>
      </c>
      <c r="F1399" s="274" t="s">
        <v>199</v>
      </c>
      <c r="G1399" s="274" t="s">
        <v>98</v>
      </c>
      <c r="H1399" s="274" t="s">
        <v>99</v>
      </c>
      <c r="I1399" s="274" t="s">
        <v>5739</v>
      </c>
      <c r="J1399" s="274" t="s">
        <v>98</v>
      </c>
      <c r="K1399" s="274" t="s">
        <v>98</v>
      </c>
      <c r="L1399" s="274" t="s">
        <v>5740</v>
      </c>
      <c r="M1399" s="281">
        <v>58002.96</v>
      </c>
      <c r="N1399" s="280">
        <v>9667.16</v>
      </c>
      <c r="O1399" s="280">
        <v>9667.16</v>
      </c>
      <c r="P1399" s="280">
        <v>9667.16</v>
      </c>
      <c r="Q1399" s="280">
        <v>9667.16</v>
      </c>
      <c r="R1399" s="280">
        <v>9667.16</v>
      </c>
      <c r="S1399" s="280">
        <v>9667.16</v>
      </c>
      <c r="T1399" s="297"/>
    </row>
    <row r="1400" spans="1:20" x14ac:dyDescent="0.25">
      <c r="A1400" s="274" t="s">
        <v>78</v>
      </c>
      <c r="B1400" s="274" t="s">
        <v>79</v>
      </c>
      <c r="C1400" s="274" t="s">
        <v>3741</v>
      </c>
      <c r="D1400" s="274" t="s">
        <v>3742</v>
      </c>
      <c r="E1400" s="274" t="s">
        <v>59</v>
      </c>
      <c r="F1400" s="274" t="s">
        <v>199</v>
      </c>
      <c r="G1400" s="274" t="s">
        <v>98</v>
      </c>
      <c r="H1400" s="274" t="s">
        <v>99</v>
      </c>
      <c r="I1400" s="274" t="s">
        <v>5088</v>
      </c>
      <c r="J1400" s="274" t="s">
        <v>98</v>
      </c>
      <c r="K1400" s="274" t="s">
        <v>98</v>
      </c>
      <c r="L1400" s="274" t="s">
        <v>5741</v>
      </c>
      <c r="M1400" s="281">
        <v>-36000</v>
      </c>
      <c r="N1400" s="280">
        <v>-36000</v>
      </c>
      <c r="O1400" s="280"/>
      <c r="P1400" s="280"/>
      <c r="Q1400" s="280"/>
      <c r="R1400" s="280"/>
      <c r="S1400" s="280"/>
      <c r="T1400" s="297"/>
    </row>
    <row r="1401" spans="1:20" x14ac:dyDescent="0.25">
      <c r="A1401" s="274" t="s">
        <v>78</v>
      </c>
      <c r="B1401" s="274" t="s">
        <v>79</v>
      </c>
      <c r="C1401" s="274" t="s">
        <v>3741</v>
      </c>
      <c r="D1401" s="274" t="s">
        <v>3742</v>
      </c>
      <c r="E1401" s="274" t="s">
        <v>59</v>
      </c>
      <c r="F1401" s="274" t="s">
        <v>199</v>
      </c>
      <c r="G1401" s="274" t="s">
        <v>98</v>
      </c>
      <c r="H1401" s="274" t="s">
        <v>99</v>
      </c>
      <c r="I1401" s="274" t="s">
        <v>5295</v>
      </c>
      <c r="J1401" s="274" t="s">
        <v>98</v>
      </c>
      <c r="K1401" s="274" t="s">
        <v>98</v>
      </c>
      <c r="L1401" s="274" t="s">
        <v>5296</v>
      </c>
      <c r="M1401" s="281">
        <v>-81135.91</v>
      </c>
      <c r="N1401" s="280">
        <v>-162271.81</v>
      </c>
      <c r="O1401" s="280">
        <v>27045.3</v>
      </c>
      <c r="P1401" s="280">
        <v>13522.65</v>
      </c>
      <c r="Q1401" s="280">
        <v>13522.65</v>
      </c>
      <c r="R1401" s="280">
        <v>13522.65</v>
      </c>
      <c r="S1401" s="280">
        <v>13522.65</v>
      </c>
      <c r="T1401" s="297"/>
    </row>
    <row r="1402" spans="1:20" x14ac:dyDescent="0.25">
      <c r="A1402" s="274" t="s">
        <v>78</v>
      </c>
      <c r="B1402" s="274" t="s">
        <v>79</v>
      </c>
      <c r="C1402" s="274" t="s">
        <v>3741</v>
      </c>
      <c r="D1402" s="274" t="s">
        <v>3742</v>
      </c>
      <c r="E1402" s="274" t="s">
        <v>59</v>
      </c>
      <c r="F1402" s="274" t="s">
        <v>199</v>
      </c>
      <c r="G1402" s="274" t="s">
        <v>98</v>
      </c>
      <c r="H1402" s="274" t="s">
        <v>99</v>
      </c>
      <c r="I1402" s="274" t="s">
        <v>5742</v>
      </c>
      <c r="J1402" s="274" t="s">
        <v>98</v>
      </c>
      <c r="K1402" s="274" t="s">
        <v>98</v>
      </c>
      <c r="L1402" s="274" t="s">
        <v>5743</v>
      </c>
      <c r="M1402" s="281">
        <v>-115241.52</v>
      </c>
      <c r="N1402" s="280">
        <v>-211276.17</v>
      </c>
      <c r="O1402" s="280">
        <v>19206.93</v>
      </c>
      <c r="P1402" s="280">
        <v>19206.93</v>
      </c>
      <c r="Q1402" s="280">
        <v>19206.93</v>
      </c>
      <c r="R1402" s="280">
        <v>19206.93</v>
      </c>
      <c r="S1402" s="280">
        <v>19206.93</v>
      </c>
      <c r="T1402" s="297"/>
    </row>
    <row r="1403" spans="1:20" x14ac:dyDescent="0.25">
      <c r="A1403" s="274" t="s">
        <v>78</v>
      </c>
      <c r="B1403" s="274" t="s">
        <v>79</v>
      </c>
      <c r="C1403" s="274" t="s">
        <v>3741</v>
      </c>
      <c r="D1403" s="274" t="s">
        <v>3742</v>
      </c>
      <c r="E1403" s="274" t="s">
        <v>59</v>
      </c>
      <c r="F1403" s="274" t="s">
        <v>199</v>
      </c>
      <c r="G1403" s="274" t="s">
        <v>98</v>
      </c>
      <c r="H1403" s="274" t="s">
        <v>99</v>
      </c>
      <c r="I1403" s="274" t="s">
        <v>5744</v>
      </c>
      <c r="J1403" s="274" t="s">
        <v>98</v>
      </c>
      <c r="K1403" s="274" t="s">
        <v>98</v>
      </c>
      <c r="L1403" s="274" t="s">
        <v>5745</v>
      </c>
      <c r="M1403" s="281">
        <v>-44327.48</v>
      </c>
      <c r="N1403" s="280">
        <v>-81267.08</v>
      </c>
      <c r="O1403" s="280">
        <v>7387.92</v>
      </c>
      <c r="P1403" s="280">
        <v>7387.92</v>
      </c>
      <c r="Q1403" s="280">
        <v>7387.92</v>
      </c>
      <c r="R1403" s="280">
        <v>7387.92</v>
      </c>
      <c r="S1403" s="280">
        <v>7387.92</v>
      </c>
      <c r="T1403" s="297"/>
    </row>
    <row r="1404" spans="1:20" x14ac:dyDescent="0.25">
      <c r="A1404" s="274" t="s">
        <v>78</v>
      </c>
      <c r="B1404" s="274" t="s">
        <v>79</v>
      </c>
      <c r="C1404" s="274" t="s">
        <v>3741</v>
      </c>
      <c r="D1404" s="274" t="s">
        <v>3742</v>
      </c>
      <c r="E1404" s="274" t="s">
        <v>59</v>
      </c>
      <c r="F1404" s="274" t="s">
        <v>199</v>
      </c>
      <c r="G1404" s="274" t="s">
        <v>98</v>
      </c>
      <c r="H1404" s="274" t="s">
        <v>99</v>
      </c>
      <c r="I1404" s="274" t="s">
        <v>5746</v>
      </c>
      <c r="J1404" s="274" t="s">
        <v>98</v>
      </c>
      <c r="K1404" s="274" t="s">
        <v>98</v>
      </c>
      <c r="L1404" s="274" t="s">
        <v>5747</v>
      </c>
      <c r="M1404" s="281">
        <v>-62155.9</v>
      </c>
      <c r="N1404" s="280">
        <v>-62155.9</v>
      </c>
      <c r="O1404" s="280"/>
      <c r="P1404" s="280"/>
      <c r="Q1404" s="280"/>
      <c r="R1404" s="280"/>
      <c r="S1404" s="280"/>
      <c r="T1404" s="297"/>
    </row>
    <row r="1405" spans="1:20" x14ac:dyDescent="0.25">
      <c r="A1405" s="274" t="s">
        <v>78</v>
      </c>
      <c r="B1405" s="274" t="s">
        <v>79</v>
      </c>
      <c r="C1405" s="274" t="s">
        <v>3741</v>
      </c>
      <c r="D1405" s="274" t="s">
        <v>3742</v>
      </c>
      <c r="E1405" s="274" t="s">
        <v>59</v>
      </c>
      <c r="F1405" s="274" t="s">
        <v>199</v>
      </c>
      <c r="G1405" s="274" t="s">
        <v>98</v>
      </c>
      <c r="H1405" s="274" t="s">
        <v>99</v>
      </c>
      <c r="I1405" s="274" t="s">
        <v>5748</v>
      </c>
      <c r="J1405" s="274" t="s">
        <v>98</v>
      </c>
      <c r="K1405" s="274" t="s">
        <v>98</v>
      </c>
      <c r="L1405" s="274" t="s">
        <v>5747</v>
      </c>
      <c r="M1405" s="281">
        <v>31077.96</v>
      </c>
      <c r="N1405" s="280">
        <v>5179.66</v>
      </c>
      <c r="O1405" s="280">
        <v>5179.66</v>
      </c>
      <c r="P1405" s="280">
        <v>5179.66</v>
      </c>
      <c r="Q1405" s="280">
        <v>5179.66</v>
      </c>
      <c r="R1405" s="280">
        <v>5179.66</v>
      </c>
      <c r="S1405" s="280">
        <v>5179.66</v>
      </c>
      <c r="T1405" s="297"/>
    </row>
    <row r="1406" spans="1:20" x14ac:dyDescent="0.25">
      <c r="A1406" s="274" t="s">
        <v>78</v>
      </c>
      <c r="B1406" s="274" t="s">
        <v>79</v>
      </c>
      <c r="C1406" s="274" t="s">
        <v>3741</v>
      </c>
      <c r="D1406" s="274" t="s">
        <v>3742</v>
      </c>
      <c r="E1406" s="274" t="s">
        <v>59</v>
      </c>
      <c r="F1406" s="274" t="s">
        <v>199</v>
      </c>
      <c r="G1406" s="274" t="s">
        <v>98</v>
      </c>
      <c r="H1406" s="274" t="s">
        <v>99</v>
      </c>
      <c r="I1406" s="274" t="s">
        <v>5749</v>
      </c>
      <c r="J1406" s="274" t="s">
        <v>98</v>
      </c>
      <c r="K1406" s="274" t="s">
        <v>98</v>
      </c>
      <c r="L1406" s="274" t="s">
        <v>5750</v>
      </c>
      <c r="M1406" s="281">
        <v>-164499.98000000001</v>
      </c>
      <c r="N1406" s="280">
        <v>-301583.33</v>
      </c>
      <c r="O1406" s="280">
        <v>27416.67</v>
      </c>
      <c r="P1406" s="280">
        <v>27416.67</v>
      </c>
      <c r="Q1406" s="280">
        <v>27416.67</v>
      </c>
      <c r="R1406" s="280">
        <v>27416.67</v>
      </c>
      <c r="S1406" s="280">
        <v>27416.67</v>
      </c>
      <c r="T1406" s="297"/>
    </row>
    <row r="1407" spans="1:20" x14ac:dyDescent="0.25">
      <c r="A1407" s="274" t="s">
        <v>78</v>
      </c>
      <c r="B1407" s="274" t="s">
        <v>79</v>
      </c>
      <c r="C1407" s="274" t="s">
        <v>3741</v>
      </c>
      <c r="D1407" s="274" t="s">
        <v>3742</v>
      </c>
      <c r="E1407" s="274" t="s">
        <v>59</v>
      </c>
      <c r="F1407" s="274" t="s">
        <v>199</v>
      </c>
      <c r="G1407" s="274" t="s">
        <v>98</v>
      </c>
      <c r="H1407" s="274" t="s">
        <v>99</v>
      </c>
      <c r="I1407" s="274" t="s">
        <v>5090</v>
      </c>
      <c r="J1407" s="274" t="s">
        <v>98</v>
      </c>
      <c r="K1407" s="274" t="s">
        <v>98</v>
      </c>
      <c r="L1407" s="274" t="s">
        <v>5075</v>
      </c>
      <c r="M1407" s="281">
        <v>-97877.77</v>
      </c>
      <c r="N1407" s="280">
        <v>-97877.77</v>
      </c>
      <c r="O1407" s="280"/>
      <c r="P1407" s="280"/>
      <c r="Q1407" s="280"/>
      <c r="R1407" s="280"/>
      <c r="S1407" s="280"/>
      <c r="T1407" s="297"/>
    </row>
    <row r="1408" spans="1:20" x14ac:dyDescent="0.25">
      <c r="A1408" s="274" t="s">
        <v>78</v>
      </c>
      <c r="B1408" s="274" t="s">
        <v>79</v>
      </c>
      <c r="C1408" s="274" t="s">
        <v>3741</v>
      </c>
      <c r="D1408" s="274" t="s">
        <v>3742</v>
      </c>
      <c r="E1408" s="274" t="s">
        <v>59</v>
      </c>
      <c r="F1408" s="274" t="s">
        <v>199</v>
      </c>
      <c r="G1408" s="274" t="s">
        <v>98</v>
      </c>
      <c r="H1408" s="274" t="s">
        <v>99</v>
      </c>
      <c r="I1408" s="274" t="s">
        <v>5751</v>
      </c>
      <c r="J1408" s="274" t="s">
        <v>98</v>
      </c>
      <c r="K1408" s="274" t="s">
        <v>98</v>
      </c>
      <c r="L1408" s="274" t="s">
        <v>5752</v>
      </c>
      <c r="M1408" s="281">
        <v>-40006</v>
      </c>
      <c r="N1408" s="280"/>
      <c r="O1408" s="280">
        <v>-62866.6</v>
      </c>
      <c r="P1408" s="280">
        <v>5715.15</v>
      </c>
      <c r="Q1408" s="280">
        <v>5715.15</v>
      </c>
      <c r="R1408" s="280">
        <v>5715.15</v>
      </c>
      <c r="S1408" s="280">
        <v>5715.15</v>
      </c>
      <c r="T1408" s="297"/>
    </row>
    <row r="1409" spans="1:20" x14ac:dyDescent="0.25">
      <c r="A1409" s="274" t="s">
        <v>78</v>
      </c>
      <c r="B1409" s="274" t="s">
        <v>79</v>
      </c>
      <c r="C1409" s="274" t="s">
        <v>3741</v>
      </c>
      <c r="D1409" s="274" t="s">
        <v>3742</v>
      </c>
      <c r="E1409" s="274" t="s">
        <v>59</v>
      </c>
      <c r="F1409" s="274" t="s">
        <v>199</v>
      </c>
      <c r="G1409" s="274" t="s">
        <v>98</v>
      </c>
      <c r="H1409" s="274" t="s">
        <v>99</v>
      </c>
      <c r="I1409" s="274" t="s">
        <v>5091</v>
      </c>
      <c r="J1409" s="274" t="s">
        <v>98</v>
      </c>
      <c r="K1409" s="274" t="s">
        <v>98</v>
      </c>
      <c r="L1409" s="274" t="s">
        <v>5092</v>
      </c>
      <c r="M1409" s="281">
        <v>-182709.27</v>
      </c>
      <c r="N1409" s="280"/>
      <c r="O1409" s="280">
        <v>-287114.55</v>
      </c>
      <c r="P1409" s="280">
        <v>26101.32</v>
      </c>
      <c r="Q1409" s="280">
        <v>26101.32</v>
      </c>
      <c r="R1409" s="280">
        <v>26101.32</v>
      </c>
      <c r="S1409" s="280">
        <v>26101.32</v>
      </c>
      <c r="T1409" s="297"/>
    </row>
    <row r="1410" spans="1:20" x14ac:dyDescent="0.25">
      <c r="A1410" s="274" t="s">
        <v>78</v>
      </c>
      <c r="B1410" s="274" t="s">
        <v>79</v>
      </c>
      <c r="C1410" s="274" t="s">
        <v>3741</v>
      </c>
      <c r="D1410" s="274" t="s">
        <v>3742</v>
      </c>
      <c r="E1410" s="274" t="s">
        <v>59</v>
      </c>
      <c r="F1410" s="274" t="s">
        <v>199</v>
      </c>
      <c r="G1410" s="274" t="s">
        <v>98</v>
      </c>
      <c r="H1410" s="274" t="s">
        <v>99</v>
      </c>
      <c r="I1410" s="274" t="s">
        <v>5297</v>
      </c>
      <c r="J1410" s="274" t="s">
        <v>98</v>
      </c>
      <c r="K1410" s="274" t="s">
        <v>98</v>
      </c>
      <c r="L1410" s="274" t="s">
        <v>5298</v>
      </c>
      <c r="M1410" s="281">
        <v>-67491.62</v>
      </c>
      <c r="N1410" s="280"/>
      <c r="O1410" s="280">
        <v>-106058.26</v>
      </c>
      <c r="P1410" s="280">
        <v>9641.66</v>
      </c>
      <c r="Q1410" s="280">
        <v>9641.66</v>
      </c>
      <c r="R1410" s="280">
        <v>9641.66</v>
      </c>
      <c r="S1410" s="280">
        <v>9641.66</v>
      </c>
      <c r="T1410" s="297"/>
    </row>
    <row r="1411" spans="1:20" x14ac:dyDescent="0.25">
      <c r="A1411" s="274" t="s">
        <v>78</v>
      </c>
      <c r="B1411" s="274" t="s">
        <v>79</v>
      </c>
      <c r="C1411" s="274" t="s">
        <v>3741</v>
      </c>
      <c r="D1411" s="274" t="s">
        <v>3742</v>
      </c>
      <c r="E1411" s="274" t="s">
        <v>59</v>
      </c>
      <c r="F1411" s="274" t="s">
        <v>199</v>
      </c>
      <c r="G1411" s="274" t="s">
        <v>98</v>
      </c>
      <c r="H1411" s="274" t="s">
        <v>99</v>
      </c>
      <c r="I1411" s="274" t="s">
        <v>5753</v>
      </c>
      <c r="J1411" s="274" t="s">
        <v>98</v>
      </c>
      <c r="K1411" s="274" t="s">
        <v>98</v>
      </c>
      <c r="L1411" s="274" t="s">
        <v>5754</v>
      </c>
      <c r="M1411" s="281">
        <v>-131771.45000000001</v>
      </c>
      <c r="N1411" s="280"/>
      <c r="O1411" s="280">
        <v>-219619.09</v>
      </c>
      <c r="P1411" s="280">
        <v>21961.91</v>
      </c>
      <c r="Q1411" s="280">
        <v>21961.91</v>
      </c>
      <c r="R1411" s="280">
        <v>21961.91</v>
      </c>
      <c r="S1411" s="280">
        <v>21961.91</v>
      </c>
      <c r="T1411" s="297"/>
    </row>
    <row r="1412" spans="1:20" x14ac:dyDescent="0.25">
      <c r="A1412" s="274" t="s">
        <v>78</v>
      </c>
      <c r="B1412" s="274" t="s">
        <v>79</v>
      </c>
      <c r="C1412" s="274" t="s">
        <v>3741</v>
      </c>
      <c r="D1412" s="274" t="s">
        <v>3742</v>
      </c>
      <c r="E1412" s="274" t="s">
        <v>59</v>
      </c>
      <c r="F1412" s="274" t="s">
        <v>199</v>
      </c>
      <c r="G1412" s="274" t="s">
        <v>98</v>
      </c>
      <c r="H1412" s="274" t="s">
        <v>99</v>
      </c>
      <c r="I1412" s="274" t="s">
        <v>5755</v>
      </c>
      <c r="J1412" s="274" t="s">
        <v>98</v>
      </c>
      <c r="K1412" s="274" t="s">
        <v>98</v>
      </c>
      <c r="L1412" s="274" t="s">
        <v>5756</v>
      </c>
      <c r="M1412" s="281">
        <v>-75083.19</v>
      </c>
      <c r="N1412" s="280"/>
      <c r="O1412" s="280">
        <v>-117987.87</v>
      </c>
      <c r="P1412" s="280">
        <v>10726.17</v>
      </c>
      <c r="Q1412" s="280">
        <v>10726.17</v>
      </c>
      <c r="R1412" s="280">
        <v>10726.17</v>
      </c>
      <c r="S1412" s="280">
        <v>10726.17</v>
      </c>
      <c r="T1412" s="297"/>
    </row>
    <row r="1413" spans="1:20" x14ac:dyDescent="0.25">
      <c r="A1413" s="274" t="s">
        <v>78</v>
      </c>
      <c r="B1413" s="274" t="s">
        <v>79</v>
      </c>
      <c r="C1413" s="274" t="s">
        <v>3741</v>
      </c>
      <c r="D1413" s="274" t="s">
        <v>3742</v>
      </c>
      <c r="E1413" s="274" t="s">
        <v>59</v>
      </c>
      <c r="F1413" s="274" t="s">
        <v>199</v>
      </c>
      <c r="G1413" s="274" t="s">
        <v>98</v>
      </c>
      <c r="H1413" s="274" t="s">
        <v>99</v>
      </c>
      <c r="I1413" s="274" t="s">
        <v>5095</v>
      </c>
      <c r="J1413" s="274" t="s">
        <v>98</v>
      </c>
      <c r="K1413" s="274" t="s">
        <v>98</v>
      </c>
      <c r="L1413" s="274" t="s">
        <v>5096</v>
      </c>
      <c r="M1413" s="281">
        <v>-36150.550000000003</v>
      </c>
      <c r="N1413" s="280"/>
      <c r="O1413" s="280">
        <v>-60250.91</v>
      </c>
      <c r="P1413" s="280">
        <v>6025.09</v>
      </c>
      <c r="Q1413" s="280">
        <v>6025.09</v>
      </c>
      <c r="R1413" s="280">
        <v>6025.09</v>
      </c>
      <c r="S1413" s="280">
        <v>6025.09</v>
      </c>
      <c r="T1413" s="297"/>
    </row>
    <row r="1414" spans="1:20" x14ac:dyDescent="0.25">
      <c r="A1414" s="274" t="s">
        <v>78</v>
      </c>
      <c r="B1414" s="274" t="s">
        <v>79</v>
      </c>
      <c r="C1414" s="274" t="s">
        <v>3741</v>
      </c>
      <c r="D1414" s="274" t="s">
        <v>3742</v>
      </c>
      <c r="E1414" s="274" t="s">
        <v>59</v>
      </c>
      <c r="F1414" s="274" t="s">
        <v>199</v>
      </c>
      <c r="G1414" s="274" t="s">
        <v>98</v>
      </c>
      <c r="H1414" s="274" t="s">
        <v>99</v>
      </c>
      <c r="I1414" s="274" t="s">
        <v>5757</v>
      </c>
      <c r="J1414" s="274" t="s">
        <v>98</v>
      </c>
      <c r="K1414" s="274" t="s">
        <v>98</v>
      </c>
      <c r="L1414" s="274" t="s">
        <v>5358</v>
      </c>
      <c r="M1414" s="281">
        <v>-72888.240000000005</v>
      </c>
      <c r="N1414" s="280"/>
      <c r="O1414" s="280"/>
      <c r="P1414" s="280">
        <v>-72888.240000000005</v>
      </c>
      <c r="Q1414" s="280"/>
      <c r="R1414" s="280"/>
      <c r="S1414" s="280"/>
      <c r="T1414" s="297"/>
    </row>
    <row r="1415" spans="1:20" x14ac:dyDescent="0.25">
      <c r="A1415" s="274" t="s">
        <v>78</v>
      </c>
      <c r="B1415" s="274" t="s">
        <v>79</v>
      </c>
      <c r="C1415" s="274" t="s">
        <v>3741</v>
      </c>
      <c r="D1415" s="274" t="s">
        <v>3742</v>
      </c>
      <c r="E1415" s="274" t="s">
        <v>59</v>
      </c>
      <c r="F1415" s="274" t="s">
        <v>199</v>
      </c>
      <c r="G1415" s="274" t="s">
        <v>98</v>
      </c>
      <c r="H1415" s="274" t="s">
        <v>99</v>
      </c>
      <c r="I1415" s="274" t="s">
        <v>5757</v>
      </c>
      <c r="J1415" s="274" t="s">
        <v>98</v>
      </c>
      <c r="K1415" s="274" t="s">
        <v>98</v>
      </c>
      <c r="L1415" s="274" t="s">
        <v>5758</v>
      </c>
      <c r="M1415" s="281">
        <v>72888.240000000005</v>
      </c>
      <c r="N1415" s="280"/>
      <c r="O1415" s="280"/>
      <c r="P1415" s="280">
        <v>24296.080000000002</v>
      </c>
      <c r="Q1415" s="280">
        <v>24296.080000000002</v>
      </c>
      <c r="R1415" s="280">
        <v>24296.080000000002</v>
      </c>
      <c r="S1415" s="280"/>
      <c r="T1415" s="297"/>
    </row>
    <row r="1416" spans="1:20" x14ac:dyDescent="0.25">
      <c r="A1416" s="274" t="s">
        <v>78</v>
      </c>
      <c r="B1416" s="274" t="s">
        <v>79</v>
      </c>
      <c r="C1416" s="274" t="s">
        <v>3741</v>
      </c>
      <c r="D1416" s="274" t="s">
        <v>3742</v>
      </c>
      <c r="E1416" s="274" t="s">
        <v>59</v>
      </c>
      <c r="F1416" s="274" t="s">
        <v>199</v>
      </c>
      <c r="G1416" s="274" t="s">
        <v>98</v>
      </c>
      <c r="H1416" s="274" t="s">
        <v>99</v>
      </c>
      <c r="I1416" s="274" t="s">
        <v>5759</v>
      </c>
      <c r="J1416" s="274" t="s">
        <v>98</v>
      </c>
      <c r="K1416" s="274" t="s">
        <v>98</v>
      </c>
      <c r="L1416" s="274" t="s">
        <v>5452</v>
      </c>
      <c r="M1416" s="281">
        <v>-99447.5</v>
      </c>
      <c r="N1416" s="280"/>
      <c r="O1416" s="280"/>
      <c r="P1416" s="280">
        <v>-99447.5</v>
      </c>
      <c r="Q1416" s="280"/>
      <c r="R1416" s="280"/>
      <c r="S1416" s="280"/>
      <c r="T1416" s="297"/>
    </row>
    <row r="1417" spans="1:20" x14ac:dyDescent="0.25">
      <c r="A1417" s="274" t="s">
        <v>78</v>
      </c>
      <c r="B1417" s="274" t="s">
        <v>79</v>
      </c>
      <c r="C1417" s="274" t="s">
        <v>3741</v>
      </c>
      <c r="D1417" s="274" t="s">
        <v>3742</v>
      </c>
      <c r="E1417" s="274" t="s">
        <v>59</v>
      </c>
      <c r="F1417" s="274" t="s">
        <v>199</v>
      </c>
      <c r="G1417" s="274" t="s">
        <v>98</v>
      </c>
      <c r="H1417" s="274" t="s">
        <v>99</v>
      </c>
      <c r="I1417" s="274" t="s">
        <v>5759</v>
      </c>
      <c r="J1417" s="274" t="s">
        <v>98</v>
      </c>
      <c r="K1417" s="274" t="s">
        <v>98</v>
      </c>
      <c r="L1417" s="274" t="s">
        <v>5760</v>
      </c>
      <c r="M1417" s="281">
        <v>66298.320000000007</v>
      </c>
      <c r="N1417" s="280"/>
      <c r="O1417" s="280"/>
      <c r="P1417" s="280">
        <v>16574.580000000002</v>
      </c>
      <c r="Q1417" s="280">
        <v>16574.580000000002</v>
      </c>
      <c r="R1417" s="280">
        <v>16574.580000000002</v>
      </c>
      <c r="S1417" s="280">
        <v>16574.580000000002</v>
      </c>
      <c r="T1417" s="297"/>
    </row>
    <row r="1418" spans="1:20" x14ac:dyDescent="0.25">
      <c r="A1418" s="274" t="s">
        <v>78</v>
      </c>
      <c r="B1418" s="274" t="s">
        <v>79</v>
      </c>
      <c r="C1418" s="274" t="s">
        <v>3741</v>
      </c>
      <c r="D1418" s="274" t="s">
        <v>3742</v>
      </c>
      <c r="E1418" s="274" t="s">
        <v>59</v>
      </c>
      <c r="F1418" s="274" t="s">
        <v>199</v>
      </c>
      <c r="G1418" s="274" t="s">
        <v>98</v>
      </c>
      <c r="H1418" s="274" t="s">
        <v>99</v>
      </c>
      <c r="I1418" s="274" t="s">
        <v>5761</v>
      </c>
      <c r="J1418" s="274" t="s">
        <v>98</v>
      </c>
      <c r="K1418" s="274" t="s">
        <v>98</v>
      </c>
      <c r="L1418" s="274" t="s">
        <v>5529</v>
      </c>
      <c r="M1418" s="281">
        <v>-109800</v>
      </c>
      <c r="N1418" s="280"/>
      <c r="O1418" s="280"/>
      <c r="P1418" s="280">
        <v>-109800</v>
      </c>
      <c r="Q1418" s="280"/>
      <c r="R1418" s="280"/>
      <c r="S1418" s="280"/>
      <c r="T1418" s="297"/>
    </row>
    <row r="1419" spans="1:20" x14ac:dyDescent="0.25">
      <c r="A1419" s="274" t="s">
        <v>78</v>
      </c>
      <c r="B1419" s="274" t="s">
        <v>79</v>
      </c>
      <c r="C1419" s="274" t="s">
        <v>3741</v>
      </c>
      <c r="D1419" s="274" t="s">
        <v>3742</v>
      </c>
      <c r="E1419" s="274" t="s">
        <v>59</v>
      </c>
      <c r="F1419" s="274" t="s">
        <v>199</v>
      </c>
      <c r="G1419" s="274" t="s">
        <v>98</v>
      </c>
      <c r="H1419" s="274" t="s">
        <v>99</v>
      </c>
      <c r="I1419" s="274" t="s">
        <v>5761</v>
      </c>
      <c r="J1419" s="274" t="s">
        <v>98</v>
      </c>
      <c r="K1419" s="274" t="s">
        <v>98</v>
      </c>
      <c r="L1419" s="274" t="s">
        <v>5762</v>
      </c>
      <c r="M1419" s="281">
        <v>36600</v>
      </c>
      <c r="N1419" s="280"/>
      <c r="O1419" s="280"/>
      <c r="P1419" s="280">
        <v>9150</v>
      </c>
      <c r="Q1419" s="280">
        <v>9150</v>
      </c>
      <c r="R1419" s="280">
        <v>9150</v>
      </c>
      <c r="S1419" s="280">
        <v>9150</v>
      </c>
      <c r="T1419" s="297"/>
    </row>
    <row r="1420" spans="1:20" x14ac:dyDescent="0.25">
      <c r="A1420" s="274" t="s">
        <v>78</v>
      </c>
      <c r="B1420" s="274" t="s">
        <v>79</v>
      </c>
      <c r="C1420" s="274" t="s">
        <v>3741</v>
      </c>
      <c r="D1420" s="274" t="s">
        <v>3742</v>
      </c>
      <c r="E1420" s="274" t="s">
        <v>59</v>
      </c>
      <c r="F1420" s="274" t="s">
        <v>199</v>
      </c>
      <c r="G1420" s="274" t="s">
        <v>98</v>
      </c>
      <c r="H1420" s="274" t="s">
        <v>99</v>
      </c>
      <c r="I1420" s="274" t="s">
        <v>6492</v>
      </c>
      <c r="J1420" s="274" t="s">
        <v>98</v>
      </c>
      <c r="K1420" s="274" t="s">
        <v>98</v>
      </c>
      <c r="L1420" s="274" t="s">
        <v>6470</v>
      </c>
      <c r="M1420" s="281">
        <v>18934.169999999998</v>
      </c>
      <c r="N1420" s="280"/>
      <c r="O1420" s="280"/>
      <c r="P1420" s="280"/>
      <c r="Q1420" s="280"/>
      <c r="R1420" s="280"/>
      <c r="S1420" s="280">
        <v>18934.169999999998</v>
      </c>
      <c r="T1420" s="297"/>
    </row>
    <row r="1421" spans="1:20" x14ac:dyDescent="0.25">
      <c r="A1421" s="274" t="s">
        <v>78</v>
      </c>
      <c r="B1421" s="274" t="s">
        <v>79</v>
      </c>
      <c r="C1421" s="274" t="s">
        <v>3741</v>
      </c>
      <c r="D1421" s="274" t="s">
        <v>3742</v>
      </c>
      <c r="E1421" s="274" t="s">
        <v>59</v>
      </c>
      <c r="F1421" s="274" t="s">
        <v>199</v>
      </c>
      <c r="G1421" s="274" t="s">
        <v>98</v>
      </c>
      <c r="H1421" s="274" t="s">
        <v>99</v>
      </c>
      <c r="I1421" s="274" t="s">
        <v>5763</v>
      </c>
      <c r="J1421" s="274" t="s">
        <v>98</v>
      </c>
      <c r="K1421" s="274" t="s">
        <v>98</v>
      </c>
      <c r="L1421" s="274" t="s">
        <v>5462</v>
      </c>
      <c r="M1421" s="281">
        <v>-130566.61</v>
      </c>
      <c r="N1421" s="280"/>
      <c r="O1421" s="280"/>
      <c r="P1421" s="280"/>
      <c r="Q1421" s="280">
        <v>-130566.61</v>
      </c>
      <c r="R1421" s="280"/>
      <c r="S1421" s="280"/>
      <c r="T1421" s="297"/>
    </row>
    <row r="1422" spans="1:20" x14ac:dyDescent="0.25">
      <c r="A1422" s="274" t="s">
        <v>78</v>
      </c>
      <c r="B1422" s="274" t="s">
        <v>79</v>
      </c>
      <c r="C1422" s="274" t="s">
        <v>3741</v>
      </c>
      <c r="D1422" s="274" t="s">
        <v>3742</v>
      </c>
      <c r="E1422" s="274" t="s">
        <v>59</v>
      </c>
      <c r="F1422" s="274" t="s">
        <v>199</v>
      </c>
      <c r="G1422" s="274" t="s">
        <v>98</v>
      </c>
      <c r="H1422" s="274" t="s">
        <v>99</v>
      </c>
      <c r="I1422" s="274" t="s">
        <v>5763</v>
      </c>
      <c r="J1422" s="274" t="s">
        <v>98</v>
      </c>
      <c r="K1422" s="274" t="s">
        <v>98</v>
      </c>
      <c r="L1422" s="274" t="s">
        <v>5764</v>
      </c>
      <c r="M1422" s="281">
        <v>32641.65</v>
      </c>
      <c r="N1422" s="280"/>
      <c r="O1422" s="280"/>
      <c r="P1422" s="280"/>
      <c r="Q1422" s="280">
        <v>10880.55</v>
      </c>
      <c r="R1422" s="280">
        <v>10880.55</v>
      </c>
      <c r="S1422" s="280">
        <v>10880.55</v>
      </c>
      <c r="T1422" s="297"/>
    </row>
    <row r="1423" spans="1:20" x14ac:dyDescent="0.25">
      <c r="A1423" s="274" t="s">
        <v>78</v>
      </c>
      <c r="B1423" s="274" t="s">
        <v>79</v>
      </c>
      <c r="C1423" s="274" t="s">
        <v>3741</v>
      </c>
      <c r="D1423" s="274" t="s">
        <v>3742</v>
      </c>
      <c r="E1423" s="274" t="s">
        <v>59</v>
      </c>
      <c r="F1423" s="274" t="s">
        <v>199</v>
      </c>
      <c r="G1423" s="274" t="s">
        <v>98</v>
      </c>
      <c r="H1423" s="274" t="s">
        <v>99</v>
      </c>
      <c r="I1423" s="274" t="s">
        <v>5765</v>
      </c>
      <c r="J1423" s="274" t="s">
        <v>98</v>
      </c>
      <c r="K1423" s="274" t="s">
        <v>98</v>
      </c>
      <c r="L1423" s="274" t="s">
        <v>5376</v>
      </c>
      <c r="M1423" s="281">
        <v>-112327.58</v>
      </c>
      <c r="N1423" s="280"/>
      <c r="O1423" s="280"/>
      <c r="P1423" s="280"/>
      <c r="Q1423" s="280">
        <v>-112327.58</v>
      </c>
      <c r="R1423" s="280"/>
      <c r="S1423" s="280"/>
      <c r="T1423" s="297"/>
    </row>
    <row r="1424" spans="1:20" x14ac:dyDescent="0.25">
      <c r="A1424" s="274" t="s">
        <v>78</v>
      </c>
      <c r="B1424" s="274" t="s">
        <v>79</v>
      </c>
      <c r="C1424" s="274" t="s">
        <v>3741</v>
      </c>
      <c r="D1424" s="274" t="s">
        <v>3742</v>
      </c>
      <c r="E1424" s="274" t="s">
        <v>59</v>
      </c>
      <c r="F1424" s="274" t="s">
        <v>199</v>
      </c>
      <c r="G1424" s="274" t="s">
        <v>98</v>
      </c>
      <c r="H1424" s="274" t="s">
        <v>99</v>
      </c>
      <c r="I1424" s="274" t="s">
        <v>5765</v>
      </c>
      <c r="J1424" s="274" t="s">
        <v>98</v>
      </c>
      <c r="K1424" s="274" t="s">
        <v>98</v>
      </c>
      <c r="L1424" s="274" t="s">
        <v>5766</v>
      </c>
      <c r="M1424" s="281">
        <v>28081.89</v>
      </c>
      <c r="N1424" s="280"/>
      <c r="O1424" s="280"/>
      <c r="P1424" s="280"/>
      <c r="Q1424" s="280">
        <v>9360.6299999999992</v>
      </c>
      <c r="R1424" s="280">
        <v>9360.6299999999992</v>
      </c>
      <c r="S1424" s="280">
        <v>9360.6299999999992</v>
      </c>
      <c r="T1424" s="297"/>
    </row>
    <row r="1425" spans="1:20" x14ac:dyDescent="0.25">
      <c r="A1425" s="274" t="s">
        <v>78</v>
      </c>
      <c r="B1425" s="274" t="s">
        <v>79</v>
      </c>
      <c r="C1425" s="274" t="s">
        <v>3741</v>
      </c>
      <c r="D1425" s="274" t="s">
        <v>3742</v>
      </c>
      <c r="E1425" s="274" t="s">
        <v>59</v>
      </c>
      <c r="F1425" s="274" t="s">
        <v>199</v>
      </c>
      <c r="G1425" s="274" t="s">
        <v>98</v>
      </c>
      <c r="H1425" s="274" t="s">
        <v>99</v>
      </c>
      <c r="I1425" s="274" t="s">
        <v>6493</v>
      </c>
      <c r="J1425" s="274" t="s">
        <v>98</v>
      </c>
      <c r="K1425" s="274" t="s">
        <v>98</v>
      </c>
      <c r="L1425" s="274" t="s">
        <v>5537</v>
      </c>
      <c r="M1425" s="281">
        <v>-281677.2</v>
      </c>
      <c r="N1425" s="280"/>
      <c r="O1425" s="280"/>
      <c r="P1425" s="280"/>
      <c r="Q1425" s="280"/>
      <c r="R1425" s="280">
        <v>-281677.2</v>
      </c>
      <c r="S1425" s="280"/>
      <c r="T1425" s="297"/>
    </row>
    <row r="1426" spans="1:20" x14ac:dyDescent="0.25">
      <c r="A1426" s="274" t="s">
        <v>78</v>
      </c>
      <c r="B1426" s="274" t="s">
        <v>79</v>
      </c>
      <c r="C1426" s="274" t="s">
        <v>3741</v>
      </c>
      <c r="D1426" s="274" t="s">
        <v>3742</v>
      </c>
      <c r="E1426" s="274" t="s">
        <v>59</v>
      </c>
      <c r="F1426" s="274" t="s">
        <v>199</v>
      </c>
      <c r="G1426" s="274" t="s">
        <v>98</v>
      </c>
      <c r="H1426" s="274" t="s">
        <v>99</v>
      </c>
      <c r="I1426" s="274" t="s">
        <v>6493</v>
      </c>
      <c r="J1426" s="274" t="s">
        <v>98</v>
      </c>
      <c r="K1426" s="274" t="s">
        <v>98</v>
      </c>
      <c r="L1426" s="274" t="s">
        <v>6494</v>
      </c>
      <c r="M1426" s="281">
        <v>46946.2</v>
      </c>
      <c r="N1426" s="280"/>
      <c r="O1426" s="280"/>
      <c r="P1426" s="280"/>
      <c r="Q1426" s="280"/>
      <c r="R1426" s="280">
        <v>23473.1</v>
      </c>
      <c r="S1426" s="280">
        <v>23473.1</v>
      </c>
      <c r="T1426" s="297"/>
    </row>
    <row r="1427" spans="1:20" x14ac:dyDescent="0.25">
      <c r="A1427" s="274" t="s">
        <v>78</v>
      </c>
      <c r="B1427" s="274" t="s">
        <v>79</v>
      </c>
      <c r="C1427" s="274" t="s">
        <v>3741</v>
      </c>
      <c r="D1427" s="274" t="s">
        <v>3742</v>
      </c>
      <c r="E1427" s="274" t="s">
        <v>59</v>
      </c>
      <c r="F1427" s="274" t="s">
        <v>199</v>
      </c>
      <c r="G1427" s="274" t="s">
        <v>98</v>
      </c>
      <c r="H1427" s="274" t="s">
        <v>99</v>
      </c>
      <c r="I1427" s="274" t="s">
        <v>6495</v>
      </c>
      <c r="J1427" s="274" t="s">
        <v>98</v>
      </c>
      <c r="K1427" s="274" t="s">
        <v>98</v>
      </c>
      <c r="L1427" s="274" t="s">
        <v>5605</v>
      </c>
      <c r="M1427" s="281">
        <v>-77544</v>
      </c>
      <c r="N1427" s="280"/>
      <c r="O1427" s="280"/>
      <c r="P1427" s="280"/>
      <c r="Q1427" s="280"/>
      <c r="R1427" s="280">
        <v>-77544</v>
      </c>
      <c r="S1427" s="280"/>
      <c r="T1427" s="297"/>
    </row>
    <row r="1428" spans="1:20" x14ac:dyDescent="0.25">
      <c r="A1428" s="274" t="s">
        <v>78</v>
      </c>
      <c r="B1428" s="274" t="s">
        <v>79</v>
      </c>
      <c r="C1428" s="274" t="s">
        <v>3741</v>
      </c>
      <c r="D1428" s="274" t="s">
        <v>3742</v>
      </c>
      <c r="E1428" s="274" t="s">
        <v>59</v>
      </c>
      <c r="F1428" s="274" t="s">
        <v>199</v>
      </c>
      <c r="G1428" s="274" t="s">
        <v>98</v>
      </c>
      <c r="H1428" s="274" t="s">
        <v>99</v>
      </c>
      <c r="I1428" s="274" t="s">
        <v>6495</v>
      </c>
      <c r="J1428" s="274" t="s">
        <v>98</v>
      </c>
      <c r="K1428" s="274" t="s">
        <v>98</v>
      </c>
      <c r="L1428" s="274" t="s">
        <v>6496</v>
      </c>
      <c r="M1428" s="281">
        <v>15508.8</v>
      </c>
      <c r="N1428" s="280"/>
      <c r="O1428" s="280"/>
      <c r="P1428" s="280"/>
      <c r="Q1428" s="280"/>
      <c r="R1428" s="280">
        <v>7754.4</v>
      </c>
      <c r="S1428" s="280">
        <v>7754.4</v>
      </c>
      <c r="T1428" s="297"/>
    </row>
    <row r="1429" spans="1:20" x14ac:dyDescent="0.25">
      <c r="A1429" s="274" t="s">
        <v>78</v>
      </c>
      <c r="B1429" s="274" t="s">
        <v>79</v>
      </c>
      <c r="C1429" s="274" t="s">
        <v>3741</v>
      </c>
      <c r="D1429" s="274" t="s">
        <v>3742</v>
      </c>
      <c r="E1429" s="274" t="s">
        <v>59</v>
      </c>
      <c r="F1429" s="274" t="s">
        <v>199</v>
      </c>
      <c r="G1429" s="274" t="s">
        <v>98</v>
      </c>
      <c r="H1429" s="274" t="s">
        <v>99</v>
      </c>
      <c r="I1429" s="274" t="s">
        <v>6497</v>
      </c>
      <c r="J1429" s="274" t="s">
        <v>98</v>
      </c>
      <c r="K1429" s="274" t="s">
        <v>98</v>
      </c>
      <c r="L1429" s="274" t="s">
        <v>5643</v>
      </c>
      <c r="M1429" s="281">
        <v>-76511</v>
      </c>
      <c r="N1429" s="280"/>
      <c r="O1429" s="280"/>
      <c r="P1429" s="280"/>
      <c r="Q1429" s="280"/>
      <c r="R1429" s="280">
        <v>-76511</v>
      </c>
      <c r="S1429" s="280"/>
      <c r="T1429" s="297"/>
    </row>
    <row r="1430" spans="1:20" x14ac:dyDescent="0.25">
      <c r="A1430" s="274" t="s">
        <v>78</v>
      </c>
      <c r="B1430" s="274" t="s">
        <v>79</v>
      </c>
      <c r="C1430" s="274" t="s">
        <v>3741</v>
      </c>
      <c r="D1430" s="274" t="s">
        <v>3742</v>
      </c>
      <c r="E1430" s="274" t="s">
        <v>59</v>
      </c>
      <c r="F1430" s="274" t="s">
        <v>199</v>
      </c>
      <c r="G1430" s="274" t="s">
        <v>98</v>
      </c>
      <c r="H1430" s="274" t="s">
        <v>99</v>
      </c>
      <c r="I1430" s="274" t="s">
        <v>6497</v>
      </c>
      <c r="J1430" s="274" t="s">
        <v>98</v>
      </c>
      <c r="K1430" s="274" t="s">
        <v>98</v>
      </c>
      <c r="L1430" s="274" t="s">
        <v>6498</v>
      </c>
      <c r="M1430" s="281">
        <v>15302.2</v>
      </c>
      <c r="N1430" s="280"/>
      <c r="O1430" s="280"/>
      <c r="P1430" s="280"/>
      <c r="Q1430" s="280"/>
      <c r="R1430" s="280">
        <v>7651.1</v>
      </c>
      <c r="S1430" s="280">
        <v>7651.1</v>
      </c>
      <c r="T1430" s="297"/>
    </row>
    <row r="1431" spans="1:20" x14ac:dyDescent="0.25">
      <c r="A1431" s="274" t="s">
        <v>78</v>
      </c>
      <c r="B1431" s="274" t="s">
        <v>79</v>
      </c>
      <c r="C1431" s="274" t="s">
        <v>3741</v>
      </c>
      <c r="D1431" s="274" t="s">
        <v>3742</v>
      </c>
      <c r="E1431" s="274" t="s">
        <v>59</v>
      </c>
      <c r="F1431" s="274" t="s">
        <v>199</v>
      </c>
      <c r="G1431" s="274" t="s">
        <v>98</v>
      </c>
      <c r="H1431" s="274" t="s">
        <v>99</v>
      </c>
      <c r="I1431" s="274" t="s">
        <v>6499</v>
      </c>
      <c r="J1431" s="274" t="s">
        <v>98</v>
      </c>
      <c r="K1431" s="274" t="s">
        <v>98</v>
      </c>
      <c r="L1431" s="274" t="s">
        <v>6447</v>
      </c>
      <c r="M1431" s="281">
        <v>-129208.48</v>
      </c>
      <c r="N1431" s="280"/>
      <c r="O1431" s="280"/>
      <c r="P1431" s="280"/>
      <c r="Q1431" s="280"/>
      <c r="R1431" s="280"/>
      <c r="S1431" s="280">
        <v>-129208.48</v>
      </c>
      <c r="T1431" s="297"/>
    </row>
    <row r="1432" spans="1:20" x14ac:dyDescent="0.25">
      <c r="A1432" s="274" t="s">
        <v>78</v>
      </c>
      <c r="B1432" s="274" t="s">
        <v>79</v>
      </c>
      <c r="C1432" s="274" t="s">
        <v>3741</v>
      </c>
      <c r="D1432" s="274" t="s">
        <v>3742</v>
      </c>
      <c r="E1432" s="274" t="s">
        <v>59</v>
      </c>
      <c r="F1432" s="274" t="s">
        <v>199</v>
      </c>
      <c r="G1432" s="274" t="s">
        <v>98</v>
      </c>
      <c r="H1432" s="274" t="s">
        <v>99</v>
      </c>
      <c r="I1432" s="274" t="s">
        <v>6499</v>
      </c>
      <c r="J1432" s="274" t="s">
        <v>98</v>
      </c>
      <c r="K1432" s="274" t="s">
        <v>98</v>
      </c>
      <c r="L1432" s="274" t="s">
        <v>6500</v>
      </c>
      <c r="M1432" s="281">
        <v>10767.37</v>
      </c>
      <c r="N1432" s="280"/>
      <c r="O1432" s="280"/>
      <c r="P1432" s="280"/>
      <c r="Q1432" s="280"/>
      <c r="R1432" s="280"/>
      <c r="S1432" s="280">
        <v>10767.37</v>
      </c>
      <c r="T1432" s="297"/>
    </row>
    <row r="1433" spans="1:20" x14ac:dyDescent="0.25">
      <c r="A1433" s="274" t="s">
        <v>78</v>
      </c>
      <c r="B1433" s="274" t="s">
        <v>79</v>
      </c>
      <c r="C1433" s="274" t="s">
        <v>3741</v>
      </c>
      <c r="D1433" s="274" t="s">
        <v>3742</v>
      </c>
      <c r="E1433" s="274" t="s">
        <v>59</v>
      </c>
      <c r="F1433" s="274" t="s">
        <v>199</v>
      </c>
      <c r="G1433" s="274" t="s">
        <v>98</v>
      </c>
      <c r="H1433" s="274" t="s">
        <v>99</v>
      </c>
      <c r="I1433" s="274" t="s">
        <v>6501</v>
      </c>
      <c r="J1433" s="274" t="s">
        <v>98</v>
      </c>
      <c r="K1433" s="274" t="s">
        <v>98</v>
      </c>
      <c r="L1433" s="274" t="s">
        <v>6413</v>
      </c>
      <c r="M1433" s="281">
        <v>-609079.16</v>
      </c>
      <c r="N1433" s="280"/>
      <c r="O1433" s="280"/>
      <c r="P1433" s="280"/>
      <c r="Q1433" s="280"/>
      <c r="R1433" s="280"/>
      <c r="S1433" s="280">
        <v>-609079.16</v>
      </c>
      <c r="T1433" s="297"/>
    </row>
    <row r="1434" spans="1:20" x14ac:dyDescent="0.25">
      <c r="A1434" s="274" t="s">
        <v>78</v>
      </c>
      <c r="B1434" s="274" t="s">
        <v>79</v>
      </c>
      <c r="C1434" s="274" t="s">
        <v>3741</v>
      </c>
      <c r="D1434" s="274" t="s">
        <v>3742</v>
      </c>
      <c r="E1434" s="274" t="s">
        <v>59</v>
      </c>
      <c r="F1434" s="274" t="s">
        <v>199</v>
      </c>
      <c r="G1434" s="274" t="s">
        <v>98</v>
      </c>
      <c r="H1434" s="274" t="s">
        <v>99</v>
      </c>
      <c r="I1434" s="274" t="s">
        <v>6501</v>
      </c>
      <c r="J1434" s="274" t="s">
        <v>98</v>
      </c>
      <c r="K1434" s="274" t="s">
        <v>98</v>
      </c>
      <c r="L1434" s="274" t="s">
        <v>6502</v>
      </c>
      <c r="M1434" s="281">
        <v>50756.6</v>
      </c>
      <c r="N1434" s="280"/>
      <c r="O1434" s="280"/>
      <c r="P1434" s="280"/>
      <c r="Q1434" s="280"/>
      <c r="R1434" s="280"/>
      <c r="S1434" s="280">
        <v>50756.6</v>
      </c>
      <c r="T1434" s="297"/>
    </row>
    <row r="1435" spans="1:20" x14ac:dyDescent="0.25">
      <c r="A1435" s="274" t="s">
        <v>78</v>
      </c>
      <c r="B1435" s="274" t="s">
        <v>79</v>
      </c>
      <c r="C1435" s="274" t="s">
        <v>3741</v>
      </c>
      <c r="D1435" s="274" t="s">
        <v>3742</v>
      </c>
      <c r="E1435" s="274" t="s">
        <v>59</v>
      </c>
      <c r="F1435" s="274" t="s">
        <v>199</v>
      </c>
      <c r="G1435" s="274" t="s">
        <v>98</v>
      </c>
      <c r="H1435" s="274" t="s">
        <v>99</v>
      </c>
      <c r="I1435" s="274" t="s">
        <v>5767</v>
      </c>
      <c r="J1435" s="274" t="s">
        <v>98</v>
      </c>
      <c r="K1435" s="274" t="s">
        <v>98</v>
      </c>
      <c r="L1435" s="274" t="s">
        <v>5768</v>
      </c>
      <c r="M1435" s="281">
        <v>-49200</v>
      </c>
      <c r="N1435" s="280">
        <v>-90200</v>
      </c>
      <c r="O1435" s="280">
        <v>8200</v>
      </c>
      <c r="P1435" s="280">
        <v>8200</v>
      </c>
      <c r="Q1435" s="280">
        <v>8200</v>
      </c>
      <c r="R1435" s="280">
        <v>8200</v>
      </c>
      <c r="S1435" s="280">
        <v>8200</v>
      </c>
      <c r="T1435" s="297"/>
    </row>
    <row r="1436" spans="1:20" x14ac:dyDescent="0.25">
      <c r="A1436" s="274" t="s">
        <v>78</v>
      </c>
      <c r="B1436" s="274" t="s">
        <v>79</v>
      </c>
      <c r="C1436" s="274" t="s">
        <v>3741</v>
      </c>
      <c r="D1436" s="274" t="s">
        <v>3742</v>
      </c>
      <c r="E1436" s="274" t="s">
        <v>59</v>
      </c>
      <c r="F1436" s="274" t="s">
        <v>199</v>
      </c>
      <c r="G1436" s="274" t="s">
        <v>98</v>
      </c>
      <c r="H1436" s="274" t="s">
        <v>99</v>
      </c>
      <c r="I1436" s="274" t="s">
        <v>5100</v>
      </c>
      <c r="J1436" s="274" t="s">
        <v>98</v>
      </c>
      <c r="K1436" s="274" t="s">
        <v>98</v>
      </c>
      <c r="L1436" s="274" t="s">
        <v>6577</v>
      </c>
      <c r="M1436" s="281">
        <v>-12515</v>
      </c>
      <c r="N1436" s="280"/>
      <c r="O1436" s="280"/>
      <c r="P1436" s="280"/>
      <c r="Q1436" s="280"/>
      <c r="R1436" s="280"/>
      <c r="S1436" s="280">
        <v>-12515</v>
      </c>
      <c r="T1436" s="297"/>
    </row>
    <row r="1437" spans="1:20" x14ac:dyDescent="0.25">
      <c r="A1437" s="274" t="s">
        <v>78</v>
      </c>
      <c r="B1437" s="274" t="s">
        <v>79</v>
      </c>
      <c r="C1437" s="274" t="s">
        <v>3741</v>
      </c>
      <c r="D1437" s="274" t="s">
        <v>3742</v>
      </c>
      <c r="E1437" s="274" t="s">
        <v>59</v>
      </c>
      <c r="F1437" s="274" t="s">
        <v>199</v>
      </c>
      <c r="G1437" s="274" t="s">
        <v>98</v>
      </c>
      <c r="H1437" s="274" t="s">
        <v>99</v>
      </c>
      <c r="I1437" s="274" t="s">
        <v>5769</v>
      </c>
      <c r="J1437" s="274" t="s">
        <v>98</v>
      </c>
      <c r="K1437" s="274" t="s">
        <v>98</v>
      </c>
      <c r="L1437" s="274" t="s">
        <v>5770</v>
      </c>
      <c r="M1437" s="281">
        <v>-150000</v>
      </c>
      <c r="N1437" s="280">
        <v>-275000</v>
      </c>
      <c r="O1437" s="280">
        <v>25000</v>
      </c>
      <c r="P1437" s="280">
        <v>25000</v>
      </c>
      <c r="Q1437" s="280">
        <v>25000</v>
      </c>
      <c r="R1437" s="280">
        <v>25000</v>
      </c>
      <c r="S1437" s="280">
        <v>25000</v>
      </c>
      <c r="T1437" s="297"/>
    </row>
    <row r="1438" spans="1:20" x14ac:dyDescent="0.25">
      <c r="A1438" s="274" t="s">
        <v>78</v>
      </c>
      <c r="B1438" s="274" t="s">
        <v>79</v>
      </c>
      <c r="C1438" s="274" t="s">
        <v>3741</v>
      </c>
      <c r="D1438" s="274" t="s">
        <v>3742</v>
      </c>
      <c r="E1438" s="274" t="s">
        <v>59</v>
      </c>
      <c r="F1438" s="274" t="s">
        <v>199</v>
      </c>
      <c r="G1438" s="274" t="s">
        <v>98</v>
      </c>
      <c r="H1438" s="274" t="s">
        <v>99</v>
      </c>
      <c r="I1438" s="274" t="s">
        <v>5771</v>
      </c>
      <c r="J1438" s="274" t="s">
        <v>98</v>
      </c>
      <c r="K1438" s="274" t="s">
        <v>98</v>
      </c>
      <c r="L1438" s="274" t="s">
        <v>5772</v>
      </c>
      <c r="M1438" s="281">
        <v>-46958.25</v>
      </c>
      <c r="N1438" s="280">
        <v>-86090.15</v>
      </c>
      <c r="O1438" s="280">
        <v>7826.38</v>
      </c>
      <c r="P1438" s="280">
        <v>7826.38</v>
      </c>
      <c r="Q1438" s="280">
        <v>7826.38</v>
      </c>
      <c r="R1438" s="280">
        <v>7826.38</v>
      </c>
      <c r="S1438" s="280">
        <v>7826.38</v>
      </c>
      <c r="T1438" s="297"/>
    </row>
    <row r="1439" spans="1:20" x14ac:dyDescent="0.25">
      <c r="A1439" s="274" t="s">
        <v>78</v>
      </c>
      <c r="B1439" s="274" t="s">
        <v>79</v>
      </c>
      <c r="C1439" s="274" t="s">
        <v>3741</v>
      </c>
      <c r="D1439" s="274" t="s">
        <v>3742</v>
      </c>
      <c r="E1439" s="274" t="s">
        <v>59</v>
      </c>
      <c r="F1439" s="274" t="s">
        <v>199</v>
      </c>
      <c r="G1439" s="274" t="s">
        <v>98</v>
      </c>
      <c r="H1439" s="274" t="s">
        <v>99</v>
      </c>
      <c r="I1439" s="274" t="s">
        <v>5773</v>
      </c>
      <c r="J1439" s="274" t="s">
        <v>98</v>
      </c>
      <c r="K1439" s="274" t="s">
        <v>98</v>
      </c>
      <c r="L1439" s="274" t="s">
        <v>5774</v>
      </c>
      <c r="M1439" s="281">
        <v>-13488</v>
      </c>
      <c r="N1439" s="280"/>
      <c r="O1439" s="280">
        <v>-13488</v>
      </c>
      <c r="P1439" s="280"/>
      <c r="Q1439" s="280"/>
      <c r="R1439" s="280"/>
      <c r="S1439" s="280"/>
      <c r="T1439" s="297"/>
    </row>
    <row r="1440" spans="1:20" x14ac:dyDescent="0.25">
      <c r="A1440" s="274" t="s">
        <v>78</v>
      </c>
      <c r="B1440" s="274" t="s">
        <v>79</v>
      </c>
      <c r="C1440" s="274" t="s">
        <v>3741</v>
      </c>
      <c r="D1440" s="274" t="s">
        <v>3742</v>
      </c>
      <c r="E1440" s="274" t="s">
        <v>59</v>
      </c>
      <c r="F1440" s="274" t="s">
        <v>199</v>
      </c>
      <c r="G1440" s="274" t="s">
        <v>98</v>
      </c>
      <c r="H1440" s="274" t="s">
        <v>99</v>
      </c>
      <c r="I1440" s="274" t="s">
        <v>5773</v>
      </c>
      <c r="J1440" s="274" t="s">
        <v>98</v>
      </c>
      <c r="K1440" s="274" t="s">
        <v>98</v>
      </c>
      <c r="L1440" s="274" t="s">
        <v>5775</v>
      </c>
      <c r="M1440" s="281">
        <v>-35827</v>
      </c>
      <c r="N1440" s="280"/>
      <c r="O1440" s="280">
        <v>-35827</v>
      </c>
      <c r="P1440" s="280"/>
      <c r="Q1440" s="280"/>
      <c r="R1440" s="280"/>
      <c r="S1440" s="280"/>
      <c r="T1440" s="297"/>
    </row>
    <row r="1441" spans="1:20" x14ac:dyDescent="0.25">
      <c r="A1441" s="274" t="s">
        <v>78</v>
      </c>
      <c r="B1441" s="274" t="s">
        <v>79</v>
      </c>
      <c r="C1441" s="274" t="s">
        <v>3741</v>
      </c>
      <c r="D1441" s="274" t="s">
        <v>3742</v>
      </c>
      <c r="E1441" s="274" t="s">
        <v>59</v>
      </c>
      <c r="F1441" s="274" t="s">
        <v>199</v>
      </c>
      <c r="G1441" s="274" t="s">
        <v>98</v>
      </c>
      <c r="H1441" s="274" t="s">
        <v>99</v>
      </c>
      <c r="I1441" s="274" t="s">
        <v>5773</v>
      </c>
      <c r="J1441" s="274" t="s">
        <v>98</v>
      </c>
      <c r="K1441" s="274" t="s">
        <v>98</v>
      </c>
      <c r="L1441" s="274" t="s">
        <v>5776</v>
      </c>
      <c r="M1441" s="281">
        <v>-23075</v>
      </c>
      <c r="N1441" s="280"/>
      <c r="O1441" s="280">
        <v>-23075</v>
      </c>
      <c r="P1441" s="280"/>
      <c r="Q1441" s="280"/>
      <c r="R1441" s="280"/>
      <c r="S1441" s="280"/>
      <c r="T1441" s="297"/>
    </row>
    <row r="1442" spans="1:20" x14ac:dyDescent="0.25">
      <c r="A1442" s="274" t="s">
        <v>78</v>
      </c>
      <c r="B1442" s="274" t="s">
        <v>79</v>
      </c>
      <c r="C1442" s="274" t="s">
        <v>3741</v>
      </c>
      <c r="D1442" s="274" t="s">
        <v>3742</v>
      </c>
      <c r="E1442" s="274" t="s">
        <v>59</v>
      </c>
      <c r="F1442" s="274" t="s">
        <v>199</v>
      </c>
      <c r="G1442" s="274" t="s">
        <v>98</v>
      </c>
      <c r="H1442" s="274" t="s">
        <v>99</v>
      </c>
      <c r="I1442" s="274" t="s">
        <v>5773</v>
      </c>
      <c r="J1442" s="274" t="s">
        <v>98</v>
      </c>
      <c r="K1442" s="274" t="s">
        <v>98</v>
      </c>
      <c r="L1442" s="274" t="s">
        <v>5777</v>
      </c>
      <c r="M1442" s="281">
        <v>-37964.86</v>
      </c>
      <c r="N1442" s="280"/>
      <c r="O1442" s="280">
        <v>-37964.86</v>
      </c>
      <c r="P1442" s="280"/>
      <c r="Q1442" s="280"/>
      <c r="R1442" s="280"/>
      <c r="S1442" s="280"/>
      <c r="T1442" s="297"/>
    </row>
    <row r="1443" spans="1:20" x14ac:dyDescent="0.25">
      <c r="A1443" s="274" t="s">
        <v>78</v>
      </c>
      <c r="B1443" s="274" t="s">
        <v>79</v>
      </c>
      <c r="C1443" s="274" t="s">
        <v>3741</v>
      </c>
      <c r="D1443" s="274" t="s">
        <v>3742</v>
      </c>
      <c r="E1443" s="274" t="s">
        <v>59</v>
      </c>
      <c r="F1443" s="274" t="s">
        <v>199</v>
      </c>
      <c r="G1443" s="274" t="s">
        <v>98</v>
      </c>
      <c r="H1443" s="274" t="s">
        <v>99</v>
      </c>
      <c r="I1443" s="274" t="s">
        <v>5778</v>
      </c>
      <c r="J1443" s="274" t="s">
        <v>98</v>
      </c>
      <c r="K1443" s="274" t="s">
        <v>98</v>
      </c>
      <c r="L1443" s="274" t="s">
        <v>5779</v>
      </c>
      <c r="M1443" s="281">
        <v>0</v>
      </c>
      <c r="N1443" s="280">
        <v>67244.639999999999</v>
      </c>
      <c r="O1443" s="280">
        <v>-67244.639999999999</v>
      </c>
      <c r="P1443" s="280"/>
      <c r="Q1443" s="280"/>
      <c r="R1443" s="280"/>
      <c r="S1443" s="280"/>
      <c r="T1443" s="297"/>
    </row>
    <row r="1444" spans="1:20" x14ac:dyDescent="0.25">
      <c r="A1444" s="274" t="s">
        <v>78</v>
      </c>
      <c r="B1444" s="274" t="s">
        <v>79</v>
      </c>
      <c r="C1444" s="274" t="s">
        <v>3741</v>
      </c>
      <c r="D1444" s="274" t="s">
        <v>3742</v>
      </c>
      <c r="E1444" s="274" t="s">
        <v>59</v>
      </c>
      <c r="F1444" s="274" t="s">
        <v>199</v>
      </c>
      <c r="G1444" s="274" t="s">
        <v>98</v>
      </c>
      <c r="H1444" s="274" t="s">
        <v>99</v>
      </c>
      <c r="I1444" s="274" t="s">
        <v>4283</v>
      </c>
      <c r="J1444" s="274" t="s">
        <v>98</v>
      </c>
      <c r="K1444" s="274" t="s">
        <v>98</v>
      </c>
      <c r="L1444" s="274" t="s">
        <v>5780</v>
      </c>
      <c r="M1444" s="281">
        <v>0</v>
      </c>
      <c r="N1444" s="280"/>
      <c r="O1444" s="280">
        <v>34778</v>
      </c>
      <c r="P1444" s="280">
        <v>-34778</v>
      </c>
      <c r="Q1444" s="280"/>
      <c r="R1444" s="280"/>
      <c r="S1444" s="280"/>
      <c r="T1444" s="297"/>
    </row>
    <row r="1445" spans="1:20" x14ac:dyDescent="0.25">
      <c r="A1445" s="274" t="s">
        <v>78</v>
      </c>
      <c r="B1445" s="274" t="s">
        <v>79</v>
      </c>
      <c r="C1445" s="274" t="s">
        <v>3741</v>
      </c>
      <c r="D1445" s="274" t="s">
        <v>3742</v>
      </c>
      <c r="E1445" s="274" t="s">
        <v>59</v>
      </c>
      <c r="F1445" s="274" t="s">
        <v>199</v>
      </c>
      <c r="G1445" s="274" t="s">
        <v>98</v>
      </c>
      <c r="H1445" s="274" t="s">
        <v>99</v>
      </c>
      <c r="I1445" s="274" t="s">
        <v>4283</v>
      </c>
      <c r="J1445" s="274" t="s">
        <v>98</v>
      </c>
      <c r="K1445" s="274" t="s">
        <v>98</v>
      </c>
      <c r="L1445" s="274" t="s">
        <v>5781</v>
      </c>
      <c r="M1445" s="281">
        <v>0</v>
      </c>
      <c r="N1445" s="280"/>
      <c r="O1445" s="280">
        <v>37964</v>
      </c>
      <c r="P1445" s="280">
        <v>-37964</v>
      </c>
      <c r="Q1445" s="280"/>
      <c r="R1445" s="280"/>
      <c r="S1445" s="280"/>
      <c r="T1445" s="297"/>
    </row>
    <row r="1446" spans="1:20" x14ac:dyDescent="0.25">
      <c r="A1446" s="274" t="s">
        <v>78</v>
      </c>
      <c r="B1446" s="274" t="s">
        <v>79</v>
      </c>
      <c r="C1446" s="274" t="s">
        <v>3741</v>
      </c>
      <c r="D1446" s="274" t="s">
        <v>3742</v>
      </c>
      <c r="E1446" s="274" t="s">
        <v>59</v>
      </c>
      <c r="F1446" s="274" t="s">
        <v>199</v>
      </c>
      <c r="G1446" s="274" t="s">
        <v>98</v>
      </c>
      <c r="H1446" s="274" t="s">
        <v>99</v>
      </c>
      <c r="I1446" s="274" t="s">
        <v>4283</v>
      </c>
      <c r="J1446" s="274" t="s">
        <v>98</v>
      </c>
      <c r="K1446" s="274" t="s">
        <v>98</v>
      </c>
      <c r="L1446" s="274" t="s">
        <v>5782</v>
      </c>
      <c r="M1446" s="281">
        <v>0</v>
      </c>
      <c r="N1446" s="280"/>
      <c r="O1446" s="280">
        <v>55000</v>
      </c>
      <c r="P1446" s="280">
        <v>-55000</v>
      </c>
      <c r="Q1446" s="280"/>
      <c r="R1446" s="280"/>
      <c r="S1446" s="280"/>
      <c r="T1446" s="297"/>
    </row>
    <row r="1447" spans="1:20" x14ac:dyDescent="0.25">
      <c r="A1447" s="274" t="s">
        <v>78</v>
      </c>
      <c r="B1447" s="274" t="s">
        <v>79</v>
      </c>
      <c r="C1447" s="274" t="s">
        <v>3741</v>
      </c>
      <c r="D1447" s="274" t="s">
        <v>3742</v>
      </c>
      <c r="E1447" s="274" t="s">
        <v>59</v>
      </c>
      <c r="F1447" s="274" t="s">
        <v>199</v>
      </c>
      <c r="G1447" s="274" t="s">
        <v>98</v>
      </c>
      <c r="H1447" s="274" t="s">
        <v>99</v>
      </c>
      <c r="I1447" s="274" t="s">
        <v>3864</v>
      </c>
      <c r="J1447" s="274" t="s">
        <v>98</v>
      </c>
      <c r="K1447" s="274" t="s">
        <v>98</v>
      </c>
      <c r="L1447" s="274" t="s">
        <v>5677</v>
      </c>
      <c r="M1447" s="281">
        <v>-11130</v>
      </c>
      <c r="N1447" s="280"/>
      <c r="O1447" s="280">
        <v>-7420</v>
      </c>
      <c r="P1447" s="280">
        <v>-3710</v>
      </c>
      <c r="Q1447" s="280"/>
      <c r="R1447" s="280"/>
      <c r="S1447" s="280"/>
      <c r="T1447" s="297"/>
    </row>
    <row r="1448" spans="1:20" x14ac:dyDescent="0.25">
      <c r="A1448" s="274" t="s">
        <v>78</v>
      </c>
      <c r="B1448" s="274" t="s">
        <v>79</v>
      </c>
      <c r="C1448" s="274" t="s">
        <v>3741</v>
      </c>
      <c r="D1448" s="274" t="s">
        <v>3742</v>
      </c>
      <c r="E1448" s="274" t="s">
        <v>59</v>
      </c>
      <c r="F1448" s="274" t="s">
        <v>199</v>
      </c>
      <c r="G1448" s="274" t="s">
        <v>98</v>
      </c>
      <c r="H1448" s="274" t="s">
        <v>99</v>
      </c>
      <c r="I1448" s="274" t="s">
        <v>4136</v>
      </c>
      <c r="J1448" s="274" t="s">
        <v>98</v>
      </c>
      <c r="K1448" s="274" t="s">
        <v>98</v>
      </c>
      <c r="L1448" s="274" t="s">
        <v>5783</v>
      </c>
      <c r="M1448" s="281">
        <v>0</v>
      </c>
      <c r="N1448" s="280"/>
      <c r="O1448" s="280"/>
      <c r="P1448" s="280"/>
      <c r="Q1448" s="280">
        <v>54377.4</v>
      </c>
      <c r="R1448" s="280">
        <v>-54377.4</v>
      </c>
      <c r="S1448" s="280"/>
      <c r="T1448" s="297"/>
    </row>
    <row r="1449" spans="1:20" x14ac:dyDescent="0.25">
      <c r="A1449" s="274" t="s">
        <v>78</v>
      </c>
      <c r="B1449" s="274" t="s">
        <v>79</v>
      </c>
      <c r="C1449" s="274" t="s">
        <v>3741</v>
      </c>
      <c r="D1449" s="274" t="s">
        <v>3742</v>
      </c>
      <c r="E1449" s="274" t="s">
        <v>59</v>
      </c>
      <c r="F1449" s="274" t="s">
        <v>199</v>
      </c>
      <c r="G1449" s="274" t="s">
        <v>98</v>
      </c>
      <c r="H1449" s="274" t="s">
        <v>99</v>
      </c>
      <c r="I1449" s="274" t="s">
        <v>4136</v>
      </c>
      <c r="J1449" s="274" t="s">
        <v>98</v>
      </c>
      <c r="K1449" s="274" t="s">
        <v>98</v>
      </c>
      <c r="L1449" s="274" t="s">
        <v>6503</v>
      </c>
      <c r="M1449" s="281">
        <v>0</v>
      </c>
      <c r="N1449" s="280"/>
      <c r="O1449" s="280"/>
      <c r="P1449" s="280"/>
      <c r="Q1449" s="280"/>
      <c r="R1449" s="280">
        <v>11200</v>
      </c>
      <c r="S1449" s="280">
        <v>-11200</v>
      </c>
      <c r="T1449" s="297"/>
    </row>
    <row r="1450" spans="1:20" x14ac:dyDescent="0.25">
      <c r="A1450" s="274" t="s">
        <v>78</v>
      </c>
      <c r="B1450" s="274" t="s">
        <v>79</v>
      </c>
      <c r="C1450" s="274" t="s">
        <v>3741</v>
      </c>
      <c r="D1450" s="274" t="s">
        <v>3742</v>
      </c>
      <c r="E1450" s="274" t="s">
        <v>59</v>
      </c>
      <c r="F1450" s="274" t="s">
        <v>199</v>
      </c>
      <c r="G1450" s="274" t="s">
        <v>98</v>
      </c>
      <c r="H1450" s="274" t="s">
        <v>99</v>
      </c>
      <c r="I1450" s="274" t="s">
        <v>4136</v>
      </c>
      <c r="J1450" s="274" t="s">
        <v>98</v>
      </c>
      <c r="K1450" s="274" t="s">
        <v>98</v>
      </c>
      <c r="L1450" s="274" t="s">
        <v>6795</v>
      </c>
      <c r="M1450" s="294">
        <v>105940.34</v>
      </c>
      <c r="N1450" s="295"/>
      <c r="O1450" s="295"/>
      <c r="P1450" s="295"/>
      <c r="Q1450" s="295"/>
      <c r="R1450" s="295"/>
      <c r="S1450" s="295">
        <v>105940.34</v>
      </c>
      <c r="T1450" s="298"/>
    </row>
  </sheetData>
  <autoFilter ref="A3:O1450" xr:uid="{00000000-0001-0000-0700-000000000000}"/>
  <pageMargins left="0.7" right="0.7" top="0.75" bottom="0.75" header="0.3" footer="0.3"/>
  <pageSetup orientation="portrait" r:id="rId1"/>
  <customProperties>
    <customPr name="_pios_id" r:id="rId2"/>
    <customPr name="CofWorksheetType"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2050" r:id="rId6" name="Button 2">
              <controlPr defaultSize="0" print="0" autoFill="0" autoPict="0" macro="[0]!Convert">
                <anchor>
                  <from>
                    <xdr:col>0</xdr:col>
                    <xdr:colOff>942975</xdr:colOff>
                    <xdr:row>0</xdr:row>
                    <xdr:rowOff>66675</xdr:rowOff>
                  </from>
                  <to>
                    <xdr:col>2</xdr:col>
                    <xdr:colOff>638175</xdr:colOff>
                    <xdr:row>1</xdr:row>
                    <xdr:rowOff>104775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filterMode="1"/>
  <dimension ref="A1:K1000"/>
  <sheetViews>
    <sheetView zoomScale="86" zoomScaleNormal="86" workbookViewId="0">
      <pane ySplit="1" topLeftCell="A764" activePane="bottomLeft" state="frozen"/>
      <selection activeCell="G25" sqref="G25"/>
      <selection pane="bottomLeft" activeCell="C764" sqref="C764"/>
    </sheetView>
  </sheetViews>
  <sheetFormatPr defaultColWidth="8.85546875" defaultRowHeight="15" x14ac:dyDescent="0.25"/>
  <cols>
    <col min="1" max="1" width="10.42578125" bestFit="1" customWidth="1"/>
    <col min="2" max="2" width="35.42578125" bestFit="1" customWidth="1"/>
    <col min="3" max="3" width="12.42578125" bestFit="1" customWidth="1"/>
    <col min="4" max="5" width="12.42578125" customWidth="1"/>
    <col min="6" max="6" width="16.42578125" bestFit="1" customWidth="1"/>
    <col min="7" max="7" width="16.42578125" customWidth="1"/>
    <col min="11" max="11" width="15.42578125" customWidth="1"/>
    <col min="12" max="12" width="12.42578125" bestFit="1" customWidth="1"/>
    <col min="13" max="13" width="16.42578125" customWidth="1"/>
    <col min="14" max="14" width="12.42578125" bestFit="1" customWidth="1"/>
    <col min="15" max="15" width="14" customWidth="1"/>
  </cols>
  <sheetData>
    <row r="1" spans="1:11" x14ac:dyDescent="0.25">
      <c r="A1" s="31" t="s">
        <v>3076</v>
      </c>
      <c r="B1" s="31" t="s">
        <v>5784</v>
      </c>
      <c r="C1" s="31" t="s">
        <v>3077</v>
      </c>
      <c r="D1" s="31" t="s">
        <v>5785</v>
      </c>
      <c r="E1" s="31" t="s">
        <v>5786</v>
      </c>
      <c r="F1" s="31" t="s">
        <v>5787</v>
      </c>
      <c r="G1" s="31" t="s">
        <v>5788</v>
      </c>
      <c r="K1" s="84" t="s">
        <v>5788</v>
      </c>
    </row>
    <row r="2" spans="1:11" x14ac:dyDescent="0.25">
      <c r="A2" t="str">
        <f>BIdetails!G5</f>
        <v>187516</v>
      </c>
      <c r="B2" t="str">
        <f>BIdetails!H5</f>
        <v>Accenture B.V.</v>
      </c>
      <c r="C2" t="str">
        <f>BIdetails!J5</f>
        <v>5400868906</v>
      </c>
      <c r="D2" t="str">
        <f>BIdetails!K5</f>
        <v>20</v>
      </c>
      <c r="E2" s="158">
        <f>BIdetails!M5</f>
        <v>4004</v>
      </c>
      <c r="F2" t="str">
        <f>IF(ISERROR(IF(OR(C2="#",C2=0),"",VLOOKUP(C2,'AOP25'!M:M,1,0))),"Not Found",VLOOKUP(C2,'AOP25'!M:M,1,0))</f>
        <v>Not Found</v>
      </c>
      <c r="G2" t="e">
        <f>IF(NOT(ISERROR(VLOOKUP(C2,$K$2:$K$50,1,0))),"Y",VLOOKUP(C2,$K$2:$K$50,1,0))</f>
        <v>#N/A</v>
      </c>
      <c r="K2" s="60"/>
    </row>
    <row r="3" spans="1:11" x14ac:dyDescent="0.25">
      <c r="A3" t="str">
        <f>BIdetails!G6</f>
        <v>187516</v>
      </c>
      <c r="B3" t="str">
        <f>BIdetails!H6</f>
        <v>Accenture B.V.</v>
      </c>
      <c r="C3" t="str">
        <f>BIdetails!J6</f>
        <v>5401087933</v>
      </c>
      <c r="D3" t="str">
        <f>BIdetails!K6</f>
        <v>10</v>
      </c>
      <c r="E3" s="158">
        <f>BIdetails!M6</f>
        <v>4659.8</v>
      </c>
      <c r="F3" t="str">
        <f>IF(ISERROR(IF(OR(C3="#",C3=0),"",VLOOKUP(C3,'AOP25'!M:M,1,0))),"Not Found",VLOOKUP(C3,'AOP25'!M:M,1,0))</f>
        <v>Not Found</v>
      </c>
      <c r="G3" t="e">
        <f t="shared" ref="G3:G66" si="0">IF(NOT(ISERROR(VLOOKUP(C3,$K$2:$K$50,1,0))),"Y",VLOOKUP(C3,$K$2:$K$50,1,0))</f>
        <v>#N/A</v>
      </c>
      <c r="K3" s="60"/>
    </row>
    <row r="4" spans="1:11" x14ac:dyDescent="0.25">
      <c r="A4" t="str">
        <f>BIdetails!G7</f>
        <v>187516</v>
      </c>
      <c r="B4" t="str">
        <f>BIdetails!H7</f>
        <v>Accenture B.V.</v>
      </c>
      <c r="C4" t="str">
        <f>BIdetails!J7</f>
        <v>5401058468</v>
      </c>
      <c r="D4" t="str">
        <f>BIdetails!K7</f>
        <v>20</v>
      </c>
      <c r="E4" s="158">
        <f>BIdetails!M7</f>
        <v>-11000</v>
      </c>
      <c r="F4" t="str">
        <f>IF(ISERROR(IF(OR(C4="#",C4=0),"",VLOOKUP(C4,'AOP25'!M:M,1,0))),"Not Found",VLOOKUP(C4,'AOP25'!M:M,1,0))</f>
        <v>Not Found</v>
      </c>
      <c r="G4" t="e">
        <f t="shared" si="0"/>
        <v>#N/A</v>
      </c>
      <c r="K4" s="60"/>
    </row>
    <row r="5" spans="1:11" hidden="1" x14ac:dyDescent="0.25">
      <c r="A5" t="str">
        <f>BIdetails!G8</f>
        <v>187516</v>
      </c>
      <c r="B5" t="str">
        <f>BIdetails!H8</f>
        <v>Accenture B.V.</v>
      </c>
      <c r="C5" t="str">
        <f>BIdetails!J8</f>
        <v>5401058468</v>
      </c>
      <c r="D5" t="str">
        <f>BIdetails!K8</f>
        <v>20</v>
      </c>
      <c r="E5" s="158">
        <f>BIdetails!M8</f>
        <v>10372.5</v>
      </c>
      <c r="F5" t="str">
        <f>IF(ISERROR(IF(OR(C5="#",C5=0),"",VLOOKUP(C5,'AOP25'!M:M,1,0))),"Not Found",VLOOKUP(C5,'AOP25'!M:M,1,0))</f>
        <v>Not Found</v>
      </c>
      <c r="G5" t="e">
        <f t="shared" si="0"/>
        <v>#N/A</v>
      </c>
      <c r="K5" s="60"/>
    </row>
    <row r="6" spans="1:11" hidden="1" x14ac:dyDescent="0.25">
      <c r="A6" t="str">
        <f>BIdetails!G9</f>
        <v>187516</v>
      </c>
      <c r="B6" t="str">
        <f>BIdetails!H9</f>
        <v>Accenture B.V.</v>
      </c>
      <c r="C6" t="str">
        <f>BIdetails!J9</f>
        <v>5400868906</v>
      </c>
      <c r="D6" t="str">
        <f>BIdetails!K9</f>
        <v>20</v>
      </c>
      <c r="E6" s="158">
        <f>BIdetails!M9</f>
        <v>4004</v>
      </c>
      <c r="F6" t="str">
        <f>IF(ISERROR(IF(OR(C6="#",C6=0),"",VLOOKUP(C6,'AOP25'!M:M,1,0))),"Not Found",VLOOKUP(C6,'AOP25'!M:M,1,0))</f>
        <v>Not Found</v>
      </c>
      <c r="G6" t="e">
        <f t="shared" si="0"/>
        <v>#N/A</v>
      </c>
      <c r="K6" s="60"/>
    </row>
    <row r="7" spans="1:11" hidden="1" x14ac:dyDescent="0.25">
      <c r="A7" t="str">
        <f>BIdetails!G10</f>
        <v>187516</v>
      </c>
      <c r="B7" t="str">
        <f>BIdetails!H10</f>
        <v>Accenture B.V.</v>
      </c>
      <c r="C7" t="str">
        <f>BIdetails!J10</f>
        <v>5401087933</v>
      </c>
      <c r="D7" t="str">
        <f>BIdetails!K10</f>
        <v>10</v>
      </c>
      <c r="E7" s="158">
        <f>BIdetails!M10</f>
        <v>4671.33</v>
      </c>
      <c r="F7" t="str">
        <f>IF(ISERROR(IF(OR(C7="#",C7=0),"",VLOOKUP(C7,'AOP25'!M:M,1,0))),"Not Found",VLOOKUP(C7,'AOP25'!M:M,1,0))</f>
        <v>Not Found</v>
      </c>
      <c r="G7" t="e">
        <f t="shared" si="0"/>
        <v>#N/A</v>
      </c>
      <c r="K7" s="60"/>
    </row>
    <row r="8" spans="1:11" hidden="1" x14ac:dyDescent="0.25">
      <c r="A8" t="str">
        <f>BIdetails!G11</f>
        <v>187516</v>
      </c>
      <c r="B8" t="str">
        <f>BIdetails!H11</f>
        <v>Accenture B.V.</v>
      </c>
      <c r="C8" t="str">
        <f>BIdetails!J11</f>
        <v>5401087931</v>
      </c>
      <c r="D8" t="str">
        <f>BIdetails!K11</f>
        <v>10</v>
      </c>
      <c r="E8" s="158">
        <f>BIdetails!M11</f>
        <v>12000</v>
      </c>
      <c r="F8" t="str">
        <f>IF(ISERROR(IF(OR(C8="#",C8=0),"",VLOOKUP(C8,'AOP25'!M:M,1,0))),"Not Found",VLOOKUP(C8,'AOP25'!M:M,1,0))</f>
        <v>Not Found</v>
      </c>
      <c r="G8" t="e">
        <f t="shared" si="0"/>
        <v>#N/A</v>
      </c>
      <c r="K8" s="60"/>
    </row>
    <row r="9" spans="1:11" hidden="1" x14ac:dyDescent="0.25">
      <c r="A9" t="str">
        <f>BIdetails!G12</f>
        <v>187516</v>
      </c>
      <c r="B9" t="str">
        <f>BIdetails!H12</f>
        <v>Accenture B.V.</v>
      </c>
      <c r="C9" t="str">
        <f>BIdetails!J12</f>
        <v>5400868906</v>
      </c>
      <c r="D9" t="str">
        <f>BIdetails!K12</f>
        <v>20</v>
      </c>
      <c r="E9" s="158">
        <f>BIdetails!M12</f>
        <v>4004</v>
      </c>
      <c r="F9" t="str">
        <f>IF(ISERROR(IF(OR(C9="#",C9=0),"",VLOOKUP(C9,'AOP25'!M:M,1,0))),"Not Found",VLOOKUP(C9,'AOP25'!M:M,1,0))</f>
        <v>Not Found</v>
      </c>
      <c r="G9" t="e">
        <f t="shared" si="0"/>
        <v>#N/A</v>
      </c>
      <c r="K9" s="60"/>
    </row>
    <row r="10" spans="1:11" hidden="1" x14ac:dyDescent="0.25">
      <c r="A10" t="str">
        <f>BIdetails!G13</f>
        <v>187516</v>
      </c>
      <c r="B10" t="str">
        <f>BIdetails!H13</f>
        <v>Accenture B.V.</v>
      </c>
      <c r="C10" t="str">
        <f>BIdetails!J13</f>
        <v>5401087933</v>
      </c>
      <c r="D10" t="str">
        <f>BIdetails!K13</f>
        <v>10</v>
      </c>
      <c r="E10" s="158">
        <f>BIdetails!M13</f>
        <v>4682.87</v>
      </c>
      <c r="F10" t="str">
        <f>IF(ISERROR(IF(OR(C10="#",C10=0),"",VLOOKUP(C10,'AOP25'!M:M,1,0))),"Not Found",VLOOKUP(C10,'AOP25'!M:M,1,0))</f>
        <v>Not Found</v>
      </c>
      <c r="G10" t="e">
        <f t="shared" si="0"/>
        <v>#N/A</v>
      </c>
      <c r="K10" s="60"/>
    </row>
    <row r="11" spans="1:11" hidden="1" x14ac:dyDescent="0.25">
      <c r="A11" t="str">
        <f>BIdetails!G14</f>
        <v>187516</v>
      </c>
      <c r="B11" t="str">
        <f>BIdetails!H14</f>
        <v>Accenture B.V.</v>
      </c>
      <c r="C11" t="str">
        <f>BIdetails!J14</f>
        <v>5401023605</v>
      </c>
      <c r="D11" t="str">
        <f>BIdetails!K14</f>
        <v>10</v>
      </c>
      <c r="E11" s="158">
        <f>BIdetails!M14</f>
        <v>-2500</v>
      </c>
      <c r="F11" t="str">
        <f>IF(ISERROR(IF(OR(C11="#",C11=0),"",VLOOKUP(C11,'AOP25'!M:M,1,0))),"Not Found",VLOOKUP(C11,'AOP25'!M:M,1,0))</f>
        <v>Not Found</v>
      </c>
      <c r="G11" t="e">
        <f t="shared" si="0"/>
        <v>#N/A</v>
      </c>
      <c r="K11" s="60"/>
    </row>
    <row r="12" spans="1:11" hidden="1" x14ac:dyDescent="0.25">
      <c r="A12" t="str">
        <f>BIdetails!G15</f>
        <v>187516</v>
      </c>
      <c r="B12" t="str">
        <f>BIdetails!H15</f>
        <v>Accenture B.V.</v>
      </c>
      <c r="C12" t="str">
        <f>BIdetails!J15</f>
        <v>5401023605</v>
      </c>
      <c r="D12" t="str">
        <f>BIdetails!K15</f>
        <v>10</v>
      </c>
      <c r="E12" s="158">
        <f>BIdetails!M15</f>
        <v>-2500</v>
      </c>
      <c r="F12" t="str">
        <f>IF(ISERROR(IF(OR(C12="#",C12=0),"",VLOOKUP(C12,'AOP25'!M:M,1,0))),"Not Found",VLOOKUP(C12,'AOP25'!M:M,1,0))</f>
        <v>Not Found</v>
      </c>
      <c r="G12" t="e">
        <f t="shared" si="0"/>
        <v>#N/A</v>
      </c>
      <c r="K12" s="60"/>
    </row>
    <row r="13" spans="1:11" x14ac:dyDescent="0.25">
      <c r="A13" t="str">
        <f>BIdetails!G16</f>
        <v>187516</v>
      </c>
      <c r="B13" t="str">
        <f>BIdetails!H16</f>
        <v>Accenture B.V.</v>
      </c>
      <c r="C13" t="str">
        <f>BIdetails!J16</f>
        <v>5401023605</v>
      </c>
      <c r="D13" t="str">
        <f>BIdetails!K16</f>
        <v>10</v>
      </c>
      <c r="E13" s="158">
        <f>BIdetails!M16</f>
        <v>-2500</v>
      </c>
      <c r="F13" t="str">
        <f>IF(ISERROR(IF(OR(C13="#",C13=0),"",VLOOKUP(C13,'AOP25'!M:M,1,0))),"Not Found",VLOOKUP(C13,'AOP25'!M:M,1,0))</f>
        <v>Not Found</v>
      </c>
      <c r="G13" t="e">
        <f t="shared" si="0"/>
        <v>#N/A</v>
      </c>
      <c r="K13" s="60"/>
    </row>
    <row r="14" spans="1:11" x14ac:dyDescent="0.25">
      <c r="A14" t="str">
        <f>BIdetails!G17</f>
        <v>187516</v>
      </c>
      <c r="B14" t="str">
        <f>BIdetails!H17</f>
        <v>Accenture B.V.</v>
      </c>
      <c r="C14" t="str">
        <f>BIdetails!J17</f>
        <v>5401087933</v>
      </c>
      <c r="D14" t="str">
        <f>BIdetails!K17</f>
        <v>10</v>
      </c>
      <c r="E14" s="158">
        <f>BIdetails!M17</f>
        <v>4671.33</v>
      </c>
      <c r="F14" t="str">
        <f>IF(ISERROR(IF(OR(C14="#",C14=0),"",VLOOKUP(C14,'AOP25'!M:M,1,0))),"Not Found",VLOOKUP(C14,'AOP25'!M:M,1,0))</f>
        <v>Not Found</v>
      </c>
      <c r="G14" t="e">
        <f t="shared" si="0"/>
        <v>#N/A</v>
      </c>
      <c r="K14" s="60"/>
    </row>
    <row r="15" spans="1:11" hidden="1" x14ac:dyDescent="0.25">
      <c r="A15" t="str">
        <f>BIdetails!G18</f>
        <v>187516</v>
      </c>
      <c r="B15" t="str">
        <f>BIdetails!H18</f>
        <v>Accenture B.V.</v>
      </c>
      <c r="C15" t="str">
        <f>BIdetails!J18</f>
        <v>5400868906</v>
      </c>
      <c r="D15" t="str">
        <f>BIdetails!K18</f>
        <v>20</v>
      </c>
      <c r="E15" s="158">
        <f>BIdetails!M18</f>
        <v>4004</v>
      </c>
      <c r="F15" t="str">
        <f>IF(ISERROR(IF(OR(C15="#",C15=0),"",VLOOKUP(C15,'AOP25'!M:M,1,0))),"Not Found",VLOOKUP(C15,'AOP25'!M:M,1,0))</f>
        <v>Not Found</v>
      </c>
      <c r="G15" t="e">
        <f t="shared" si="0"/>
        <v>#N/A</v>
      </c>
      <c r="K15" s="60"/>
    </row>
    <row r="16" spans="1:11" hidden="1" x14ac:dyDescent="0.25">
      <c r="A16" t="str">
        <f>BIdetails!G19</f>
        <v>187516</v>
      </c>
      <c r="B16" t="str">
        <f>BIdetails!H19</f>
        <v>Accenture B.V.</v>
      </c>
      <c r="C16" t="str">
        <f>BIdetails!J19</f>
        <v>5400868906</v>
      </c>
      <c r="D16" t="str">
        <f>BIdetails!K19</f>
        <v>20</v>
      </c>
      <c r="E16" s="158">
        <f>BIdetails!M19</f>
        <v>4004</v>
      </c>
      <c r="F16" t="str">
        <f>IF(ISERROR(IF(OR(C16="#",C16=0),"",VLOOKUP(C16,'AOP25'!M:M,1,0))),"Not Found",VLOOKUP(C16,'AOP25'!M:M,1,0))</f>
        <v>Not Found</v>
      </c>
      <c r="G16" t="e">
        <f t="shared" si="0"/>
        <v>#N/A</v>
      </c>
      <c r="K16" s="60"/>
    </row>
    <row r="17" spans="1:7" hidden="1" x14ac:dyDescent="0.25">
      <c r="A17" t="str">
        <f>BIdetails!G20</f>
        <v>187516</v>
      </c>
      <c r="B17" t="str">
        <f>BIdetails!H20</f>
        <v>Accenture B.V.</v>
      </c>
      <c r="C17" t="str">
        <f>BIdetails!J20</f>
        <v>5401087933</v>
      </c>
      <c r="D17" t="str">
        <f>BIdetails!K20</f>
        <v>10</v>
      </c>
      <c r="E17" s="158">
        <f>BIdetails!M20</f>
        <v>4682.87</v>
      </c>
      <c r="F17" t="str">
        <f>IF(ISERROR(IF(OR(C17="#",C17=0),"",VLOOKUP(C17,'AOP25'!M:M,1,0))),"Not Found",VLOOKUP(C17,'AOP25'!M:M,1,0))</f>
        <v>Not Found</v>
      </c>
      <c r="G17" t="e">
        <f t="shared" si="0"/>
        <v>#N/A</v>
      </c>
    </row>
    <row r="18" spans="1:7" x14ac:dyDescent="0.25">
      <c r="A18" t="str">
        <f>BIdetails!G21</f>
        <v>187516</v>
      </c>
      <c r="B18" t="str">
        <f>BIdetails!H21</f>
        <v>Accenture B.V.</v>
      </c>
      <c r="C18" t="str">
        <f>BIdetails!J21</f>
        <v>5400868906</v>
      </c>
      <c r="D18" t="str">
        <f>BIdetails!K21</f>
        <v>20</v>
      </c>
      <c r="E18" s="158">
        <f>BIdetails!M21</f>
        <v>4004</v>
      </c>
      <c r="F18" t="str">
        <f>IF(ISERROR(IF(OR(C18="#",C18=0),"",VLOOKUP(C18,'AOP25'!M:M,1,0))),"Not Found",VLOOKUP(C18,'AOP25'!M:M,1,0))</f>
        <v>Not Found</v>
      </c>
      <c r="G18" t="e">
        <f t="shared" si="0"/>
        <v>#N/A</v>
      </c>
    </row>
    <row r="19" spans="1:7" hidden="1" x14ac:dyDescent="0.25">
      <c r="A19" t="str">
        <f>BIdetails!G22</f>
        <v>187516</v>
      </c>
      <c r="B19" t="str">
        <f>BIdetails!H22</f>
        <v>Accenture B.V.</v>
      </c>
      <c r="C19" t="str">
        <f>BIdetails!J22</f>
        <v>5401087933</v>
      </c>
      <c r="D19" t="str">
        <f>BIdetails!K22</f>
        <v>10</v>
      </c>
      <c r="E19" s="158">
        <f>BIdetails!M22</f>
        <v>4671.33</v>
      </c>
      <c r="F19" t="str">
        <f>IF(ISERROR(IF(OR(C19="#",C19=0),"",VLOOKUP(C19,'AOP25'!M:M,1,0))),"Not Found",VLOOKUP(C19,'AOP25'!M:M,1,0))</f>
        <v>Not Found</v>
      </c>
      <c r="G19" t="e">
        <f t="shared" si="0"/>
        <v>#N/A</v>
      </c>
    </row>
    <row r="20" spans="1:7" hidden="1" x14ac:dyDescent="0.25">
      <c r="A20" t="str">
        <f>BIdetails!G23</f>
        <v>166304</v>
      </c>
      <c r="B20" t="str">
        <f>BIdetails!H23</f>
        <v>Microsoft B.V.</v>
      </c>
      <c r="C20" t="str">
        <f>BIdetails!J23</f>
        <v>5401060729</v>
      </c>
      <c r="D20" t="str">
        <f>BIdetails!K23</f>
        <v>10</v>
      </c>
      <c r="E20" s="158">
        <f>BIdetails!M23</f>
        <v>-80000</v>
      </c>
      <c r="F20" t="str">
        <f>IF(ISERROR(IF(OR(C20="#",C20=0),"",VLOOKUP(C20,'AOP25'!M:M,1,0))),"Not Found",VLOOKUP(C20,'AOP25'!M:M,1,0))</f>
        <v>Not Found</v>
      </c>
      <c r="G20" t="e">
        <f t="shared" si="0"/>
        <v>#N/A</v>
      </c>
    </row>
    <row r="21" spans="1:7" hidden="1" x14ac:dyDescent="0.25">
      <c r="A21" t="str">
        <f>BIdetails!G24</f>
        <v>166304</v>
      </c>
      <c r="B21" t="str">
        <f>BIdetails!H24</f>
        <v>Microsoft B.V.</v>
      </c>
      <c r="C21" t="str">
        <f>BIdetails!J24</f>
        <v>5401060729</v>
      </c>
      <c r="D21" t="str">
        <f>BIdetails!K24</f>
        <v>10</v>
      </c>
      <c r="E21" s="158">
        <f>BIdetails!M24</f>
        <v>70256.100000000006</v>
      </c>
      <c r="F21" t="str">
        <f>IF(ISERROR(IF(OR(C21="#",C21=0),"",VLOOKUP(C21,'AOP25'!M:M,1,0))),"Not Found",VLOOKUP(C21,'AOP25'!M:M,1,0))</f>
        <v>Not Found</v>
      </c>
      <c r="G21" t="e">
        <f t="shared" si="0"/>
        <v>#N/A</v>
      </c>
    </row>
    <row r="22" spans="1:7" hidden="1" x14ac:dyDescent="0.25">
      <c r="A22" t="str">
        <f>BIdetails!G25</f>
        <v>166304</v>
      </c>
      <c r="B22" t="str">
        <f>BIdetails!H25</f>
        <v>Microsoft B.V.</v>
      </c>
      <c r="C22" t="str">
        <f>BIdetails!J25</f>
        <v>5401060729</v>
      </c>
      <c r="D22" t="str">
        <f>BIdetails!K25</f>
        <v>10</v>
      </c>
      <c r="E22" s="158">
        <f>BIdetails!M25</f>
        <v>80000</v>
      </c>
      <c r="F22" t="str">
        <f>IF(ISERROR(IF(OR(C22="#",C22=0),"",VLOOKUP(C22,'AOP25'!M:M,1,0))),"Not Found",VLOOKUP(C22,'AOP25'!M:M,1,0))</f>
        <v>Not Found</v>
      </c>
      <c r="G22" t="e">
        <f t="shared" si="0"/>
        <v>#N/A</v>
      </c>
    </row>
    <row r="23" spans="1:7" hidden="1" x14ac:dyDescent="0.25">
      <c r="A23" t="str">
        <f>BIdetails!G26</f>
        <v>166304</v>
      </c>
      <c r="B23" t="str">
        <f>BIdetails!H26</f>
        <v>Microsoft B.V.</v>
      </c>
      <c r="C23" t="str">
        <f>BIdetails!J26</f>
        <v>5401060727</v>
      </c>
      <c r="D23" t="str">
        <f>BIdetails!K26</f>
        <v>10</v>
      </c>
      <c r="E23" s="158">
        <f>BIdetails!M26</f>
        <v>-25000</v>
      </c>
      <c r="F23" t="str">
        <f>IF(ISERROR(IF(OR(C23="#",C23=0),"",VLOOKUP(C23,'AOP25'!M:M,1,0))),"Not Found",VLOOKUP(C23,'AOP25'!M:M,1,0))</f>
        <v>Not Found</v>
      </c>
      <c r="G23" t="e">
        <f t="shared" si="0"/>
        <v>#N/A</v>
      </c>
    </row>
    <row r="24" spans="1:7" hidden="1" x14ac:dyDescent="0.25">
      <c r="A24" t="str">
        <f>BIdetails!G27</f>
        <v>166304</v>
      </c>
      <c r="B24" t="str">
        <f>BIdetails!H27</f>
        <v>Microsoft B.V.</v>
      </c>
      <c r="C24" t="str">
        <f>BIdetails!J27</f>
        <v>5401060727</v>
      </c>
      <c r="D24" t="str">
        <f>BIdetails!K27</f>
        <v>10</v>
      </c>
      <c r="E24" s="158">
        <f>BIdetails!M27</f>
        <v>26318.16</v>
      </c>
      <c r="F24" t="str">
        <f>IF(ISERROR(IF(OR(C24="#",C24=0),"",VLOOKUP(C24,'AOP25'!M:M,1,0))),"Not Found",VLOOKUP(C24,'AOP25'!M:M,1,0))</f>
        <v>Not Found</v>
      </c>
      <c r="G24" t="e">
        <f t="shared" si="0"/>
        <v>#N/A</v>
      </c>
    </row>
    <row r="25" spans="1:7" hidden="1" x14ac:dyDescent="0.25">
      <c r="A25" t="str">
        <f>BIdetails!G28</f>
        <v>166304</v>
      </c>
      <c r="B25" t="str">
        <f>BIdetails!H28</f>
        <v>Microsoft B.V.</v>
      </c>
      <c r="C25" t="str">
        <f>BIdetails!J28</f>
        <v>5401060727</v>
      </c>
      <c r="D25" t="str">
        <f>BIdetails!K28</f>
        <v>10</v>
      </c>
      <c r="E25" s="158">
        <f>BIdetails!M28</f>
        <v>28000</v>
      </c>
      <c r="F25" t="str">
        <f>IF(ISERROR(IF(OR(C25="#",C25=0),"",VLOOKUP(C25,'AOP25'!M:M,1,0))),"Not Found",VLOOKUP(C25,'AOP25'!M:M,1,0))</f>
        <v>Not Found</v>
      </c>
      <c r="G25" t="e">
        <f t="shared" si="0"/>
        <v>#N/A</v>
      </c>
    </row>
    <row r="26" spans="1:7" hidden="1" x14ac:dyDescent="0.25">
      <c r="A26" t="str">
        <f>BIdetails!G29</f>
        <v>166304</v>
      </c>
      <c r="B26" t="str">
        <f>BIdetails!H29</f>
        <v>Microsoft B.V.</v>
      </c>
      <c r="C26" t="str">
        <f>BIdetails!J29</f>
        <v>5401060725</v>
      </c>
      <c r="D26" t="str">
        <f>BIdetails!K29</f>
        <v>10</v>
      </c>
      <c r="E26" s="158">
        <f>BIdetails!M29</f>
        <v>-285000</v>
      </c>
      <c r="F26" t="str">
        <f>IF(ISERROR(IF(OR(C26="#",C26=0),"",VLOOKUP(C26,'AOP25'!M:M,1,0))),"Not Found",VLOOKUP(C26,'AOP25'!M:M,1,0))</f>
        <v>Not Found</v>
      </c>
      <c r="G26" t="e">
        <f t="shared" si="0"/>
        <v>#N/A</v>
      </c>
    </row>
    <row r="27" spans="1:7" hidden="1" x14ac:dyDescent="0.25">
      <c r="A27" t="str">
        <f>BIdetails!G30</f>
        <v>166304</v>
      </c>
      <c r="B27" t="str">
        <f>BIdetails!H30</f>
        <v>Microsoft B.V.</v>
      </c>
      <c r="C27" t="str">
        <f>BIdetails!J30</f>
        <v>5401060725</v>
      </c>
      <c r="D27" t="str">
        <f>BIdetails!K30</f>
        <v>10</v>
      </c>
      <c r="E27" s="158">
        <f>BIdetails!M30</f>
        <v>288038.03000000003</v>
      </c>
      <c r="F27" t="str">
        <f>IF(ISERROR(IF(OR(C27="#",C27=0),"",VLOOKUP(C27,'AOP25'!M:M,1,0))),"Not Found",VLOOKUP(C27,'AOP25'!M:M,1,0))</f>
        <v>Not Found</v>
      </c>
      <c r="G27" t="e">
        <f t="shared" si="0"/>
        <v>#N/A</v>
      </c>
    </row>
    <row r="28" spans="1:7" hidden="1" x14ac:dyDescent="0.25">
      <c r="A28" t="str">
        <f>BIdetails!G31</f>
        <v>166304</v>
      </c>
      <c r="B28" t="str">
        <f>BIdetails!H31</f>
        <v>Microsoft B.V.</v>
      </c>
      <c r="C28" t="str">
        <f>BIdetails!J31</f>
        <v>5401060725</v>
      </c>
      <c r="D28" t="str">
        <f>BIdetails!K31</f>
        <v>10</v>
      </c>
      <c r="E28" s="158">
        <f>BIdetails!M31</f>
        <v>290000</v>
      </c>
      <c r="F28" t="str">
        <f>IF(ISERROR(IF(OR(C28="#",C28=0),"",VLOOKUP(C28,'AOP25'!M:M,1,0))),"Not Found",VLOOKUP(C28,'AOP25'!M:M,1,0))</f>
        <v>Not Found</v>
      </c>
      <c r="G28" t="e">
        <f t="shared" si="0"/>
        <v>#N/A</v>
      </c>
    </row>
    <row r="29" spans="1:7" hidden="1" x14ac:dyDescent="0.25">
      <c r="A29" t="str">
        <f>BIdetails!G32</f>
        <v>166304</v>
      </c>
      <c r="B29" t="str">
        <f>BIdetails!H32</f>
        <v>Microsoft B.V.</v>
      </c>
      <c r="C29" t="str">
        <f>BIdetails!J32</f>
        <v>5401095571</v>
      </c>
      <c r="D29" t="str">
        <f>BIdetails!K32</f>
        <v>10</v>
      </c>
      <c r="E29" s="158">
        <f>BIdetails!M32</f>
        <v>4492.8</v>
      </c>
      <c r="F29" t="str">
        <f>IF(ISERROR(IF(OR(C29="#",C29=0),"",VLOOKUP(C29,'AOP25'!M:M,1,0))),"Not Found",VLOOKUP(C29,'AOP25'!M:M,1,0))</f>
        <v>Not Found</v>
      </c>
      <c r="G29" t="e">
        <f t="shared" si="0"/>
        <v>#N/A</v>
      </c>
    </row>
    <row r="30" spans="1:7" hidden="1" x14ac:dyDescent="0.25">
      <c r="A30" t="str">
        <f>BIdetails!G33</f>
        <v>166304</v>
      </c>
      <c r="B30" t="str">
        <f>BIdetails!H33</f>
        <v>Microsoft B.V.</v>
      </c>
      <c r="C30" t="str">
        <f>BIdetails!J33</f>
        <v>5401060727</v>
      </c>
      <c r="D30" t="str">
        <f>BIdetails!K33</f>
        <v>10</v>
      </c>
      <c r="E30" s="158">
        <f>BIdetails!M33</f>
        <v>80000</v>
      </c>
      <c r="F30" t="str">
        <f>IF(ISERROR(IF(OR(C30="#",C30=0),"",VLOOKUP(C30,'AOP25'!M:M,1,0))),"Not Found",VLOOKUP(C30,'AOP25'!M:M,1,0))</f>
        <v>Not Found</v>
      </c>
      <c r="G30" t="e">
        <f t="shared" si="0"/>
        <v>#N/A</v>
      </c>
    </row>
    <row r="31" spans="1:7" x14ac:dyDescent="0.25">
      <c r="A31" t="str">
        <f>BIdetails!G34</f>
        <v>166304</v>
      </c>
      <c r="B31" t="str">
        <f>BIdetails!H34</f>
        <v>Microsoft B.V.</v>
      </c>
      <c r="C31" t="str">
        <f>BIdetails!J34</f>
        <v>5401060727</v>
      </c>
      <c r="D31" t="str">
        <f>BIdetails!K34</f>
        <v>10</v>
      </c>
      <c r="E31" s="158">
        <f>BIdetails!M34</f>
        <v>-80000</v>
      </c>
      <c r="F31" t="str">
        <f>IF(ISERROR(IF(OR(C31="#",C31=0),"",VLOOKUP(C31,'AOP25'!M:M,1,0))),"Not Found",VLOOKUP(C31,'AOP25'!M:M,1,0))</f>
        <v>Not Found</v>
      </c>
      <c r="G31" t="e">
        <f t="shared" si="0"/>
        <v>#N/A</v>
      </c>
    </row>
    <row r="32" spans="1:7" hidden="1" x14ac:dyDescent="0.25">
      <c r="A32" t="str">
        <f>BIdetails!G35</f>
        <v>166304</v>
      </c>
      <c r="B32" t="str">
        <f>BIdetails!H35</f>
        <v>Microsoft B.V.</v>
      </c>
      <c r="C32" t="str">
        <f>BIdetails!J35</f>
        <v>5401060727</v>
      </c>
      <c r="D32" t="str">
        <f>BIdetails!K35</f>
        <v>10</v>
      </c>
      <c r="E32" s="158">
        <f>BIdetails!M35</f>
        <v>28000</v>
      </c>
      <c r="F32" t="str">
        <f>IF(ISERROR(IF(OR(C32="#",C32=0),"",VLOOKUP(C32,'AOP25'!M:M,1,0))),"Not Found",VLOOKUP(C32,'AOP25'!M:M,1,0))</f>
        <v>Not Found</v>
      </c>
      <c r="G32" t="e">
        <f t="shared" si="0"/>
        <v>#N/A</v>
      </c>
    </row>
    <row r="33" spans="1:7" hidden="1" x14ac:dyDescent="0.25">
      <c r="A33" t="str">
        <f>BIdetails!G36</f>
        <v>166304</v>
      </c>
      <c r="B33" t="str">
        <f>BIdetails!H36</f>
        <v>Microsoft B.V.</v>
      </c>
      <c r="C33" t="str">
        <f>BIdetails!J36</f>
        <v>5401060729</v>
      </c>
      <c r="D33" t="str">
        <f>BIdetails!K36</f>
        <v>10</v>
      </c>
      <c r="E33" s="158">
        <f>BIdetails!M36</f>
        <v>-80000</v>
      </c>
      <c r="F33" t="str">
        <f>IF(ISERROR(IF(OR(C33="#",C33=0),"",VLOOKUP(C33,'AOP25'!M:M,1,0))),"Not Found",VLOOKUP(C33,'AOP25'!M:M,1,0))</f>
        <v>Not Found</v>
      </c>
      <c r="G33" t="e">
        <f t="shared" si="0"/>
        <v>#N/A</v>
      </c>
    </row>
    <row r="34" spans="1:7" hidden="1" x14ac:dyDescent="0.25">
      <c r="A34" t="str">
        <f>BIdetails!G37</f>
        <v>166304</v>
      </c>
      <c r="B34" t="str">
        <f>BIdetails!H37</f>
        <v>Microsoft B.V.</v>
      </c>
      <c r="C34" t="str">
        <f>BIdetails!J37</f>
        <v>5401060729</v>
      </c>
      <c r="D34" t="str">
        <f>BIdetails!K37</f>
        <v>10</v>
      </c>
      <c r="E34" s="158">
        <f>BIdetails!M37</f>
        <v>70528.08</v>
      </c>
      <c r="F34" t="str">
        <f>IF(ISERROR(IF(OR(C34="#",C34=0),"",VLOOKUP(C34,'AOP25'!M:M,1,0))),"Not Found",VLOOKUP(C34,'AOP25'!M:M,1,0))</f>
        <v>Not Found</v>
      </c>
      <c r="G34" t="e">
        <f t="shared" si="0"/>
        <v>#N/A</v>
      </c>
    </row>
    <row r="35" spans="1:7" hidden="1" x14ac:dyDescent="0.25">
      <c r="A35" t="str">
        <f>BIdetails!G38</f>
        <v>166304</v>
      </c>
      <c r="B35" t="str">
        <f>BIdetails!H38</f>
        <v>Microsoft B.V.</v>
      </c>
      <c r="C35" t="str">
        <f>BIdetails!J38</f>
        <v>5401060729</v>
      </c>
      <c r="D35" t="str">
        <f>BIdetails!K38</f>
        <v>10</v>
      </c>
      <c r="E35" s="158">
        <f>BIdetails!M38</f>
        <v>80000</v>
      </c>
      <c r="F35" t="str">
        <f>IF(ISERROR(IF(OR(C35="#",C35=0),"",VLOOKUP(C35,'AOP25'!M:M,1,0))),"Not Found",VLOOKUP(C35,'AOP25'!M:M,1,0))</f>
        <v>Not Found</v>
      </c>
      <c r="G35" t="e">
        <f t="shared" si="0"/>
        <v>#N/A</v>
      </c>
    </row>
    <row r="36" spans="1:7" x14ac:dyDescent="0.25">
      <c r="A36" t="str">
        <f>BIdetails!G39</f>
        <v>166304</v>
      </c>
      <c r="B36" t="str">
        <f>BIdetails!H39</f>
        <v>Microsoft B.V.</v>
      </c>
      <c r="C36" t="str">
        <f>BIdetails!J39</f>
        <v>5401060727</v>
      </c>
      <c r="D36" t="str">
        <f>BIdetails!K39</f>
        <v>10</v>
      </c>
      <c r="E36" s="158">
        <f>BIdetails!M39</f>
        <v>-28000</v>
      </c>
      <c r="F36" t="str">
        <f>IF(ISERROR(IF(OR(C36="#",C36=0),"",VLOOKUP(C36,'AOP25'!M:M,1,0))),"Not Found",VLOOKUP(C36,'AOP25'!M:M,1,0))</f>
        <v>Not Found</v>
      </c>
      <c r="G36" t="e">
        <f t="shared" si="0"/>
        <v>#N/A</v>
      </c>
    </row>
    <row r="37" spans="1:7" hidden="1" x14ac:dyDescent="0.25">
      <c r="A37" t="str">
        <f>BIdetails!G40</f>
        <v>166304</v>
      </c>
      <c r="B37" t="str">
        <f>BIdetails!H40</f>
        <v>Microsoft B.V.</v>
      </c>
      <c r="C37" t="str">
        <f>BIdetails!J40</f>
        <v>5401060727</v>
      </c>
      <c r="D37" t="str">
        <f>BIdetails!K40</f>
        <v>10</v>
      </c>
      <c r="E37" s="158">
        <f>BIdetails!M40</f>
        <v>25841.14</v>
      </c>
      <c r="F37" t="str">
        <f>IF(ISERROR(IF(OR(C37="#",C37=0),"",VLOOKUP(C37,'AOP25'!M:M,1,0))),"Not Found",VLOOKUP(C37,'AOP25'!M:M,1,0))</f>
        <v>Not Found</v>
      </c>
      <c r="G37" t="e">
        <f t="shared" si="0"/>
        <v>#N/A</v>
      </c>
    </row>
    <row r="38" spans="1:7" hidden="1" x14ac:dyDescent="0.25">
      <c r="A38" t="str">
        <f>BIdetails!G41</f>
        <v>166304</v>
      </c>
      <c r="B38" t="str">
        <f>BIdetails!H41</f>
        <v>Microsoft B.V.</v>
      </c>
      <c r="C38" t="str">
        <f>BIdetails!J41</f>
        <v>5401060725</v>
      </c>
      <c r="D38" t="str">
        <f>BIdetails!K41</f>
        <v>10</v>
      </c>
      <c r="E38" s="158">
        <f>BIdetails!M41</f>
        <v>-290000</v>
      </c>
      <c r="F38" t="str">
        <f>IF(ISERROR(IF(OR(C38="#",C38=0),"",VLOOKUP(C38,'AOP25'!M:M,1,0))),"Not Found",VLOOKUP(C38,'AOP25'!M:M,1,0))</f>
        <v>Not Found</v>
      </c>
      <c r="G38" t="e">
        <f t="shared" si="0"/>
        <v>#N/A</v>
      </c>
    </row>
    <row r="39" spans="1:7" hidden="1" x14ac:dyDescent="0.25">
      <c r="A39" t="str">
        <f>BIdetails!G42</f>
        <v>166304</v>
      </c>
      <c r="B39" t="str">
        <f>BIdetails!H42</f>
        <v>Microsoft B.V.</v>
      </c>
      <c r="C39" t="str">
        <f>BIdetails!J42</f>
        <v>5401060725</v>
      </c>
      <c r="D39" t="str">
        <f>BIdetails!K42</f>
        <v>10</v>
      </c>
      <c r="E39" s="158">
        <f>BIdetails!M42</f>
        <v>297368.27</v>
      </c>
      <c r="F39" t="str">
        <f>IF(ISERROR(IF(OR(C39="#",C39=0),"",VLOOKUP(C39,'AOP25'!M:M,1,0))),"Not Found",VLOOKUP(C39,'AOP25'!M:M,1,0))</f>
        <v>Not Found</v>
      </c>
      <c r="G39" t="e">
        <f t="shared" si="0"/>
        <v>#N/A</v>
      </c>
    </row>
    <row r="40" spans="1:7" hidden="1" x14ac:dyDescent="0.25">
      <c r="A40" t="str">
        <f>BIdetails!G43</f>
        <v>166304</v>
      </c>
      <c r="B40" t="str">
        <f>BIdetails!H43</f>
        <v>Microsoft B.V.</v>
      </c>
      <c r="C40" t="str">
        <f>BIdetails!J43</f>
        <v>5401060725</v>
      </c>
      <c r="D40" t="str">
        <f>BIdetails!K43</f>
        <v>10</v>
      </c>
      <c r="E40" s="158">
        <f>BIdetails!M43</f>
        <v>300000</v>
      </c>
      <c r="F40" t="str">
        <f>IF(ISERROR(IF(OR(C40="#",C40=0),"",VLOOKUP(C40,'AOP25'!M:M,1,0))),"Not Found",VLOOKUP(C40,'AOP25'!M:M,1,0))</f>
        <v>Not Found</v>
      </c>
      <c r="G40" t="e">
        <f t="shared" si="0"/>
        <v>#N/A</v>
      </c>
    </row>
    <row r="41" spans="1:7" hidden="1" x14ac:dyDescent="0.25">
      <c r="A41" t="str">
        <f>BIdetails!G44</f>
        <v>166304</v>
      </c>
      <c r="B41" t="str">
        <f>BIdetails!H44</f>
        <v>Microsoft B.V.</v>
      </c>
      <c r="C41" t="str">
        <f>BIdetails!J44</f>
        <v>5401060729</v>
      </c>
      <c r="D41" t="str">
        <f>BIdetails!K44</f>
        <v>10</v>
      </c>
      <c r="E41" s="158">
        <f>BIdetails!M44</f>
        <v>-80000</v>
      </c>
      <c r="F41" t="str">
        <f>IF(ISERROR(IF(OR(C41="#",C41=0),"",VLOOKUP(C41,'AOP25'!M:M,1,0))),"Not Found",VLOOKUP(C41,'AOP25'!M:M,1,0))</f>
        <v>Not Found</v>
      </c>
      <c r="G41" t="e">
        <f t="shared" si="0"/>
        <v>#N/A</v>
      </c>
    </row>
    <row r="42" spans="1:7" hidden="1" x14ac:dyDescent="0.25">
      <c r="A42" t="str">
        <f>BIdetails!G45</f>
        <v>166304</v>
      </c>
      <c r="B42" t="str">
        <f>BIdetails!H45</f>
        <v>Microsoft B.V.</v>
      </c>
      <c r="C42" t="str">
        <f>BIdetails!J45</f>
        <v>5401060729</v>
      </c>
      <c r="D42" t="str">
        <f>BIdetails!K45</f>
        <v>10</v>
      </c>
      <c r="E42" s="158">
        <f>BIdetails!M45</f>
        <v>66387.06</v>
      </c>
      <c r="F42" t="str">
        <f>IF(ISERROR(IF(OR(C42="#",C42=0),"",VLOOKUP(C42,'AOP25'!M:M,1,0))),"Not Found",VLOOKUP(C42,'AOP25'!M:M,1,0))</f>
        <v>Not Found</v>
      </c>
      <c r="G42" t="e">
        <f t="shared" si="0"/>
        <v>#N/A</v>
      </c>
    </row>
    <row r="43" spans="1:7" x14ac:dyDescent="0.25">
      <c r="A43" t="str">
        <f>BIdetails!G46</f>
        <v>166304</v>
      </c>
      <c r="B43" t="str">
        <f>BIdetails!H46</f>
        <v>Microsoft B.V.</v>
      </c>
      <c r="C43" t="str">
        <f>BIdetails!J46</f>
        <v>5401060729</v>
      </c>
      <c r="D43" t="str">
        <f>BIdetails!K46</f>
        <v>10</v>
      </c>
      <c r="E43" s="158">
        <f>BIdetails!M46</f>
        <v>80000</v>
      </c>
      <c r="F43" t="str">
        <f>IF(ISERROR(IF(OR(C43="#",C43=0),"",VLOOKUP(C43,'AOP25'!M:M,1,0))),"Not Found",VLOOKUP(C43,'AOP25'!M:M,1,0))</f>
        <v>Not Found</v>
      </c>
      <c r="G43" t="e">
        <f t="shared" si="0"/>
        <v>#N/A</v>
      </c>
    </row>
    <row r="44" spans="1:7" x14ac:dyDescent="0.25">
      <c r="A44" t="str">
        <f>BIdetails!G47</f>
        <v>166304</v>
      </c>
      <c r="B44" t="str">
        <f>BIdetails!H47</f>
        <v>Microsoft B.V.</v>
      </c>
      <c r="C44" t="str">
        <f>BIdetails!J47</f>
        <v>5401060727</v>
      </c>
      <c r="D44" t="str">
        <f>BIdetails!K47</f>
        <v>10</v>
      </c>
      <c r="E44" s="158">
        <f>BIdetails!M47</f>
        <v>-28000</v>
      </c>
      <c r="F44" t="str">
        <f>IF(ISERROR(IF(OR(C44="#",C44=0),"",VLOOKUP(C44,'AOP25'!M:M,1,0))),"Not Found",VLOOKUP(C44,'AOP25'!M:M,1,0))</f>
        <v>Not Found</v>
      </c>
      <c r="G44" t="e">
        <f t="shared" si="0"/>
        <v>#N/A</v>
      </c>
    </row>
    <row r="45" spans="1:7" hidden="1" x14ac:dyDescent="0.25">
      <c r="A45" t="str">
        <f>BIdetails!G48</f>
        <v>166304</v>
      </c>
      <c r="B45" t="str">
        <f>BIdetails!H48</f>
        <v>Microsoft B.V.</v>
      </c>
      <c r="C45" t="str">
        <f>BIdetails!J48</f>
        <v>5401060727</v>
      </c>
      <c r="D45" t="str">
        <f>BIdetails!K48</f>
        <v>10</v>
      </c>
      <c r="E45" s="158">
        <f>BIdetails!M48</f>
        <v>23683.55</v>
      </c>
      <c r="F45" t="str">
        <f>IF(ISERROR(IF(OR(C45="#",C45=0),"",VLOOKUP(C45,'AOP25'!M:M,1,0))),"Not Found",VLOOKUP(C45,'AOP25'!M:M,1,0))</f>
        <v>Not Found</v>
      </c>
      <c r="G45" t="e">
        <f t="shared" si="0"/>
        <v>#N/A</v>
      </c>
    </row>
    <row r="46" spans="1:7" hidden="1" x14ac:dyDescent="0.25">
      <c r="A46" t="str">
        <f>BIdetails!G49</f>
        <v>166304</v>
      </c>
      <c r="B46" t="str">
        <f>BIdetails!H49</f>
        <v>Microsoft B.V.</v>
      </c>
      <c r="C46" t="str">
        <f>BIdetails!J49</f>
        <v>5401060727</v>
      </c>
      <c r="D46" t="str">
        <f>BIdetails!K49</f>
        <v>10</v>
      </c>
      <c r="E46" s="158">
        <f>BIdetails!M49</f>
        <v>28000</v>
      </c>
      <c r="F46" t="str">
        <f>IF(ISERROR(IF(OR(C46="#",C46=0),"",VLOOKUP(C46,'AOP25'!M:M,1,0))),"Not Found",VLOOKUP(C46,'AOP25'!M:M,1,0))</f>
        <v>Not Found</v>
      </c>
      <c r="G46" t="e">
        <f t="shared" si="0"/>
        <v>#N/A</v>
      </c>
    </row>
    <row r="47" spans="1:7" hidden="1" x14ac:dyDescent="0.25">
      <c r="A47" t="str">
        <f>BIdetails!G50</f>
        <v>166304</v>
      </c>
      <c r="B47" t="str">
        <f>BIdetails!H50</f>
        <v>Microsoft B.V.</v>
      </c>
      <c r="C47" t="str">
        <f>BIdetails!J50</f>
        <v>5401060725</v>
      </c>
      <c r="D47" t="str">
        <f>BIdetails!K50</f>
        <v>10</v>
      </c>
      <c r="E47" s="158">
        <f>BIdetails!M50</f>
        <v>-300000</v>
      </c>
      <c r="F47" t="str">
        <f>IF(ISERROR(IF(OR(C47="#",C47=0),"",VLOOKUP(C47,'AOP25'!M:M,1,0))),"Not Found",VLOOKUP(C47,'AOP25'!M:M,1,0))</f>
        <v>Not Found</v>
      </c>
      <c r="G47" t="e">
        <f t="shared" si="0"/>
        <v>#N/A</v>
      </c>
    </row>
    <row r="48" spans="1:7" hidden="1" x14ac:dyDescent="0.25">
      <c r="A48" t="str">
        <f>BIdetails!G51</f>
        <v>166304</v>
      </c>
      <c r="B48" t="str">
        <f>BIdetails!H51</f>
        <v>Microsoft B.V.</v>
      </c>
      <c r="C48" t="str">
        <f>BIdetails!J51</f>
        <v>5401060725</v>
      </c>
      <c r="D48" t="str">
        <f>BIdetails!K51</f>
        <v>10</v>
      </c>
      <c r="E48" s="158">
        <f>BIdetails!M51</f>
        <v>265976.51</v>
      </c>
      <c r="F48" t="str">
        <f>IF(ISERROR(IF(OR(C48="#",C48=0),"",VLOOKUP(C48,'AOP25'!M:M,1,0))),"Not Found",VLOOKUP(C48,'AOP25'!M:M,1,0))</f>
        <v>Not Found</v>
      </c>
      <c r="G48" t="e">
        <f t="shared" si="0"/>
        <v>#N/A</v>
      </c>
    </row>
    <row r="49" spans="1:7" hidden="1" x14ac:dyDescent="0.25">
      <c r="A49" t="str">
        <f>BIdetails!G52</f>
        <v>166304</v>
      </c>
      <c r="B49" t="str">
        <f>BIdetails!H52</f>
        <v>Microsoft B.V.</v>
      </c>
      <c r="C49" t="str">
        <f>BIdetails!J52</f>
        <v>5401060725</v>
      </c>
      <c r="D49" t="str">
        <f>BIdetails!K52</f>
        <v>10</v>
      </c>
      <c r="E49" s="158">
        <f>BIdetails!M52</f>
        <v>275000</v>
      </c>
      <c r="F49" t="str">
        <f>IF(ISERROR(IF(OR(C49="#",C49=0),"",VLOOKUP(C49,'AOP25'!M:M,1,0))),"Not Found",VLOOKUP(C49,'AOP25'!M:M,1,0))</f>
        <v>Not Found</v>
      </c>
      <c r="G49" t="e">
        <f t="shared" si="0"/>
        <v>#N/A</v>
      </c>
    </row>
    <row r="50" spans="1:7" ht="15.75" hidden="1" thickBot="1" x14ac:dyDescent="0.3">
      <c r="A50" t="str">
        <f>BIdetails!G53</f>
        <v>166304</v>
      </c>
      <c r="B50" t="str">
        <f>BIdetails!H53</f>
        <v>Microsoft B.V.</v>
      </c>
      <c r="C50" t="str">
        <f>BIdetails!J53</f>
        <v>5401060725</v>
      </c>
      <c r="D50" t="str">
        <f>BIdetails!K53</f>
        <v>10</v>
      </c>
      <c r="E50" s="158">
        <f>BIdetails!M53</f>
        <v>-275000</v>
      </c>
      <c r="F50" t="str">
        <f>IF(ISERROR(IF(OR(C50="#",C50=0),"",VLOOKUP(C50,'AOP25'!M:M,1,0))),"Not Found",VLOOKUP(C50,'AOP25'!M:M,1,0))</f>
        <v>Not Found</v>
      </c>
      <c r="G50" t="e">
        <f t="shared" si="0"/>
        <v>#N/A</v>
      </c>
    </row>
    <row r="51" spans="1:7" hidden="1" x14ac:dyDescent="0.25">
      <c r="A51" t="str">
        <f>BIdetails!G54</f>
        <v>166304</v>
      </c>
      <c r="B51" t="str">
        <f>BIdetails!H54</f>
        <v>Microsoft B.V.</v>
      </c>
      <c r="C51" t="str">
        <f>BIdetails!J54</f>
        <v>5401060725</v>
      </c>
      <c r="D51" t="str">
        <f>BIdetails!K54</f>
        <v>10</v>
      </c>
      <c r="E51" s="158">
        <f>BIdetails!M54</f>
        <v>275000</v>
      </c>
      <c r="F51" t="str">
        <f>IF(ISERROR(IF(OR(C51="#",C51=0),"",VLOOKUP(C51,'AOP25'!M:M,1,0))),"Not Found",VLOOKUP(C51,'AOP25'!M:M,1,0))</f>
        <v>Not Found</v>
      </c>
      <c r="G51" t="e">
        <f t="shared" si="0"/>
        <v>#N/A</v>
      </c>
    </row>
    <row r="52" spans="1:7" hidden="1" x14ac:dyDescent="0.25">
      <c r="A52" t="str">
        <f>BIdetails!G55</f>
        <v>166304</v>
      </c>
      <c r="B52" t="str">
        <f>BIdetails!H55</f>
        <v>Microsoft B.V.</v>
      </c>
      <c r="C52" t="str">
        <f>BIdetails!J55</f>
        <v>5401060725</v>
      </c>
      <c r="D52" t="str">
        <f>BIdetails!K55</f>
        <v>10</v>
      </c>
      <c r="E52" s="158">
        <f>BIdetails!M55</f>
        <v>-265976.51</v>
      </c>
      <c r="F52" t="str">
        <f>IF(ISERROR(IF(OR(C52="#",C52=0),"",VLOOKUP(C52,'AOP25'!M:M,1,0))),"Not Found",VLOOKUP(C52,'AOP25'!M:M,1,0))</f>
        <v>Not Found</v>
      </c>
      <c r="G52" t="e">
        <f t="shared" si="0"/>
        <v>#N/A</v>
      </c>
    </row>
    <row r="53" spans="1:7" hidden="1" x14ac:dyDescent="0.25">
      <c r="A53" t="str">
        <f>BIdetails!G56</f>
        <v>166304</v>
      </c>
      <c r="B53" t="str">
        <f>BIdetails!H56</f>
        <v>Microsoft B.V.</v>
      </c>
      <c r="C53" t="str">
        <f>BIdetails!J56</f>
        <v>5401060725</v>
      </c>
      <c r="D53" t="str">
        <f>BIdetails!K56</f>
        <v>10</v>
      </c>
      <c r="E53" s="158">
        <f>BIdetails!M56</f>
        <v>265968.08</v>
      </c>
      <c r="F53" t="str">
        <f>IF(ISERROR(IF(OR(C53="#",C53=0),"",VLOOKUP(C53,'AOP25'!M:M,1,0))),"Not Found",VLOOKUP(C53,'AOP25'!M:M,1,0))</f>
        <v>Not Found</v>
      </c>
      <c r="G53" t="e">
        <f t="shared" si="0"/>
        <v>#N/A</v>
      </c>
    </row>
    <row r="54" spans="1:7" hidden="1" x14ac:dyDescent="0.25">
      <c r="A54" t="str">
        <f>BIdetails!G57</f>
        <v>166304</v>
      </c>
      <c r="B54" t="str">
        <f>BIdetails!H57</f>
        <v>Microsoft B.V.</v>
      </c>
      <c r="C54" t="str">
        <f>BIdetails!J57</f>
        <v>5401060729</v>
      </c>
      <c r="D54" t="str">
        <f>BIdetails!K57</f>
        <v>10</v>
      </c>
      <c r="E54" s="158">
        <f>BIdetails!M57</f>
        <v>-80000</v>
      </c>
      <c r="F54" t="str">
        <f>IF(ISERROR(IF(OR(C54="#",C54=0),"",VLOOKUP(C54,'AOP25'!M:M,1,0))),"Not Found",VLOOKUP(C54,'AOP25'!M:M,1,0))</f>
        <v>Not Found</v>
      </c>
      <c r="G54" t="e">
        <f t="shared" si="0"/>
        <v>#N/A</v>
      </c>
    </row>
    <row r="55" spans="1:7" x14ac:dyDescent="0.25">
      <c r="A55" t="str">
        <f>BIdetails!G58</f>
        <v>166304</v>
      </c>
      <c r="B55" t="str">
        <f>BIdetails!H58</f>
        <v>Microsoft B.V.</v>
      </c>
      <c r="C55" t="str">
        <f>BIdetails!J58</f>
        <v>5401060727</v>
      </c>
      <c r="D55" t="str">
        <f>BIdetails!K58</f>
        <v>10</v>
      </c>
      <c r="E55" s="158">
        <f>BIdetails!M58</f>
        <v>-28000</v>
      </c>
      <c r="F55" t="str">
        <f>IF(ISERROR(IF(OR(C55="#",C55=0),"",VLOOKUP(C55,'AOP25'!M:M,1,0))),"Not Found",VLOOKUP(C55,'AOP25'!M:M,1,0))</f>
        <v>Not Found</v>
      </c>
      <c r="G55" t="e">
        <f t="shared" si="0"/>
        <v>#N/A</v>
      </c>
    </row>
    <row r="56" spans="1:7" hidden="1" x14ac:dyDescent="0.25">
      <c r="A56" t="str">
        <f>BIdetails!G59</f>
        <v>166304</v>
      </c>
      <c r="B56" t="str">
        <f>BIdetails!H59</f>
        <v>Microsoft B.V.</v>
      </c>
      <c r="C56" t="str">
        <f>BIdetails!J59</f>
        <v>5401060727</v>
      </c>
      <c r="D56" t="str">
        <f>BIdetails!K59</f>
        <v>10</v>
      </c>
      <c r="E56" s="158">
        <f>BIdetails!M59</f>
        <v>26071.37</v>
      </c>
      <c r="F56" t="str">
        <f>IF(ISERROR(IF(OR(C56="#",C56=0),"",VLOOKUP(C56,'AOP25'!M:M,1,0))),"Not Found",VLOOKUP(C56,'AOP25'!M:M,1,0))</f>
        <v>Not Found</v>
      </c>
      <c r="G56" t="e">
        <f t="shared" si="0"/>
        <v>#N/A</v>
      </c>
    </row>
    <row r="57" spans="1:7" hidden="1" x14ac:dyDescent="0.25">
      <c r="A57" t="str">
        <f>BIdetails!G60</f>
        <v>166304</v>
      </c>
      <c r="B57" t="str">
        <f>BIdetails!H60</f>
        <v>Microsoft B.V.</v>
      </c>
      <c r="C57" t="str">
        <f>BIdetails!J60</f>
        <v>5401060727</v>
      </c>
      <c r="D57" t="str">
        <f>BIdetails!K60</f>
        <v>10</v>
      </c>
      <c r="E57" s="158">
        <f>BIdetails!M60</f>
        <v>28000</v>
      </c>
      <c r="F57" t="str">
        <f>IF(ISERROR(IF(OR(C57="#",C57=0),"",VLOOKUP(C57,'AOP25'!M:M,1,0))),"Not Found",VLOOKUP(C57,'AOP25'!M:M,1,0))</f>
        <v>Not Found</v>
      </c>
      <c r="G57" t="e">
        <f t="shared" si="0"/>
        <v>#N/A</v>
      </c>
    </row>
    <row r="58" spans="1:7" hidden="1" x14ac:dyDescent="0.25">
      <c r="A58" t="str">
        <f>BIdetails!G61</f>
        <v>166304</v>
      </c>
      <c r="B58" t="str">
        <f>BIdetails!H61</f>
        <v>Microsoft B.V.</v>
      </c>
      <c r="C58" t="str">
        <f>BIdetails!J61</f>
        <v>5401060725</v>
      </c>
      <c r="D58" t="str">
        <f>BIdetails!K61</f>
        <v>10</v>
      </c>
      <c r="E58" s="158">
        <f>BIdetails!M61</f>
        <v>-275000</v>
      </c>
      <c r="F58" t="str">
        <f>IF(ISERROR(IF(OR(C58="#",C58=0),"",VLOOKUP(C58,'AOP25'!M:M,1,0))),"Not Found",VLOOKUP(C58,'AOP25'!M:M,1,0))</f>
        <v>Not Found</v>
      </c>
      <c r="G58" t="e">
        <f t="shared" si="0"/>
        <v>#N/A</v>
      </c>
    </row>
    <row r="59" spans="1:7" hidden="1" x14ac:dyDescent="0.25">
      <c r="A59" t="str">
        <f>BIdetails!G62</f>
        <v>166304</v>
      </c>
      <c r="B59" t="str">
        <f>BIdetails!H62</f>
        <v>Microsoft B.V.</v>
      </c>
      <c r="C59" t="str">
        <f>BIdetails!J62</f>
        <v>5401060725</v>
      </c>
      <c r="D59" t="str">
        <f>BIdetails!K62</f>
        <v>10</v>
      </c>
      <c r="E59" s="158">
        <f>BIdetails!M62</f>
        <v>282450.39</v>
      </c>
      <c r="F59" t="str">
        <f>IF(ISERROR(IF(OR(C59="#",C59=0),"",VLOOKUP(C59,'AOP25'!M:M,1,0))),"Not Found",VLOOKUP(C59,'AOP25'!M:M,1,0))</f>
        <v>Not Found</v>
      </c>
      <c r="G59" t="e">
        <f t="shared" si="0"/>
        <v>#N/A</v>
      </c>
    </row>
    <row r="60" spans="1:7" hidden="1" x14ac:dyDescent="0.25">
      <c r="A60" t="str">
        <f>BIdetails!G63</f>
        <v>166304</v>
      </c>
      <c r="B60" t="str">
        <f>BIdetails!H63</f>
        <v>Microsoft B.V.</v>
      </c>
      <c r="C60" t="str">
        <f>BIdetails!J63</f>
        <v>5401060725</v>
      </c>
      <c r="D60" t="str">
        <f>BIdetails!K63</f>
        <v>10</v>
      </c>
      <c r="E60" s="158">
        <f>BIdetails!M63</f>
        <v>285000</v>
      </c>
      <c r="F60" t="str">
        <f>IF(ISERROR(IF(OR(C60="#",C60=0),"",VLOOKUP(C60,'AOP25'!M:M,1,0))),"Not Found",VLOOKUP(C60,'AOP25'!M:M,1,0))</f>
        <v>Not Found</v>
      </c>
      <c r="G60" t="e">
        <f t="shared" si="0"/>
        <v>#N/A</v>
      </c>
    </row>
    <row r="61" spans="1:7" hidden="1" x14ac:dyDescent="0.25">
      <c r="A61" t="str">
        <f>BIdetails!G64</f>
        <v>166304</v>
      </c>
      <c r="B61" t="str">
        <f>BIdetails!H64</f>
        <v>Microsoft B.V.</v>
      </c>
      <c r="C61" t="str">
        <f>BIdetails!J64</f>
        <v>5401105308</v>
      </c>
      <c r="D61" t="str">
        <f>BIdetails!K64</f>
        <v>10</v>
      </c>
      <c r="E61" s="158">
        <f>BIdetails!M64</f>
        <v>560</v>
      </c>
      <c r="F61" t="str">
        <f>IF(ISERROR(IF(OR(C61="#",C61=0),"",VLOOKUP(C61,'AOP25'!M:M,1,0))),"Not Found",VLOOKUP(C61,'AOP25'!M:M,1,0))</f>
        <v>Not Found</v>
      </c>
      <c r="G61" t="e">
        <f t="shared" si="0"/>
        <v>#N/A</v>
      </c>
    </row>
    <row r="62" spans="1:7" hidden="1" x14ac:dyDescent="0.25">
      <c r="A62" t="str">
        <f>BIdetails!G65</f>
        <v>166304</v>
      </c>
      <c r="B62" t="str">
        <f>BIdetails!H65</f>
        <v>Microsoft B.V.</v>
      </c>
      <c r="C62" t="str">
        <f>BIdetails!J65</f>
        <v>5401107565</v>
      </c>
      <c r="D62" t="str">
        <f>BIdetails!K65</f>
        <v>10</v>
      </c>
      <c r="E62" s="158">
        <f>BIdetails!M65</f>
        <v>954.72</v>
      </c>
      <c r="F62" t="str">
        <f>IF(ISERROR(IF(OR(C62="#",C62=0),"",VLOOKUP(C62,'AOP25'!M:M,1,0))),"Not Found",VLOOKUP(C62,'AOP25'!M:M,1,0))</f>
        <v>Not Found</v>
      </c>
      <c r="G62" t="e">
        <f t="shared" si="0"/>
        <v>#N/A</v>
      </c>
    </row>
    <row r="63" spans="1:7" hidden="1" x14ac:dyDescent="0.25">
      <c r="A63" t="str">
        <f>BIdetails!G66</f>
        <v>166304</v>
      </c>
      <c r="B63" t="str">
        <f>BIdetails!H66</f>
        <v>Microsoft B.V.</v>
      </c>
      <c r="C63" t="str">
        <f>BIdetails!J66</f>
        <v>5401108482</v>
      </c>
      <c r="D63" t="str">
        <f>BIdetails!K66</f>
        <v>10</v>
      </c>
      <c r="E63" s="158">
        <f>BIdetails!M66</f>
        <v>56</v>
      </c>
      <c r="F63" t="str">
        <f>IF(ISERROR(IF(OR(C63="#",C63=0),"",VLOOKUP(C63,'AOP25'!M:M,1,0))),"Not Found",VLOOKUP(C63,'AOP25'!M:M,1,0))</f>
        <v>Not Found</v>
      </c>
      <c r="G63" t="e">
        <f t="shared" si="0"/>
        <v>#N/A</v>
      </c>
    </row>
    <row r="64" spans="1:7" hidden="1" x14ac:dyDescent="0.25">
      <c r="A64" t="str">
        <f>BIdetails!G67</f>
        <v>166304</v>
      </c>
      <c r="B64" t="str">
        <f>BIdetails!H67</f>
        <v>Microsoft B.V.</v>
      </c>
      <c r="C64" t="str">
        <f>BIdetails!J67</f>
        <v>5401060727</v>
      </c>
      <c r="D64" t="str">
        <f>BIdetails!K67</f>
        <v>10</v>
      </c>
      <c r="E64" s="158">
        <f>BIdetails!M67</f>
        <v>-28000</v>
      </c>
      <c r="F64" t="str">
        <f>IF(ISERROR(IF(OR(C64="#",C64=0),"",VLOOKUP(C64,'AOP25'!M:M,1,0))),"Not Found",VLOOKUP(C64,'AOP25'!M:M,1,0))</f>
        <v>Not Found</v>
      </c>
      <c r="G64" t="e">
        <f t="shared" si="0"/>
        <v>#N/A</v>
      </c>
    </row>
    <row r="65" spans="1:7" hidden="1" x14ac:dyDescent="0.25">
      <c r="A65" t="str">
        <f>BIdetails!G68</f>
        <v>166304</v>
      </c>
      <c r="B65" t="str">
        <f>BIdetails!H68</f>
        <v>Microsoft B.V.</v>
      </c>
      <c r="C65" t="str">
        <f>BIdetails!J68</f>
        <v>5401060727</v>
      </c>
      <c r="D65" t="str">
        <f>BIdetails!K68</f>
        <v>10</v>
      </c>
      <c r="E65" s="158">
        <f>BIdetails!M68</f>
        <v>24790.09</v>
      </c>
      <c r="F65" t="str">
        <f>IF(ISERROR(IF(OR(C65="#",C65=0),"",VLOOKUP(C65,'AOP25'!M:M,1,0))),"Not Found",VLOOKUP(C65,'AOP25'!M:M,1,0))</f>
        <v>Not Found</v>
      </c>
      <c r="G65" t="e">
        <f t="shared" si="0"/>
        <v>#N/A</v>
      </c>
    </row>
    <row r="66" spans="1:7" hidden="1" x14ac:dyDescent="0.25">
      <c r="A66" t="str">
        <f>BIdetails!G69</f>
        <v>166304</v>
      </c>
      <c r="B66" t="str">
        <f>BIdetails!H69</f>
        <v>Microsoft B.V.</v>
      </c>
      <c r="C66" t="str">
        <f>BIdetails!J69</f>
        <v>5401060725</v>
      </c>
      <c r="D66" t="str">
        <f>BIdetails!K69</f>
        <v>10</v>
      </c>
      <c r="E66" s="158">
        <f>BIdetails!M69</f>
        <v>-285000</v>
      </c>
      <c r="F66" t="str">
        <f>IF(ISERROR(IF(OR(C66="#",C66=0),"",VLOOKUP(C66,'AOP25'!M:M,1,0))),"Not Found",VLOOKUP(C66,'AOP25'!M:M,1,0))</f>
        <v>Not Found</v>
      </c>
      <c r="G66" t="e">
        <f t="shared" si="0"/>
        <v>#N/A</v>
      </c>
    </row>
    <row r="67" spans="1:7" hidden="1" x14ac:dyDescent="0.25">
      <c r="A67" t="str">
        <f>BIdetails!G70</f>
        <v>166304</v>
      </c>
      <c r="B67" t="str">
        <f>BIdetails!H70</f>
        <v>Microsoft B.V.</v>
      </c>
      <c r="C67" t="str">
        <f>BIdetails!J70</f>
        <v>5401060725</v>
      </c>
      <c r="D67" t="str">
        <f>BIdetails!K70</f>
        <v>10</v>
      </c>
      <c r="E67" s="158">
        <f>BIdetails!M70</f>
        <v>285309.17</v>
      </c>
      <c r="F67" t="str">
        <f>IF(ISERROR(IF(OR(C67="#",C67=0),"",VLOOKUP(C67,'AOP25'!M:M,1,0))),"Not Found",VLOOKUP(C67,'AOP25'!M:M,1,0))</f>
        <v>Not Found</v>
      </c>
      <c r="G67" t="e">
        <f t="shared" ref="G67:G130" si="1">IF(NOT(ISERROR(VLOOKUP(C67,$K$2:$K$50,1,0))),"Y",VLOOKUP(C67,$K$2:$K$50,1,0))</f>
        <v>#N/A</v>
      </c>
    </row>
    <row r="68" spans="1:7" hidden="1" x14ac:dyDescent="0.25">
      <c r="A68" t="str">
        <f>BIdetails!G71</f>
        <v>166304</v>
      </c>
      <c r="B68" t="str">
        <f>BIdetails!H71</f>
        <v>Microsoft B.V.</v>
      </c>
      <c r="C68" t="str">
        <f>BIdetails!J71</f>
        <v>5401060725</v>
      </c>
      <c r="D68" t="str">
        <f>BIdetails!K71</f>
        <v>10</v>
      </c>
      <c r="E68" s="158">
        <f>BIdetails!M71</f>
        <v>285000</v>
      </c>
      <c r="F68" t="str">
        <f>IF(ISERROR(IF(OR(C68="#",C68=0),"",VLOOKUP(C68,'AOP25'!M:M,1,0))),"Not Found",VLOOKUP(C68,'AOP25'!M:M,1,0))</f>
        <v>Not Found</v>
      </c>
      <c r="G68" t="e">
        <f t="shared" si="1"/>
        <v>#N/A</v>
      </c>
    </row>
    <row r="69" spans="1:7" hidden="1" x14ac:dyDescent="0.25">
      <c r="A69" t="str">
        <f>BIdetails!G72</f>
        <v>166304</v>
      </c>
      <c r="B69" t="str">
        <f>BIdetails!H72</f>
        <v>Microsoft B.V.</v>
      </c>
      <c r="C69" t="str">
        <f>BIdetails!J72</f>
        <v>5401060727</v>
      </c>
      <c r="D69" t="str">
        <f>BIdetails!K72</f>
        <v>10</v>
      </c>
      <c r="E69" s="158">
        <f>BIdetails!M72</f>
        <v>26000</v>
      </c>
      <c r="F69" t="str">
        <f>IF(ISERROR(IF(OR(C69="#",C69=0),"",VLOOKUP(C69,'AOP25'!M:M,1,0))),"Not Found",VLOOKUP(C69,'AOP25'!M:M,1,0))</f>
        <v>Not Found</v>
      </c>
      <c r="G69" t="e">
        <f t="shared" si="1"/>
        <v>#N/A</v>
      </c>
    </row>
    <row r="70" spans="1:7" hidden="1" x14ac:dyDescent="0.25">
      <c r="A70" t="str">
        <f>BIdetails!G73</f>
        <v>166304</v>
      </c>
      <c r="B70" t="str">
        <f>BIdetails!H73</f>
        <v>Microsoft B.V.</v>
      </c>
      <c r="C70" t="str">
        <f>BIdetails!J73</f>
        <v>5401060725</v>
      </c>
      <c r="D70" t="str">
        <f>BIdetails!K73</f>
        <v>10</v>
      </c>
      <c r="E70" s="158">
        <f>BIdetails!M73</f>
        <v>-285309.17</v>
      </c>
      <c r="F70" t="str">
        <f>IF(ISERROR(IF(OR(C70="#",C70=0),"",VLOOKUP(C70,'AOP25'!M:M,1,0))),"Not Found",VLOOKUP(C70,'AOP25'!M:M,1,0))</f>
        <v>Not Found</v>
      </c>
      <c r="G70" t="e">
        <f t="shared" si="1"/>
        <v>#N/A</v>
      </c>
    </row>
    <row r="71" spans="1:7" hidden="1" x14ac:dyDescent="0.25">
      <c r="A71" t="str">
        <f>BIdetails!G74</f>
        <v>166304</v>
      </c>
      <c r="B71" t="str">
        <f>BIdetails!H74</f>
        <v>Microsoft B.V.</v>
      </c>
      <c r="C71" t="str">
        <f>BIdetails!J74</f>
        <v>5401060725</v>
      </c>
      <c r="D71" t="str">
        <f>BIdetails!K74</f>
        <v>10</v>
      </c>
      <c r="E71" s="158">
        <f>BIdetails!M74</f>
        <v>260519.08</v>
      </c>
      <c r="F71" t="str">
        <f>IF(ISERROR(IF(OR(C71="#",C71=0),"",VLOOKUP(C71,'AOP25'!M:M,1,0))),"Not Found",VLOOKUP(C71,'AOP25'!M:M,1,0))</f>
        <v>Not Found</v>
      </c>
      <c r="G71" t="e">
        <f t="shared" si="1"/>
        <v>#N/A</v>
      </c>
    </row>
    <row r="72" spans="1:7" hidden="1" x14ac:dyDescent="0.25">
      <c r="A72" t="str">
        <f>BIdetails!G75</f>
        <v>166304</v>
      </c>
      <c r="B72" t="str">
        <f>BIdetails!H75</f>
        <v>Microsoft B.V.</v>
      </c>
      <c r="C72" t="str">
        <f>BIdetails!J75</f>
        <v>5401060727</v>
      </c>
      <c r="D72" t="str">
        <f>BIdetails!K75</f>
        <v>10</v>
      </c>
      <c r="E72" s="158">
        <f>BIdetails!M75</f>
        <v>-26000</v>
      </c>
      <c r="F72" t="str">
        <f>IF(ISERROR(IF(OR(C72="#",C72=0),"",VLOOKUP(C72,'AOP25'!M:M,1,0))),"Not Found",VLOOKUP(C72,'AOP25'!M:M,1,0))</f>
        <v>Not Found</v>
      </c>
      <c r="G72" t="e">
        <f t="shared" si="1"/>
        <v>#N/A</v>
      </c>
    </row>
    <row r="73" spans="1:7" hidden="1" x14ac:dyDescent="0.25">
      <c r="A73" t="str">
        <f>BIdetails!G76</f>
        <v>166304</v>
      </c>
      <c r="B73" t="str">
        <f>BIdetails!H76</f>
        <v>Microsoft B.V.</v>
      </c>
      <c r="C73" t="str">
        <f>BIdetails!J76</f>
        <v>5401060727</v>
      </c>
      <c r="D73" t="str">
        <f>BIdetails!K76</f>
        <v>10</v>
      </c>
      <c r="E73" s="158">
        <f>BIdetails!M76</f>
        <v>23345.360000000001</v>
      </c>
      <c r="F73" t="str">
        <f>IF(ISERROR(IF(OR(C73="#",C73=0),"",VLOOKUP(C73,'AOP25'!M:M,1,0))),"Not Found",VLOOKUP(C73,'AOP25'!M:M,1,0))</f>
        <v>Not Found</v>
      </c>
      <c r="G73" t="e">
        <f t="shared" si="1"/>
        <v>#N/A</v>
      </c>
    </row>
    <row r="74" spans="1:7" hidden="1" x14ac:dyDescent="0.25">
      <c r="A74" t="str">
        <f>BIdetails!G77</f>
        <v>166304</v>
      </c>
      <c r="B74" t="str">
        <f>BIdetails!H77</f>
        <v>Microsoft B.V.</v>
      </c>
      <c r="C74" t="str">
        <f>BIdetails!J77</f>
        <v>5401060727</v>
      </c>
      <c r="D74" t="str">
        <f>BIdetails!K77</f>
        <v>10</v>
      </c>
      <c r="E74" s="158">
        <f>BIdetails!M77</f>
        <v>25000</v>
      </c>
      <c r="F74" t="str">
        <f>IF(ISERROR(IF(OR(C74="#",C74=0),"",VLOOKUP(C74,'AOP25'!M:M,1,0))),"Not Found",VLOOKUP(C74,'AOP25'!M:M,1,0))</f>
        <v>Not Found</v>
      </c>
      <c r="G74" t="e">
        <f t="shared" si="1"/>
        <v>#N/A</v>
      </c>
    </row>
    <row r="75" spans="1:7" hidden="1" x14ac:dyDescent="0.25">
      <c r="A75" t="str">
        <f>BIdetails!G78</f>
        <v>166304</v>
      </c>
      <c r="B75" t="str">
        <f>BIdetails!H78</f>
        <v>Microsoft B.V.</v>
      </c>
      <c r="C75" t="str">
        <f>BIdetails!J78</f>
        <v>5401060725</v>
      </c>
      <c r="D75" t="str">
        <f>BIdetails!K78</f>
        <v>10</v>
      </c>
      <c r="E75" s="158">
        <f>BIdetails!M78</f>
        <v>-285000</v>
      </c>
      <c r="F75" t="str">
        <f>IF(ISERROR(IF(OR(C75="#",C75=0),"",VLOOKUP(C75,'AOP25'!M:M,1,0))),"Not Found",VLOOKUP(C75,'AOP25'!M:M,1,0))</f>
        <v>Not Found</v>
      </c>
      <c r="G75" t="e">
        <f t="shared" si="1"/>
        <v>#N/A</v>
      </c>
    </row>
    <row r="76" spans="1:7" hidden="1" x14ac:dyDescent="0.25">
      <c r="A76" t="str">
        <f>BIdetails!G79</f>
        <v>166304</v>
      </c>
      <c r="B76" t="str">
        <f>BIdetails!H79</f>
        <v>Microsoft B.V.</v>
      </c>
      <c r="C76" t="str">
        <f>BIdetails!J79</f>
        <v>5401060725</v>
      </c>
      <c r="D76" t="str">
        <f>BIdetails!K79</f>
        <v>10</v>
      </c>
      <c r="E76" s="158">
        <f>BIdetails!M79</f>
        <v>255518.85</v>
      </c>
      <c r="F76" t="str">
        <f>IF(ISERROR(IF(OR(C76="#",C76=0),"",VLOOKUP(C76,'AOP25'!M:M,1,0))),"Not Found",VLOOKUP(C76,'AOP25'!M:M,1,0))</f>
        <v>Not Found</v>
      </c>
      <c r="G76" t="e">
        <f t="shared" si="1"/>
        <v>#N/A</v>
      </c>
    </row>
    <row r="77" spans="1:7" x14ac:dyDescent="0.25">
      <c r="A77" t="str">
        <f>BIdetails!G80</f>
        <v>166304</v>
      </c>
      <c r="B77" t="str">
        <f>BIdetails!H80</f>
        <v>Microsoft B.V.</v>
      </c>
      <c r="C77" t="str">
        <f>BIdetails!J80</f>
        <v>5401060725</v>
      </c>
      <c r="D77" t="str">
        <f>BIdetails!K80</f>
        <v>10</v>
      </c>
      <c r="E77" s="158">
        <f>BIdetails!M80</f>
        <v>270000</v>
      </c>
      <c r="F77" t="str">
        <f>IF(ISERROR(IF(OR(C77="#",C77=0),"",VLOOKUP(C77,'AOP25'!M:M,1,0))),"Not Found",VLOOKUP(C77,'AOP25'!M:M,1,0))</f>
        <v>Not Found</v>
      </c>
      <c r="G77" t="e">
        <f t="shared" si="1"/>
        <v>#N/A</v>
      </c>
    </row>
    <row r="78" spans="1:7" hidden="1" x14ac:dyDescent="0.25">
      <c r="A78" t="str">
        <f>BIdetails!G81</f>
        <v>#</v>
      </c>
      <c r="B78" t="str">
        <f>BIdetails!H81</f>
        <v>Not assigned</v>
      </c>
      <c r="C78" t="str">
        <f>BIdetails!J81</f>
        <v>#</v>
      </c>
      <c r="D78" t="str">
        <f>BIdetails!K81</f>
        <v>#</v>
      </c>
      <c r="E78" s="158">
        <f>BIdetails!M81</f>
        <v>236111.25</v>
      </c>
      <c r="F78" t="e">
        <f>IF(ISERROR(IF(OR(C78="#",C78=0),"",VLOOKUP(C78,'AOP25'!M:M,1,0))),"Not Found",VLOOKUP(C78,'AOP25'!M:M,1,0))</f>
        <v>#N/A</v>
      </c>
      <c r="G78" t="e">
        <f t="shared" si="1"/>
        <v>#N/A</v>
      </c>
    </row>
    <row r="79" spans="1:7" hidden="1" x14ac:dyDescent="0.25">
      <c r="A79" t="str">
        <f>BIdetails!G82</f>
        <v>#</v>
      </c>
      <c r="B79" t="str">
        <f>BIdetails!H82</f>
        <v>Not assigned</v>
      </c>
      <c r="C79" t="str">
        <f>BIdetails!J82</f>
        <v>#</v>
      </c>
      <c r="D79" t="str">
        <f>BIdetails!K82</f>
        <v>#</v>
      </c>
      <c r="E79" s="158">
        <f>BIdetails!M82</f>
        <v>36000</v>
      </c>
      <c r="F79" t="e">
        <f>IF(ISERROR(IF(OR(C79="#",C79=0),"",VLOOKUP(C79,'AOP25'!M:M,1,0))),"Not Found",VLOOKUP(C79,'AOP25'!M:M,1,0))</f>
        <v>#N/A</v>
      </c>
      <c r="G79" t="e">
        <f t="shared" si="1"/>
        <v>#N/A</v>
      </c>
    </row>
    <row r="80" spans="1:7" hidden="1" x14ac:dyDescent="0.25">
      <c r="A80" t="str">
        <f>BIdetails!G83</f>
        <v>#</v>
      </c>
      <c r="B80" t="str">
        <f>BIdetails!H83</f>
        <v>Not assigned</v>
      </c>
      <c r="C80" t="str">
        <f>BIdetails!J83</f>
        <v>#</v>
      </c>
      <c r="D80" t="str">
        <f>BIdetails!K83</f>
        <v>#</v>
      </c>
      <c r="E80" s="158">
        <f>BIdetails!M83</f>
        <v>194891</v>
      </c>
      <c r="F80" t="e">
        <f>IF(ISERROR(IF(OR(C80="#",C80=0),"",VLOOKUP(C80,'AOP25'!M:M,1,0))),"Not Found",VLOOKUP(C80,'AOP25'!M:M,1,0))</f>
        <v>#N/A</v>
      </c>
      <c r="G80" t="e">
        <f t="shared" si="1"/>
        <v>#N/A</v>
      </c>
    </row>
    <row r="81" spans="1:7" hidden="1" x14ac:dyDescent="0.25">
      <c r="A81" t="str">
        <f>BIdetails!G84</f>
        <v>#</v>
      </c>
      <c r="B81" t="str">
        <f>BIdetails!H84</f>
        <v>Not assigned</v>
      </c>
      <c r="C81" t="str">
        <f>BIdetails!J84</f>
        <v>#</v>
      </c>
      <c r="D81" t="str">
        <f>BIdetails!K84</f>
        <v>#</v>
      </c>
      <c r="E81" s="158">
        <f>BIdetails!M84</f>
        <v>12447.94</v>
      </c>
      <c r="F81" t="e">
        <f>IF(ISERROR(IF(OR(C81="#",C81=0),"",VLOOKUP(C81,'AOP25'!M:M,1,0))),"Not Found",VLOOKUP(C81,'AOP25'!M:M,1,0))</f>
        <v>#N/A</v>
      </c>
      <c r="G81" t="e">
        <f t="shared" si="1"/>
        <v>#N/A</v>
      </c>
    </row>
    <row r="82" spans="1:7" hidden="1" x14ac:dyDescent="0.25">
      <c r="A82" t="str">
        <f>BIdetails!G85</f>
        <v>#</v>
      </c>
      <c r="B82" t="str">
        <f>BIdetails!H85</f>
        <v>Not assigned</v>
      </c>
      <c r="C82" t="str">
        <f>BIdetails!J85</f>
        <v>#</v>
      </c>
      <c r="D82" t="str">
        <f>BIdetails!K85</f>
        <v>#</v>
      </c>
      <c r="E82" s="158">
        <f>BIdetails!M85</f>
        <v>14795</v>
      </c>
      <c r="F82" t="e">
        <f>IF(ISERROR(IF(OR(C82="#",C82=0),"",VLOOKUP(C82,'AOP25'!M:M,1,0))),"Not Found",VLOOKUP(C82,'AOP25'!M:M,1,0))</f>
        <v>#N/A</v>
      </c>
      <c r="G82" t="e">
        <f t="shared" si="1"/>
        <v>#N/A</v>
      </c>
    </row>
    <row r="83" spans="1:7" hidden="1" x14ac:dyDescent="0.25">
      <c r="A83" t="str">
        <f>BIdetails!G86</f>
        <v>#</v>
      </c>
      <c r="B83" t="str">
        <f>BIdetails!H86</f>
        <v>Not assigned</v>
      </c>
      <c r="C83" t="str">
        <f>BIdetails!J86</f>
        <v>#</v>
      </c>
      <c r="D83" t="str">
        <f>BIdetails!K86</f>
        <v>#</v>
      </c>
      <c r="E83" s="158">
        <f>BIdetails!M86</f>
        <v>-4492.8</v>
      </c>
      <c r="F83" t="e">
        <f>IF(ISERROR(IF(OR(C83="#",C83=0),"",VLOOKUP(C83,'AOP25'!M:M,1,0))),"Not Found",VLOOKUP(C83,'AOP25'!M:M,1,0))</f>
        <v>#N/A</v>
      </c>
      <c r="G83" t="e">
        <f t="shared" si="1"/>
        <v>#N/A</v>
      </c>
    </row>
    <row r="84" spans="1:7" hidden="1" x14ac:dyDescent="0.25">
      <c r="A84" t="str">
        <f>BIdetails!G87</f>
        <v>#</v>
      </c>
      <c r="B84" t="str">
        <f>BIdetails!H87</f>
        <v>Not assigned</v>
      </c>
      <c r="C84" t="str">
        <f>BIdetails!J87</f>
        <v>#</v>
      </c>
      <c r="D84" t="str">
        <f>BIdetails!K87</f>
        <v>#</v>
      </c>
      <c r="E84" s="158">
        <f>BIdetails!M87</f>
        <v>194892</v>
      </c>
      <c r="F84" t="e">
        <f>IF(ISERROR(IF(OR(C84="#",C84=0),"",VLOOKUP(C84,'AOP25'!M:M,1,0))),"Not Found",VLOOKUP(C84,'AOP25'!M:M,1,0))</f>
        <v>#N/A</v>
      </c>
      <c r="G84" t="e">
        <f t="shared" si="1"/>
        <v>#N/A</v>
      </c>
    </row>
    <row r="85" spans="1:7" hidden="1" x14ac:dyDescent="0.25">
      <c r="A85" t="str">
        <f>BIdetails!G88</f>
        <v>#</v>
      </c>
      <c r="B85" t="str">
        <f>BIdetails!H88</f>
        <v>Not assigned</v>
      </c>
      <c r="C85" t="str">
        <f>BIdetails!J88</f>
        <v>#</v>
      </c>
      <c r="D85" t="str">
        <f>BIdetails!K88</f>
        <v>#</v>
      </c>
      <c r="E85" s="158">
        <f>BIdetails!M88</f>
        <v>2567976</v>
      </c>
      <c r="F85" t="e">
        <f>IF(ISERROR(IF(OR(C85="#",C85=0),"",VLOOKUP(C85,'AOP25'!M:M,1,0))),"Not Found",VLOOKUP(C85,'AOP25'!M:M,1,0))</f>
        <v>#N/A</v>
      </c>
      <c r="G85" t="e">
        <f t="shared" si="1"/>
        <v>#N/A</v>
      </c>
    </row>
    <row r="86" spans="1:7" hidden="1" x14ac:dyDescent="0.25">
      <c r="A86" t="str">
        <f>BIdetails!G89</f>
        <v>#</v>
      </c>
      <c r="B86" t="str">
        <f>BIdetails!H89</f>
        <v>Not assigned</v>
      </c>
      <c r="C86" t="str">
        <f>BIdetails!J89</f>
        <v>#</v>
      </c>
      <c r="D86" t="str">
        <f>BIdetails!K89</f>
        <v>#</v>
      </c>
      <c r="E86" s="158">
        <f>BIdetails!M89</f>
        <v>100830</v>
      </c>
      <c r="F86" t="e">
        <f>IF(ISERROR(IF(OR(C86="#",C86=0),"",VLOOKUP(C86,'AOP25'!M:M,1,0))),"Not Found",VLOOKUP(C86,'AOP25'!M:M,1,0))</f>
        <v>#N/A</v>
      </c>
      <c r="G86" t="e">
        <f t="shared" si="1"/>
        <v>#N/A</v>
      </c>
    </row>
    <row r="87" spans="1:7" hidden="1" x14ac:dyDescent="0.25">
      <c r="A87" t="str">
        <f>BIdetails!G90</f>
        <v>#</v>
      </c>
      <c r="B87" t="str">
        <f>BIdetails!H90</f>
        <v>Not assigned</v>
      </c>
      <c r="C87" t="str">
        <f>BIdetails!J90</f>
        <v>#</v>
      </c>
      <c r="D87" t="str">
        <f>BIdetails!K90</f>
        <v>#</v>
      </c>
      <c r="E87" s="158">
        <f>BIdetails!M90</f>
        <v>14796</v>
      </c>
      <c r="F87" t="e">
        <f>IF(ISERROR(IF(OR(C87="#",C87=0),"",VLOOKUP(C87,'AOP25'!M:M,1,0))),"Not Found",VLOOKUP(C87,'AOP25'!M:M,1,0))</f>
        <v>#N/A</v>
      </c>
      <c r="G87" t="e">
        <f t="shared" si="1"/>
        <v>#N/A</v>
      </c>
    </row>
    <row r="88" spans="1:7" x14ac:dyDescent="0.25">
      <c r="A88" t="str">
        <f>BIdetails!G91</f>
        <v>#</v>
      </c>
      <c r="B88" t="str">
        <f>BIdetails!H91</f>
        <v>Not assigned</v>
      </c>
      <c r="C88" t="str">
        <f>BIdetails!J91</f>
        <v>#</v>
      </c>
      <c r="D88" t="str">
        <f>BIdetails!K91</f>
        <v>#</v>
      </c>
      <c r="E88" s="158">
        <f>BIdetails!M91</f>
        <v>252498</v>
      </c>
      <c r="F88" t="e">
        <f>IF(ISERROR(IF(OR(C88="#",C88=0),"",VLOOKUP(C88,'AOP25'!M:M,1,0))),"Not Found",VLOOKUP(C88,'AOP25'!M:M,1,0))</f>
        <v>#N/A</v>
      </c>
      <c r="G88" t="e">
        <f t="shared" si="1"/>
        <v>#N/A</v>
      </c>
    </row>
    <row r="89" spans="1:7" hidden="1" x14ac:dyDescent="0.25">
      <c r="A89" t="str">
        <f>BIdetails!G92</f>
        <v>#</v>
      </c>
      <c r="B89" t="str">
        <f>BIdetails!H92</f>
        <v>Not assigned</v>
      </c>
      <c r="C89" t="str">
        <f>BIdetails!J92</f>
        <v>#</v>
      </c>
      <c r="D89" t="str">
        <f>BIdetails!K92</f>
        <v>#</v>
      </c>
      <c r="E89" s="158">
        <f>BIdetails!M92</f>
        <v>39102</v>
      </c>
      <c r="F89" t="e">
        <f>IF(ISERROR(IF(OR(C89="#",C89=0),"",VLOOKUP(C89,'AOP25'!M:M,1,0))),"Not Found",VLOOKUP(C89,'AOP25'!M:M,1,0))</f>
        <v>#N/A</v>
      </c>
      <c r="G89" t="e">
        <f t="shared" si="1"/>
        <v>#N/A</v>
      </c>
    </row>
    <row r="90" spans="1:7" hidden="1" x14ac:dyDescent="0.25">
      <c r="A90" t="str">
        <f>BIdetails!G93</f>
        <v>#</v>
      </c>
      <c r="B90" t="str">
        <f>BIdetails!H93</f>
        <v>Not assigned</v>
      </c>
      <c r="C90" t="str">
        <f>BIdetails!J93</f>
        <v>#</v>
      </c>
      <c r="D90" t="str">
        <f>BIdetails!K93</f>
        <v>#</v>
      </c>
      <c r="E90" s="158">
        <f>BIdetails!M93</f>
        <v>13872</v>
      </c>
      <c r="F90" t="e">
        <f>IF(ISERROR(IF(OR(C90="#",C90=0),"",VLOOKUP(C90,'AOP25'!M:M,1,0))),"Not Found",VLOOKUP(C90,'AOP25'!M:M,1,0))</f>
        <v>#N/A</v>
      </c>
      <c r="G90" t="e">
        <f t="shared" si="1"/>
        <v>#N/A</v>
      </c>
    </row>
    <row r="91" spans="1:7" hidden="1" x14ac:dyDescent="0.25">
      <c r="A91" t="str">
        <f>BIdetails!G94</f>
        <v>#</v>
      </c>
      <c r="B91" t="str">
        <f>BIdetails!H94</f>
        <v>Not assigned</v>
      </c>
      <c r="C91" t="str">
        <f>BIdetails!J94</f>
        <v>#</v>
      </c>
      <c r="D91" t="str">
        <f>BIdetails!K94</f>
        <v>#</v>
      </c>
      <c r="E91" s="158">
        <f>BIdetails!M94</f>
        <v>-323631.03000000003</v>
      </c>
      <c r="F91" t="e">
        <f>IF(ISERROR(IF(OR(C91="#",C91=0),"",VLOOKUP(C91,'AOP25'!M:M,1,0))),"Not Found",VLOOKUP(C91,'AOP25'!M:M,1,0))</f>
        <v>#N/A</v>
      </c>
      <c r="G91" t="e">
        <f t="shared" si="1"/>
        <v>#N/A</v>
      </c>
    </row>
    <row r="92" spans="1:7" hidden="1" x14ac:dyDescent="0.25">
      <c r="A92" t="str">
        <f>BIdetails!G95</f>
        <v>#</v>
      </c>
      <c r="B92" t="str">
        <f>BIdetails!H95</f>
        <v>Not assigned</v>
      </c>
      <c r="C92" t="str">
        <f>BIdetails!J95</f>
        <v>#</v>
      </c>
      <c r="D92" t="str">
        <f>BIdetails!K95</f>
        <v>#</v>
      </c>
      <c r="E92" s="158">
        <f>BIdetails!M95</f>
        <v>-36000</v>
      </c>
      <c r="F92" t="e">
        <f>IF(ISERROR(IF(OR(C92="#",C92=0),"",VLOOKUP(C92,'AOP25'!M:M,1,0))),"Not Found",VLOOKUP(C92,'AOP25'!M:M,1,0))</f>
        <v>#N/A</v>
      </c>
      <c r="G92" t="e">
        <f t="shared" si="1"/>
        <v>#N/A</v>
      </c>
    </row>
    <row r="93" spans="1:7" hidden="1" x14ac:dyDescent="0.25">
      <c r="A93" t="str">
        <f>BIdetails!G96</f>
        <v>#</v>
      </c>
      <c r="B93" t="str">
        <f>BIdetails!H96</f>
        <v>Not assigned</v>
      </c>
      <c r="C93" t="str">
        <f>BIdetails!J96</f>
        <v>#</v>
      </c>
      <c r="D93" t="str">
        <f>BIdetails!K96</f>
        <v>#</v>
      </c>
      <c r="E93" s="158">
        <f>BIdetails!M96</f>
        <v>-194891</v>
      </c>
      <c r="F93" t="e">
        <f>IF(ISERROR(IF(OR(C93="#",C93=0),"",VLOOKUP(C93,'AOP25'!M:M,1,0))),"Not Found",VLOOKUP(C93,'AOP25'!M:M,1,0))</f>
        <v>#N/A</v>
      </c>
      <c r="G93" t="e">
        <f t="shared" si="1"/>
        <v>#N/A</v>
      </c>
    </row>
    <row r="94" spans="1:7" hidden="1" x14ac:dyDescent="0.25">
      <c r="A94" t="str">
        <f>BIdetails!G97</f>
        <v>#</v>
      </c>
      <c r="B94" t="str">
        <f>BIdetails!H97</f>
        <v>Not assigned</v>
      </c>
      <c r="C94" t="str">
        <f>BIdetails!J97</f>
        <v>#</v>
      </c>
      <c r="D94" t="str">
        <f>BIdetails!K97</f>
        <v>#</v>
      </c>
      <c r="E94" s="158">
        <f>BIdetails!M97</f>
        <v>-12447.94</v>
      </c>
      <c r="F94" t="e">
        <f>IF(ISERROR(IF(OR(C94="#",C94=0),"",VLOOKUP(C94,'AOP25'!M:M,1,0))),"Not Found",VLOOKUP(C94,'AOP25'!M:M,1,0))</f>
        <v>#N/A</v>
      </c>
      <c r="G94" t="e">
        <f t="shared" si="1"/>
        <v>#N/A</v>
      </c>
    </row>
    <row r="95" spans="1:7" hidden="1" x14ac:dyDescent="0.25">
      <c r="A95" t="str">
        <f>BIdetails!G98</f>
        <v>#</v>
      </c>
      <c r="B95" t="str">
        <f>BIdetails!H98</f>
        <v>Not assigned</v>
      </c>
      <c r="C95" t="str">
        <f>BIdetails!J98</f>
        <v>#</v>
      </c>
      <c r="D95" t="str">
        <f>BIdetails!K98</f>
        <v>#</v>
      </c>
      <c r="E95" s="158">
        <f>BIdetails!M98</f>
        <v>-24180.2</v>
      </c>
      <c r="F95" t="e">
        <f>IF(ISERROR(IF(OR(C95="#",C95=0),"",VLOOKUP(C95,'AOP25'!M:M,1,0))),"Not Found",VLOOKUP(C95,'AOP25'!M:M,1,0))</f>
        <v>#N/A</v>
      </c>
      <c r="G95" t="e">
        <f t="shared" si="1"/>
        <v>#N/A</v>
      </c>
    </row>
    <row r="96" spans="1:7" hidden="1" x14ac:dyDescent="0.25">
      <c r="A96" t="str">
        <f>BIdetails!G99</f>
        <v>#</v>
      </c>
      <c r="B96" t="str">
        <f>BIdetails!H99</f>
        <v>Not assigned</v>
      </c>
      <c r="C96" t="str">
        <f>BIdetails!J99</f>
        <v>#</v>
      </c>
      <c r="D96" t="str">
        <f>BIdetails!K99</f>
        <v>#</v>
      </c>
      <c r="E96" s="158">
        <f>BIdetails!M99</f>
        <v>-194892</v>
      </c>
      <c r="F96" t="e">
        <f>IF(ISERROR(IF(OR(C96="#",C96=0),"",VLOOKUP(C96,'AOP25'!M:M,1,0))),"Not Found",VLOOKUP(C96,'AOP25'!M:M,1,0))</f>
        <v>#N/A</v>
      </c>
      <c r="G96" t="e">
        <f t="shared" si="1"/>
        <v>#N/A</v>
      </c>
    </row>
    <row r="97" spans="1:7" hidden="1" x14ac:dyDescent="0.25">
      <c r="A97" t="str">
        <f>BIdetails!G100</f>
        <v>#</v>
      </c>
      <c r="B97" t="str">
        <f>BIdetails!H100</f>
        <v>Not assigned</v>
      </c>
      <c r="C97" t="str">
        <f>BIdetails!J100</f>
        <v>#</v>
      </c>
      <c r="D97" t="str">
        <f>BIdetails!K100</f>
        <v>#</v>
      </c>
      <c r="E97" s="158">
        <f>BIdetails!M100</f>
        <v>-14796</v>
      </c>
      <c r="F97" t="e">
        <f>IF(ISERROR(IF(OR(C97="#",C97=0),"",VLOOKUP(C97,'AOP25'!M:M,1,0))),"Not Found",VLOOKUP(C97,'AOP25'!M:M,1,0))</f>
        <v>#N/A</v>
      </c>
      <c r="G97" t="e">
        <f t="shared" si="1"/>
        <v>#N/A</v>
      </c>
    </row>
    <row r="98" spans="1:7" hidden="1" x14ac:dyDescent="0.25">
      <c r="A98" t="str">
        <f>BIdetails!G101</f>
        <v>#</v>
      </c>
      <c r="B98" t="str">
        <f>BIdetails!H101</f>
        <v>Not assigned</v>
      </c>
      <c r="C98" t="str">
        <f>BIdetails!J101</f>
        <v>#</v>
      </c>
      <c r="D98" t="str">
        <f>BIdetails!K101</f>
        <v>#</v>
      </c>
      <c r="E98" s="158">
        <f>BIdetails!M101</f>
        <v>-13872</v>
      </c>
      <c r="F98" t="e">
        <f>IF(ISERROR(IF(OR(C98="#",C98=0),"",VLOOKUP(C98,'AOP25'!M:M,1,0))),"Not Found",VLOOKUP(C98,'AOP25'!M:M,1,0))</f>
        <v>#N/A</v>
      </c>
      <c r="G98" t="e">
        <f t="shared" si="1"/>
        <v>#N/A</v>
      </c>
    </row>
    <row r="99" spans="1:7" hidden="1" x14ac:dyDescent="0.25">
      <c r="A99" t="str">
        <f>BIdetails!G102</f>
        <v>#</v>
      </c>
      <c r="B99" t="str">
        <f>BIdetails!H102</f>
        <v>Not assigned</v>
      </c>
      <c r="C99" t="str">
        <f>BIdetails!J102</f>
        <v>#</v>
      </c>
      <c r="D99" t="str">
        <f>BIdetails!K102</f>
        <v>#</v>
      </c>
      <c r="E99" s="158">
        <f>BIdetails!M102</f>
        <v>-70528.08</v>
      </c>
      <c r="F99" t="e">
        <f>IF(ISERROR(IF(OR(C99="#",C99=0),"",VLOOKUP(C99,'AOP25'!M:M,1,0))),"Not Found",VLOOKUP(C99,'AOP25'!M:M,1,0))</f>
        <v>#N/A</v>
      </c>
      <c r="G99" t="e">
        <f t="shared" si="1"/>
        <v>#N/A</v>
      </c>
    </row>
    <row r="100" spans="1:7" hidden="1" x14ac:dyDescent="0.25">
      <c r="A100" t="str">
        <f>BIdetails!G103</f>
        <v>#</v>
      </c>
      <c r="B100" t="str">
        <f>BIdetails!H103</f>
        <v>Not assigned</v>
      </c>
      <c r="C100" t="str">
        <f>BIdetails!J103</f>
        <v>#</v>
      </c>
      <c r="D100" t="str">
        <f>BIdetails!K103</f>
        <v>#</v>
      </c>
      <c r="E100" s="158">
        <f>BIdetails!M103</f>
        <v>-66387.06</v>
      </c>
      <c r="F100" t="e">
        <f>IF(ISERROR(IF(OR(C100="#",C100=0),"",VLOOKUP(C100,'AOP25'!M:M,1,0))),"Not Found",VLOOKUP(C100,'AOP25'!M:M,1,0))</f>
        <v>#N/A</v>
      </c>
      <c r="G100" t="e">
        <f t="shared" si="1"/>
        <v>#N/A</v>
      </c>
    </row>
    <row r="101" spans="1:7" hidden="1" x14ac:dyDescent="0.25">
      <c r="A101" t="str">
        <f>BIdetails!G104</f>
        <v>#</v>
      </c>
      <c r="B101" t="str">
        <f>BIdetails!H104</f>
        <v>Not assigned</v>
      </c>
      <c r="C101" t="str">
        <f>BIdetails!J104</f>
        <v>#</v>
      </c>
      <c r="D101" t="str">
        <f>BIdetails!K104</f>
        <v>#</v>
      </c>
      <c r="E101" s="158">
        <f>BIdetails!M104</f>
        <v>9743.9</v>
      </c>
      <c r="F101" t="e">
        <f>IF(ISERROR(IF(OR(C101="#",C101=0),"",VLOOKUP(C101,'AOP25'!M:M,1,0))),"Not Found",VLOOKUP(C101,'AOP25'!M:M,1,0))</f>
        <v>#N/A</v>
      </c>
      <c r="G101" t="e">
        <f t="shared" si="1"/>
        <v>#N/A</v>
      </c>
    </row>
    <row r="102" spans="1:7" hidden="1" x14ac:dyDescent="0.25">
      <c r="A102" t="str">
        <f>BIdetails!G105</f>
        <v>187516</v>
      </c>
      <c r="B102" t="str">
        <f>BIdetails!H105</f>
        <v>Accenture B.V.</v>
      </c>
      <c r="C102" t="str">
        <f>BIdetails!J105</f>
        <v>5401087930</v>
      </c>
      <c r="D102" t="str">
        <f>BIdetails!K105</f>
        <v>10</v>
      </c>
      <c r="E102" s="158">
        <f>BIdetails!M105</f>
        <v>12870.46</v>
      </c>
      <c r="F102" t="str">
        <f>IF(ISERROR(IF(OR(C102="#",C102=0),"",VLOOKUP(C102,'AOP25'!M:M,1,0))),"Not Found",VLOOKUP(C102,'AOP25'!M:M,1,0))</f>
        <v>Not Found</v>
      </c>
      <c r="G102" t="e">
        <f t="shared" si="1"/>
        <v>#N/A</v>
      </c>
    </row>
    <row r="103" spans="1:7" x14ac:dyDescent="0.25">
      <c r="A103" t="str">
        <f>BIdetails!G106</f>
        <v>187516</v>
      </c>
      <c r="B103" t="str">
        <f>BIdetails!H106</f>
        <v>Accenture B.V.</v>
      </c>
      <c r="C103" t="str">
        <f>BIdetails!J106</f>
        <v>5401087908</v>
      </c>
      <c r="D103" t="str">
        <f>BIdetails!K106</f>
        <v>10</v>
      </c>
      <c r="E103" s="158">
        <f>BIdetails!M106</f>
        <v>10290</v>
      </c>
      <c r="F103" t="str">
        <f>IF(ISERROR(IF(OR(C103="#",C103=0),"",VLOOKUP(C103,'AOP25'!M:M,1,0))),"Not Found",VLOOKUP(C103,'AOP25'!M:M,1,0))</f>
        <v>Not Found</v>
      </c>
      <c r="G103" t="e">
        <f t="shared" si="1"/>
        <v>#N/A</v>
      </c>
    </row>
    <row r="104" spans="1:7" x14ac:dyDescent="0.25">
      <c r="A104" t="str">
        <f>BIdetails!G107</f>
        <v>187516</v>
      </c>
      <c r="B104" t="str">
        <f>BIdetails!H107</f>
        <v>Accenture B.V.</v>
      </c>
      <c r="C104" t="str">
        <f>BIdetails!J107</f>
        <v>5401087930</v>
      </c>
      <c r="D104" t="str">
        <f>BIdetails!K107</f>
        <v>10</v>
      </c>
      <c r="E104" s="158">
        <f>BIdetails!M107</f>
        <v>12894.86</v>
      </c>
      <c r="F104" t="str">
        <f>IF(ISERROR(IF(OR(C104="#",C104=0),"",VLOOKUP(C104,'AOP25'!M:M,1,0))),"Not Found",VLOOKUP(C104,'AOP25'!M:M,1,0))</f>
        <v>Not Found</v>
      </c>
      <c r="G104" t="e">
        <f t="shared" si="1"/>
        <v>#N/A</v>
      </c>
    </row>
    <row r="105" spans="1:7" x14ac:dyDescent="0.25">
      <c r="A105" t="str">
        <f>BIdetails!G108</f>
        <v>187516</v>
      </c>
      <c r="B105" t="str">
        <f>BIdetails!H108</f>
        <v>Accenture B.V.</v>
      </c>
      <c r="C105" t="str">
        <f>BIdetails!J108</f>
        <v>5401087908</v>
      </c>
      <c r="D105" t="str">
        <f>BIdetails!K108</f>
        <v>10</v>
      </c>
      <c r="E105" s="158">
        <f>BIdetails!M108</f>
        <v>10290</v>
      </c>
      <c r="F105" t="str">
        <f>IF(ISERROR(IF(OR(C105="#",C105=0),"",VLOOKUP(C105,'AOP25'!M:M,1,0))),"Not Found",VLOOKUP(C105,'AOP25'!M:M,1,0))</f>
        <v>Not Found</v>
      </c>
      <c r="G105" t="e">
        <f t="shared" si="1"/>
        <v>#N/A</v>
      </c>
    </row>
    <row r="106" spans="1:7" x14ac:dyDescent="0.25">
      <c r="A106" t="str">
        <f>BIdetails!G109</f>
        <v>187516</v>
      </c>
      <c r="B106" t="str">
        <f>BIdetails!H109</f>
        <v>Accenture B.V.</v>
      </c>
      <c r="C106" t="str">
        <f>BIdetails!J109</f>
        <v>5401087908</v>
      </c>
      <c r="D106" t="str">
        <f>BIdetails!K109</f>
        <v>10</v>
      </c>
      <c r="E106" s="158">
        <f>BIdetails!M109</f>
        <v>10290</v>
      </c>
      <c r="F106" t="str">
        <f>IF(ISERROR(IF(OR(C106="#",C106=0),"",VLOOKUP(C106,'AOP25'!M:M,1,0))),"Not Found",VLOOKUP(C106,'AOP25'!M:M,1,0))</f>
        <v>Not Found</v>
      </c>
      <c r="G106" t="e">
        <f t="shared" si="1"/>
        <v>#N/A</v>
      </c>
    </row>
    <row r="107" spans="1:7" x14ac:dyDescent="0.25">
      <c r="A107" t="str">
        <f>BIdetails!G110</f>
        <v>187516</v>
      </c>
      <c r="B107" t="str">
        <f>BIdetails!H110</f>
        <v>Accenture B.V.</v>
      </c>
      <c r="C107" t="str">
        <f>BIdetails!J110</f>
        <v>5401087930</v>
      </c>
      <c r="D107" t="str">
        <f>BIdetails!K110</f>
        <v>10</v>
      </c>
      <c r="E107" s="158">
        <f>BIdetails!M110</f>
        <v>12697.84</v>
      </c>
      <c r="F107" t="str">
        <f>IF(ISERROR(IF(OR(C107="#",C107=0),"",VLOOKUP(C107,'AOP25'!M:M,1,0))),"Not Found",VLOOKUP(C107,'AOP25'!M:M,1,0))</f>
        <v>Not Found</v>
      </c>
      <c r="G107" t="e">
        <f t="shared" si="1"/>
        <v>#N/A</v>
      </c>
    </row>
    <row r="108" spans="1:7" x14ac:dyDescent="0.25">
      <c r="A108" t="str">
        <f>BIdetails!G111</f>
        <v>187516</v>
      </c>
      <c r="B108" t="str">
        <f>BIdetails!H111</f>
        <v>Accenture B.V.</v>
      </c>
      <c r="C108" t="str">
        <f>BIdetails!J111</f>
        <v>5401087930</v>
      </c>
      <c r="D108" t="str">
        <f>BIdetails!K111</f>
        <v>10</v>
      </c>
      <c r="E108" s="158">
        <f>BIdetails!M111</f>
        <v>12741.76</v>
      </c>
      <c r="F108" t="str">
        <f>IF(ISERROR(IF(OR(C108="#",C108=0),"",VLOOKUP(C108,'AOP25'!M:M,1,0))),"Not Found",VLOOKUP(C108,'AOP25'!M:M,1,0))</f>
        <v>Not Found</v>
      </c>
      <c r="G108" t="e">
        <f t="shared" si="1"/>
        <v>#N/A</v>
      </c>
    </row>
    <row r="109" spans="1:7" x14ac:dyDescent="0.25">
      <c r="A109" t="str">
        <f>BIdetails!G112</f>
        <v>187516</v>
      </c>
      <c r="B109" t="str">
        <f>BIdetails!H112</f>
        <v>Accenture B.V.</v>
      </c>
      <c r="C109" t="str">
        <f>BIdetails!J112</f>
        <v>5401087908</v>
      </c>
      <c r="D109" t="str">
        <f>BIdetails!K112</f>
        <v>10</v>
      </c>
      <c r="E109" s="158">
        <f>BIdetails!M112</f>
        <v>10290</v>
      </c>
      <c r="F109" t="str">
        <f>IF(ISERROR(IF(OR(C109="#",C109=0),"",VLOOKUP(C109,'AOP25'!M:M,1,0))),"Not Found",VLOOKUP(C109,'AOP25'!M:M,1,0))</f>
        <v>Not Found</v>
      </c>
      <c r="G109" t="e">
        <f t="shared" si="1"/>
        <v>#N/A</v>
      </c>
    </row>
    <row r="110" spans="1:7" x14ac:dyDescent="0.25">
      <c r="A110" t="str">
        <f>BIdetails!G113</f>
        <v>187516</v>
      </c>
      <c r="B110" t="str">
        <f>BIdetails!H113</f>
        <v>Accenture B.V.</v>
      </c>
      <c r="C110" t="str">
        <f>BIdetails!J113</f>
        <v>5401087930</v>
      </c>
      <c r="D110" t="str">
        <f>BIdetails!K113</f>
        <v>10</v>
      </c>
      <c r="E110" s="158">
        <f>BIdetails!M113</f>
        <v>12827.16</v>
      </c>
      <c r="F110" t="str">
        <f>IF(ISERROR(IF(OR(C110="#",C110=0),"",VLOOKUP(C110,'AOP25'!M:M,1,0))),"Not Found",VLOOKUP(C110,'AOP25'!M:M,1,0))</f>
        <v>Not Found</v>
      </c>
      <c r="G110" t="e">
        <f t="shared" si="1"/>
        <v>#N/A</v>
      </c>
    </row>
    <row r="111" spans="1:7" x14ac:dyDescent="0.25">
      <c r="A111" t="str">
        <f>BIdetails!G114</f>
        <v>187516</v>
      </c>
      <c r="B111" t="str">
        <f>BIdetails!H114</f>
        <v>Accenture B.V.</v>
      </c>
      <c r="C111" t="str">
        <f>BIdetails!J114</f>
        <v>5401087908</v>
      </c>
      <c r="D111" t="str">
        <f>BIdetails!K114</f>
        <v>10</v>
      </c>
      <c r="E111" s="158">
        <f>BIdetails!M114</f>
        <v>10290</v>
      </c>
      <c r="F111" t="str">
        <f>IF(ISERROR(IF(OR(C111="#",C111=0),"",VLOOKUP(C111,'AOP25'!M:M,1,0))),"Not Found",VLOOKUP(C111,'AOP25'!M:M,1,0))</f>
        <v>Not Found</v>
      </c>
      <c r="G111" t="e">
        <f t="shared" si="1"/>
        <v>#N/A</v>
      </c>
    </row>
    <row r="112" spans="1:7" hidden="1" x14ac:dyDescent="0.25">
      <c r="A112" t="str">
        <f>BIdetails!G115</f>
        <v>187516</v>
      </c>
      <c r="B112" t="str">
        <f>BIdetails!H115</f>
        <v>Accenture B.V.</v>
      </c>
      <c r="C112" t="str">
        <f>BIdetails!J115</f>
        <v>5401087908</v>
      </c>
      <c r="D112" t="str">
        <f>BIdetails!K115</f>
        <v>10</v>
      </c>
      <c r="E112" s="158">
        <f>BIdetails!M115</f>
        <v>10290</v>
      </c>
      <c r="F112" t="str">
        <f>IF(ISERROR(IF(OR(C112="#",C112=0),"",VLOOKUP(C112,'AOP25'!M:M,1,0))),"Not Found",VLOOKUP(C112,'AOP25'!M:M,1,0))</f>
        <v>Not Found</v>
      </c>
      <c r="G112" t="e">
        <f t="shared" si="1"/>
        <v>#N/A</v>
      </c>
    </row>
    <row r="113" spans="1:7" hidden="1" x14ac:dyDescent="0.25">
      <c r="A113" t="str">
        <f>BIdetails!G116</f>
        <v>187516</v>
      </c>
      <c r="B113" t="str">
        <f>BIdetails!H116</f>
        <v>Accenture B.V.</v>
      </c>
      <c r="C113" t="str">
        <f>BIdetails!J116</f>
        <v>5401087930</v>
      </c>
      <c r="D113" t="str">
        <f>BIdetails!K116</f>
        <v>10</v>
      </c>
      <c r="E113" s="158">
        <f>BIdetails!M116</f>
        <v>12392.86</v>
      </c>
      <c r="F113" t="str">
        <f>IF(ISERROR(IF(OR(C113="#",C113=0),"",VLOOKUP(C113,'AOP25'!M:M,1,0))),"Not Found",VLOOKUP(C113,'AOP25'!M:M,1,0))</f>
        <v>Not Found</v>
      </c>
      <c r="G113" t="e">
        <f t="shared" si="1"/>
        <v>#N/A</v>
      </c>
    </row>
    <row r="114" spans="1:7" x14ac:dyDescent="0.25">
      <c r="A114" t="str">
        <f>BIdetails!G117</f>
        <v>196653</v>
      </c>
      <c r="B114" t="str">
        <f>BIdetails!H117</f>
        <v>Orange Business Netherlands B.V.</v>
      </c>
      <c r="C114" t="str">
        <f>BIdetails!J117</f>
        <v>5401087922</v>
      </c>
      <c r="D114" t="str">
        <f>BIdetails!K117</f>
        <v>10</v>
      </c>
      <c r="E114" s="158">
        <f>BIdetails!M117</f>
        <v>220862.4</v>
      </c>
      <c r="F114" t="str">
        <f>IF(ISERROR(IF(OR(C114="#",C114=0),"",VLOOKUP(C114,'AOP25'!M:M,1,0))),"Not Found",VLOOKUP(C114,'AOP25'!M:M,1,0))</f>
        <v>Not Found</v>
      </c>
      <c r="G114" t="e">
        <f t="shared" si="1"/>
        <v>#N/A</v>
      </c>
    </row>
    <row r="115" spans="1:7" x14ac:dyDescent="0.25">
      <c r="A115" t="str">
        <f>BIdetails!G118</f>
        <v>196653</v>
      </c>
      <c r="B115" t="str">
        <f>BIdetails!H118</f>
        <v>Orange Business Netherlands B.V.</v>
      </c>
      <c r="C115" t="str">
        <f>BIdetails!J118</f>
        <v>5401087922</v>
      </c>
      <c r="D115" t="str">
        <f>BIdetails!K118</f>
        <v>10</v>
      </c>
      <c r="E115" s="158">
        <f>BIdetails!M118</f>
        <v>2066</v>
      </c>
      <c r="F115" t="str">
        <f>IF(ISERROR(IF(OR(C115="#",C115=0),"",VLOOKUP(C115,'AOP25'!M:M,1,0))),"Not Found",VLOOKUP(C115,'AOP25'!M:M,1,0))</f>
        <v>Not Found</v>
      </c>
      <c r="G115" t="e">
        <f t="shared" si="1"/>
        <v>#N/A</v>
      </c>
    </row>
    <row r="116" spans="1:7" x14ac:dyDescent="0.25">
      <c r="A116" t="str">
        <f>BIdetails!G119</f>
        <v>196653</v>
      </c>
      <c r="B116" t="str">
        <f>BIdetails!H119</f>
        <v>Orange Business Netherlands B.V.</v>
      </c>
      <c r="C116" t="str">
        <f>BIdetails!J119</f>
        <v>5401087922</v>
      </c>
      <c r="D116" t="str">
        <f>BIdetails!K119</f>
        <v>10</v>
      </c>
      <c r="E116" s="158">
        <f>BIdetails!M119</f>
        <v>52874</v>
      </c>
      <c r="F116" t="str">
        <f>IF(ISERROR(IF(OR(C116="#",C116=0),"",VLOOKUP(C116,'AOP25'!M:M,1,0))),"Not Found",VLOOKUP(C116,'AOP25'!M:M,1,0))</f>
        <v>Not Found</v>
      </c>
      <c r="G116" t="e">
        <f t="shared" si="1"/>
        <v>#N/A</v>
      </c>
    </row>
    <row r="117" spans="1:7" x14ac:dyDescent="0.25">
      <c r="A117" t="str">
        <f>BIdetails!G120</f>
        <v>196653</v>
      </c>
      <c r="B117" t="str">
        <f>BIdetails!H120</f>
        <v>Orange Business Netherlands B.V.</v>
      </c>
      <c r="C117" t="str">
        <f>BIdetails!J120</f>
        <v>5401087922</v>
      </c>
      <c r="D117" t="str">
        <f>BIdetails!K120</f>
        <v>10</v>
      </c>
      <c r="E117" s="158">
        <f>BIdetails!M120</f>
        <v>431</v>
      </c>
      <c r="F117" t="str">
        <f>IF(ISERROR(IF(OR(C117="#",C117=0),"",VLOOKUP(C117,'AOP25'!M:M,1,0))),"Not Found",VLOOKUP(C117,'AOP25'!M:M,1,0))</f>
        <v>Not Found</v>
      </c>
      <c r="G117" t="e">
        <f t="shared" si="1"/>
        <v>#N/A</v>
      </c>
    </row>
    <row r="118" spans="1:7" hidden="1" x14ac:dyDescent="0.25">
      <c r="A118" t="str">
        <f>BIdetails!G121</f>
        <v>196653</v>
      </c>
      <c r="B118" t="str">
        <f>BIdetails!H121</f>
        <v>Orange Business Netherlands B.V.</v>
      </c>
      <c r="C118" t="str">
        <f>BIdetails!J121</f>
        <v>5401087922</v>
      </c>
      <c r="D118" t="str">
        <f>BIdetails!K121</f>
        <v>10</v>
      </c>
      <c r="E118" s="158">
        <f>BIdetails!M121</f>
        <v>2462</v>
      </c>
      <c r="F118" t="str">
        <f>IF(ISERROR(IF(OR(C118="#",C118=0),"",VLOOKUP(C118,'AOP25'!M:M,1,0))),"Not Found",VLOOKUP(C118,'AOP25'!M:M,1,0))</f>
        <v>Not Found</v>
      </c>
      <c r="G118" t="e">
        <f t="shared" si="1"/>
        <v>#N/A</v>
      </c>
    </row>
    <row r="119" spans="1:7" hidden="1" x14ac:dyDescent="0.25">
      <c r="A119" t="str">
        <f>BIdetails!G122</f>
        <v>196653</v>
      </c>
      <c r="B119" t="str">
        <f>BIdetails!H122</f>
        <v>Orange Business Netherlands B.V.</v>
      </c>
      <c r="C119" t="str">
        <f>BIdetails!J122</f>
        <v>5401087922</v>
      </c>
      <c r="D119" t="str">
        <f>BIdetails!K122</f>
        <v>10</v>
      </c>
      <c r="E119" s="158">
        <f>BIdetails!M122</f>
        <v>23</v>
      </c>
      <c r="F119" t="str">
        <f>IF(ISERROR(IF(OR(C119="#",C119=0),"",VLOOKUP(C119,'AOP25'!M:M,1,0))),"Not Found",VLOOKUP(C119,'AOP25'!M:M,1,0))</f>
        <v>Not Found</v>
      </c>
      <c r="G119" t="e">
        <f t="shared" si="1"/>
        <v>#N/A</v>
      </c>
    </row>
    <row r="120" spans="1:7" x14ac:dyDescent="0.25">
      <c r="A120" t="str">
        <f>BIdetails!G123</f>
        <v>196653</v>
      </c>
      <c r="B120" t="str">
        <f>BIdetails!H123</f>
        <v>Orange Business Netherlands B.V.</v>
      </c>
      <c r="C120" t="str">
        <f>BIdetails!J123</f>
        <v>5401087923</v>
      </c>
      <c r="D120" t="str">
        <f>BIdetails!K123</f>
        <v>10</v>
      </c>
      <c r="E120" s="158">
        <f>BIdetails!M123</f>
        <v>44906.52</v>
      </c>
      <c r="F120" t="str">
        <f>IF(ISERROR(IF(OR(C120="#",C120=0),"",VLOOKUP(C120,'AOP25'!M:M,1,0))),"Not Found",VLOOKUP(C120,'AOP25'!M:M,1,0))</f>
        <v>Not Found</v>
      </c>
      <c r="G120" t="e">
        <f t="shared" si="1"/>
        <v>#N/A</v>
      </c>
    </row>
    <row r="121" spans="1:7" x14ac:dyDescent="0.25">
      <c r="A121" t="str">
        <f>BIdetails!G124</f>
        <v>196653</v>
      </c>
      <c r="B121" t="str">
        <f>BIdetails!H124</f>
        <v>Orange Business Netherlands B.V.</v>
      </c>
      <c r="C121" t="str">
        <f>BIdetails!J124</f>
        <v>5401087923</v>
      </c>
      <c r="D121" t="str">
        <f>BIdetails!K124</f>
        <v>10</v>
      </c>
      <c r="E121" s="158">
        <f>BIdetails!M124</f>
        <v>429</v>
      </c>
      <c r="F121" t="str">
        <f>IF(ISERROR(IF(OR(C121="#",C121=0),"",VLOOKUP(C121,'AOP25'!M:M,1,0))),"Not Found",VLOOKUP(C121,'AOP25'!M:M,1,0))</f>
        <v>Not Found</v>
      </c>
      <c r="G121" t="e">
        <f t="shared" si="1"/>
        <v>#N/A</v>
      </c>
    </row>
    <row r="122" spans="1:7" hidden="1" x14ac:dyDescent="0.25">
      <c r="A122" t="str">
        <f>BIdetails!G125</f>
        <v>196653</v>
      </c>
      <c r="B122" t="str">
        <f>BIdetails!H125</f>
        <v>Orange Business Netherlands B.V.</v>
      </c>
      <c r="C122" t="str">
        <f>BIdetails!J125</f>
        <v>5401087923</v>
      </c>
      <c r="D122" t="str">
        <f>BIdetails!K125</f>
        <v>10</v>
      </c>
      <c r="E122" s="158">
        <f>BIdetails!M125</f>
        <v>456.3</v>
      </c>
      <c r="F122" t="str">
        <f>IF(ISERROR(IF(OR(C122="#",C122=0),"",VLOOKUP(C122,'AOP25'!M:M,1,0))),"Not Found",VLOOKUP(C122,'AOP25'!M:M,1,0))</f>
        <v>Not Found</v>
      </c>
      <c r="G122" t="e">
        <f t="shared" si="1"/>
        <v>#N/A</v>
      </c>
    </row>
    <row r="123" spans="1:7" hidden="1" x14ac:dyDescent="0.25">
      <c r="A123" t="str">
        <f>BIdetails!G126</f>
        <v>196653</v>
      </c>
      <c r="B123" t="str">
        <f>BIdetails!H126</f>
        <v>Orange Business Netherlands B.V.</v>
      </c>
      <c r="C123" t="str">
        <f>BIdetails!J126</f>
        <v>5401087924</v>
      </c>
      <c r="D123" t="str">
        <f>BIdetails!K126</f>
        <v>10</v>
      </c>
      <c r="E123" s="158">
        <f>BIdetails!M126</f>
        <v>33138.99</v>
      </c>
      <c r="F123" t="str">
        <f>IF(ISERROR(IF(OR(C123="#",C123=0),"",VLOOKUP(C123,'AOP25'!M:M,1,0))),"Not Found",VLOOKUP(C123,'AOP25'!M:M,1,0))</f>
        <v>Not Found</v>
      </c>
      <c r="G123" t="e">
        <f t="shared" si="1"/>
        <v>#N/A</v>
      </c>
    </row>
    <row r="124" spans="1:7" hidden="1" x14ac:dyDescent="0.25">
      <c r="A124" t="str">
        <f>BIdetails!G127</f>
        <v>196653</v>
      </c>
      <c r="B124" t="str">
        <f>BIdetails!H127</f>
        <v>Orange Business Netherlands B.V.</v>
      </c>
      <c r="C124" t="str">
        <f>BIdetails!J127</f>
        <v>5401087924</v>
      </c>
      <c r="D124" t="str">
        <f>BIdetails!K127</f>
        <v>10</v>
      </c>
      <c r="E124" s="158">
        <f>BIdetails!M127</f>
        <v>294</v>
      </c>
      <c r="F124" t="str">
        <f>IF(ISERROR(IF(OR(C124="#",C124=0),"",VLOOKUP(C124,'AOP25'!M:M,1,0))),"Not Found",VLOOKUP(C124,'AOP25'!M:M,1,0))</f>
        <v>Not Found</v>
      </c>
      <c r="G124" t="e">
        <f t="shared" si="1"/>
        <v>#N/A</v>
      </c>
    </row>
    <row r="125" spans="1:7" hidden="1" x14ac:dyDescent="0.25">
      <c r="A125" t="str">
        <f>BIdetails!G128</f>
        <v>196653</v>
      </c>
      <c r="B125" t="str">
        <f>BIdetails!H128</f>
        <v>Orange Business Netherlands B.V.</v>
      </c>
      <c r="C125" t="str">
        <f>BIdetails!J128</f>
        <v>5401087924</v>
      </c>
      <c r="D125" t="str">
        <f>BIdetails!K128</f>
        <v>10</v>
      </c>
      <c r="E125" s="158">
        <f>BIdetails!M128</f>
        <v>4580</v>
      </c>
      <c r="F125" t="str">
        <f>IF(ISERROR(IF(OR(C125="#",C125=0),"",VLOOKUP(C125,'AOP25'!M:M,1,0))),"Not Found",VLOOKUP(C125,'AOP25'!M:M,1,0))</f>
        <v>Not Found</v>
      </c>
      <c r="G125" t="e">
        <f t="shared" si="1"/>
        <v>#N/A</v>
      </c>
    </row>
    <row r="126" spans="1:7" hidden="1" x14ac:dyDescent="0.25">
      <c r="A126" t="str">
        <f>BIdetails!G129</f>
        <v>196653</v>
      </c>
      <c r="B126" t="str">
        <f>BIdetails!H129</f>
        <v>Orange Business Netherlands B.V.</v>
      </c>
      <c r="C126" t="str">
        <f>BIdetails!J129</f>
        <v>5401087924</v>
      </c>
      <c r="D126" t="str">
        <f>BIdetails!K129</f>
        <v>10</v>
      </c>
      <c r="E126" s="158">
        <f>BIdetails!M129</f>
        <v>42</v>
      </c>
      <c r="F126" t="str">
        <f>IF(ISERROR(IF(OR(C126="#",C126=0),"",VLOOKUP(C126,'AOP25'!M:M,1,0))),"Not Found",VLOOKUP(C126,'AOP25'!M:M,1,0))</f>
        <v>Not Found</v>
      </c>
      <c r="G126" t="e">
        <f t="shared" si="1"/>
        <v>#N/A</v>
      </c>
    </row>
    <row r="127" spans="1:7" hidden="1" x14ac:dyDescent="0.25">
      <c r="A127" t="str">
        <f>BIdetails!G130</f>
        <v>196653</v>
      </c>
      <c r="B127" t="str">
        <f>BIdetails!H130</f>
        <v>Orange Business Netherlands B.V.</v>
      </c>
      <c r="C127" t="str">
        <f>BIdetails!J130</f>
        <v>5401087924</v>
      </c>
      <c r="D127" t="str">
        <f>BIdetails!K130</f>
        <v>10</v>
      </c>
      <c r="E127" s="158">
        <f>BIdetails!M130</f>
        <v>42462.01</v>
      </c>
      <c r="F127" t="str">
        <f>IF(ISERROR(IF(OR(C127="#",C127=0),"",VLOOKUP(C127,'AOP25'!M:M,1,0))),"Not Found",VLOOKUP(C127,'AOP25'!M:M,1,0))</f>
        <v>Not Found</v>
      </c>
      <c r="G127" t="e">
        <f t="shared" si="1"/>
        <v>#N/A</v>
      </c>
    </row>
    <row r="128" spans="1:7" hidden="1" x14ac:dyDescent="0.25">
      <c r="A128" t="str">
        <f>BIdetails!G131</f>
        <v>196653</v>
      </c>
      <c r="B128" t="str">
        <f>BIdetails!H131</f>
        <v>Orange Business Netherlands B.V.</v>
      </c>
      <c r="C128" t="str">
        <f>BIdetails!J131</f>
        <v>5401087924</v>
      </c>
      <c r="D128" t="str">
        <f>BIdetails!K131</f>
        <v>10</v>
      </c>
      <c r="E128" s="158">
        <f>BIdetails!M131</f>
        <v>388</v>
      </c>
      <c r="F128" t="str">
        <f>IF(ISERROR(IF(OR(C128="#",C128=0),"",VLOOKUP(C128,'AOP25'!M:M,1,0))),"Not Found",VLOOKUP(C128,'AOP25'!M:M,1,0))</f>
        <v>Not Found</v>
      </c>
      <c r="G128" t="e">
        <f t="shared" si="1"/>
        <v>#N/A</v>
      </c>
    </row>
    <row r="129" spans="1:7" hidden="1" x14ac:dyDescent="0.25">
      <c r="A129" t="str">
        <f>BIdetails!G132</f>
        <v>196653</v>
      </c>
      <c r="B129" t="str">
        <f>BIdetails!H132</f>
        <v>Orange Business Netherlands B.V.</v>
      </c>
      <c r="C129" t="str">
        <f>BIdetails!J132</f>
        <v>5401087927</v>
      </c>
      <c r="D129" t="str">
        <f>BIdetails!K132</f>
        <v>10</v>
      </c>
      <c r="E129" s="158">
        <f>BIdetails!M132</f>
        <v>2242</v>
      </c>
      <c r="F129" t="str">
        <f>IF(ISERROR(IF(OR(C129="#",C129=0),"",VLOOKUP(C129,'AOP25'!M:M,1,0))),"Not Found",VLOOKUP(C129,'AOP25'!M:M,1,0))</f>
        <v>Not Found</v>
      </c>
      <c r="G129" t="e">
        <f t="shared" si="1"/>
        <v>#N/A</v>
      </c>
    </row>
    <row r="130" spans="1:7" x14ac:dyDescent="0.25">
      <c r="A130" t="str">
        <f>BIdetails!G133</f>
        <v>196653</v>
      </c>
      <c r="B130" t="str">
        <f>BIdetails!H133</f>
        <v>Orange Business Netherlands B.V.</v>
      </c>
      <c r="C130" t="str">
        <f>BIdetails!J133</f>
        <v>5401087927</v>
      </c>
      <c r="D130" t="str">
        <f>BIdetails!K133</f>
        <v>10</v>
      </c>
      <c r="E130" s="158">
        <f>BIdetails!M133</f>
        <v>20</v>
      </c>
      <c r="F130" t="str">
        <f>IF(ISERROR(IF(OR(C130="#",C130=0),"",VLOOKUP(C130,'AOP25'!M:M,1,0))),"Not Found",VLOOKUP(C130,'AOP25'!M:M,1,0))</f>
        <v>Not Found</v>
      </c>
      <c r="G130" t="e">
        <f t="shared" si="1"/>
        <v>#N/A</v>
      </c>
    </row>
    <row r="131" spans="1:7" x14ac:dyDescent="0.25">
      <c r="A131" t="str">
        <f>BIdetails!G134</f>
        <v>196653</v>
      </c>
      <c r="B131" t="str">
        <f>BIdetails!H134</f>
        <v>Orange Business Netherlands B.V.</v>
      </c>
      <c r="C131" t="str">
        <f>BIdetails!J134</f>
        <v>5401087928</v>
      </c>
      <c r="D131" t="str">
        <f>BIdetails!K134</f>
        <v>10</v>
      </c>
      <c r="E131" s="158">
        <f>BIdetails!M134</f>
        <v>21178</v>
      </c>
      <c r="F131" t="str">
        <f>IF(ISERROR(IF(OR(C131="#",C131=0),"",VLOOKUP(C131,'AOP25'!M:M,1,0))),"Not Found",VLOOKUP(C131,'AOP25'!M:M,1,0))</f>
        <v>Not Found</v>
      </c>
      <c r="G131" t="e">
        <f t="shared" ref="G131:G194" si="2">IF(NOT(ISERROR(VLOOKUP(C131,$K$2:$K$50,1,0))),"Y",VLOOKUP(C131,$K$2:$K$50,1,0))</f>
        <v>#N/A</v>
      </c>
    </row>
    <row r="132" spans="1:7" x14ac:dyDescent="0.25">
      <c r="A132" t="str">
        <f>BIdetails!G135</f>
        <v>196653</v>
      </c>
      <c r="B132" t="str">
        <f>BIdetails!H135</f>
        <v>Orange Business Netherlands B.V.</v>
      </c>
      <c r="C132" t="str">
        <f>BIdetails!J135</f>
        <v>5401087928</v>
      </c>
      <c r="D132" t="str">
        <f>BIdetails!K135</f>
        <v>10</v>
      </c>
      <c r="E132" s="158">
        <f>BIdetails!M135</f>
        <v>204</v>
      </c>
      <c r="F132" t="str">
        <f>IF(ISERROR(IF(OR(C132="#",C132=0),"",VLOOKUP(C132,'AOP25'!M:M,1,0))),"Not Found",VLOOKUP(C132,'AOP25'!M:M,1,0))</f>
        <v>Not Found</v>
      </c>
      <c r="G132" t="e">
        <f t="shared" si="2"/>
        <v>#N/A</v>
      </c>
    </row>
    <row r="133" spans="1:7" x14ac:dyDescent="0.25">
      <c r="A133" t="str">
        <f>BIdetails!G136</f>
        <v>196653</v>
      </c>
      <c r="B133" t="str">
        <f>BIdetails!H136</f>
        <v>Orange Business Netherlands B.V.</v>
      </c>
      <c r="C133" t="str">
        <f>BIdetails!J136</f>
        <v>5401087928</v>
      </c>
      <c r="D133" t="str">
        <f>BIdetails!K136</f>
        <v>10</v>
      </c>
      <c r="E133" s="158">
        <f>BIdetails!M136</f>
        <v>1381</v>
      </c>
      <c r="F133" t="str">
        <f>IF(ISERROR(IF(OR(C133="#",C133=0),"",VLOOKUP(C133,'AOP25'!M:M,1,0))),"Not Found",VLOOKUP(C133,'AOP25'!M:M,1,0))</f>
        <v>Not Found</v>
      </c>
      <c r="G133" t="e">
        <f t="shared" si="2"/>
        <v>#N/A</v>
      </c>
    </row>
    <row r="134" spans="1:7" hidden="1" x14ac:dyDescent="0.25">
      <c r="A134" t="str">
        <f>BIdetails!G137</f>
        <v>196653</v>
      </c>
      <c r="B134" t="str">
        <f>BIdetails!H137</f>
        <v>Orange Business Netherlands B.V.</v>
      </c>
      <c r="C134" t="str">
        <f>BIdetails!J137</f>
        <v>5401087928</v>
      </c>
      <c r="D134" t="str">
        <f>BIdetails!K137</f>
        <v>10</v>
      </c>
      <c r="E134" s="158">
        <f>BIdetails!M137</f>
        <v>13</v>
      </c>
      <c r="F134" t="str">
        <f>IF(ISERROR(IF(OR(C134="#",C134=0),"",VLOOKUP(C134,'AOP25'!M:M,1,0))),"Not Found",VLOOKUP(C134,'AOP25'!M:M,1,0))</f>
        <v>Not Found</v>
      </c>
      <c r="G134" t="e">
        <f t="shared" si="2"/>
        <v>#N/A</v>
      </c>
    </row>
    <row r="135" spans="1:7" hidden="1" x14ac:dyDescent="0.25">
      <c r="A135" t="str">
        <f>BIdetails!G138</f>
        <v>196653</v>
      </c>
      <c r="B135" t="str">
        <f>BIdetails!H138</f>
        <v>Orange Business Netherlands B.V.</v>
      </c>
      <c r="C135" t="str">
        <f>BIdetails!J138</f>
        <v>5401087929</v>
      </c>
      <c r="D135" t="str">
        <f>BIdetails!K138</f>
        <v>10</v>
      </c>
      <c r="E135" s="158">
        <f>BIdetails!M138</f>
        <v>1703.15</v>
      </c>
      <c r="F135" t="str">
        <f>IF(ISERROR(IF(OR(C135="#",C135=0),"",VLOOKUP(C135,'AOP25'!M:M,1,0))),"Not Found",VLOOKUP(C135,'AOP25'!M:M,1,0))</f>
        <v>Not Found</v>
      </c>
      <c r="G135" t="e">
        <f t="shared" si="2"/>
        <v>#N/A</v>
      </c>
    </row>
    <row r="136" spans="1:7" x14ac:dyDescent="0.25">
      <c r="A136" t="str">
        <f>BIdetails!G139</f>
        <v>196653</v>
      </c>
      <c r="B136" t="str">
        <f>BIdetails!H139</f>
        <v>Orange Business Netherlands B.V.</v>
      </c>
      <c r="C136" t="str">
        <f>BIdetails!J139</f>
        <v>5401087929</v>
      </c>
      <c r="D136" t="str">
        <f>BIdetails!K139</f>
        <v>10</v>
      </c>
      <c r="E136" s="158">
        <f>BIdetails!M139</f>
        <v>25</v>
      </c>
      <c r="F136" t="str">
        <f>IF(ISERROR(IF(OR(C136="#",C136=0),"",VLOOKUP(C136,'AOP25'!M:M,1,0))),"Not Found",VLOOKUP(C136,'AOP25'!M:M,1,0))</f>
        <v>Not Found</v>
      </c>
      <c r="G136" t="e">
        <f t="shared" si="2"/>
        <v>#N/A</v>
      </c>
    </row>
    <row r="137" spans="1:7" x14ac:dyDescent="0.25">
      <c r="A137" t="str">
        <f>BIdetails!G140</f>
        <v>196653</v>
      </c>
      <c r="B137" t="str">
        <f>BIdetails!H140</f>
        <v>Orange Business Netherlands B.V.</v>
      </c>
      <c r="C137" t="str">
        <f>BIdetails!J140</f>
        <v>5401023597</v>
      </c>
      <c r="D137" t="str">
        <f>BIdetails!K140</f>
        <v>10</v>
      </c>
      <c r="E137" s="158">
        <f>BIdetails!M140</f>
        <v>58</v>
      </c>
      <c r="F137" t="str">
        <f>IF(ISERROR(IF(OR(C137="#",C137=0),"",VLOOKUP(C137,'AOP25'!M:M,1,0))),"Not Found",VLOOKUP(C137,'AOP25'!M:M,1,0))</f>
        <v>Not Found</v>
      </c>
      <c r="G137" t="e">
        <f t="shared" si="2"/>
        <v>#N/A</v>
      </c>
    </row>
    <row r="138" spans="1:7" hidden="1" x14ac:dyDescent="0.25">
      <c r="A138" t="str">
        <f>BIdetails!G141</f>
        <v>196653</v>
      </c>
      <c r="B138" t="str">
        <f>BIdetails!H141</f>
        <v>Orange Business Netherlands B.V.</v>
      </c>
      <c r="C138" t="str">
        <f>BIdetails!J141</f>
        <v>5401059853</v>
      </c>
      <c r="D138" t="str">
        <f>BIdetails!K141</f>
        <v>10</v>
      </c>
      <c r="E138" s="158">
        <f>BIdetails!M141</f>
        <v>6937.5</v>
      </c>
      <c r="F138" t="str">
        <f>IF(ISERROR(IF(OR(C138="#",C138=0),"",VLOOKUP(C138,'AOP25'!M:M,1,0))),"Not Found",VLOOKUP(C138,'AOP25'!M:M,1,0))</f>
        <v>Not Found</v>
      </c>
      <c r="G138" t="e">
        <f t="shared" si="2"/>
        <v>#N/A</v>
      </c>
    </row>
    <row r="139" spans="1:7" hidden="1" x14ac:dyDescent="0.25">
      <c r="A139" t="str">
        <f>BIdetails!G142</f>
        <v>196653</v>
      </c>
      <c r="B139" t="str">
        <f>BIdetails!H142</f>
        <v>Orange Business Netherlands B.V.</v>
      </c>
      <c r="C139" t="str">
        <f>BIdetails!J142</f>
        <v>5401059853</v>
      </c>
      <c r="D139" t="str">
        <f>BIdetails!K142</f>
        <v>10</v>
      </c>
      <c r="E139" s="158">
        <f>BIdetails!M142</f>
        <v>63</v>
      </c>
      <c r="F139" t="str">
        <f>IF(ISERROR(IF(OR(C139="#",C139=0),"",VLOOKUP(C139,'AOP25'!M:M,1,0))),"Not Found",VLOOKUP(C139,'AOP25'!M:M,1,0))</f>
        <v>Not Found</v>
      </c>
      <c r="G139" t="e">
        <f t="shared" si="2"/>
        <v>#N/A</v>
      </c>
    </row>
    <row r="140" spans="1:7" x14ac:dyDescent="0.25">
      <c r="A140" t="str">
        <f>BIdetails!G143</f>
        <v>196653</v>
      </c>
      <c r="B140" t="str">
        <f>BIdetails!H143</f>
        <v>Orange Business Netherlands B.V.</v>
      </c>
      <c r="C140" t="str">
        <f>BIdetails!J143</f>
        <v>5401077845</v>
      </c>
      <c r="D140" t="str">
        <f>BIdetails!K143</f>
        <v>10</v>
      </c>
      <c r="E140" s="158">
        <f>BIdetails!M143</f>
        <v>17098.62</v>
      </c>
      <c r="F140" t="str">
        <f>IF(ISERROR(IF(OR(C140="#",C140=0),"",VLOOKUP(C140,'AOP25'!M:M,1,0))),"Not Found",VLOOKUP(C140,'AOP25'!M:M,1,0))</f>
        <v>Not Found</v>
      </c>
      <c r="G140" t="e">
        <f t="shared" si="2"/>
        <v>#N/A</v>
      </c>
    </row>
    <row r="141" spans="1:7" x14ac:dyDescent="0.25">
      <c r="A141" t="str">
        <f>BIdetails!G144</f>
        <v>196653</v>
      </c>
      <c r="B141" t="str">
        <f>BIdetails!H144</f>
        <v>Orange Business Netherlands B.V.</v>
      </c>
      <c r="C141" t="str">
        <f>BIdetails!J144</f>
        <v>5401087922</v>
      </c>
      <c r="D141" t="str">
        <f>BIdetails!K144</f>
        <v>10</v>
      </c>
      <c r="E141" s="158">
        <f>BIdetails!M144</f>
        <v>227886.29</v>
      </c>
      <c r="F141" t="str">
        <f>IF(ISERROR(IF(OR(C141="#",C141=0),"",VLOOKUP(C141,'AOP25'!M:M,1,0))),"Not Found",VLOOKUP(C141,'AOP25'!M:M,1,0))</f>
        <v>Not Found</v>
      </c>
      <c r="G141" t="e">
        <f t="shared" si="2"/>
        <v>#N/A</v>
      </c>
    </row>
    <row r="142" spans="1:7" hidden="1" x14ac:dyDescent="0.25">
      <c r="A142" t="str">
        <f>BIdetails!G145</f>
        <v>196653</v>
      </c>
      <c r="B142" t="str">
        <f>BIdetails!H145</f>
        <v>Orange Business Netherlands B.V.</v>
      </c>
      <c r="C142" t="str">
        <f>BIdetails!J145</f>
        <v>5401087922</v>
      </c>
      <c r="D142" t="str">
        <f>BIdetails!K145</f>
        <v>10</v>
      </c>
      <c r="E142" s="158">
        <f>BIdetails!M145</f>
        <v>2066</v>
      </c>
      <c r="F142" t="str">
        <f>IF(ISERROR(IF(OR(C142="#",C142=0),"",VLOOKUP(C142,'AOP25'!M:M,1,0))),"Not Found",VLOOKUP(C142,'AOP25'!M:M,1,0))</f>
        <v>Not Found</v>
      </c>
      <c r="G142" t="e">
        <f t="shared" si="2"/>
        <v>#N/A</v>
      </c>
    </row>
    <row r="143" spans="1:7" hidden="1" x14ac:dyDescent="0.25">
      <c r="A143" t="str">
        <f>BIdetails!G146</f>
        <v>196653</v>
      </c>
      <c r="B143" t="str">
        <f>BIdetails!H146</f>
        <v>Orange Business Netherlands B.V.</v>
      </c>
      <c r="C143" t="str">
        <f>BIdetails!J146</f>
        <v>5401087922</v>
      </c>
      <c r="D143" t="str">
        <f>BIdetails!K146</f>
        <v>10</v>
      </c>
      <c r="E143" s="158">
        <f>BIdetails!M146</f>
        <v>52874</v>
      </c>
      <c r="F143" t="str">
        <f>IF(ISERROR(IF(OR(C143="#",C143=0),"",VLOOKUP(C143,'AOP25'!M:M,1,0))),"Not Found",VLOOKUP(C143,'AOP25'!M:M,1,0))</f>
        <v>Not Found</v>
      </c>
      <c r="G143" t="e">
        <f t="shared" si="2"/>
        <v>#N/A</v>
      </c>
    </row>
    <row r="144" spans="1:7" hidden="1" x14ac:dyDescent="0.25">
      <c r="A144" t="str">
        <f>BIdetails!G147</f>
        <v>196653</v>
      </c>
      <c r="B144" t="str">
        <f>BIdetails!H147</f>
        <v>Orange Business Netherlands B.V.</v>
      </c>
      <c r="C144" t="str">
        <f>BIdetails!J147</f>
        <v>5401087922</v>
      </c>
      <c r="D144" t="str">
        <f>BIdetails!K147</f>
        <v>10</v>
      </c>
      <c r="E144" s="158">
        <f>BIdetails!M147</f>
        <v>431</v>
      </c>
      <c r="F144" t="str">
        <f>IF(ISERROR(IF(OR(C144="#",C144=0),"",VLOOKUP(C144,'AOP25'!M:M,1,0))),"Not Found",VLOOKUP(C144,'AOP25'!M:M,1,0))</f>
        <v>Not Found</v>
      </c>
      <c r="G144" t="e">
        <f t="shared" si="2"/>
        <v>#N/A</v>
      </c>
    </row>
    <row r="145" spans="1:7" x14ac:dyDescent="0.25">
      <c r="A145" t="str">
        <f>BIdetails!G148</f>
        <v>196653</v>
      </c>
      <c r="B145" t="str">
        <f>BIdetails!H148</f>
        <v>Orange Business Netherlands B.V.</v>
      </c>
      <c r="C145" t="str">
        <f>BIdetails!J148</f>
        <v>5401087922</v>
      </c>
      <c r="D145" t="str">
        <f>BIdetails!K148</f>
        <v>10</v>
      </c>
      <c r="E145" s="158">
        <f>BIdetails!M148</f>
        <v>2462</v>
      </c>
      <c r="F145" t="str">
        <f>IF(ISERROR(IF(OR(C145="#",C145=0),"",VLOOKUP(C145,'AOP25'!M:M,1,0))),"Not Found",VLOOKUP(C145,'AOP25'!M:M,1,0))</f>
        <v>Not Found</v>
      </c>
      <c r="G145" t="e">
        <f t="shared" si="2"/>
        <v>#N/A</v>
      </c>
    </row>
    <row r="146" spans="1:7" x14ac:dyDescent="0.25">
      <c r="A146" t="str">
        <f>BIdetails!G149</f>
        <v>196653</v>
      </c>
      <c r="B146" t="str">
        <f>BIdetails!H149</f>
        <v>Orange Business Netherlands B.V.</v>
      </c>
      <c r="C146" t="str">
        <f>BIdetails!J149</f>
        <v>5401087922</v>
      </c>
      <c r="D146" t="str">
        <f>BIdetails!K149</f>
        <v>10</v>
      </c>
      <c r="E146" s="158">
        <f>BIdetails!M149</f>
        <v>23</v>
      </c>
      <c r="F146" t="str">
        <f>IF(ISERROR(IF(OR(C146="#",C146=0),"",VLOOKUP(C146,'AOP25'!M:M,1,0))),"Not Found",VLOOKUP(C146,'AOP25'!M:M,1,0))</f>
        <v>Not Found</v>
      </c>
      <c r="G146" t="e">
        <f t="shared" si="2"/>
        <v>#N/A</v>
      </c>
    </row>
    <row r="147" spans="1:7" x14ac:dyDescent="0.25">
      <c r="A147" t="str">
        <f>BIdetails!G150</f>
        <v>196653</v>
      </c>
      <c r="B147" t="str">
        <f>BIdetails!H150</f>
        <v>Orange Business Netherlands B.V.</v>
      </c>
      <c r="C147" t="str">
        <f>BIdetails!J150</f>
        <v>5401087923</v>
      </c>
      <c r="D147" t="str">
        <f>BIdetails!K150</f>
        <v>10</v>
      </c>
      <c r="E147" s="158">
        <f>BIdetails!M150</f>
        <v>44906.52</v>
      </c>
      <c r="F147" t="str">
        <f>IF(ISERROR(IF(OR(C147="#",C147=0),"",VLOOKUP(C147,'AOP25'!M:M,1,0))),"Not Found",VLOOKUP(C147,'AOP25'!M:M,1,0))</f>
        <v>Not Found</v>
      </c>
      <c r="G147" t="e">
        <f t="shared" si="2"/>
        <v>#N/A</v>
      </c>
    </row>
    <row r="148" spans="1:7" x14ac:dyDescent="0.25">
      <c r="A148" t="str">
        <f>BIdetails!G151</f>
        <v>196653</v>
      </c>
      <c r="B148" t="str">
        <f>BIdetails!H151</f>
        <v>Orange Business Netherlands B.V.</v>
      </c>
      <c r="C148" t="str">
        <f>BIdetails!J151</f>
        <v>5401087923</v>
      </c>
      <c r="D148" t="str">
        <f>BIdetails!K151</f>
        <v>10</v>
      </c>
      <c r="E148" s="158">
        <f>BIdetails!M151</f>
        <v>429</v>
      </c>
      <c r="F148" t="str">
        <f>IF(ISERROR(IF(OR(C148="#",C148=0),"",VLOOKUP(C148,'AOP25'!M:M,1,0))),"Not Found",VLOOKUP(C148,'AOP25'!M:M,1,0))</f>
        <v>Not Found</v>
      </c>
      <c r="G148" t="e">
        <f t="shared" si="2"/>
        <v>#N/A</v>
      </c>
    </row>
    <row r="149" spans="1:7" x14ac:dyDescent="0.25">
      <c r="A149" t="str">
        <f>BIdetails!G152</f>
        <v>196653</v>
      </c>
      <c r="B149" t="str">
        <f>BIdetails!H152</f>
        <v>Orange Business Netherlands B.V.</v>
      </c>
      <c r="C149" t="str">
        <f>BIdetails!J152</f>
        <v>5401087923</v>
      </c>
      <c r="D149" t="str">
        <f>BIdetails!K152</f>
        <v>10</v>
      </c>
      <c r="E149" s="158">
        <f>BIdetails!M152</f>
        <v>456.3</v>
      </c>
      <c r="F149" t="str">
        <f>IF(ISERROR(IF(OR(C149="#",C149=0),"",VLOOKUP(C149,'AOP25'!M:M,1,0))),"Not Found",VLOOKUP(C149,'AOP25'!M:M,1,0))</f>
        <v>Not Found</v>
      </c>
      <c r="G149" t="e">
        <f t="shared" si="2"/>
        <v>#N/A</v>
      </c>
    </row>
    <row r="150" spans="1:7" hidden="1" x14ac:dyDescent="0.25">
      <c r="A150" t="str">
        <f>BIdetails!G153</f>
        <v>196653</v>
      </c>
      <c r="B150" t="str">
        <f>BIdetails!H153</f>
        <v>Orange Business Netherlands B.V.</v>
      </c>
      <c r="C150" t="str">
        <f>BIdetails!J153</f>
        <v>5401087924</v>
      </c>
      <c r="D150" t="str">
        <f>BIdetails!K153</f>
        <v>10</v>
      </c>
      <c r="E150" s="158">
        <f>BIdetails!M153</f>
        <v>33138.99</v>
      </c>
      <c r="F150" t="str">
        <f>IF(ISERROR(IF(OR(C150="#",C150=0),"",VLOOKUP(C150,'AOP25'!M:M,1,0))),"Not Found",VLOOKUP(C150,'AOP25'!M:M,1,0))</f>
        <v>Not Found</v>
      </c>
      <c r="G150" t="e">
        <f t="shared" si="2"/>
        <v>#N/A</v>
      </c>
    </row>
    <row r="151" spans="1:7" hidden="1" x14ac:dyDescent="0.25">
      <c r="A151" t="str">
        <f>BIdetails!G154</f>
        <v>196653</v>
      </c>
      <c r="B151" t="str">
        <f>BIdetails!H154</f>
        <v>Orange Business Netherlands B.V.</v>
      </c>
      <c r="C151" t="str">
        <f>BIdetails!J154</f>
        <v>5401087924</v>
      </c>
      <c r="D151" t="str">
        <f>BIdetails!K154</f>
        <v>10</v>
      </c>
      <c r="E151" s="158">
        <f>BIdetails!M154</f>
        <v>294</v>
      </c>
      <c r="F151" t="str">
        <f>IF(ISERROR(IF(OR(C151="#",C151=0),"",VLOOKUP(C151,'AOP25'!M:M,1,0))),"Not Found",VLOOKUP(C151,'AOP25'!M:M,1,0))</f>
        <v>Not Found</v>
      </c>
      <c r="G151" t="e">
        <f t="shared" si="2"/>
        <v>#N/A</v>
      </c>
    </row>
    <row r="152" spans="1:7" hidden="1" x14ac:dyDescent="0.25">
      <c r="A152" t="str">
        <f>BIdetails!G155</f>
        <v>196653</v>
      </c>
      <c r="B152" t="str">
        <f>BIdetails!H155</f>
        <v>Orange Business Netherlands B.V.</v>
      </c>
      <c r="C152" t="str">
        <f>BIdetails!J155</f>
        <v>5401087924</v>
      </c>
      <c r="D152" t="str">
        <f>BIdetails!K155</f>
        <v>10</v>
      </c>
      <c r="E152" s="158">
        <f>BIdetails!M155</f>
        <v>4580</v>
      </c>
      <c r="F152" t="str">
        <f>IF(ISERROR(IF(OR(C152="#",C152=0),"",VLOOKUP(C152,'AOP25'!M:M,1,0))),"Not Found",VLOOKUP(C152,'AOP25'!M:M,1,0))</f>
        <v>Not Found</v>
      </c>
      <c r="G152" t="e">
        <f t="shared" si="2"/>
        <v>#N/A</v>
      </c>
    </row>
    <row r="153" spans="1:7" hidden="1" x14ac:dyDescent="0.25">
      <c r="A153" t="str">
        <f>BIdetails!G156</f>
        <v>196653</v>
      </c>
      <c r="B153" t="str">
        <f>BIdetails!H156</f>
        <v>Orange Business Netherlands B.V.</v>
      </c>
      <c r="C153" t="str">
        <f>BIdetails!J156</f>
        <v>5401087924</v>
      </c>
      <c r="D153" t="str">
        <f>BIdetails!K156</f>
        <v>10</v>
      </c>
      <c r="E153" s="158">
        <f>BIdetails!M156</f>
        <v>42</v>
      </c>
      <c r="F153" t="str">
        <f>IF(ISERROR(IF(OR(C153="#",C153=0),"",VLOOKUP(C153,'AOP25'!M:M,1,0))),"Not Found",VLOOKUP(C153,'AOP25'!M:M,1,0))</f>
        <v>Not Found</v>
      </c>
      <c r="G153" t="e">
        <f t="shared" si="2"/>
        <v>#N/A</v>
      </c>
    </row>
    <row r="154" spans="1:7" hidden="1" x14ac:dyDescent="0.25">
      <c r="A154" t="str">
        <f>BIdetails!G157</f>
        <v>196653</v>
      </c>
      <c r="B154" t="str">
        <f>BIdetails!H157</f>
        <v>Orange Business Netherlands B.V.</v>
      </c>
      <c r="C154" t="str">
        <f>BIdetails!J157</f>
        <v>5401087924</v>
      </c>
      <c r="D154" t="str">
        <f>BIdetails!K157</f>
        <v>10</v>
      </c>
      <c r="E154" s="158">
        <f>BIdetails!M157</f>
        <v>42462.01</v>
      </c>
      <c r="F154" t="str">
        <f>IF(ISERROR(IF(OR(C154="#",C154=0),"",VLOOKUP(C154,'AOP25'!M:M,1,0))),"Not Found",VLOOKUP(C154,'AOP25'!M:M,1,0))</f>
        <v>Not Found</v>
      </c>
      <c r="G154" t="e">
        <f t="shared" si="2"/>
        <v>#N/A</v>
      </c>
    </row>
    <row r="155" spans="1:7" hidden="1" x14ac:dyDescent="0.25">
      <c r="A155" t="str">
        <f>BIdetails!G158</f>
        <v>196653</v>
      </c>
      <c r="B155" t="str">
        <f>BIdetails!H158</f>
        <v>Orange Business Netherlands B.V.</v>
      </c>
      <c r="C155" t="str">
        <f>BIdetails!J158</f>
        <v>5401087924</v>
      </c>
      <c r="D155" t="str">
        <f>BIdetails!K158</f>
        <v>10</v>
      </c>
      <c r="E155" s="158">
        <f>BIdetails!M158</f>
        <v>388</v>
      </c>
      <c r="F155" t="str">
        <f>IF(ISERROR(IF(OR(C155="#",C155=0),"",VLOOKUP(C155,'AOP25'!M:M,1,0))),"Not Found",VLOOKUP(C155,'AOP25'!M:M,1,0))</f>
        <v>Not Found</v>
      </c>
      <c r="G155" t="e">
        <f t="shared" si="2"/>
        <v>#N/A</v>
      </c>
    </row>
    <row r="156" spans="1:7" hidden="1" x14ac:dyDescent="0.25">
      <c r="A156" t="str">
        <f>BIdetails!G159</f>
        <v>196653</v>
      </c>
      <c r="B156" t="str">
        <f>BIdetails!H159</f>
        <v>Orange Business Netherlands B.V.</v>
      </c>
      <c r="C156" t="str">
        <f>BIdetails!J159</f>
        <v>5401087928</v>
      </c>
      <c r="D156" t="str">
        <f>BIdetails!K159</f>
        <v>10</v>
      </c>
      <c r="E156" s="158">
        <f>BIdetails!M159</f>
        <v>21178</v>
      </c>
      <c r="F156" t="str">
        <f>IF(ISERROR(IF(OR(C156="#",C156=0),"",VLOOKUP(C156,'AOP25'!M:M,1,0))),"Not Found",VLOOKUP(C156,'AOP25'!M:M,1,0))</f>
        <v>Not Found</v>
      </c>
      <c r="G156" t="e">
        <f t="shared" si="2"/>
        <v>#N/A</v>
      </c>
    </row>
    <row r="157" spans="1:7" hidden="1" x14ac:dyDescent="0.25">
      <c r="A157" t="str">
        <f>BIdetails!G160</f>
        <v>196653</v>
      </c>
      <c r="B157" t="str">
        <f>BIdetails!H160</f>
        <v>Orange Business Netherlands B.V.</v>
      </c>
      <c r="C157" t="str">
        <f>BIdetails!J160</f>
        <v>5401087928</v>
      </c>
      <c r="D157" t="str">
        <f>BIdetails!K160</f>
        <v>10</v>
      </c>
      <c r="E157" s="158">
        <f>BIdetails!M160</f>
        <v>204</v>
      </c>
      <c r="F157" t="str">
        <f>IF(ISERROR(IF(OR(C157="#",C157=0),"",VLOOKUP(C157,'AOP25'!M:M,1,0))),"Not Found",VLOOKUP(C157,'AOP25'!M:M,1,0))</f>
        <v>Not Found</v>
      </c>
      <c r="G157" t="e">
        <f t="shared" si="2"/>
        <v>#N/A</v>
      </c>
    </row>
    <row r="158" spans="1:7" hidden="1" x14ac:dyDescent="0.25">
      <c r="A158" t="str">
        <f>BIdetails!G161</f>
        <v>196653</v>
      </c>
      <c r="B158" t="str">
        <f>BIdetails!H161</f>
        <v>Orange Business Netherlands B.V.</v>
      </c>
      <c r="C158" t="str">
        <f>BIdetails!J161</f>
        <v>5401087928</v>
      </c>
      <c r="D158" t="str">
        <f>BIdetails!K161</f>
        <v>10</v>
      </c>
      <c r="E158" s="158">
        <f>BIdetails!M161</f>
        <v>1381</v>
      </c>
      <c r="F158" t="str">
        <f>IF(ISERROR(IF(OR(C158="#",C158=0),"",VLOOKUP(C158,'AOP25'!M:M,1,0))),"Not Found",VLOOKUP(C158,'AOP25'!M:M,1,0))</f>
        <v>Not Found</v>
      </c>
      <c r="G158" t="e">
        <f t="shared" si="2"/>
        <v>#N/A</v>
      </c>
    </row>
    <row r="159" spans="1:7" hidden="1" x14ac:dyDescent="0.25">
      <c r="A159" t="str">
        <f>BIdetails!G162</f>
        <v>196653</v>
      </c>
      <c r="B159" t="str">
        <f>BIdetails!H162</f>
        <v>Orange Business Netherlands B.V.</v>
      </c>
      <c r="C159" t="str">
        <f>BIdetails!J162</f>
        <v>5401087928</v>
      </c>
      <c r="D159" t="str">
        <f>BIdetails!K162</f>
        <v>10</v>
      </c>
      <c r="E159" s="158">
        <f>BIdetails!M162</f>
        <v>13</v>
      </c>
      <c r="F159" t="str">
        <f>IF(ISERROR(IF(OR(C159="#",C159=0),"",VLOOKUP(C159,'AOP25'!M:M,1,0))),"Not Found",VLOOKUP(C159,'AOP25'!M:M,1,0))</f>
        <v>Not Found</v>
      </c>
      <c r="G159" t="e">
        <f t="shared" si="2"/>
        <v>#N/A</v>
      </c>
    </row>
    <row r="160" spans="1:7" hidden="1" x14ac:dyDescent="0.25">
      <c r="A160" t="str">
        <f>BIdetails!G163</f>
        <v>196653</v>
      </c>
      <c r="B160" t="str">
        <f>BIdetails!H163</f>
        <v>Orange Business Netherlands B.V.</v>
      </c>
      <c r="C160" t="str">
        <f>BIdetails!J163</f>
        <v>5401087927</v>
      </c>
      <c r="D160" t="str">
        <f>BIdetails!K163</f>
        <v>10</v>
      </c>
      <c r="E160" s="158">
        <f>BIdetails!M163</f>
        <v>2242</v>
      </c>
      <c r="F160" t="str">
        <f>IF(ISERROR(IF(OR(C160="#",C160=0),"",VLOOKUP(C160,'AOP25'!M:M,1,0))),"Not Found",VLOOKUP(C160,'AOP25'!M:M,1,0))</f>
        <v>Not Found</v>
      </c>
      <c r="G160" t="e">
        <f t="shared" si="2"/>
        <v>#N/A</v>
      </c>
    </row>
    <row r="161" spans="1:7" hidden="1" x14ac:dyDescent="0.25">
      <c r="A161" t="str">
        <f>BIdetails!G164</f>
        <v>196653</v>
      </c>
      <c r="B161" t="str">
        <f>BIdetails!H164</f>
        <v>Orange Business Netherlands B.V.</v>
      </c>
      <c r="C161" t="str">
        <f>BIdetails!J164</f>
        <v>5401087927</v>
      </c>
      <c r="D161" t="str">
        <f>BIdetails!K164</f>
        <v>10</v>
      </c>
      <c r="E161" s="158">
        <f>BIdetails!M164</f>
        <v>20</v>
      </c>
      <c r="F161" t="str">
        <f>IF(ISERROR(IF(OR(C161="#",C161=0),"",VLOOKUP(C161,'AOP25'!M:M,1,0))),"Not Found",VLOOKUP(C161,'AOP25'!M:M,1,0))</f>
        <v>Not Found</v>
      </c>
      <c r="G161" t="e">
        <f t="shared" si="2"/>
        <v>#N/A</v>
      </c>
    </row>
    <row r="162" spans="1:7" hidden="1" x14ac:dyDescent="0.25">
      <c r="A162" t="str">
        <f>BIdetails!G165</f>
        <v>196653</v>
      </c>
      <c r="B162" t="str">
        <f>BIdetails!H165</f>
        <v>Orange Business Netherlands B.V.</v>
      </c>
      <c r="C162" t="str">
        <f>BIdetails!J165</f>
        <v>5401087929</v>
      </c>
      <c r="D162" t="str">
        <f>BIdetails!K165</f>
        <v>10</v>
      </c>
      <c r="E162" s="158">
        <f>BIdetails!M165</f>
        <v>1703.15</v>
      </c>
      <c r="F162" t="str">
        <f>IF(ISERROR(IF(OR(C162="#",C162=0),"",VLOOKUP(C162,'AOP25'!M:M,1,0))),"Not Found",VLOOKUP(C162,'AOP25'!M:M,1,0))</f>
        <v>Not Found</v>
      </c>
      <c r="G162" t="e">
        <f t="shared" si="2"/>
        <v>#N/A</v>
      </c>
    </row>
    <row r="163" spans="1:7" hidden="1" x14ac:dyDescent="0.25">
      <c r="A163" t="str">
        <f>BIdetails!G166</f>
        <v>196653</v>
      </c>
      <c r="B163" t="str">
        <f>BIdetails!H166</f>
        <v>Orange Business Netherlands B.V.</v>
      </c>
      <c r="C163" t="str">
        <f>BIdetails!J166</f>
        <v>5401087929</v>
      </c>
      <c r="D163" t="str">
        <f>BIdetails!K166</f>
        <v>10</v>
      </c>
      <c r="E163" s="158">
        <f>BIdetails!M166</f>
        <v>25</v>
      </c>
      <c r="F163" t="str">
        <f>IF(ISERROR(IF(OR(C163="#",C163=0),"",VLOOKUP(C163,'AOP25'!M:M,1,0))),"Not Found",VLOOKUP(C163,'AOP25'!M:M,1,0))</f>
        <v>Not Found</v>
      </c>
      <c r="G163" t="e">
        <f t="shared" si="2"/>
        <v>#N/A</v>
      </c>
    </row>
    <row r="164" spans="1:7" hidden="1" x14ac:dyDescent="0.25">
      <c r="A164" t="str">
        <f>BIdetails!G167</f>
        <v>196653</v>
      </c>
      <c r="B164" t="str">
        <f>BIdetails!H167</f>
        <v>Orange Business Netherlands B.V.</v>
      </c>
      <c r="C164" t="str">
        <f>BIdetails!J167</f>
        <v>5401077845</v>
      </c>
      <c r="D164" t="str">
        <f>BIdetails!K167</f>
        <v>10</v>
      </c>
      <c r="E164" s="158">
        <f>BIdetails!M167</f>
        <v>183</v>
      </c>
      <c r="F164" t="str">
        <f>IF(ISERROR(IF(OR(C164="#",C164=0),"",VLOOKUP(C164,'AOP25'!M:M,1,0))),"Not Found",VLOOKUP(C164,'AOP25'!M:M,1,0))</f>
        <v>Not Found</v>
      </c>
      <c r="G164" t="e">
        <f t="shared" si="2"/>
        <v>#N/A</v>
      </c>
    </row>
    <row r="165" spans="1:7" hidden="1" x14ac:dyDescent="0.25">
      <c r="A165" t="str">
        <f>BIdetails!G168</f>
        <v>196653</v>
      </c>
      <c r="B165" t="str">
        <f>BIdetails!H168</f>
        <v>Orange Business Netherlands B.V.</v>
      </c>
      <c r="C165" t="str">
        <f>BIdetails!J168</f>
        <v>5401087929</v>
      </c>
      <c r="D165" t="str">
        <f>BIdetails!K168</f>
        <v>10</v>
      </c>
      <c r="E165" s="158">
        <f>BIdetails!M168</f>
        <v>10</v>
      </c>
      <c r="F165" t="str">
        <f>IF(ISERROR(IF(OR(C165="#",C165=0),"",VLOOKUP(C165,'AOP25'!M:M,1,0))),"Not Found",VLOOKUP(C165,'AOP25'!M:M,1,0))</f>
        <v>Not Found</v>
      </c>
      <c r="G165" t="e">
        <f t="shared" si="2"/>
        <v>#N/A</v>
      </c>
    </row>
    <row r="166" spans="1:7" hidden="1" x14ac:dyDescent="0.25">
      <c r="A166" t="str">
        <f>BIdetails!G169</f>
        <v>196653</v>
      </c>
      <c r="B166" t="str">
        <f>BIdetails!H169</f>
        <v>Orange Business Netherlands B.V.</v>
      </c>
      <c r="C166" t="str">
        <f>BIdetails!J169</f>
        <v>5401087922</v>
      </c>
      <c r="D166" t="str">
        <f>BIdetails!K169</f>
        <v>10</v>
      </c>
      <c r="E166" s="158">
        <f>BIdetails!M169</f>
        <v>2462</v>
      </c>
      <c r="F166" t="str">
        <f>IF(ISERROR(IF(OR(C166="#",C166=0),"",VLOOKUP(C166,'AOP25'!M:M,1,0))),"Not Found",VLOOKUP(C166,'AOP25'!M:M,1,0))</f>
        <v>Not Found</v>
      </c>
      <c r="G166" t="e">
        <f t="shared" si="2"/>
        <v>#N/A</v>
      </c>
    </row>
    <row r="167" spans="1:7" x14ac:dyDescent="0.25">
      <c r="A167" t="str">
        <f>BIdetails!G170</f>
        <v>196653</v>
      </c>
      <c r="B167" t="str">
        <f>BIdetails!H170</f>
        <v>Orange Business Netherlands B.V.</v>
      </c>
      <c r="C167" t="str">
        <f>BIdetails!J170</f>
        <v>5401087922</v>
      </c>
      <c r="D167" t="str">
        <f>BIdetails!K170</f>
        <v>10</v>
      </c>
      <c r="E167" s="158">
        <f>BIdetails!M170</f>
        <v>23</v>
      </c>
      <c r="F167" t="str">
        <f>IF(ISERROR(IF(OR(C167="#",C167=0),"",VLOOKUP(C167,'AOP25'!M:M,1,0))),"Not Found",VLOOKUP(C167,'AOP25'!M:M,1,0))</f>
        <v>Not Found</v>
      </c>
      <c r="G167" t="e">
        <f t="shared" si="2"/>
        <v>#N/A</v>
      </c>
    </row>
    <row r="168" spans="1:7" x14ac:dyDescent="0.25">
      <c r="A168" t="str">
        <f>BIdetails!G171</f>
        <v>196653</v>
      </c>
      <c r="B168" t="str">
        <f>BIdetails!H171</f>
        <v>Orange Business Netherlands B.V.</v>
      </c>
      <c r="C168" t="str">
        <f>BIdetails!J171</f>
        <v>5401087924</v>
      </c>
      <c r="D168" t="str">
        <f>BIdetails!K171</f>
        <v>10</v>
      </c>
      <c r="E168" s="158">
        <f>BIdetails!M171</f>
        <v>8437</v>
      </c>
      <c r="F168" t="str">
        <f>IF(ISERROR(IF(OR(C168="#",C168=0),"",VLOOKUP(C168,'AOP25'!M:M,1,0))),"Not Found",VLOOKUP(C168,'AOP25'!M:M,1,0))</f>
        <v>Not Found</v>
      </c>
      <c r="G168" t="e">
        <f t="shared" si="2"/>
        <v>#N/A</v>
      </c>
    </row>
    <row r="169" spans="1:7" x14ac:dyDescent="0.25">
      <c r="A169" t="str">
        <f>BIdetails!G172</f>
        <v>196653</v>
      </c>
      <c r="B169" t="str">
        <f>BIdetails!H172</f>
        <v>Orange Business Netherlands B.V.</v>
      </c>
      <c r="C169" t="str">
        <f>BIdetails!J172</f>
        <v>5401087924</v>
      </c>
      <c r="D169" t="str">
        <f>BIdetails!K172</f>
        <v>10</v>
      </c>
      <c r="E169" s="158">
        <f>BIdetails!M172</f>
        <v>77</v>
      </c>
      <c r="F169" t="str">
        <f>IF(ISERROR(IF(OR(C169="#",C169=0),"",VLOOKUP(C169,'AOP25'!M:M,1,0))),"Not Found",VLOOKUP(C169,'AOP25'!M:M,1,0))</f>
        <v>Not Found</v>
      </c>
      <c r="G169" t="e">
        <f t="shared" si="2"/>
        <v>#N/A</v>
      </c>
    </row>
    <row r="170" spans="1:7" x14ac:dyDescent="0.25">
      <c r="A170" t="str">
        <f>BIdetails!G173</f>
        <v>196653</v>
      </c>
      <c r="B170" t="str">
        <f>BIdetails!H173</f>
        <v>Orange Business Netherlands B.V.</v>
      </c>
      <c r="C170" t="str">
        <f>BIdetails!J173</f>
        <v>5401087923</v>
      </c>
      <c r="D170" t="str">
        <f>BIdetails!K173</f>
        <v>10</v>
      </c>
      <c r="E170" s="158">
        <f>BIdetails!M173</f>
        <v>44906.52</v>
      </c>
      <c r="F170" t="str">
        <f>IF(ISERROR(IF(OR(C170="#",C170=0),"",VLOOKUP(C170,'AOP25'!M:M,1,0))),"Not Found",VLOOKUP(C170,'AOP25'!M:M,1,0))</f>
        <v>Not Found</v>
      </c>
      <c r="G170" t="e">
        <f t="shared" si="2"/>
        <v>#N/A</v>
      </c>
    </row>
    <row r="171" spans="1:7" x14ac:dyDescent="0.25">
      <c r="A171" t="str">
        <f>BIdetails!G174</f>
        <v>196653</v>
      </c>
      <c r="B171" t="str">
        <f>BIdetails!H174</f>
        <v>Orange Business Netherlands B.V.</v>
      </c>
      <c r="C171" t="str">
        <f>BIdetails!J174</f>
        <v>5401087923</v>
      </c>
      <c r="D171" t="str">
        <f>BIdetails!K174</f>
        <v>10</v>
      </c>
      <c r="E171" s="158">
        <f>BIdetails!M174</f>
        <v>429</v>
      </c>
      <c r="F171" t="str">
        <f>IF(ISERROR(IF(OR(C171="#",C171=0),"",VLOOKUP(C171,'AOP25'!M:M,1,0))),"Not Found",VLOOKUP(C171,'AOP25'!M:M,1,0))</f>
        <v>Not Found</v>
      </c>
      <c r="G171" t="e">
        <f t="shared" si="2"/>
        <v>#N/A</v>
      </c>
    </row>
    <row r="172" spans="1:7" x14ac:dyDescent="0.25">
      <c r="A172" t="str">
        <f>BIdetails!G175</f>
        <v>196653</v>
      </c>
      <c r="B172" t="str">
        <f>BIdetails!H175</f>
        <v>Orange Business Netherlands B.V.</v>
      </c>
      <c r="C172" t="str">
        <f>BIdetails!J175</f>
        <v>5401087927</v>
      </c>
      <c r="D172" t="str">
        <f>BIdetails!K175</f>
        <v>10</v>
      </c>
      <c r="E172" s="158">
        <f>BIdetails!M175</f>
        <v>2242</v>
      </c>
      <c r="F172" t="str">
        <f>IF(ISERROR(IF(OR(C172="#",C172=0),"",VLOOKUP(C172,'AOP25'!M:M,1,0))),"Not Found",VLOOKUP(C172,'AOP25'!M:M,1,0))</f>
        <v>Not Found</v>
      </c>
      <c r="G172" t="e">
        <f t="shared" si="2"/>
        <v>#N/A</v>
      </c>
    </row>
    <row r="173" spans="1:7" x14ac:dyDescent="0.25">
      <c r="A173" t="str">
        <f>BIdetails!G176</f>
        <v>196653</v>
      </c>
      <c r="B173" t="str">
        <f>BIdetails!H176</f>
        <v>Orange Business Netherlands B.V.</v>
      </c>
      <c r="C173" t="str">
        <f>BIdetails!J176</f>
        <v>5401087927</v>
      </c>
      <c r="D173" t="str">
        <f>BIdetails!K176</f>
        <v>10</v>
      </c>
      <c r="E173" s="158">
        <f>BIdetails!M176</f>
        <v>20</v>
      </c>
      <c r="F173" t="str">
        <f>IF(ISERROR(IF(OR(C173="#",C173=0),"",VLOOKUP(C173,'AOP25'!M:M,1,0))),"Not Found",VLOOKUP(C173,'AOP25'!M:M,1,0))</f>
        <v>Not Found</v>
      </c>
      <c r="G173" t="e">
        <f t="shared" si="2"/>
        <v>#N/A</v>
      </c>
    </row>
    <row r="174" spans="1:7" x14ac:dyDescent="0.25">
      <c r="A174" t="str">
        <f>BIdetails!G177</f>
        <v>196653</v>
      </c>
      <c r="B174" t="str">
        <f>BIdetails!H177</f>
        <v>Orange Business Netherlands B.V.</v>
      </c>
      <c r="C174" t="str">
        <f>BIdetails!J177</f>
        <v>5401087923</v>
      </c>
      <c r="D174" t="str">
        <f>BIdetails!K177</f>
        <v>10</v>
      </c>
      <c r="E174" s="158">
        <f>BIdetails!M177</f>
        <v>456.3</v>
      </c>
      <c r="F174" t="str">
        <f>IF(ISERROR(IF(OR(C174="#",C174=0),"",VLOOKUP(C174,'AOP25'!M:M,1,0))),"Not Found",VLOOKUP(C174,'AOP25'!M:M,1,0))</f>
        <v>Not Found</v>
      </c>
      <c r="G174" t="e">
        <f t="shared" si="2"/>
        <v>#N/A</v>
      </c>
    </row>
    <row r="175" spans="1:7" hidden="1" x14ac:dyDescent="0.25">
      <c r="A175" t="str">
        <f>BIdetails!G178</f>
        <v>196653</v>
      </c>
      <c r="B175" t="str">
        <f>BIdetails!H178</f>
        <v>Orange Business Netherlands B.V.</v>
      </c>
      <c r="C175" t="str">
        <f>BIdetails!J178</f>
        <v>5401098578</v>
      </c>
      <c r="D175" t="str">
        <f>BIdetails!K178</f>
        <v>10</v>
      </c>
      <c r="E175" s="158">
        <f>BIdetails!M178</f>
        <v>33090</v>
      </c>
      <c r="F175" t="str">
        <f>IF(ISERROR(IF(OR(C175="#",C175=0),"",VLOOKUP(C175,'AOP25'!M:M,1,0))),"Not Found",VLOOKUP(C175,'AOP25'!M:M,1,0))</f>
        <v>Not Found</v>
      </c>
      <c r="G175" t="e">
        <f t="shared" si="2"/>
        <v>#N/A</v>
      </c>
    </row>
    <row r="176" spans="1:7" hidden="1" x14ac:dyDescent="0.25">
      <c r="A176" t="str">
        <f>BIdetails!G179</f>
        <v>196653</v>
      </c>
      <c r="B176" t="str">
        <f>BIdetails!H179</f>
        <v>Orange Business Netherlands B.V.</v>
      </c>
      <c r="C176" t="str">
        <f>BIdetails!J179</f>
        <v>5401098578</v>
      </c>
      <c r="D176" t="str">
        <f>BIdetails!K179</f>
        <v>10</v>
      </c>
      <c r="E176" s="158">
        <f>BIdetails!M179</f>
        <v>251</v>
      </c>
      <c r="F176" t="str">
        <f>IF(ISERROR(IF(OR(C176="#",C176=0),"",VLOOKUP(C176,'AOP25'!M:M,1,0))),"Not Found",VLOOKUP(C176,'AOP25'!M:M,1,0))</f>
        <v>Not Found</v>
      </c>
      <c r="G176" t="e">
        <f t="shared" si="2"/>
        <v>#N/A</v>
      </c>
    </row>
    <row r="177" spans="1:7" hidden="1" x14ac:dyDescent="0.25">
      <c r="A177" t="str">
        <f>BIdetails!G180</f>
        <v>196653</v>
      </c>
      <c r="B177" t="str">
        <f>BIdetails!H180</f>
        <v>Orange Business Netherlands B.V.</v>
      </c>
      <c r="C177" t="str">
        <f>BIdetails!J180</f>
        <v>5401087928</v>
      </c>
      <c r="D177" t="str">
        <f>BIdetails!K180</f>
        <v>10</v>
      </c>
      <c r="E177" s="158">
        <f>BIdetails!M180</f>
        <v>1381</v>
      </c>
      <c r="F177" t="str">
        <f>IF(ISERROR(IF(OR(C177="#",C177=0),"",VLOOKUP(C177,'AOP25'!M:M,1,0))),"Not Found",VLOOKUP(C177,'AOP25'!M:M,1,0))</f>
        <v>Not Found</v>
      </c>
      <c r="G177" t="e">
        <f t="shared" si="2"/>
        <v>#N/A</v>
      </c>
    </row>
    <row r="178" spans="1:7" hidden="1" x14ac:dyDescent="0.25">
      <c r="A178" t="str">
        <f>BIdetails!G181</f>
        <v>196653</v>
      </c>
      <c r="B178" t="str">
        <f>BIdetails!H181</f>
        <v>Orange Business Netherlands B.V.</v>
      </c>
      <c r="C178" t="str">
        <f>BIdetails!J181</f>
        <v>5401087928</v>
      </c>
      <c r="D178" t="str">
        <f>BIdetails!K181</f>
        <v>10</v>
      </c>
      <c r="E178" s="158">
        <f>BIdetails!M181</f>
        <v>13</v>
      </c>
      <c r="F178" t="str">
        <f>IF(ISERROR(IF(OR(C178="#",C178=0),"",VLOOKUP(C178,'AOP25'!M:M,1,0))),"Not Found",VLOOKUP(C178,'AOP25'!M:M,1,0))</f>
        <v>Not Found</v>
      </c>
      <c r="G178" t="e">
        <f t="shared" si="2"/>
        <v>#N/A</v>
      </c>
    </row>
    <row r="179" spans="1:7" hidden="1" x14ac:dyDescent="0.25">
      <c r="A179" t="str">
        <f>BIdetails!G182</f>
        <v>196653</v>
      </c>
      <c r="B179" t="str">
        <f>BIdetails!H182</f>
        <v>Orange Business Netherlands B.V.</v>
      </c>
      <c r="C179" t="str">
        <f>BIdetails!J182</f>
        <v>5401087924</v>
      </c>
      <c r="D179" t="str">
        <f>BIdetails!K182</f>
        <v>10</v>
      </c>
      <c r="E179" s="158">
        <f>BIdetails!M182</f>
        <v>42462.01</v>
      </c>
      <c r="F179" t="str">
        <f>IF(ISERROR(IF(OR(C179="#",C179=0),"",VLOOKUP(C179,'AOP25'!M:M,1,0))),"Not Found",VLOOKUP(C179,'AOP25'!M:M,1,0))</f>
        <v>Not Found</v>
      </c>
      <c r="G179" t="e">
        <f t="shared" si="2"/>
        <v>#N/A</v>
      </c>
    </row>
    <row r="180" spans="1:7" hidden="1" x14ac:dyDescent="0.25">
      <c r="A180" t="str">
        <f>BIdetails!G183</f>
        <v>196653</v>
      </c>
      <c r="B180" t="str">
        <f>BIdetails!H183</f>
        <v>Orange Business Netherlands B.V.</v>
      </c>
      <c r="C180" t="str">
        <f>BIdetails!J183</f>
        <v>5401087924</v>
      </c>
      <c r="D180" t="str">
        <f>BIdetails!K183</f>
        <v>10</v>
      </c>
      <c r="E180" s="158">
        <f>BIdetails!M183</f>
        <v>388</v>
      </c>
      <c r="F180" t="str">
        <f>IF(ISERROR(IF(OR(C180="#",C180=0),"",VLOOKUP(C180,'AOP25'!M:M,1,0))),"Not Found",VLOOKUP(C180,'AOP25'!M:M,1,0))</f>
        <v>Not Found</v>
      </c>
      <c r="G180" t="e">
        <f t="shared" si="2"/>
        <v>#N/A</v>
      </c>
    </row>
    <row r="181" spans="1:7" hidden="1" x14ac:dyDescent="0.25">
      <c r="A181" t="str">
        <f>BIdetails!G184</f>
        <v>196653</v>
      </c>
      <c r="B181" t="str">
        <f>BIdetails!H184</f>
        <v>Orange Business Netherlands B.V.</v>
      </c>
      <c r="C181" t="str">
        <f>BIdetails!J184</f>
        <v>5401087924</v>
      </c>
      <c r="D181" t="str">
        <f>BIdetails!K184</f>
        <v>10</v>
      </c>
      <c r="E181" s="158">
        <f>BIdetails!M184</f>
        <v>4580</v>
      </c>
      <c r="F181" t="str">
        <f>IF(ISERROR(IF(OR(C181="#",C181=0),"",VLOOKUP(C181,'AOP25'!M:M,1,0))),"Not Found",VLOOKUP(C181,'AOP25'!M:M,1,0))</f>
        <v>Not Found</v>
      </c>
      <c r="G181" t="e">
        <f t="shared" si="2"/>
        <v>#N/A</v>
      </c>
    </row>
    <row r="182" spans="1:7" hidden="1" x14ac:dyDescent="0.25">
      <c r="A182" t="str">
        <f>BIdetails!G185</f>
        <v>196653</v>
      </c>
      <c r="B182" t="str">
        <f>BIdetails!H185</f>
        <v>Orange Business Netherlands B.V.</v>
      </c>
      <c r="C182" t="str">
        <f>BIdetails!J185</f>
        <v>5401087924</v>
      </c>
      <c r="D182" t="str">
        <f>BIdetails!K185</f>
        <v>10</v>
      </c>
      <c r="E182" s="158">
        <f>BIdetails!M185</f>
        <v>42</v>
      </c>
      <c r="F182" t="str">
        <f>IF(ISERROR(IF(OR(C182="#",C182=0),"",VLOOKUP(C182,'AOP25'!M:M,1,0))),"Not Found",VLOOKUP(C182,'AOP25'!M:M,1,0))</f>
        <v>Not Found</v>
      </c>
      <c r="G182" t="e">
        <f t="shared" si="2"/>
        <v>#N/A</v>
      </c>
    </row>
    <row r="183" spans="1:7" hidden="1" x14ac:dyDescent="0.25">
      <c r="A183" t="str">
        <f>BIdetails!G186</f>
        <v>196653</v>
      </c>
      <c r="B183" t="str">
        <f>BIdetails!H186</f>
        <v>Orange Business Netherlands B.V.</v>
      </c>
      <c r="C183" t="str">
        <f>BIdetails!J186</f>
        <v>5401087928</v>
      </c>
      <c r="D183" t="str">
        <f>BIdetails!K186</f>
        <v>10</v>
      </c>
      <c r="E183" s="158">
        <f>BIdetails!M186</f>
        <v>21178</v>
      </c>
      <c r="F183" t="str">
        <f>IF(ISERROR(IF(OR(C183="#",C183=0),"",VLOOKUP(C183,'AOP25'!M:M,1,0))),"Not Found",VLOOKUP(C183,'AOP25'!M:M,1,0))</f>
        <v>Not Found</v>
      </c>
      <c r="G183" t="e">
        <f t="shared" si="2"/>
        <v>#N/A</v>
      </c>
    </row>
    <row r="184" spans="1:7" hidden="1" x14ac:dyDescent="0.25">
      <c r="A184" t="str">
        <f>BIdetails!G187</f>
        <v>196653</v>
      </c>
      <c r="B184" t="str">
        <f>BIdetails!H187</f>
        <v>Orange Business Netherlands B.V.</v>
      </c>
      <c r="C184" t="str">
        <f>BIdetails!J187</f>
        <v>5401087928</v>
      </c>
      <c r="D184" t="str">
        <f>BIdetails!K187</f>
        <v>10</v>
      </c>
      <c r="E184" s="158">
        <f>BIdetails!M187</f>
        <v>204</v>
      </c>
      <c r="F184" t="str">
        <f>IF(ISERROR(IF(OR(C184="#",C184=0),"",VLOOKUP(C184,'AOP25'!M:M,1,0))),"Not Found",VLOOKUP(C184,'AOP25'!M:M,1,0))</f>
        <v>Not Found</v>
      </c>
      <c r="G184" t="e">
        <f t="shared" si="2"/>
        <v>#N/A</v>
      </c>
    </row>
    <row r="185" spans="1:7" hidden="1" x14ac:dyDescent="0.25">
      <c r="A185" t="str">
        <f>BIdetails!G188</f>
        <v>196653</v>
      </c>
      <c r="B185" t="str">
        <f>BIdetails!H188</f>
        <v>Orange Business Netherlands B.V.</v>
      </c>
      <c r="C185" t="str">
        <f>BIdetails!J188</f>
        <v>5401087922</v>
      </c>
      <c r="D185" t="str">
        <f>BIdetails!K188</f>
        <v>10</v>
      </c>
      <c r="E185" s="158">
        <f>BIdetails!M188</f>
        <v>44617.33</v>
      </c>
      <c r="F185" t="str">
        <f>IF(ISERROR(IF(OR(C185="#",C185=0),"",VLOOKUP(C185,'AOP25'!M:M,1,0))),"Not Found",VLOOKUP(C185,'AOP25'!M:M,1,0))</f>
        <v>Not Found</v>
      </c>
      <c r="G185" t="e">
        <f t="shared" si="2"/>
        <v>#N/A</v>
      </c>
    </row>
    <row r="186" spans="1:7" hidden="1" x14ac:dyDescent="0.25">
      <c r="A186" t="str">
        <f>BIdetails!G189</f>
        <v>196653</v>
      </c>
      <c r="B186" t="str">
        <f>BIdetails!H189</f>
        <v>Orange Business Netherlands B.V.</v>
      </c>
      <c r="C186" t="str">
        <f>BIdetails!J189</f>
        <v>5401087922</v>
      </c>
      <c r="D186" t="str">
        <f>BIdetails!K189</f>
        <v>10</v>
      </c>
      <c r="E186" s="158">
        <f>BIdetails!M189</f>
        <v>431</v>
      </c>
      <c r="F186" t="str">
        <f>IF(ISERROR(IF(OR(C186="#",C186=0),"",VLOOKUP(C186,'AOP25'!M:M,1,0))),"Not Found",VLOOKUP(C186,'AOP25'!M:M,1,0))</f>
        <v>Not Found</v>
      </c>
      <c r="G186" t="e">
        <f t="shared" si="2"/>
        <v>#N/A</v>
      </c>
    </row>
    <row r="187" spans="1:7" hidden="1" x14ac:dyDescent="0.25">
      <c r="A187" t="str">
        <f>BIdetails!G190</f>
        <v>196653</v>
      </c>
      <c r="B187" t="str">
        <f>BIdetails!H190</f>
        <v>Orange Business Netherlands B.V.</v>
      </c>
      <c r="C187" t="str">
        <f>BIdetails!J190</f>
        <v>5401087922</v>
      </c>
      <c r="D187" t="str">
        <f>BIdetails!K190</f>
        <v>10</v>
      </c>
      <c r="E187" s="158">
        <f>BIdetails!M190</f>
        <v>227886.29</v>
      </c>
      <c r="F187" t="str">
        <f>IF(ISERROR(IF(OR(C187="#",C187=0),"",VLOOKUP(C187,'AOP25'!M:M,1,0))),"Not Found",VLOOKUP(C187,'AOP25'!M:M,1,0))</f>
        <v>Not Found</v>
      </c>
      <c r="G187" t="e">
        <f t="shared" si="2"/>
        <v>#N/A</v>
      </c>
    </row>
    <row r="188" spans="1:7" hidden="1" x14ac:dyDescent="0.25">
      <c r="A188" t="str">
        <f>BIdetails!G191</f>
        <v>196653</v>
      </c>
      <c r="B188" t="str">
        <f>BIdetails!H191</f>
        <v>Orange Business Netherlands B.V.</v>
      </c>
      <c r="C188" t="str">
        <f>BIdetails!J191</f>
        <v>5401087922</v>
      </c>
      <c r="D188" t="str">
        <f>BIdetails!K191</f>
        <v>10</v>
      </c>
      <c r="E188" s="158">
        <f>BIdetails!M191</f>
        <v>2066</v>
      </c>
      <c r="F188" t="str">
        <f>IF(ISERROR(IF(OR(C188="#",C188=0),"",VLOOKUP(C188,'AOP25'!M:M,1,0))),"Not Found",VLOOKUP(C188,'AOP25'!M:M,1,0))</f>
        <v>Not Found</v>
      </c>
      <c r="G188" t="e">
        <f t="shared" si="2"/>
        <v>#N/A</v>
      </c>
    </row>
    <row r="189" spans="1:7" hidden="1" x14ac:dyDescent="0.25">
      <c r="A189" t="str">
        <f>BIdetails!G192</f>
        <v>196653</v>
      </c>
      <c r="B189" t="str">
        <f>BIdetails!H192</f>
        <v>Orange Business Netherlands B.V.</v>
      </c>
      <c r="C189" t="str">
        <f>BIdetails!J192</f>
        <v>5401087929</v>
      </c>
      <c r="D189" t="str">
        <f>BIdetails!K192</f>
        <v>10</v>
      </c>
      <c r="E189" s="158">
        <f>BIdetails!M192</f>
        <v>1703.15</v>
      </c>
      <c r="F189" t="str">
        <f>IF(ISERROR(IF(OR(C189="#",C189=0),"",VLOOKUP(C189,'AOP25'!M:M,1,0))),"Not Found",VLOOKUP(C189,'AOP25'!M:M,1,0))</f>
        <v>Not Found</v>
      </c>
      <c r="G189" t="e">
        <f t="shared" si="2"/>
        <v>#N/A</v>
      </c>
    </row>
    <row r="190" spans="1:7" hidden="1" x14ac:dyDescent="0.25">
      <c r="A190" t="str">
        <f>BIdetails!G193</f>
        <v>196653</v>
      </c>
      <c r="B190" t="str">
        <f>BIdetails!H193</f>
        <v>Orange Business Netherlands B.V.</v>
      </c>
      <c r="C190" t="str">
        <f>BIdetails!J193</f>
        <v>5401087929</v>
      </c>
      <c r="D190" t="str">
        <f>BIdetails!K193</f>
        <v>10</v>
      </c>
      <c r="E190" s="158">
        <f>BIdetails!M193</f>
        <v>10</v>
      </c>
      <c r="F190" t="str">
        <f>IF(ISERROR(IF(OR(C190="#",C190=0),"",VLOOKUP(C190,'AOP25'!M:M,1,0))),"Not Found",VLOOKUP(C190,'AOP25'!M:M,1,0))</f>
        <v>Not Found</v>
      </c>
      <c r="G190" t="e">
        <f t="shared" si="2"/>
        <v>#N/A</v>
      </c>
    </row>
    <row r="191" spans="1:7" hidden="1" x14ac:dyDescent="0.25">
      <c r="A191" t="str">
        <f>BIdetails!G194</f>
        <v>196653</v>
      </c>
      <c r="B191" t="str">
        <f>BIdetails!H194</f>
        <v>Orange Business Netherlands B.V.</v>
      </c>
      <c r="C191" t="str">
        <f>BIdetails!J194</f>
        <v>5401087925</v>
      </c>
      <c r="D191" t="str">
        <f>BIdetails!K194</f>
        <v>10</v>
      </c>
      <c r="E191" s="158">
        <f>BIdetails!M194</f>
        <v>2862.97</v>
      </c>
      <c r="F191" t="str">
        <f>IF(ISERROR(IF(OR(C191="#",C191=0),"",VLOOKUP(C191,'AOP25'!M:M,1,0))),"Not Found",VLOOKUP(C191,'AOP25'!M:M,1,0))</f>
        <v>Not Found</v>
      </c>
      <c r="G191" t="e">
        <f t="shared" si="2"/>
        <v>#N/A</v>
      </c>
    </row>
    <row r="192" spans="1:7" hidden="1" x14ac:dyDescent="0.25">
      <c r="A192" t="str">
        <f>BIdetails!G195</f>
        <v>196653</v>
      </c>
      <c r="B192" t="str">
        <f>BIdetails!H195</f>
        <v>Orange Business Netherlands B.V.</v>
      </c>
      <c r="C192" t="str">
        <f>BIdetails!J195</f>
        <v>5401087922</v>
      </c>
      <c r="D192" t="str">
        <f>BIdetails!K195</f>
        <v>10</v>
      </c>
      <c r="E192" s="158">
        <f>BIdetails!M195</f>
        <v>227515.97</v>
      </c>
      <c r="F192" t="str">
        <f>IF(ISERROR(IF(OR(C192="#",C192=0),"",VLOOKUP(C192,'AOP25'!M:M,1,0))),"Not Found",VLOOKUP(C192,'AOP25'!M:M,1,0))</f>
        <v>Not Found</v>
      </c>
      <c r="G192" t="e">
        <f t="shared" si="2"/>
        <v>#N/A</v>
      </c>
    </row>
    <row r="193" spans="1:7" x14ac:dyDescent="0.25">
      <c r="A193" t="str">
        <f>BIdetails!G196</f>
        <v>196653</v>
      </c>
      <c r="B193" t="str">
        <f>BIdetails!H196</f>
        <v>Orange Business Netherlands B.V.</v>
      </c>
      <c r="C193" t="str">
        <f>BIdetails!J196</f>
        <v>5401087922</v>
      </c>
      <c r="D193" t="str">
        <f>BIdetails!K196</f>
        <v>10</v>
      </c>
      <c r="E193" s="158">
        <f>BIdetails!M196</f>
        <v>49264.97</v>
      </c>
      <c r="F193" t="str">
        <f>IF(ISERROR(IF(OR(C193="#",C193=0),"",VLOOKUP(C193,'AOP25'!M:M,1,0))),"Not Found",VLOOKUP(C193,'AOP25'!M:M,1,0))</f>
        <v>Not Found</v>
      </c>
      <c r="G193" t="e">
        <f t="shared" si="2"/>
        <v>#N/A</v>
      </c>
    </row>
    <row r="194" spans="1:7" x14ac:dyDescent="0.25">
      <c r="A194" t="str">
        <f>BIdetails!G197</f>
        <v>196653</v>
      </c>
      <c r="B194" t="str">
        <f>BIdetails!H197</f>
        <v>Orange Business Netherlands B.V.</v>
      </c>
      <c r="C194" t="str">
        <f>BIdetails!J197</f>
        <v>5401087922</v>
      </c>
      <c r="D194" t="str">
        <f>BIdetails!K197</f>
        <v>10</v>
      </c>
      <c r="E194" s="158">
        <f>BIdetails!M197</f>
        <v>2462</v>
      </c>
      <c r="F194" t="str">
        <f>IF(ISERROR(IF(OR(C194="#",C194=0),"",VLOOKUP(C194,'AOP25'!M:M,1,0))),"Not Found",VLOOKUP(C194,'AOP25'!M:M,1,0))</f>
        <v>Not Found</v>
      </c>
      <c r="G194" t="e">
        <f t="shared" si="2"/>
        <v>#N/A</v>
      </c>
    </row>
    <row r="195" spans="1:7" x14ac:dyDescent="0.25">
      <c r="A195" t="str">
        <f>BIdetails!G198</f>
        <v>196653</v>
      </c>
      <c r="B195" t="str">
        <f>BIdetails!H198</f>
        <v>Orange Business Netherlands B.V.</v>
      </c>
      <c r="C195" t="str">
        <f>BIdetails!J198</f>
        <v>5401087923</v>
      </c>
      <c r="D195" t="str">
        <f>BIdetails!K198</f>
        <v>10</v>
      </c>
      <c r="E195" s="158">
        <f>BIdetails!M198</f>
        <v>44906.52</v>
      </c>
      <c r="F195" t="str">
        <f>IF(ISERROR(IF(OR(C195="#",C195=0),"",VLOOKUP(C195,'AOP25'!M:M,1,0))),"Not Found",VLOOKUP(C195,'AOP25'!M:M,1,0))</f>
        <v>Not Found</v>
      </c>
      <c r="G195" t="e">
        <f t="shared" ref="G195:G258" si="3">IF(NOT(ISERROR(VLOOKUP(C195,$K$2:$K$50,1,0))),"Y",VLOOKUP(C195,$K$2:$K$50,1,0))</f>
        <v>#N/A</v>
      </c>
    </row>
    <row r="196" spans="1:7" x14ac:dyDescent="0.25">
      <c r="A196" t="str">
        <f>BIdetails!G199</f>
        <v>196653</v>
      </c>
      <c r="B196" t="str">
        <f>BIdetails!H199</f>
        <v>Orange Business Netherlands B.V.</v>
      </c>
      <c r="C196" t="str">
        <f>BIdetails!J199</f>
        <v>5401087923</v>
      </c>
      <c r="D196" t="str">
        <f>BIdetails!K199</f>
        <v>10</v>
      </c>
      <c r="E196" s="158">
        <f>BIdetails!M199</f>
        <v>456.3</v>
      </c>
      <c r="F196" t="str">
        <f>IF(ISERROR(IF(OR(C196="#",C196=0),"",VLOOKUP(C196,'AOP25'!M:M,1,0))),"Not Found",VLOOKUP(C196,'AOP25'!M:M,1,0))</f>
        <v>Not Found</v>
      </c>
      <c r="G196" t="e">
        <f t="shared" si="3"/>
        <v>#N/A</v>
      </c>
    </row>
    <row r="197" spans="1:7" x14ac:dyDescent="0.25">
      <c r="A197" t="str">
        <f>BIdetails!G200</f>
        <v>196653</v>
      </c>
      <c r="B197" t="str">
        <f>BIdetails!H200</f>
        <v>Orange Business Netherlands B.V.</v>
      </c>
      <c r="C197" t="str">
        <f>BIdetails!J200</f>
        <v>5401087924</v>
      </c>
      <c r="D197" t="str">
        <f>BIdetails!K200</f>
        <v>10</v>
      </c>
      <c r="E197" s="158">
        <f>BIdetails!M200</f>
        <v>8437</v>
      </c>
      <c r="F197" t="str">
        <f>IF(ISERROR(IF(OR(C197="#",C197=0),"",VLOOKUP(C197,'AOP25'!M:M,1,0))),"Not Found",VLOOKUP(C197,'AOP25'!M:M,1,0))</f>
        <v>Not Found</v>
      </c>
      <c r="G197" t="e">
        <f t="shared" si="3"/>
        <v>#N/A</v>
      </c>
    </row>
    <row r="198" spans="1:7" x14ac:dyDescent="0.25">
      <c r="A198" t="str">
        <f>BIdetails!G201</f>
        <v>196653</v>
      </c>
      <c r="B198" t="str">
        <f>BIdetails!H201</f>
        <v>Orange Business Netherlands B.V.</v>
      </c>
      <c r="C198" t="str">
        <f>BIdetails!J201</f>
        <v>5401087924</v>
      </c>
      <c r="D198" t="str">
        <f>BIdetails!K201</f>
        <v>10</v>
      </c>
      <c r="E198" s="158">
        <f>BIdetails!M201</f>
        <v>4580</v>
      </c>
      <c r="F198" t="str">
        <f>IF(ISERROR(IF(OR(C198="#",C198=0),"",VLOOKUP(C198,'AOP25'!M:M,1,0))),"Not Found",VLOOKUP(C198,'AOP25'!M:M,1,0))</f>
        <v>Not Found</v>
      </c>
      <c r="G198" t="e">
        <f t="shared" si="3"/>
        <v>#N/A</v>
      </c>
    </row>
    <row r="199" spans="1:7" x14ac:dyDescent="0.25">
      <c r="A199" t="str">
        <f>BIdetails!G202</f>
        <v>196653</v>
      </c>
      <c r="B199" t="str">
        <f>BIdetails!H202</f>
        <v>Orange Business Netherlands B.V.</v>
      </c>
      <c r="C199" t="str">
        <f>BIdetails!J202</f>
        <v>5401087924</v>
      </c>
      <c r="D199" t="str">
        <f>BIdetails!K202</f>
        <v>10</v>
      </c>
      <c r="E199" s="158">
        <f>BIdetails!M202</f>
        <v>42462.01</v>
      </c>
      <c r="F199" t="str">
        <f>IF(ISERROR(IF(OR(C199="#",C199=0),"",VLOOKUP(C199,'AOP25'!M:M,1,0))),"Not Found",VLOOKUP(C199,'AOP25'!M:M,1,0))</f>
        <v>Not Found</v>
      </c>
      <c r="G199" t="e">
        <f t="shared" si="3"/>
        <v>#N/A</v>
      </c>
    </row>
    <row r="200" spans="1:7" x14ac:dyDescent="0.25">
      <c r="A200" t="str">
        <f>BIdetails!G203</f>
        <v>196653</v>
      </c>
      <c r="B200" t="str">
        <f>BIdetails!H203</f>
        <v>Orange Business Netherlands B.V.</v>
      </c>
      <c r="C200" t="str">
        <f>BIdetails!J203</f>
        <v>5401098578</v>
      </c>
      <c r="D200" t="str">
        <f>BIdetails!K203</f>
        <v>10</v>
      </c>
      <c r="E200" s="158">
        <f>BIdetails!M203</f>
        <v>27404</v>
      </c>
      <c r="F200" t="str">
        <f>IF(ISERROR(IF(OR(C200="#",C200=0),"",VLOOKUP(C200,'AOP25'!M:M,1,0))),"Not Found",VLOOKUP(C200,'AOP25'!M:M,1,0))</f>
        <v>Not Found</v>
      </c>
      <c r="G200" t="e">
        <f t="shared" si="3"/>
        <v>#N/A</v>
      </c>
    </row>
    <row r="201" spans="1:7" hidden="1" x14ac:dyDescent="0.25">
      <c r="A201" t="str">
        <f>BIdetails!G204</f>
        <v>196653</v>
      </c>
      <c r="B201" t="str">
        <f>BIdetails!H204</f>
        <v>Orange Business Netherlands B.V.</v>
      </c>
      <c r="C201" t="str">
        <f>BIdetails!J204</f>
        <v>5401087927</v>
      </c>
      <c r="D201" t="str">
        <f>BIdetails!K204</f>
        <v>10</v>
      </c>
      <c r="E201" s="158">
        <f>BIdetails!M204</f>
        <v>2242</v>
      </c>
      <c r="F201" t="str">
        <f>IF(ISERROR(IF(OR(C201="#",C201=0),"",VLOOKUP(C201,'AOP25'!M:M,1,0))),"Not Found",VLOOKUP(C201,'AOP25'!M:M,1,0))</f>
        <v>Not Found</v>
      </c>
      <c r="G201" t="e">
        <f t="shared" si="3"/>
        <v>#N/A</v>
      </c>
    </row>
    <row r="202" spans="1:7" x14ac:dyDescent="0.25">
      <c r="A202" t="str">
        <f>BIdetails!G205</f>
        <v>196653</v>
      </c>
      <c r="B202" t="str">
        <f>BIdetails!H205</f>
        <v>Orange Business Netherlands B.V.</v>
      </c>
      <c r="C202" t="str">
        <f>BIdetails!J205</f>
        <v>5401087928</v>
      </c>
      <c r="D202" t="str">
        <f>BIdetails!K205</f>
        <v>10</v>
      </c>
      <c r="E202" s="158">
        <f>BIdetails!M205</f>
        <v>21178</v>
      </c>
      <c r="F202" t="str">
        <f>IF(ISERROR(IF(OR(C202="#",C202=0),"",VLOOKUP(C202,'AOP25'!M:M,1,0))),"Not Found",VLOOKUP(C202,'AOP25'!M:M,1,0))</f>
        <v>Not Found</v>
      </c>
      <c r="G202" t="e">
        <f t="shared" si="3"/>
        <v>#N/A</v>
      </c>
    </row>
    <row r="203" spans="1:7" x14ac:dyDescent="0.25">
      <c r="A203" t="str">
        <f>BIdetails!G206</f>
        <v>196653</v>
      </c>
      <c r="B203" t="str">
        <f>BIdetails!H206</f>
        <v>Orange Business Netherlands B.V.</v>
      </c>
      <c r="C203" t="str">
        <f>BIdetails!J206</f>
        <v>5401087928</v>
      </c>
      <c r="D203" t="str">
        <f>BIdetails!K206</f>
        <v>10</v>
      </c>
      <c r="E203" s="158">
        <f>BIdetails!M206</f>
        <v>1381</v>
      </c>
      <c r="F203" t="str">
        <f>IF(ISERROR(IF(OR(C203="#",C203=0),"",VLOOKUP(C203,'AOP25'!M:M,1,0))),"Not Found",VLOOKUP(C203,'AOP25'!M:M,1,0))</f>
        <v>Not Found</v>
      </c>
      <c r="G203" t="e">
        <f t="shared" si="3"/>
        <v>#N/A</v>
      </c>
    </row>
    <row r="204" spans="1:7" hidden="1" x14ac:dyDescent="0.25">
      <c r="A204" t="str">
        <f>BIdetails!G207</f>
        <v>196653</v>
      </c>
      <c r="B204" t="str">
        <f>BIdetails!H207</f>
        <v>Orange Business Netherlands B.V.</v>
      </c>
      <c r="C204" t="str">
        <f>BIdetails!J207</f>
        <v>5401087929</v>
      </c>
      <c r="D204" t="str">
        <f>BIdetails!K207</f>
        <v>10</v>
      </c>
      <c r="E204" s="158">
        <f>BIdetails!M207</f>
        <v>1703.15</v>
      </c>
      <c r="F204" t="str">
        <f>IF(ISERROR(IF(OR(C204="#",C204=0),"",VLOOKUP(C204,'AOP25'!M:M,1,0))),"Not Found",VLOOKUP(C204,'AOP25'!M:M,1,0))</f>
        <v>Not Found</v>
      </c>
      <c r="G204" t="e">
        <f t="shared" si="3"/>
        <v>#N/A</v>
      </c>
    </row>
    <row r="205" spans="1:7" hidden="1" x14ac:dyDescent="0.25">
      <c r="A205" t="str">
        <f>BIdetails!G208</f>
        <v>196653</v>
      </c>
      <c r="B205" t="str">
        <f>BIdetails!H208</f>
        <v>Orange Business Netherlands B.V.</v>
      </c>
      <c r="C205" t="str">
        <f>BIdetails!J208</f>
        <v>5401087922</v>
      </c>
      <c r="D205" t="str">
        <f>BIdetails!K208</f>
        <v>10</v>
      </c>
      <c r="E205" s="158">
        <f>BIdetails!M208</f>
        <v>227820.72</v>
      </c>
      <c r="F205" t="str">
        <f>IF(ISERROR(IF(OR(C205="#",C205=0),"",VLOOKUP(C205,'AOP25'!M:M,1,0))),"Not Found",VLOOKUP(C205,'AOP25'!M:M,1,0))</f>
        <v>Not Found</v>
      </c>
      <c r="G205" t="e">
        <f t="shared" si="3"/>
        <v>#N/A</v>
      </c>
    </row>
    <row r="206" spans="1:7" hidden="1" x14ac:dyDescent="0.25">
      <c r="A206" t="str">
        <f>BIdetails!G209</f>
        <v>196653</v>
      </c>
      <c r="B206" t="str">
        <f>BIdetails!H209</f>
        <v>Orange Business Netherlands B.V.</v>
      </c>
      <c r="C206" t="str">
        <f>BIdetails!J209</f>
        <v>5401087922</v>
      </c>
      <c r="D206" t="str">
        <f>BIdetails!K209</f>
        <v>10</v>
      </c>
      <c r="E206" s="158">
        <f>BIdetails!M209</f>
        <v>43171.97</v>
      </c>
      <c r="F206" t="str">
        <f>IF(ISERROR(IF(OR(C206="#",C206=0),"",VLOOKUP(C206,'AOP25'!M:M,1,0))),"Not Found",VLOOKUP(C206,'AOP25'!M:M,1,0))</f>
        <v>Not Found</v>
      </c>
      <c r="G206" t="e">
        <f t="shared" si="3"/>
        <v>#N/A</v>
      </c>
    </row>
    <row r="207" spans="1:7" hidden="1" x14ac:dyDescent="0.25">
      <c r="A207" t="str">
        <f>BIdetails!G210</f>
        <v>196653</v>
      </c>
      <c r="B207" t="str">
        <f>BIdetails!H210</f>
        <v>Orange Business Netherlands B.V.</v>
      </c>
      <c r="C207" t="str">
        <f>BIdetails!J210</f>
        <v>5401087922</v>
      </c>
      <c r="D207" t="str">
        <f>BIdetails!K210</f>
        <v>10</v>
      </c>
      <c r="E207" s="158">
        <f>BIdetails!M210</f>
        <v>2462</v>
      </c>
      <c r="F207" t="str">
        <f>IF(ISERROR(IF(OR(C207="#",C207=0),"",VLOOKUP(C207,'AOP25'!M:M,1,0))),"Not Found",VLOOKUP(C207,'AOP25'!M:M,1,0))</f>
        <v>Not Found</v>
      </c>
      <c r="G207" t="e">
        <f t="shared" si="3"/>
        <v>#N/A</v>
      </c>
    </row>
    <row r="208" spans="1:7" hidden="1" x14ac:dyDescent="0.25">
      <c r="A208" t="str">
        <f>BIdetails!G211</f>
        <v>196653</v>
      </c>
      <c r="B208" t="str">
        <f>BIdetails!H211</f>
        <v>Orange Business Netherlands B.V.</v>
      </c>
      <c r="C208" t="str">
        <f>BIdetails!J211</f>
        <v>5401087923</v>
      </c>
      <c r="D208" t="str">
        <f>BIdetails!K211</f>
        <v>10</v>
      </c>
      <c r="E208" s="158">
        <f>BIdetails!M211</f>
        <v>44508.52</v>
      </c>
      <c r="F208" t="str">
        <f>IF(ISERROR(IF(OR(C208="#",C208=0),"",VLOOKUP(C208,'AOP25'!M:M,1,0))),"Not Found",VLOOKUP(C208,'AOP25'!M:M,1,0))</f>
        <v>Not Found</v>
      </c>
      <c r="G208" t="e">
        <f t="shared" si="3"/>
        <v>#N/A</v>
      </c>
    </row>
    <row r="209" spans="1:7" hidden="1" x14ac:dyDescent="0.25">
      <c r="A209" t="str">
        <f>BIdetails!G212</f>
        <v>196653</v>
      </c>
      <c r="B209" t="str">
        <f>BIdetails!H212</f>
        <v>Orange Business Netherlands B.V.</v>
      </c>
      <c r="C209" t="str">
        <f>BIdetails!J212</f>
        <v>5401087923</v>
      </c>
      <c r="D209" t="str">
        <f>BIdetails!K212</f>
        <v>10</v>
      </c>
      <c r="E209" s="158">
        <f>BIdetails!M212</f>
        <v>456.3</v>
      </c>
      <c r="F209" t="str">
        <f>IF(ISERROR(IF(OR(C209="#",C209=0),"",VLOOKUP(C209,'AOP25'!M:M,1,0))),"Not Found",VLOOKUP(C209,'AOP25'!M:M,1,0))</f>
        <v>Not Found</v>
      </c>
      <c r="G209" t="e">
        <f t="shared" si="3"/>
        <v>#N/A</v>
      </c>
    </row>
    <row r="210" spans="1:7" hidden="1" x14ac:dyDescent="0.25">
      <c r="A210" t="str">
        <f>BIdetails!G213</f>
        <v>196653</v>
      </c>
      <c r="B210" t="str">
        <f>BIdetails!H213</f>
        <v>Orange Business Netherlands B.V.</v>
      </c>
      <c r="C210" t="str">
        <f>BIdetails!J213</f>
        <v>5401087924</v>
      </c>
      <c r="D210" t="str">
        <f>BIdetails!K213</f>
        <v>10</v>
      </c>
      <c r="E210" s="158">
        <f>BIdetails!M213</f>
        <v>8437</v>
      </c>
      <c r="F210" t="str">
        <f>IF(ISERROR(IF(OR(C210="#",C210=0),"",VLOOKUP(C210,'AOP25'!M:M,1,0))),"Not Found",VLOOKUP(C210,'AOP25'!M:M,1,0))</f>
        <v>Not Found</v>
      </c>
      <c r="G210" t="e">
        <f t="shared" si="3"/>
        <v>#N/A</v>
      </c>
    </row>
    <row r="211" spans="1:7" hidden="1" x14ac:dyDescent="0.25">
      <c r="A211" t="str">
        <f>BIdetails!G214</f>
        <v>196653</v>
      </c>
      <c r="B211" t="str">
        <f>BIdetails!H214</f>
        <v>Orange Business Netherlands B.V.</v>
      </c>
      <c r="C211" t="str">
        <f>BIdetails!J214</f>
        <v>5401087924</v>
      </c>
      <c r="D211" t="str">
        <f>BIdetails!K214</f>
        <v>10</v>
      </c>
      <c r="E211" s="158">
        <f>BIdetails!M214</f>
        <v>4580</v>
      </c>
      <c r="F211" t="str">
        <f>IF(ISERROR(IF(OR(C211="#",C211=0),"",VLOOKUP(C211,'AOP25'!M:M,1,0))),"Not Found",VLOOKUP(C211,'AOP25'!M:M,1,0))</f>
        <v>Not Found</v>
      </c>
      <c r="G211" t="e">
        <f t="shared" si="3"/>
        <v>#N/A</v>
      </c>
    </row>
    <row r="212" spans="1:7" hidden="1" x14ac:dyDescent="0.25">
      <c r="A212" t="str">
        <f>BIdetails!G215</f>
        <v>196653</v>
      </c>
      <c r="B212" t="str">
        <f>BIdetails!H215</f>
        <v>Orange Business Netherlands B.V.</v>
      </c>
      <c r="C212" t="str">
        <f>BIdetails!J215</f>
        <v>5401087924</v>
      </c>
      <c r="D212" t="str">
        <f>BIdetails!K215</f>
        <v>10</v>
      </c>
      <c r="E212" s="158">
        <f>BIdetails!M215</f>
        <v>42462.01</v>
      </c>
      <c r="F212" t="str">
        <f>IF(ISERROR(IF(OR(C212="#",C212=0),"",VLOOKUP(C212,'AOP25'!M:M,1,0))),"Not Found",VLOOKUP(C212,'AOP25'!M:M,1,0))</f>
        <v>Not Found</v>
      </c>
      <c r="G212" t="e">
        <f t="shared" si="3"/>
        <v>#N/A</v>
      </c>
    </row>
    <row r="213" spans="1:7" hidden="1" x14ac:dyDescent="0.25">
      <c r="A213" t="str">
        <f>BIdetails!G216</f>
        <v>196653</v>
      </c>
      <c r="B213" t="str">
        <f>BIdetails!H216</f>
        <v>Orange Business Netherlands B.V.</v>
      </c>
      <c r="C213" t="str">
        <f>BIdetails!J216</f>
        <v>5401098578</v>
      </c>
      <c r="D213" t="str">
        <f>BIdetails!K216</f>
        <v>10</v>
      </c>
      <c r="E213" s="158">
        <f>BIdetails!M216</f>
        <v>27404</v>
      </c>
      <c r="F213" t="str">
        <f>IF(ISERROR(IF(OR(C213="#",C213=0),"",VLOOKUP(C213,'AOP25'!M:M,1,0))),"Not Found",VLOOKUP(C213,'AOP25'!M:M,1,0))</f>
        <v>Not Found</v>
      </c>
      <c r="G213" t="e">
        <f t="shared" si="3"/>
        <v>#N/A</v>
      </c>
    </row>
    <row r="214" spans="1:7" hidden="1" x14ac:dyDescent="0.25">
      <c r="A214" t="str">
        <f>BIdetails!G217</f>
        <v>196653</v>
      </c>
      <c r="B214" t="str">
        <f>BIdetails!H217</f>
        <v>Orange Business Netherlands B.V.</v>
      </c>
      <c r="C214" t="str">
        <f>BIdetails!J217</f>
        <v>5401087927</v>
      </c>
      <c r="D214" t="str">
        <f>BIdetails!K217</f>
        <v>10</v>
      </c>
      <c r="E214" s="158">
        <f>BIdetails!M217</f>
        <v>2242</v>
      </c>
      <c r="F214" t="str">
        <f>IF(ISERROR(IF(OR(C214="#",C214=0),"",VLOOKUP(C214,'AOP25'!M:M,1,0))),"Not Found",VLOOKUP(C214,'AOP25'!M:M,1,0))</f>
        <v>Not Found</v>
      </c>
      <c r="G214" t="e">
        <f t="shared" si="3"/>
        <v>#N/A</v>
      </c>
    </row>
    <row r="215" spans="1:7" hidden="1" x14ac:dyDescent="0.25">
      <c r="A215" t="str">
        <f>BIdetails!G218</f>
        <v>196653</v>
      </c>
      <c r="B215" t="str">
        <f>BIdetails!H218</f>
        <v>Orange Business Netherlands B.V.</v>
      </c>
      <c r="C215" t="str">
        <f>BIdetails!J218</f>
        <v>5401087928</v>
      </c>
      <c r="D215" t="str">
        <f>BIdetails!K218</f>
        <v>10</v>
      </c>
      <c r="E215" s="158">
        <f>BIdetails!M218</f>
        <v>21178</v>
      </c>
      <c r="F215" t="str">
        <f>IF(ISERROR(IF(OR(C215="#",C215=0),"",VLOOKUP(C215,'AOP25'!M:M,1,0))),"Not Found",VLOOKUP(C215,'AOP25'!M:M,1,0))</f>
        <v>Not Found</v>
      </c>
      <c r="G215" t="e">
        <f t="shared" si="3"/>
        <v>#N/A</v>
      </c>
    </row>
    <row r="216" spans="1:7" hidden="1" x14ac:dyDescent="0.25">
      <c r="A216" t="str">
        <f>BIdetails!G219</f>
        <v>196653</v>
      </c>
      <c r="B216" t="str">
        <f>BIdetails!H219</f>
        <v>Orange Business Netherlands B.V.</v>
      </c>
      <c r="C216" t="str">
        <f>BIdetails!J219</f>
        <v>5401087928</v>
      </c>
      <c r="D216" t="str">
        <f>BIdetails!K219</f>
        <v>10</v>
      </c>
      <c r="E216" s="158">
        <f>BIdetails!M219</f>
        <v>1381</v>
      </c>
      <c r="F216" t="str">
        <f>IF(ISERROR(IF(OR(C216="#",C216=0),"",VLOOKUP(C216,'AOP25'!M:M,1,0))),"Not Found",VLOOKUP(C216,'AOP25'!M:M,1,0))</f>
        <v>Not Found</v>
      </c>
      <c r="G216" t="e">
        <f t="shared" si="3"/>
        <v>#N/A</v>
      </c>
    </row>
    <row r="217" spans="1:7" hidden="1" x14ac:dyDescent="0.25">
      <c r="A217" t="str">
        <f>BIdetails!G220</f>
        <v>196653</v>
      </c>
      <c r="B217" t="str">
        <f>BIdetails!H220</f>
        <v>Orange Business Netherlands B.V.</v>
      </c>
      <c r="C217" t="str">
        <f>BIdetails!J220</f>
        <v>5401087929</v>
      </c>
      <c r="D217" t="str">
        <f>BIdetails!K220</f>
        <v>10</v>
      </c>
      <c r="E217" s="158">
        <f>BIdetails!M220</f>
        <v>1703.15</v>
      </c>
      <c r="F217" t="str">
        <f>IF(ISERROR(IF(OR(C217="#",C217=0),"",VLOOKUP(C217,'AOP25'!M:M,1,0))),"Not Found",VLOOKUP(C217,'AOP25'!M:M,1,0))</f>
        <v>Not Found</v>
      </c>
      <c r="G217" t="e">
        <f t="shared" si="3"/>
        <v>#N/A</v>
      </c>
    </row>
    <row r="218" spans="1:7" x14ac:dyDescent="0.25">
      <c r="A218" t="str">
        <f>BIdetails!G221</f>
        <v>196653</v>
      </c>
      <c r="B218" t="str">
        <f>BIdetails!H221</f>
        <v>Orange Business Netherlands B.V.</v>
      </c>
      <c r="C218" t="str">
        <f>BIdetails!J221</f>
        <v>5401087925</v>
      </c>
      <c r="D218" t="str">
        <f>BIdetails!K221</f>
        <v>10</v>
      </c>
      <c r="E218" s="158">
        <f>BIdetails!M221</f>
        <v>462.5</v>
      </c>
      <c r="F218" t="str">
        <f>IF(ISERROR(IF(OR(C218="#",C218=0),"",VLOOKUP(C218,'AOP25'!M:M,1,0))),"Not Found",VLOOKUP(C218,'AOP25'!M:M,1,0))</f>
        <v>Not Found</v>
      </c>
      <c r="G218" t="e">
        <f t="shared" si="3"/>
        <v>#N/A</v>
      </c>
    </row>
    <row r="219" spans="1:7" x14ac:dyDescent="0.25">
      <c r="A219" t="str">
        <f>BIdetails!G222</f>
        <v>196653</v>
      </c>
      <c r="B219" t="str">
        <f>BIdetails!H222</f>
        <v>Orange Business Netherlands B.V.</v>
      </c>
      <c r="C219" t="str">
        <f>BIdetails!J222</f>
        <v>5401087925</v>
      </c>
      <c r="D219" t="str">
        <f>BIdetails!K222</f>
        <v>10</v>
      </c>
      <c r="E219" s="158">
        <f>BIdetails!M222</f>
        <v>1583.82</v>
      </c>
      <c r="F219" t="str">
        <f>IF(ISERROR(IF(OR(C219="#",C219=0),"",VLOOKUP(C219,'AOP25'!M:M,1,0))),"Not Found",VLOOKUP(C219,'AOP25'!M:M,1,0))</f>
        <v>Not Found</v>
      </c>
      <c r="G219" t="e">
        <f t="shared" si="3"/>
        <v>#N/A</v>
      </c>
    </row>
    <row r="220" spans="1:7" x14ac:dyDescent="0.25">
      <c r="A220" t="str">
        <f>BIdetails!G223</f>
        <v>196653</v>
      </c>
      <c r="B220" t="str">
        <f>BIdetails!H223</f>
        <v>Orange Business Netherlands B.V.</v>
      </c>
      <c r="C220" t="str">
        <f>BIdetails!J223</f>
        <v>5401087923</v>
      </c>
      <c r="D220" t="str">
        <f>BIdetails!K223</f>
        <v>10</v>
      </c>
      <c r="E220" s="158">
        <f>BIdetails!M223</f>
        <v>-44508.52</v>
      </c>
      <c r="F220" t="str">
        <f>IF(ISERROR(IF(OR(C220="#",C220=0),"",VLOOKUP(C220,'AOP25'!M:M,1,0))),"Not Found",VLOOKUP(C220,'AOP25'!M:M,1,0))</f>
        <v>Not Found</v>
      </c>
      <c r="G220" t="e">
        <f t="shared" si="3"/>
        <v>#N/A</v>
      </c>
    </row>
    <row r="221" spans="1:7" x14ac:dyDescent="0.25">
      <c r="A221" t="str">
        <f>BIdetails!G224</f>
        <v>196653</v>
      </c>
      <c r="B221" t="str">
        <f>BIdetails!H224</f>
        <v>Orange Business Netherlands B.V.</v>
      </c>
      <c r="C221" t="str">
        <f>BIdetails!J224</f>
        <v>5401087923</v>
      </c>
      <c r="D221" t="str">
        <f>BIdetails!K224</f>
        <v>10</v>
      </c>
      <c r="E221" s="158">
        <f>BIdetails!M224</f>
        <v>44580.52</v>
      </c>
      <c r="F221" t="str">
        <f>IF(ISERROR(IF(OR(C221="#",C221=0),"",VLOOKUP(C221,'AOP25'!M:M,1,0))),"Not Found",VLOOKUP(C221,'AOP25'!M:M,1,0))</f>
        <v>Not Found</v>
      </c>
      <c r="G221" t="e">
        <f t="shared" si="3"/>
        <v>#N/A</v>
      </c>
    </row>
    <row r="222" spans="1:7" x14ac:dyDescent="0.25">
      <c r="A222" t="str">
        <f>BIdetails!G225</f>
        <v>196653</v>
      </c>
      <c r="B222" t="str">
        <f>BIdetails!H225</f>
        <v>Orange Business Netherlands B.V.</v>
      </c>
      <c r="C222" t="str">
        <f>BIdetails!J225</f>
        <v>5401087922</v>
      </c>
      <c r="D222" t="str">
        <f>BIdetails!K225</f>
        <v>10</v>
      </c>
      <c r="E222" s="158">
        <f>BIdetails!M225</f>
        <v>232228.48000000001</v>
      </c>
      <c r="F222" t="str">
        <f>IF(ISERROR(IF(OR(C222="#",C222=0),"",VLOOKUP(C222,'AOP25'!M:M,1,0))),"Not Found",VLOOKUP(C222,'AOP25'!M:M,1,0))</f>
        <v>Not Found</v>
      </c>
      <c r="G222" t="e">
        <f t="shared" si="3"/>
        <v>#N/A</v>
      </c>
    </row>
    <row r="223" spans="1:7" x14ac:dyDescent="0.25">
      <c r="A223" t="str">
        <f>BIdetails!G226</f>
        <v>196653</v>
      </c>
      <c r="B223" t="str">
        <f>BIdetails!H226</f>
        <v>Orange Business Netherlands B.V.</v>
      </c>
      <c r="C223" t="str">
        <f>BIdetails!J226</f>
        <v>5401087922</v>
      </c>
      <c r="D223" t="str">
        <f>BIdetails!K226</f>
        <v>10</v>
      </c>
      <c r="E223" s="158">
        <f>BIdetails!M226</f>
        <v>48070</v>
      </c>
      <c r="F223" t="str">
        <f>IF(ISERROR(IF(OR(C223="#",C223=0),"",VLOOKUP(C223,'AOP25'!M:M,1,0))),"Not Found",VLOOKUP(C223,'AOP25'!M:M,1,0))</f>
        <v>Not Found</v>
      </c>
      <c r="G223" t="e">
        <f t="shared" si="3"/>
        <v>#N/A</v>
      </c>
    </row>
    <row r="224" spans="1:7" x14ac:dyDescent="0.25">
      <c r="A224" t="str">
        <f>BIdetails!G227</f>
        <v>196653</v>
      </c>
      <c r="B224" t="str">
        <f>BIdetails!H227</f>
        <v>Orange Business Netherlands B.V.</v>
      </c>
      <c r="C224" t="str">
        <f>BIdetails!J227</f>
        <v>5401087922</v>
      </c>
      <c r="D224" t="str">
        <f>BIdetails!K227</f>
        <v>10</v>
      </c>
      <c r="E224" s="158">
        <f>BIdetails!M227</f>
        <v>2462</v>
      </c>
      <c r="F224" t="str">
        <f>IF(ISERROR(IF(OR(C224="#",C224=0),"",VLOOKUP(C224,'AOP25'!M:M,1,0))),"Not Found",VLOOKUP(C224,'AOP25'!M:M,1,0))</f>
        <v>Not Found</v>
      </c>
      <c r="G224" t="e">
        <f t="shared" si="3"/>
        <v>#N/A</v>
      </c>
    </row>
    <row r="225" spans="1:7" x14ac:dyDescent="0.25">
      <c r="A225" t="str">
        <f>BIdetails!G228</f>
        <v>196653</v>
      </c>
      <c r="B225" t="str">
        <f>BIdetails!H228</f>
        <v>Orange Business Netherlands B.V.</v>
      </c>
      <c r="C225" t="str">
        <f>BIdetails!J228</f>
        <v>5401087923</v>
      </c>
      <c r="D225" t="str">
        <f>BIdetails!K228</f>
        <v>10</v>
      </c>
      <c r="E225" s="158">
        <f>BIdetails!M228</f>
        <v>456.3</v>
      </c>
      <c r="F225" t="str">
        <f>IF(ISERROR(IF(OR(C225="#",C225=0),"",VLOOKUP(C225,'AOP25'!M:M,1,0))),"Not Found",VLOOKUP(C225,'AOP25'!M:M,1,0))</f>
        <v>Not Found</v>
      </c>
      <c r="G225" t="e">
        <f t="shared" si="3"/>
        <v>#N/A</v>
      </c>
    </row>
    <row r="226" spans="1:7" x14ac:dyDescent="0.25">
      <c r="A226" t="str">
        <f>BIdetails!G229</f>
        <v>196653</v>
      </c>
      <c r="B226" t="str">
        <f>BIdetails!H229</f>
        <v>Orange Business Netherlands B.V.</v>
      </c>
      <c r="C226" t="str">
        <f>BIdetails!J229</f>
        <v>5401087923</v>
      </c>
      <c r="D226" t="str">
        <f>BIdetails!K229</f>
        <v>10</v>
      </c>
      <c r="E226" s="158">
        <f>BIdetails!M229</f>
        <v>44580.52</v>
      </c>
      <c r="F226" t="str">
        <f>IF(ISERROR(IF(OR(C226="#",C226=0),"",VLOOKUP(C226,'AOP25'!M:M,1,0))),"Not Found",VLOOKUP(C226,'AOP25'!M:M,1,0))</f>
        <v>Not Found</v>
      </c>
      <c r="G226" t="e">
        <f t="shared" si="3"/>
        <v>#N/A</v>
      </c>
    </row>
    <row r="227" spans="1:7" hidden="1" x14ac:dyDescent="0.25">
      <c r="A227" t="str">
        <f>BIdetails!G230</f>
        <v>196653</v>
      </c>
      <c r="B227" t="str">
        <f>BIdetails!H230</f>
        <v>Orange Business Netherlands B.V.</v>
      </c>
      <c r="C227" t="str">
        <f>BIdetails!J230</f>
        <v>5401087924</v>
      </c>
      <c r="D227" t="str">
        <f>BIdetails!K230</f>
        <v>10</v>
      </c>
      <c r="E227" s="158">
        <f>BIdetails!M230</f>
        <v>8437</v>
      </c>
      <c r="F227" t="str">
        <f>IF(ISERROR(IF(OR(C227="#",C227=0),"",VLOOKUP(C227,'AOP25'!M:M,1,0))),"Not Found",VLOOKUP(C227,'AOP25'!M:M,1,0))</f>
        <v>Not Found</v>
      </c>
      <c r="G227" t="e">
        <f t="shared" si="3"/>
        <v>#N/A</v>
      </c>
    </row>
    <row r="228" spans="1:7" hidden="1" x14ac:dyDescent="0.25">
      <c r="A228" t="str">
        <f>BIdetails!G231</f>
        <v>196653</v>
      </c>
      <c r="B228" t="str">
        <f>BIdetails!H231</f>
        <v>Orange Business Netherlands B.V.</v>
      </c>
      <c r="C228" t="str">
        <f>BIdetails!J231</f>
        <v>5401087924</v>
      </c>
      <c r="D228" t="str">
        <f>BIdetails!K231</f>
        <v>10</v>
      </c>
      <c r="E228" s="158">
        <f>BIdetails!M231</f>
        <v>4580</v>
      </c>
      <c r="F228" t="str">
        <f>IF(ISERROR(IF(OR(C228="#",C228=0),"",VLOOKUP(C228,'AOP25'!M:M,1,0))),"Not Found",VLOOKUP(C228,'AOP25'!M:M,1,0))</f>
        <v>Not Found</v>
      </c>
      <c r="G228" t="e">
        <f t="shared" si="3"/>
        <v>#N/A</v>
      </c>
    </row>
    <row r="229" spans="1:7" hidden="1" x14ac:dyDescent="0.25">
      <c r="A229" t="str">
        <f>BIdetails!G232</f>
        <v>196653</v>
      </c>
      <c r="B229" t="str">
        <f>BIdetails!H232</f>
        <v>Orange Business Netherlands B.V.</v>
      </c>
      <c r="C229" t="str">
        <f>BIdetails!J232</f>
        <v>5401087924</v>
      </c>
      <c r="D229" t="str">
        <f>BIdetails!K232</f>
        <v>10</v>
      </c>
      <c r="E229" s="158">
        <f>BIdetails!M232</f>
        <v>42462.01</v>
      </c>
      <c r="F229" t="str">
        <f>IF(ISERROR(IF(OR(C229="#",C229=0),"",VLOOKUP(C229,'AOP25'!M:M,1,0))),"Not Found",VLOOKUP(C229,'AOP25'!M:M,1,0))</f>
        <v>Not Found</v>
      </c>
      <c r="G229" t="e">
        <f t="shared" si="3"/>
        <v>#N/A</v>
      </c>
    </row>
    <row r="230" spans="1:7" hidden="1" x14ac:dyDescent="0.25">
      <c r="A230" t="str">
        <f>BIdetails!G233</f>
        <v>196653</v>
      </c>
      <c r="B230" t="str">
        <f>BIdetails!H233</f>
        <v>Orange Business Netherlands B.V.</v>
      </c>
      <c r="C230" t="str">
        <f>BIdetails!J233</f>
        <v>5401098578</v>
      </c>
      <c r="D230" t="str">
        <f>BIdetails!K233</f>
        <v>10</v>
      </c>
      <c r="E230" s="158">
        <f>BIdetails!M233</f>
        <v>27404</v>
      </c>
      <c r="F230" t="str">
        <f>IF(ISERROR(IF(OR(C230="#",C230=0),"",VLOOKUP(C230,'AOP25'!M:M,1,0))),"Not Found",VLOOKUP(C230,'AOP25'!M:M,1,0))</f>
        <v>Not Found</v>
      </c>
      <c r="G230" t="e">
        <f t="shared" si="3"/>
        <v>#N/A</v>
      </c>
    </row>
    <row r="231" spans="1:7" hidden="1" x14ac:dyDescent="0.25">
      <c r="A231" t="str">
        <f>BIdetails!G234</f>
        <v>196653</v>
      </c>
      <c r="B231" t="str">
        <f>BIdetails!H234</f>
        <v>Orange Business Netherlands B.V.</v>
      </c>
      <c r="C231" t="str">
        <f>BIdetails!J234</f>
        <v>5401087927</v>
      </c>
      <c r="D231" t="str">
        <f>BIdetails!K234</f>
        <v>10</v>
      </c>
      <c r="E231" s="158">
        <f>BIdetails!M234</f>
        <v>2242</v>
      </c>
      <c r="F231" t="str">
        <f>IF(ISERROR(IF(OR(C231="#",C231=0),"",VLOOKUP(C231,'AOP25'!M:M,1,0))),"Not Found",VLOOKUP(C231,'AOP25'!M:M,1,0))</f>
        <v>Not Found</v>
      </c>
      <c r="G231" t="e">
        <f t="shared" si="3"/>
        <v>#N/A</v>
      </c>
    </row>
    <row r="232" spans="1:7" hidden="1" x14ac:dyDescent="0.25">
      <c r="A232" t="str">
        <f>BIdetails!G235</f>
        <v>196653</v>
      </c>
      <c r="B232" t="str">
        <f>BIdetails!H235</f>
        <v>Orange Business Netherlands B.V.</v>
      </c>
      <c r="C232" t="str">
        <f>BIdetails!J235</f>
        <v>5401087928</v>
      </c>
      <c r="D232" t="str">
        <f>BIdetails!K235</f>
        <v>10</v>
      </c>
      <c r="E232" s="158">
        <f>BIdetails!M235</f>
        <v>21178</v>
      </c>
      <c r="F232" t="str">
        <f>IF(ISERROR(IF(OR(C232="#",C232=0),"",VLOOKUP(C232,'AOP25'!M:M,1,0))),"Not Found",VLOOKUP(C232,'AOP25'!M:M,1,0))</f>
        <v>Not Found</v>
      </c>
      <c r="G232" t="e">
        <f t="shared" si="3"/>
        <v>#N/A</v>
      </c>
    </row>
    <row r="233" spans="1:7" hidden="1" x14ac:dyDescent="0.25">
      <c r="A233" t="str">
        <f>BIdetails!G236</f>
        <v>196653</v>
      </c>
      <c r="B233" t="str">
        <f>BIdetails!H236</f>
        <v>Orange Business Netherlands B.V.</v>
      </c>
      <c r="C233" t="str">
        <f>BIdetails!J236</f>
        <v>5401087928</v>
      </c>
      <c r="D233" t="str">
        <f>BIdetails!K236</f>
        <v>10</v>
      </c>
      <c r="E233" s="158">
        <f>BIdetails!M236</f>
        <v>1381</v>
      </c>
      <c r="F233" t="str">
        <f>IF(ISERROR(IF(OR(C233="#",C233=0),"",VLOOKUP(C233,'AOP25'!M:M,1,0))),"Not Found",VLOOKUP(C233,'AOP25'!M:M,1,0))</f>
        <v>Not Found</v>
      </c>
      <c r="G233" t="e">
        <f t="shared" si="3"/>
        <v>#N/A</v>
      </c>
    </row>
    <row r="234" spans="1:7" hidden="1" x14ac:dyDescent="0.25">
      <c r="A234" t="str">
        <f>BIdetails!G237</f>
        <v>196653</v>
      </c>
      <c r="B234" t="str">
        <f>BIdetails!H237</f>
        <v>Orange Business Netherlands B.V.</v>
      </c>
      <c r="C234" t="str">
        <f>BIdetails!J237</f>
        <v>5401087929</v>
      </c>
      <c r="D234" t="str">
        <f>BIdetails!K237</f>
        <v>10</v>
      </c>
      <c r="E234" s="158">
        <f>BIdetails!M237</f>
        <v>1597.05</v>
      </c>
      <c r="F234" t="str">
        <f>IF(ISERROR(IF(OR(C234="#",C234=0),"",VLOOKUP(C234,'AOP25'!M:M,1,0))),"Not Found",VLOOKUP(C234,'AOP25'!M:M,1,0))</f>
        <v>Not Found</v>
      </c>
      <c r="G234" t="e">
        <f t="shared" si="3"/>
        <v>#N/A</v>
      </c>
    </row>
    <row r="235" spans="1:7" hidden="1" x14ac:dyDescent="0.25">
      <c r="A235" t="str">
        <f>BIdetails!G238</f>
        <v>196653</v>
      </c>
      <c r="B235" t="str">
        <f>BIdetails!H238</f>
        <v>Orange Business Netherlands B.V.</v>
      </c>
      <c r="C235" t="str">
        <f>BIdetails!J238</f>
        <v>5401087929</v>
      </c>
      <c r="D235" t="str">
        <f>BIdetails!K238</f>
        <v>10</v>
      </c>
      <c r="E235" s="158">
        <f>BIdetails!M238</f>
        <v>-15</v>
      </c>
      <c r="F235" t="str">
        <f>IF(ISERROR(IF(OR(C235="#",C235=0),"",VLOOKUP(C235,'AOP25'!M:M,1,0))),"Not Found",VLOOKUP(C235,'AOP25'!M:M,1,0))</f>
        <v>Not Found</v>
      </c>
      <c r="G235" t="e">
        <f t="shared" si="3"/>
        <v>#N/A</v>
      </c>
    </row>
    <row r="236" spans="1:7" hidden="1" x14ac:dyDescent="0.25">
      <c r="A236" t="str">
        <f>BIdetails!G239</f>
        <v>196653</v>
      </c>
      <c r="B236" t="str">
        <f>BIdetails!H239</f>
        <v>Orange Business Netherlands B.V.</v>
      </c>
      <c r="C236" t="str">
        <f>BIdetails!J239</f>
        <v>5401087929</v>
      </c>
      <c r="D236" t="str">
        <f>BIdetails!K239</f>
        <v>10</v>
      </c>
      <c r="E236" s="158">
        <f>BIdetails!M239</f>
        <v>15</v>
      </c>
      <c r="F236" t="str">
        <f>IF(ISERROR(IF(OR(C236="#",C236=0),"",VLOOKUP(C236,'AOP25'!M:M,1,0))),"Not Found",VLOOKUP(C236,'AOP25'!M:M,1,0))</f>
        <v>Not Found</v>
      </c>
      <c r="G236" t="e">
        <f t="shared" si="3"/>
        <v>#N/A</v>
      </c>
    </row>
    <row r="237" spans="1:7" hidden="1" x14ac:dyDescent="0.25">
      <c r="A237" t="str">
        <f>BIdetails!G240</f>
        <v>196653</v>
      </c>
      <c r="B237" t="str">
        <f>BIdetails!H240</f>
        <v>Orange Business Netherlands B.V.</v>
      </c>
      <c r="C237" t="str">
        <f>BIdetails!J240</f>
        <v>5401087929</v>
      </c>
      <c r="D237" t="str">
        <f>BIdetails!K240</f>
        <v>10</v>
      </c>
      <c r="E237" s="158">
        <f>BIdetails!M240</f>
        <v>-15</v>
      </c>
      <c r="F237" t="str">
        <f>IF(ISERROR(IF(OR(C237="#",C237=0),"",VLOOKUP(C237,'AOP25'!M:M,1,0))),"Not Found",VLOOKUP(C237,'AOP25'!M:M,1,0))</f>
        <v>Not Found</v>
      </c>
      <c r="G237" t="e">
        <f t="shared" si="3"/>
        <v>#N/A</v>
      </c>
    </row>
    <row r="238" spans="1:7" hidden="1" x14ac:dyDescent="0.25">
      <c r="A238" t="str">
        <f>BIdetails!G241</f>
        <v>196653</v>
      </c>
      <c r="B238" t="str">
        <f>BIdetails!H241</f>
        <v>Orange Business Netherlands B.V.</v>
      </c>
      <c r="C238" t="str">
        <f>BIdetails!J241</f>
        <v>5401087929</v>
      </c>
      <c r="D238" t="str">
        <f>BIdetails!K241</f>
        <v>10</v>
      </c>
      <c r="E238" s="158">
        <f>BIdetails!M241</f>
        <v>15</v>
      </c>
      <c r="F238" t="str">
        <f>IF(ISERROR(IF(OR(C238="#",C238=0),"",VLOOKUP(C238,'AOP25'!M:M,1,0))),"Not Found",VLOOKUP(C238,'AOP25'!M:M,1,0))</f>
        <v>Not Found</v>
      </c>
      <c r="G238" t="e">
        <f t="shared" si="3"/>
        <v>#N/A</v>
      </c>
    </row>
    <row r="239" spans="1:7" x14ac:dyDescent="0.25">
      <c r="A239" t="str">
        <f>BIdetails!G242</f>
        <v>196653</v>
      </c>
      <c r="B239" t="str">
        <f>BIdetails!H242</f>
        <v>Orange Business Netherlands B.V.</v>
      </c>
      <c r="C239" t="str">
        <f>BIdetails!J242</f>
        <v>5401087929</v>
      </c>
      <c r="D239" t="str">
        <f>BIdetails!K242</f>
        <v>10</v>
      </c>
      <c r="E239" s="158">
        <f>BIdetails!M242</f>
        <v>-15</v>
      </c>
      <c r="F239" t="str">
        <f>IF(ISERROR(IF(OR(C239="#",C239=0),"",VLOOKUP(C239,'AOP25'!M:M,1,0))),"Not Found",VLOOKUP(C239,'AOP25'!M:M,1,0))</f>
        <v>Not Found</v>
      </c>
      <c r="G239" t="e">
        <f t="shared" si="3"/>
        <v>#N/A</v>
      </c>
    </row>
    <row r="240" spans="1:7" x14ac:dyDescent="0.25">
      <c r="A240" t="str">
        <f>BIdetails!G243</f>
        <v>196653</v>
      </c>
      <c r="B240" t="str">
        <f>BIdetails!H243</f>
        <v>Orange Business Netherlands B.V.</v>
      </c>
      <c r="C240" t="str">
        <f>BIdetails!J243</f>
        <v>5401087929</v>
      </c>
      <c r="D240" t="str">
        <f>BIdetails!K243</f>
        <v>10</v>
      </c>
      <c r="E240" s="158">
        <f>BIdetails!M243</f>
        <v>15</v>
      </c>
      <c r="F240" t="str">
        <f>IF(ISERROR(IF(OR(C240="#",C240=0),"",VLOOKUP(C240,'AOP25'!M:M,1,0))),"Not Found",VLOOKUP(C240,'AOP25'!M:M,1,0))</f>
        <v>Not Found</v>
      </c>
      <c r="G240" t="e">
        <f t="shared" si="3"/>
        <v>#N/A</v>
      </c>
    </row>
    <row r="241" spans="1:7" x14ac:dyDescent="0.25">
      <c r="A241" t="str">
        <f>BIdetails!G244</f>
        <v>196653</v>
      </c>
      <c r="B241" t="str">
        <f>BIdetails!H244</f>
        <v>Orange Business Netherlands B.V.</v>
      </c>
      <c r="C241" t="str">
        <f>BIdetails!J244</f>
        <v>5401087922</v>
      </c>
      <c r="D241" t="str">
        <f>BIdetails!K244</f>
        <v>10</v>
      </c>
      <c r="E241" s="158">
        <f>BIdetails!M244</f>
        <v>-5937.33</v>
      </c>
      <c r="F241" t="str">
        <f>IF(ISERROR(IF(OR(C241="#",C241=0),"",VLOOKUP(C241,'AOP25'!M:M,1,0))),"Not Found",VLOOKUP(C241,'AOP25'!M:M,1,0))</f>
        <v>Not Found</v>
      </c>
      <c r="G241" t="e">
        <f t="shared" si="3"/>
        <v>#N/A</v>
      </c>
    </row>
    <row r="242" spans="1:7" x14ac:dyDescent="0.25">
      <c r="A242" t="str">
        <f>BIdetails!G245</f>
        <v>200013</v>
      </c>
      <c r="B242" t="str">
        <f>BIdetails!H245</f>
        <v>RIPE NCC</v>
      </c>
      <c r="C242" t="str">
        <f>BIdetails!J245</f>
        <v>5401079380</v>
      </c>
      <c r="D242" t="str">
        <f>BIdetails!K245</f>
        <v>10</v>
      </c>
      <c r="E242" s="158">
        <f>BIdetails!M245</f>
        <v>1800</v>
      </c>
      <c r="F242" t="str">
        <f>IF(ISERROR(IF(OR(C242="#",C242=0),"",VLOOKUP(C242,'AOP25'!M:M,1,0))),"Not Found",VLOOKUP(C242,'AOP25'!M:M,1,0))</f>
        <v>Not Found</v>
      </c>
      <c r="G242" t="e">
        <f t="shared" si="3"/>
        <v>#N/A</v>
      </c>
    </row>
    <row r="243" spans="1:7" x14ac:dyDescent="0.25">
      <c r="A243" t="str">
        <f>BIdetails!G246</f>
        <v>204343</v>
      </c>
      <c r="B243" t="str">
        <f>BIdetails!H246</f>
        <v>Equinix (Netherlands) B.V.</v>
      </c>
      <c r="C243" t="str">
        <f>BIdetails!J246</f>
        <v>5400941603</v>
      </c>
      <c r="D243" t="str">
        <f>BIdetails!K246</f>
        <v>10</v>
      </c>
      <c r="E243" s="158">
        <f>BIdetails!M246</f>
        <v>4758.03</v>
      </c>
      <c r="F243" t="str">
        <f>IF(ISERROR(IF(OR(C243="#",C243=0),"",VLOOKUP(C243,'AOP25'!M:M,1,0))),"Not Found",VLOOKUP(C243,'AOP25'!M:M,1,0))</f>
        <v>Not Found</v>
      </c>
      <c r="G243" t="e">
        <f t="shared" si="3"/>
        <v>#N/A</v>
      </c>
    </row>
    <row r="244" spans="1:7" hidden="1" x14ac:dyDescent="0.25">
      <c r="A244" t="str">
        <f>BIdetails!G247</f>
        <v>204343</v>
      </c>
      <c r="B244" t="str">
        <f>BIdetails!H247</f>
        <v>Equinix (Netherlands) B.V.</v>
      </c>
      <c r="C244" t="str">
        <f>BIdetails!J247</f>
        <v>5400941603</v>
      </c>
      <c r="D244" t="str">
        <f>BIdetails!K247</f>
        <v>20</v>
      </c>
      <c r="E244" s="158">
        <f>BIdetails!M247</f>
        <v>4545.8500000000004</v>
      </c>
      <c r="F244" t="str">
        <f>IF(ISERROR(IF(OR(C244="#",C244=0),"",VLOOKUP(C244,'AOP25'!M:M,1,0))),"Not Found",VLOOKUP(C244,'AOP25'!M:M,1,0))</f>
        <v>Not Found</v>
      </c>
      <c r="G244" t="e">
        <f t="shared" si="3"/>
        <v>#N/A</v>
      </c>
    </row>
    <row r="245" spans="1:7" hidden="1" x14ac:dyDescent="0.25">
      <c r="A245" t="str">
        <f>BIdetails!G248</f>
        <v>204343</v>
      </c>
      <c r="B245" t="str">
        <f>BIdetails!H248</f>
        <v>Equinix (Netherlands) B.V.</v>
      </c>
      <c r="C245" t="str">
        <f>BIdetails!J248</f>
        <v>5400941603</v>
      </c>
      <c r="D245" t="str">
        <f>BIdetails!K248</f>
        <v>10</v>
      </c>
      <c r="E245" s="158">
        <f>BIdetails!M248</f>
        <v>4758.03</v>
      </c>
      <c r="F245" t="str">
        <f>IF(ISERROR(IF(OR(C245="#",C245=0),"",VLOOKUP(C245,'AOP25'!M:M,1,0))),"Not Found",VLOOKUP(C245,'AOP25'!M:M,1,0))</f>
        <v>Not Found</v>
      </c>
      <c r="G245" t="e">
        <f t="shared" si="3"/>
        <v>#N/A</v>
      </c>
    </row>
    <row r="246" spans="1:7" hidden="1" x14ac:dyDescent="0.25">
      <c r="A246" t="str">
        <f>BIdetails!G249</f>
        <v>204343</v>
      </c>
      <c r="B246" t="str">
        <f>BIdetails!H249</f>
        <v>Equinix (Netherlands) B.V.</v>
      </c>
      <c r="C246" t="str">
        <f>BIdetails!J249</f>
        <v>5400941603</v>
      </c>
      <c r="D246" t="str">
        <f>BIdetails!K249</f>
        <v>20</v>
      </c>
      <c r="E246" s="158">
        <f>BIdetails!M249</f>
        <v>4545.8500000000004</v>
      </c>
      <c r="F246" t="str">
        <f>IF(ISERROR(IF(OR(C246="#",C246=0),"",VLOOKUP(C246,'AOP25'!M:M,1,0))),"Not Found",VLOOKUP(C246,'AOP25'!M:M,1,0))</f>
        <v>Not Found</v>
      </c>
      <c r="G246" t="e">
        <f t="shared" si="3"/>
        <v>#N/A</v>
      </c>
    </row>
    <row r="247" spans="1:7" hidden="1" x14ac:dyDescent="0.25">
      <c r="A247" t="str">
        <f>BIdetails!G250</f>
        <v>204343</v>
      </c>
      <c r="B247" t="str">
        <f>BIdetails!H250</f>
        <v>Equinix (Netherlands) B.V.</v>
      </c>
      <c r="C247" t="str">
        <f>BIdetails!J250</f>
        <v>5400941603</v>
      </c>
      <c r="D247" t="str">
        <f>BIdetails!K250</f>
        <v>10</v>
      </c>
      <c r="E247" s="158">
        <f>BIdetails!M250</f>
        <v>82.5</v>
      </c>
      <c r="F247" t="str">
        <f>IF(ISERROR(IF(OR(C247="#",C247=0),"",VLOOKUP(C247,'AOP25'!M:M,1,0))),"Not Found",VLOOKUP(C247,'AOP25'!M:M,1,0))</f>
        <v>Not Found</v>
      </c>
      <c r="G247" t="e">
        <f t="shared" si="3"/>
        <v>#N/A</v>
      </c>
    </row>
    <row r="248" spans="1:7" hidden="1" x14ac:dyDescent="0.25">
      <c r="A248" t="str">
        <f>BIdetails!G251</f>
        <v>204343</v>
      </c>
      <c r="B248" t="str">
        <f>BIdetails!H251</f>
        <v>Equinix (Netherlands) B.V.</v>
      </c>
      <c r="C248" t="str">
        <f>BIdetails!J251</f>
        <v>5400941603</v>
      </c>
      <c r="D248" t="str">
        <f>BIdetails!K251</f>
        <v>10</v>
      </c>
      <c r="E248" s="158">
        <f>BIdetails!M251</f>
        <v>4758.03</v>
      </c>
      <c r="F248" t="str">
        <f>IF(ISERROR(IF(OR(C248="#",C248=0),"",VLOOKUP(C248,'AOP25'!M:M,1,0))),"Not Found",VLOOKUP(C248,'AOP25'!M:M,1,0))</f>
        <v>Not Found</v>
      </c>
      <c r="G248" t="e">
        <f t="shared" si="3"/>
        <v>#N/A</v>
      </c>
    </row>
    <row r="249" spans="1:7" hidden="1" x14ac:dyDescent="0.25">
      <c r="A249" t="str">
        <f>BIdetails!G252</f>
        <v>204343</v>
      </c>
      <c r="B249" t="str">
        <f>BIdetails!H252</f>
        <v>Equinix (Netherlands) B.V.</v>
      </c>
      <c r="C249" t="str">
        <f>BIdetails!J252</f>
        <v>5400941603</v>
      </c>
      <c r="D249" t="str">
        <f>BIdetails!K252</f>
        <v>20</v>
      </c>
      <c r="E249" s="158">
        <f>BIdetails!M252</f>
        <v>4545.8500000000004</v>
      </c>
      <c r="F249" t="str">
        <f>IF(ISERROR(IF(OR(C249="#",C249=0),"",VLOOKUP(C249,'AOP25'!M:M,1,0))),"Not Found",VLOOKUP(C249,'AOP25'!M:M,1,0))</f>
        <v>Not Found</v>
      </c>
      <c r="G249" t="e">
        <f t="shared" si="3"/>
        <v>#N/A</v>
      </c>
    </row>
    <row r="250" spans="1:7" hidden="1" x14ac:dyDescent="0.25">
      <c r="A250" t="str">
        <f>BIdetails!G253</f>
        <v>204343</v>
      </c>
      <c r="B250" t="str">
        <f>BIdetails!H253</f>
        <v>Equinix (Netherlands) B.V.</v>
      </c>
      <c r="C250" t="str">
        <f>BIdetails!J253</f>
        <v>5400941603</v>
      </c>
      <c r="D250" t="str">
        <f>BIdetails!K253</f>
        <v>10</v>
      </c>
      <c r="E250" s="158">
        <f>BIdetails!M253</f>
        <v>4895.07</v>
      </c>
      <c r="F250" t="str">
        <f>IF(ISERROR(IF(OR(C250="#",C250=0),"",VLOOKUP(C250,'AOP25'!M:M,1,0))),"Not Found",VLOOKUP(C250,'AOP25'!M:M,1,0))</f>
        <v>Not Found</v>
      </c>
      <c r="G250" t="e">
        <f t="shared" si="3"/>
        <v>#N/A</v>
      </c>
    </row>
    <row r="251" spans="1:7" hidden="1" x14ac:dyDescent="0.25">
      <c r="A251" t="str">
        <f>BIdetails!G254</f>
        <v>204343</v>
      </c>
      <c r="B251" t="str">
        <f>BIdetails!H254</f>
        <v>Equinix (Netherlands) B.V.</v>
      </c>
      <c r="C251" t="str">
        <f>BIdetails!J254</f>
        <v>5400941603</v>
      </c>
      <c r="D251" t="str">
        <f>BIdetails!K254</f>
        <v>20</v>
      </c>
      <c r="E251" s="158">
        <f>BIdetails!M254</f>
        <v>4676.53</v>
      </c>
      <c r="F251" t="str">
        <f>IF(ISERROR(IF(OR(C251="#",C251=0),"",VLOOKUP(C251,'AOP25'!M:M,1,0))),"Not Found",VLOOKUP(C251,'AOP25'!M:M,1,0))</f>
        <v>Not Found</v>
      </c>
      <c r="G251" t="e">
        <f t="shared" si="3"/>
        <v>#N/A</v>
      </c>
    </row>
    <row r="252" spans="1:7" hidden="1" x14ac:dyDescent="0.25">
      <c r="A252" t="str">
        <f>BIdetails!G255</f>
        <v>204343</v>
      </c>
      <c r="B252" t="str">
        <f>BIdetails!H255</f>
        <v>Equinix (Netherlands) B.V.</v>
      </c>
      <c r="C252" t="str">
        <f>BIdetails!J255</f>
        <v>5400941603</v>
      </c>
      <c r="D252" t="str">
        <f>BIdetails!K255</f>
        <v>20</v>
      </c>
      <c r="E252" s="158">
        <f>BIdetails!M255</f>
        <v>4676.53</v>
      </c>
      <c r="F252" t="str">
        <f>IF(ISERROR(IF(OR(C252="#",C252=0),"",VLOOKUP(C252,'AOP25'!M:M,1,0))),"Not Found",VLOOKUP(C252,'AOP25'!M:M,1,0))</f>
        <v>Not Found</v>
      </c>
      <c r="G252" t="e">
        <f t="shared" si="3"/>
        <v>#N/A</v>
      </c>
    </row>
    <row r="253" spans="1:7" hidden="1" x14ac:dyDescent="0.25">
      <c r="A253" t="str">
        <f>BIdetails!G256</f>
        <v>204343</v>
      </c>
      <c r="B253" t="str">
        <f>BIdetails!H256</f>
        <v>Equinix (Netherlands) B.V.</v>
      </c>
      <c r="C253" t="str">
        <f>BIdetails!J256</f>
        <v>5400941603</v>
      </c>
      <c r="D253" t="str">
        <f>BIdetails!K256</f>
        <v>10</v>
      </c>
      <c r="E253" s="158">
        <f>BIdetails!M256</f>
        <v>4895.07</v>
      </c>
      <c r="F253" t="str">
        <f>IF(ISERROR(IF(OR(C253="#",C253=0),"",VLOOKUP(C253,'AOP25'!M:M,1,0))),"Not Found",VLOOKUP(C253,'AOP25'!M:M,1,0))</f>
        <v>Not Found</v>
      </c>
      <c r="G253" t="e">
        <f t="shared" si="3"/>
        <v>#N/A</v>
      </c>
    </row>
    <row r="254" spans="1:7" hidden="1" x14ac:dyDescent="0.25">
      <c r="A254" t="str">
        <f>BIdetails!G257</f>
        <v>204343</v>
      </c>
      <c r="B254" t="str">
        <f>BIdetails!H257</f>
        <v>Equinix (Netherlands) B.V.</v>
      </c>
      <c r="C254" t="str">
        <f>BIdetails!J257</f>
        <v>5400941603</v>
      </c>
      <c r="D254" t="str">
        <f>BIdetails!K257</f>
        <v>10</v>
      </c>
      <c r="E254" s="158">
        <f>BIdetails!M257</f>
        <v>4895.07</v>
      </c>
      <c r="F254" t="str">
        <f>IF(ISERROR(IF(OR(C254="#",C254=0),"",VLOOKUP(C254,'AOP25'!M:M,1,0))),"Not Found",VLOOKUP(C254,'AOP25'!M:M,1,0))</f>
        <v>Not Found</v>
      </c>
      <c r="G254" t="e">
        <f t="shared" si="3"/>
        <v>#N/A</v>
      </c>
    </row>
    <row r="255" spans="1:7" hidden="1" x14ac:dyDescent="0.25">
      <c r="A255" t="str">
        <f>BIdetails!G258</f>
        <v>204343</v>
      </c>
      <c r="B255" t="str">
        <f>BIdetails!H258</f>
        <v>Equinix (Netherlands) B.V.</v>
      </c>
      <c r="C255" t="str">
        <f>BIdetails!J258</f>
        <v>5400941603</v>
      </c>
      <c r="D255" t="str">
        <f>BIdetails!K258</f>
        <v>20</v>
      </c>
      <c r="E255" s="158">
        <f>BIdetails!M258</f>
        <v>4676.53</v>
      </c>
      <c r="F255" t="str">
        <f>IF(ISERROR(IF(OR(C255="#",C255=0),"",VLOOKUP(C255,'AOP25'!M:M,1,0))),"Not Found",VLOOKUP(C255,'AOP25'!M:M,1,0))</f>
        <v>Not Found</v>
      </c>
      <c r="G255" t="e">
        <f t="shared" si="3"/>
        <v>#N/A</v>
      </c>
    </row>
    <row r="256" spans="1:7" hidden="1" x14ac:dyDescent="0.25">
      <c r="A256" t="str">
        <f>BIdetails!G259</f>
        <v>209736</v>
      </c>
      <c r="B256" t="str">
        <f>BIdetails!H259</f>
        <v>T-Mobile Netherlands B.V.</v>
      </c>
      <c r="C256" t="str">
        <f>BIdetails!J259</f>
        <v>5400918923</v>
      </c>
      <c r="D256" t="str">
        <f>BIdetails!K259</f>
        <v>20</v>
      </c>
      <c r="E256" s="158">
        <f>BIdetails!M259</f>
        <v>310</v>
      </c>
      <c r="F256" t="str">
        <f>IF(ISERROR(IF(OR(C256="#",C256=0),"",VLOOKUP(C256,'AOP25'!M:M,1,0))),"Not Found",VLOOKUP(C256,'AOP25'!M:M,1,0))</f>
        <v>Not Found</v>
      </c>
      <c r="G256" t="e">
        <f t="shared" si="3"/>
        <v>#N/A</v>
      </c>
    </row>
    <row r="257" spans="1:7" hidden="1" x14ac:dyDescent="0.25">
      <c r="A257" t="str">
        <f>BIdetails!G260</f>
        <v>209736</v>
      </c>
      <c r="B257" t="str">
        <f>BIdetails!H260</f>
        <v>T-Mobile Netherlands B.V.</v>
      </c>
      <c r="C257" t="str">
        <f>BIdetails!J260</f>
        <v>5400918923</v>
      </c>
      <c r="D257" t="str">
        <f>BIdetails!K260</f>
        <v>20</v>
      </c>
      <c r="E257" s="158">
        <f>BIdetails!M260</f>
        <v>310</v>
      </c>
      <c r="F257" t="str">
        <f>IF(ISERROR(IF(OR(C257="#",C257=0),"",VLOOKUP(C257,'AOP25'!M:M,1,0))),"Not Found",VLOOKUP(C257,'AOP25'!M:M,1,0))</f>
        <v>Not Found</v>
      </c>
      <c r="G257" t="e">
        <f t="shared" si="3"/>
        <v>#N/A</v>
      </c>
    </row>
    <row r="258" spans="1:7" hidden="1" x14ac:dyDescent="0.25">
      <c r="A258" t="str">
        <f>BIdetails!G261</f>
        <v>209736</v>
      </c>
      <c r="B258" t="str">
        <f>BIdetails!H261</f>
        <v>T-Mobile Netherlands B.V.</v>
      </c>
      <c r="C258" t="str">
        <f>BIdetails!J261</f>
        <v>5400918923</v>
      </c>
      <c r="D258" t="str">
        <f>BIdetails!K261</f>
        <v>20</v>
      </c>
      <c r="E258" s="158">
        <f>BIdetails!M261</f>
        <v>310</v>
      </c>
      <c r="F258" t="str">
        <f>IF(ISERROR(IF(OR(C258="#",C258=0),"",VLOOKUP(C258,'AOP25'!M:M,1,0))),"Not Found",VLOOKUP(C258,'AOP25'!M:M,1,0))</f>
        <v>Not Found</v>
      </c>
      <c r="G258" t="e">
        <f t="shared" si="3"/>
        <v>#N/A</v>
      </c>
    </row>
    <row r="259" spans="1:7" hidden="1" x14ac:dyDescent="0.25">
      <c r="A259" t="str">
        <f>BIdetails!G262</f>
        <v>210591</v>
      </c>
      <c r="B259" t="str">
        <f>BIdetails!H262</f>
        <v>Park Place Technologies B.V.</v>
      </c>
      <c r="C259" t="str">
        <f>BIdetails!J262</f>
        <v>5401063675</v>
      </c>
      <c r="D259" t="str">
        <f>BIdetails!K262</f>
        <v>10</v>
      </c>
      <c r="E259" s="158">
        <f>BIdetails!M262</f>
        <v>-536.4</v>
      </c>
      <c r="F259" t="str">
        <f>IF(ISERROR(IF(OR(C259="#",C259=0),"",VLOOKUP(C259,'AOP25'!M:M,1,0))),"Not Found",VLOOKUP(C259,'AOP25'!M:M,1,0))</f>
        <v>Not Found</v>
      </c>
      <c r="G259" t="e">
        <f t="shared" ref="G259:G322" si="4">IF(NOT(ISERROR(VLOOKUP(C259,$K$2:$K$50,1,0))),"Y",VLOOKUP(C259,$K$2:$K$50,1,0))</f>
        <v>#N/A</v>
      </c>
    </row>
    <row r="260" spans="1:7" hidden="1" x14ac:dyDescent="0.25">
      <c r="A260" t="str">
        <f>BIdetails!G263</f>
        <v>#</v>
      </c>
      <c r="B260" t="str">
        <f>BIdetails!H263</f>
        <v>Not assigned</v>
      </c>
      <c r="C260" t="str">
        <f>BIdetails!J263</f>
        <v>#</v>
      </c>
      <c r="D260" t="str">
        <f>BIdetails!K263</f>
        <v>#</v>
      </c>
      <c r="E260" s="158">
        <f>BIdetails!M263</f>
        <v>0</v>
      </c>
      <c r="F260" t="e">
        <f>IF(ISERROR(IF(OR(C260="#",C260=0),"",VLOOKUP(C260,'AOP25'!M:M,1,0))),"Not Found",VLOOKUP(C260,'AOP25'!M:M,1,0))</f>
        <v>#N/A</v>
      </c>
      <c r="G260" t="e">
        <f t="shared" si="4"/>
        <v>#N/A</v>
      </c>
    </row>
    <row r="261" spans="1:7" hidden="1" x14ac:dyDescent="0.25">
      <c r="A261" t="str">
        <f>BIdetails!G264</f>
        <v>209736</v>
      </c>
      <c r="B261" t="str">
        <f>BIdetails!H264</f>
        <v>T-Mobile Netherlands B.V.</v>
      </c>
      <c r="C261" t="str">
        <f>BIdetails!J264</f>
        <v>5401111762</v>
      </c>
      <c r="D261" t="str">
        <f>BIdetails!K264</f>
        <v>10</v>
      </c>
      <c r="E261" s="158">
        <f>BIdetails!M264</f>
        <v>310</v>
      </c>
      <c r="F261" t="str">
        <f>IF(ISERROR(IF(OR(C261="#",C261=0),"",VLOOKUP(C261,'AOP25'!M:M,1,0))),"Not Found",VLOOKUP(C261,'AOP25'!M:M,1,0))</f>
        <v>Not Found</v>
      </c>
      <c r="G261" t="e">
        <f t="shared" si="4"/>
        <v>#N/A</v>
      </c>
    </row>
    <row r="262" spans="1:7" hidden="1" x14ac:dyDescent="0.25">
      <c r="A262" t="str">
        <f>BIdetails!G265</f>
        <v>209736</v>
      </c>
      <c r="B262" t="str">
        <f>BIdetails!H265</f>
        <v>T-Mobile Netherlands B.V.</v>
      </c>
      <c r="C262" t="str">
        <f>BIdetails!J265</f>
        <v>5401111762</v>
      </c>
      <c r="D262" t="str">
        <f>BIdetails!K265</f>
        <v>10</v>
      </c>
      <c r="E262" s="158">
        <f>BIdetails!M265</f>
        <v>310</v>
      </c>
      <c r="F262" t="str">
        <f>IF(ISERROR(IF(OR(C262="#",C262=0),"",VLOOKUP(C262,'AOP25'!M:M,1,0))),"Not Found",VLOOKUP(C262,'AOP25'!M:M,1,0))</f>
        <v>Not Found</v>
      </c>
      <c r="G262" t="e">
        <f t="shared" si="4"/>
        <v>#N/A</v>
      </c>
    </row>
    <row r="263" spans="1:7" hidden="1" x14ac:dyDescent="0.25">
      <c r="A263" t="str">
        <f>BIdetails!G266</f>
        <v>209736</v>
      </c>
      <c r="B263" t="str">
        <f>BIdetails!H266</f>
        <v>T-Mobile Netherlands B.V.</v>
      </c>
      <c r="C263" t="str">
        <f>BIdetails!J266</f>
        <v>5401111762</v>
      </c>
      <c r="D263" t="str">
        <f>BIdetails!K266</f>
        <v>10</v>
      </c>
      <c r="E263" s="158">
        <f>BIdetails!M266</f>
        <v>310</v>
      </c>
      <c r="F263" t="str">
        <f>IF(ISERROR(IF(OR(C263="#",C263=0),"",VLOOKUP(C263,'AOP25'!M:M,1,0))),"Not Found",VLOOKUP(C263,'AOP25'!M:M,1,0))</f>
        <v>Not Found</v>
      </c>
      <c r="G263" t="e">
        <f t="shared" si="4"/>
        <v>#N/A</v>
      </c>
    </row>
    <row r="264" spans="1:7" hidden="1" x14ac:dyDescent="0.25">
      <c r="A264" t="str">
        <f>BIdetails!G267</f>
        <v>129450</v>
      </c>
      <c r="B264" t="str">
        <f>BIdetails!H267</f>
        <v>BT Nederland N.V.</v>
      </c>
      <c r="C264" t="str">
        <f>BIdetails!J267</f>
        <v>5401058431</v>
      </c>
      <c r="D264" t="str">
        <f>BIdetails!K267</f>
        <v>20</v>
      </c>
      <c r="E264" s="158">
        <f>BIdetails!M267</f>
        <v>10000</v>
      </c>
      <c r="F264" t="str">
        <f>IF(ISERROR(IF(OR(C264="#",C264=0),"",VLOOKUP(C264,'AOP25'!M:M,1,0))),"Not Found",VLOOKUP(C264,'AOP25'!M:M,1,0))</f>
        <v>Not Found</v>
      </c>
      <c r="G264" t="e">
        <f t="shared" si="4"/>
        <v>#N/A</v>
      </c>
    </row>
    <row r="265" spans="1:7" hidden="1" x14ac:dyDescent="0.25">
      <c r="A265" t="str">
        <f>BIdetails!G268</f>
        <v>129450</v>
      </c>
      <c r="B265" t="str">
        <f>BIdetails!H268</f>
        <v>BT Nederland N.V.</v>
      </c>
      <c r="C265" t="str">
        <f>BIdetails!J268</f>
        <v>5401058431</v>
      </c>
      <c r="D265" t="str">
        <f>BIdetails!K268</f>
        <v>20</v>
      </c>
      <c r="E265" s="158">
        <f>BIdetails!M268</f>
        <v>5500</v>
      </c>
      <c r="F265" t="str">
        <f>IF(ISERROR(IF(OR(C265="#",C265=0),"",VLOOKUP(C265,'AOP25'!M:M,1,0))),"Not Found",VLOOKUP(C265,'AOP25'!M:M,1,0))</f>
        <v>Not Found</v>
      </c>
      <c r="G265" t="e">
        <f t="shared" si="4"/>
        <v>#N/A</v>
      </c>
    </row>
    <row r="266" spans="1:7" hidden="1" x14ac:dyDescent="0.25">
      <c r="A266" t="str">
        <f>BIdetails!G269</f>
        <v>129450</v>
      </c>
      <c r="B266" t="str">
        <f>BIdetails!H269</f>
        <v>BT Nederland N.V.</v>
      </c>
      <c r="C266" t="str">
        <f>BIdetails!J269</f>
        <v>5401058431</v>
      </c>
      <c r="D266" t="str">
        <f>BIdetails!K269</f>
        <v>20</v>
      </c>
      <c r="E266" s="158">
        <f>BIdetails!M269</f>
        <v>162.11000000000001</v>
      </c>
      <c r="F266" t="str">
        <f>IF(ISERROR(IF(OR(C266="#",C266=0),"",VLOOKUP(C266,'AOP25'!M:M,1,0))),"Not Found",VLOOKUP(C266,'AOP25'!M:M,1,0))</f>
        <v>Not Found</v>
      </c>
      <c r="G266" t="e">
        <f t="shared" si="4"/>
        <v>#N/A</v>
      </c>
    </row>
    <row r="267" spans="1:7" hidden="1" x14ac:dyDescent="0.25">
      <c r="A267" t="str">
        <f>BIdetails!G270</f>
        <v>129450</v>
      </c>
      <c r="B267" t="str">
        <f>BIdetails!H270</f>
        <v>BT Nederland N.V.</v>
      </c>
      <c r="C267" t="str">
        <f>BIdetails!J270</f>
        <v>5401058431</v>
      </c>
      <c r="D267" t="str">
        <f>BIdetails!K270</f>
        <v>20</v>
      </c>
      <c r="E267" s="158">
        <f>BIdetails!M270</f>
        <v>10000</v>
      </c>
      <c r="F267" t="str">
        <f>IF(ISERROR(IF(OR(C267="#",C267=0),"",VLOOKUP(C267,'AOP25'!M:M,1,0))),"Not Found",VLOOKUP(C267,'AOP25'!M:M,1,0))</f>
        <v>Not Found</v>
      </c>
      <c r="G267" t="e">
        <f t="shared" si="4"/>
        <v>#N/A</v>
      </c>
    </row>
    <row r="268" spans="1:7" hidden="1" x14ac:dyDescent="0.25">
      <c r="A268" t="str">
        <f>BIdetails!G271</f>
        <v>129450</v>
      </c>
      <c r="B268" t="str">
        <f>BIdetails!H271</f>
        <v>BT Nederland N.V.</v>
      </c>
      <c r="C268" t="str">
        <f>BIdetails!J271</f>
        <v>5401058431</v>
      </c>
      <c r="D268" t="str">
        <f>BIdetails!K271</f>
        <v>20</v>
      </c>
      <c r="E268" s="158">
        <f>BIdetails!M271</f>
        <v>5500</v>
      </c>
      <c r="F268" t="str">
        <f>IF(ISERROR(IF(OR(C268="#",C268=0),"",VLOOKUP(C268,'AOP25'!M:M,1,0))),"Not Found",VLOOKUP(C268,'AOP25'!M:M,1,0))</f>
        <v>Not Found</v>
      </c>
      <c r="G268" t="e">
        <f t="shared" si="4"/>
        <v>#N/A</v>
      </c>
    </row>
    <row r="269" spans="1:7" hidden="1" x14ac:dyDescent="0.25">
      <c r="A269" t="str">
        <f>BIdetails!G272</f>
        <v>129450</v>
      </c>
      <c r="B269" t="str">
        <f>BIdetails!H272</f>
        <v>BT Nederland N.V.</v>
      </c>
      <c r="C269" t="str">
        <f>BIdetails!J272</f>
        <v>5401058431</v>
      </c>
      <c r="D269" t="str">
        <f>BIdetails!K272</f>
        <v>20</v>
      </c>
      <c r="E269" s="158">
        <f>BIdetails!M272</f>
        <v>10000</v>
      </c>
      <c r="F269" t="str">
        <f>IF(ISERROR(IF(OR(C269="#",C269=0),"",VLOOKUP(C269,'AOP25'!M:M,1,0))),"Not Found",VLOOKUP(C269,'AOP25'!M:M,1,0))</f>
        <v>Not Found</v>
      </c>
      <c r="G269" t="e">
        <f t="shared" si="4"/>
        <v>#N/A</v>
      </c>
    </row>
    <row r="270" spans="1:7" hidden="1" x14ac:dyDescent="0.25">
      <c r="A270" t="str">
        <f>BIdetails!G273</f>
        <v>129450</v>
      </c>
      <c r="B270" t="str">
        <f>BIdetails!H273</f>
        <v>BT Nederland N.V.</v>
      </c>
      <c r="C270" t="str">
        <f>BIdetails!J273</f>
        <v>5401058431</v>
      </c>
      <c r="D270" t="str">
        <f>BIdetails!K273</f>
        <v>20</v>
      </c>
      <c r="E270" s="158">
        <f>BIdetails!M273</f>
        <v>5500</v>
      </c>
      <c r="F270" t="str">
        <f>IF(ISERROR(IF(OR(C270="#",C270=0),"",VLOOKUP(C270,'AOP25'!M:M,1,0))),"Not Found",VLOOKUP(C270,'AOP25'!M:M,1,0))</f>
        <v>Not Found</v>
      </c>
      <c r="G270" t="e">
        <f t="shared" si="4"/>
        <v>#N/A</v>
      </c>
    </row>
    <row r="271" spans="1:7" hidden="1" x14ac:dyDescent="0.25">
      <c r="A271" t="str">
        <f>BIdetails!G274</f>
        <v>129450</v>
      </c>
      <c r="B271" t="str">
        <f>BIdetails!H274</f>
        <v>BT Nederland N.V.</v>
      </c>
      <c r="C271" t="str">
        <f>BIdetails!J274</f>
        <v>5401058431</v>
      </c>
      <c r="D271" t="str">
        <f>BIdetails!K274</f>
        <v>20</v>
      </c>
      <c r="E271" s="158">
        <f>BIdetails!M274</f>
        <v>-10000</v>
      </c>
      <c r="F271" t="str">
        <f>IF(ISERROR(IF(OR(C271="#",C271=0),"",VLOOKUP(C271,'AOP25'!M:M,1,0))),"Not Found",VLOOKUP(C271,'AOP25'!M:M,1,0))</f>
        <v>Not Found</v>
      </c>
      <c r="G271" t="e">
        <f t="shared" si="4"/>
        <v>#N/A</v>
      </c>
    </row>
    <row r="272" spans="1:7" x14ac:dyDescent="0.25">
      <c r="A272" t="str">
        <f>BIdetails!G275</f>
        <v>129450</v>
      </c>
      <c r="B272" t="str">
        <f>BIdetails!H275</f>
        <v>BT Nederland N.V.</v>
      </c>
      <c r="C272" t="str">
        <f>BIdetails!J275</f>
        <v>5401058431</v>
      </c>
      <c r="D272" t="str">
        <f>BIdetails!K275</f>
        <v>20</v>
      </c>
      <c r="E272" s="158">
        <f>BIdetails!M275</f>
        <v>9303.7099999999991</v>
      </c>
      <c r="F272" t="str">
        <f>IF(ISERROR(IF(OR(C272="#",C272=0),"",VLOOKUP(C272,'AOP25'!M:M,1,0))),"Not Found",VLOOKUP(C272,'AOP25'!M:M,1,0))</f>
        <v>Not Found</v>
      </c>
      <c r="G272" t="e">
        <f t="shared" si="4"/>
        <v>#N/A</v>
      </c>
    </row>
    <row r="273" spans="1:7" hidden="1" x14ac:dyDescent="0.25">
      <c r="A273" t="str">
        <f>BIdetails!G276</f>
        <v>129450</v>
      </c>
      <c r="B273" t="str">
        <f>BIdetails!H276</f>
        <v>BT Nederland N.V.</v>
      </c>
      <c r="C273" t="str">
        <f>BIdetails!J276</f>
        <v>5401058431</v>
      </c>
      <c r="D273" t="str">
        <f>BIdetails!K276</f>
        <v>20</v>
      </c>
      <c r="E273" s="158">
        <f>BIdetails!M276</f>
        <v>55.55</v>
      </c>
      <c r="F273" t="str">
        <f>IF(ISERROR(IF(OR(C273="#",C273=0),"",VLOOKUP(C273,'AOP25'!M:M,1,0))),"Not Found",VLOOKUP(C273,'AOP25'!M:M,1,0))</f>
        <v>Not Found</v>
      </c>
      <c r="G273" t="e">
        <f t="shared" si="4"/>
        <v>#N/A</v>
      </c>
    </row>
    <row r="274" spans="1:7" hidden="1" x14ac:dyDescent="0.25">
      <c r="A274" t="str">
        <f>BIdetails!G277</f>
        <v>129450</v>
      </c>
      <c r="B274" t="str">
        <f>BIdetails!H277</f>
        <v>BT Nederland N.V.</v>
      </c>
      <c r="C274" t="str">
        <f>BIdetails!J277</f>
        <v>5401058431</v>
      </c>
      <c r="D274" t="str">
        <f>BIdetails!K277</f>
        <v>20</v>
      </c>
      <c r="E274" s="158">
        <f>BIdetails!M277</f>
        <v>88.11</v>
      </c>
      <c r="F274" t="str">
        <f>IF(ISERROR(IF(OR(C274="#",C274=0),"",VLOOKUP(C274,'AOP25'!M:M,1,0))),"Not Found",VLOOKUP(C274,'AOP25'!M:M,1,0))</f>
        <v>Not Found</v>
      </c>
      <c r="G274" t="e">
        <f t="shared" si="4"/>
        <v>#N/A</v>
      </c>
    </row>
    <row r="275" spans="1:7" hidden="1" x14ac:dyDescent="0.25">
      <c r="A275" t="str">
        <f>BIdetails!G278</f>
        <v>129450</v>
      </c>
      <c r="B275" t="str">
        <f>BIdetails!H278</f>
        <v>BT Nederland N.V.</v>
      </c>
      <c r="C275" t="str">
        <f>BIdetails!J278</f>
        <v>5401058431</v>
      </c>
      <c r="D275" t="str">
        <f>BIdetails!K278</f>
        <v>20</v>
      </c>
      <c r="E275" s="158">
        <f>BIdetails!M278</f>
        <v>171.5</v>
      </c>
      <c r="F275" t="str">
        <f>IF(ISERROR(IF(OR(C275="#",C275=0),"",VLOOKUP(C275,'AOP25'!M:M,1,0))),"Not Found",VLOOKUP(C275,'AOP25'!M:M,1,0))</f>
        <v>Not Found</v>
      </c>
      <c r="G275" t="e">
        <f t="shared" si="4"/>
        <v>#N/A</v>
      </c>
    </row>
    <row r="276" spans="1:7" hidden="1" x14ac:dyDescent="0.25">
      <c r="A276" t="str">
        <f>BIdetails!G279</f>
        <v>129450</v>
      </c>
      <c r="B276" t="str">
        <f>BIdetails!H279</f>
        <v>BT Nederland N.V.</v>
      </c>
      <c r="C276" t="str">
        <f>BIdetails!J279</f>
        <v>5401058431</v>
      </c>
      <c r="D276" t="str">
        <f>BIdetails!K279</f>
        <v>20</v>
      </c>
      <c r="E276" s="158">
        <f>BIdetails!M279</f>
        <v>708.71</v>
      </c>
      <c r="F276" t="str">
        <f>IF(ISERROR(IF(OR(C276="#",C276=0),"",VLOOKUP(C276,'AOP25'!M:M,1,0))),"Not Found",VLOOKUP(C276,'AOP25'!M:M,1,0))</f>
        <v>Not Found</v>
      </c>
      <c r="G276" t="e">
        <f t="shared" si="4"/>
        <v>#N/A</v>
      </c>
    </row>
    <row r="277" spans="1:7" hidden="1" x14ac:dyDescent="0.25">
      <c r="A277" t="str">
        <f>BIdetails!G280</f>
        <v>129450</v>
      </c>
      <c r="B277" t="str">
        <f>BIdetails!H280</f>
        <v>BT Nederland N.V.</v>
      </c>
      <c r="C277" t="str">
        <f>BIdetails!J280</f>
        <v>5401058431</v>
      </c>
      <c r="D277" t="str">
        <f>BIdetails!K280</f>
        <v>20</v>
      </c>
      <c r="E277" s="158">
        <f>BIdetails!M280</f>
        <v>-5500</v>
      </c>
      <c r="F277" t="str">
        <f>IF(ISERROR(IF(OR(C277="#",C277=0),"",VLOOKUP(C277,'AOP25'!M:M,1,0))),"Not Found",VLOOKUP(C277,'AOP25'!M:M,1,0))</f>
        <v>Not Found</v>
      </c>
      <c r="G277" t="e">
        <f t="shared" si="4"/>
        <v>#N/A</v>
      </c>
    </row>
    <row r="278" spans="1:7" x14ac:dyDescent="0.25">
      <c r="A278" t="str">
        <f>BIdetails!G281</f>
        <v>129450</v>
      </c>
      <c r="B278" t="str">
        <f>BIdetails!H281</f>
        <v>BT Nederland N.V.</v>
      </c>
      <c r="C278" t="str">
        <f>BIdetails!J281</f>
        <v>5401058431</v>
      </c>
      <c r="D278" t="str">
        <f>BIdetails!K281</f>
        <v>20</v>
      </c>
      <c r="E278" s="158">
        <f>BIdetails!M281</f>
        <v>5250.12</v>
      </c>
      <c r="F278" t="str">
        <f>IF(ISERROR(IF(OR(C278="#",C278=0),"",VLOOKUP(C278,'AOP25'!M:M,1,0))),"Not Found",VLOOKUP(C278,'AOP25'!M:M,1,0))</f>
        <v>Not Found</v>
      </c>
      <c r="G278" t="e">
        <f t="shared" si="4"/>
        <v>#N/A</v>
      </c>
    </row>
    <row r="279" spans="1:7" x14ac:dyDescent="0.25">
      <c r="A279" t="str">
        <f>BIdetails!G282</f>
        <v>129450</v>
      </c>
      <c r="B279" t="str">
        <f>BIdetails!H282</f>
        <v>BT Nederland N.V.</v>
      </c>
      <c r="C279" t="str">
        <f>BIdetails!J282</f>
        <v>5401058431</v>
      </c>
      <c r="D279" t="str">
        <f>BIdetails!K282</f>
        <v>20</v>
      </c>
      <c r="E279" s="158">
        <f>BIdetails!M282</f>
        <v>5253.73</v>
      </c>
      <c r="F279" t="str">
        <f>IF(ISERROR(IF(OR(C279="#",C279=0),"",VLOOKUP(C279,'AOP25'!M:M,1,0))),"Not Found",VLOOKUP(C279,'AOP25'!M:M,1,0))</f>
        <v>Not Found</v>
      </c>
      <c r="G279" t="e">
        <f t="shared" si="4"/>
        <v>#N/A</v>
      </c>
    </row>
    <row r="280" spans="1:7" x14ac:dyDescent="0.25">
      <c r="A280" t="str">
        <f>BIdetails!G283</f>
        <v>129450</v>
      </c>
      <c r="B280" t="str">
        <f>BIdetails!H283</f>
        <v>BT Nederland N.V.</v>
      </c>
      <c r="C280" t="str">
        <f>BIdetails!J283</f>
        <v>5401058431</v>
      </c>
      <c r="D280" t="str">
        <f>BIdetails!K283</f>
        <v>20</v>
      </c>
      <c r="E280" s="158">
        <f>BIdetails!M283</f>
        <v>10000</v>
      </c>
      <c r="F280" t="str">
        <f>IF(ISERROR(IF(OR(C280="#",C280=0),"",VLOOKUP(C280,'AOP25'!M:M,1,0))),"Not Found",VLOOKUP(C280,'AOP25'!M:M,1,0))</f>
        <v>Not Found</v>
      </c>
      <c r="G280" t="e">
        <f t="shared" si="4"/>
        <v>#N/A</v>
      </c>
    </row>
    <row r="281" spans="1:7" x14ac:dyDescent="0.25">
      <c r="A281" t="str">
        <f>BIdetails!G284</f>
        <v>129450</v>
      </c>
      <c r="B281" t="str">
        <f>BIdetails!H284</f>
        <v>BT Nederland N.V.</v>
      </c>
      <c r="C281" t="str">
        <f>BIdetails!J284</f>
        <v>5401058431</v>
      </c>
      <c r="D281" t="str">
        <f>BIdetails!K284</f>
        <v>20</v>
      </c>
      <c r="E281" s="158">
        <f>BIdetails!M284</f>
        <v>250.91</v>
      </c>
      <c r="F281" t="str">
        <f>IF(ISERROR(IF(OR(C281="#",C281=0),"",VLOOKUP(C281,'AOP25'!M:M,1,0))),"Not Found",VLOOKUP(C281,'AOP25'!M:M,1,0))</f>
        <v>Not Found</v>
      </c>
      <c r="G281" t="e">
        <f t="shared" si="4"/>
        <v>#N/A</v>
      </c>
    </row>
    <row r="282" spans="1:7" x14ac:dyDescent="0.25">
      <c r="A282" t="str">
        <f>BIdetails!G285</f>
        <v>129450</v>
      </c>
      <c r="B282" t="str">
        <f>BIdetails!H285</f>
        <v>BT Nederland N.V.</v>
      </c>
      <c r="C282" t="str">
        <f>BIdetails!J285</f>
        <v>5401058431</v>
      </c>
      <c r="D282" t="str">
        <f>BIdetails!K285</f>
        <v>20</v>
      </c>
      <c r="E282" s="158">
        <f>BIdetails!M285</f>
        <v>5360.3</v>
      </c>
      <c r="F282" t="str">
        <f>IF(ISERROR(IF(OR(C282="#",C282=0),"",VLOOKUP(C282,'AOP25'!M:M,1,0))),"Not Found",VLOOKUP(C282,'AOP25'!M:M,1,0))</f>
        <v>Not Found</v>
      </c>
      <c r="G282" t="e">
        <f t="shared" si="4"/>
        <v>#N/A</v>
      </c>
    </row>
    <row r="283" spans="1:7" x14ac:dyDescent="0.25">
      <c r="A283" t="str">
        <f>BIdetails!G286</f>
        <v>129450</v>
      </c>
      <c r="B283" t="str">
        <f>BIdetails!H286</f>
        <v>BT Nederland N.V.</v>
      </c>
      <c r="C283" t="str">
        <f>BIdetails!J286</f>
        <v>5401058431</v>
      </c>
      <c r="D283" t="str">
        <f>BIdetails!K286</f>
        <v>20</v>
      </c>
      <c r="E283" s="158">
        <f>BIdetails!M286</f>
        <v>5222.71</v>
      </c>
      <c r="F283" t="str">
        <f>IF(ISERROR(IF(OR(C283="#",C283=0),"",VLOOKUP(C283,'AOP25'!M:M,1,0))),"Not Found",VLOOKUP(C283,'AOP25'!M:M,1,0))</f>
        <v>Not Found</v>
      </c>
      <c r="G283" t="e">
        <f t="shared" si="4"/>
        <v>#N/A</v>
      </c>
    </row>
    <row r="284" spans="1:7" hidden="1" x14ac:dyDescent="0.25">
      <c r="A284" t="str">
        <f>BIdetails!G287</f>
        <v>129450</v>
      </c>
      <c r="B284" t="str">
        <f>BIdetails!H287</f>
        <v>BT Nederland N.V.</v>
      </c>
      <c r="C284" t="str">
        <f>BIdetails!J287</f>
        <v>5401058431</v>
      </c>
      <c r="D284" t="str">
        <f>BIdetails!K287</f>
        <v>20</v>
      </c>
      <c r="E284" s="158">
        <f>BIdetails!M287</f>
        <v>10265.709999999999</v>
      </c>
      <c r="F284" t="str">
        <f>IF(ISERROR(IF(OR(C284="#",C284=0),"",VLOOKUP(C284,'AOP25'!M:M,1,0))),"Not Found",VLOOKUP(C284,'AOP25'!M:M,1,0))</f>
        <v>Not Found</v>
      </c>
      <c r="G284" t="e">
        <f t="shared" si="4"/>
        <v>#N/A</v>
      </c>
    </row>
    <row r="285" spans="1:7" x14ac:dyDescent="0.25">
      <c r="A285" t="str">
        <f>BIdetails!G288</f>
        <v>129450</v>
      </c>
      <c r="B285" t="str">
        <f>BIdetails!H288</f>
        <v>BT Nederland N.V.</v>
      </c>
      <c r="C285" t="str">
        <f>BIdetails!J288</f>
        <v>5401058431</v>
      </c>
      <c r="D285" t="str">
        <f>BIdetails!K288</f>
        <v>20</v>
      </c>
      <c r="E285" s="158">
        <f>BIdetails!M288</f>
        <v>10233.15</v>
      </c>
      <c r="F285" t="str">
        <f>IF(ISERROR(IF(OR(C285="#",C285=0),"",VLOOKUP(C285,'AOP25'!M:M,1,0))),"Not Found",VLOOKUP(C285,'AOP25'!M:M,1,0))</f>
        <v>Not Found</v>
      </c>
      <c r="G285" t="e">
        <f t="shared" si="4"/>
        <v>#N/A</v>
      </c>
    </row>
    <row r="286" spans="1:7" x14ac:dyDescent="0.25">
      <c r="A286" t="str">
        <f>BIdetails!G289</f>
        <v>129450</v>
      </c>
      <c r="B286" t="str">
        <f>BIdetails!H289</f>
        <v>BT Nederland N.V.</v>
      </c>
      <c r="C286" t="str">
        <f>BIdetails!J289</f>
        <v>5401058431</v>
      </c>
      <c r="D286" t="str">
        <f>BIdetails!K289</f>
        <v>20</v>
      </c>
      <c r="E286" s="158">
        <f>BIdetails!M289</f>
        <v>5223.33</v>
      </c>
      <c r="F286" t="str">
        <f>IF(ISERROR(IF(OR(C286="#",C286=0),"",VLOOKUP(C286,'AOP25'!M:M,1,0))),"Not Found",VLOOKUP(C286,'AOP25'!M:M,1,0))</f>
        <v>Not Found</v>
      </c>
      <c r="G286" t="e">
        <f t="shared" si="4"/>
        <v>#N/A</v>
      </c>
    </row>
    <row r="287" spans="1:7" x14ac:dyDescent="0.25">
      <c r="A287" t="str">
        <f>BIdetails!G290</f>
        <v>129450</v>
      </c>
      <c r="B287" t="str">
        <f>BIdetails!H290</f>
        <v>BT Nederland N.V.</v>
      </c>
      <c r="C287" t="str">
        <f>BIdetails!J290</f>
        <v>5401058431</v>
      </c>
      <c r="D287" t="str">
        <f>BIdetails!K290</f>
        <v>20</v>
      </c>
      <c r="E287" s="158">
        <f>BIdetails!M290</f>
        <v>-500</v>
      </c>
      <c r="F287" t="str">
        <f>IF(ISERROR(IF(OR(C287="#",C287=0),"",VLOOKUP(C287,'AOP25'!M:M,1,0))),"Not Found",VLOOKUP(C287,'AOP25'!M:M,1,0))</f>
        <v>Not Found</v>
      </c>
      <c r="G287" t="e">
        <f t="shared" si="4"/>
        <v>#N/A</v>
      </c>
    </row>
    <row r="288" spans="1:7" x14ac:dyDescent="0.25">
      <c r="A288" t="str">
        <f>BIdetails!G291</f>
        <v>168422</v>
      </c>
      <c r="B288" t="str">
        <f>BIdetails!H291</f>
        <v>ReleaseTMS B.V.</v>
      </c>
      <c r="C288" t="str">
        <f>BIdetails!J291</f>
        <v>5400960037</v>
      </c>
      <c r="D288" t="str">
        <f>BIdetails!K291</f>
        <v>10</v>
      </c>
      <c r="E288" s="158">
        <f>BIdetails!M291</f>
        <v>7290</v>
      </c>
      <c r="F288" t="str">
        <f>IF(ISERROR(IF(OR(C288="#",C288=0),"",VLOOKUP(C288,'AOP25'!M:M,1,0))),"Not Found",VLOOKUP(C288,'AOP25'!M:M,1,0))</f>
        <v>Not Found</v>
      </c>
      <c r="G288" t="e">
        <f t="shared" si="4"/>
        <v>#N/A</v>
      </c>
    </row>
    <row r="289" spans="1:7" x14ac:dyDescent="0.25">
      <c r="A289" t="str">
        <f>BIdetails!G292</f>
        <v>168422</v>
      </c>
      <c r="B289" t="str">
        <f>BIdetails!H292</f>
        <v>ReleaseTMS B.V.</v>
      </c>
      <c r="C289" t="str">
        <f>BIdetails!J292</f>
        <v>5400960037</v>
      </c>
      <c r="D289" t="str">
        <f>BIdetails!K292</f>
        <v>10</v>
      </c>
      <c r="E289" s="158">
        <f>BIdetails!M292</f>
        <v>7290</v>
      </c>
      <c r="F289" t="str">
        <f>IF(ISERROR(IF(OR(C289="#",C289=0),"",VLOOKUP(C289,'AOP25'!M:M,1,0))),"Not Found",VLOOKUP(C289,'AOP25'!M:M,1,0))</f>
        <v>Not Found</v>
      </c>
      <c r="G289" t="e">
        <f t="shared" si="4"/>
        <v>#N/A</v>
      </c>
    </row>
    <row r="290" spans="1:7" x14ac:dyDescent="0.25">
      <c r="A290" t="str">
        <f>BIdetails!G293</f>
        <v>187516</v>
      </c>
      <c r="B290" t="str">
        <f>BIdetails!H293</f>
        <v>Accenture B.V.</v>
      </c>
      <c r="C290" t="str">
        <f>BIdetails!J293</f>
        <v>5400853131</v>
      </c>
      <c r="D290" t="str">
        <f>BIdetails!K293</f>
        <v>20</v>
      </c>
      <c r="E290" s="158">
        <f>BIdetails!M293</f>
        <v>5985</v>
      </c>
      <c r="F290" t="str">
        <f>IF(ISERROR(IF(OR(C290="#",C290=0),"",VLOOKUP(C290,'AOP25'!M:M,1,0))),"Not Found",VLOOKUP(C290,'AOP25'!M:M,1,0))</f>
        <v>Not Found</v>
      </c>
      <c r="G290" t="e">
        <f t="shared" si="4"/>
        <v>#N/A</v>
      </c>
    </row>
    <row r="291" spans="1:7" x14ac:dyDescent="0.25">
      <c r="A291" t="str">
        <f>BIdetails!G294</f>
        <v>187516</v>
      </c>
      <c r="B291" t="str">
        <f>BIdetails!H294</f>
        <v>Accenture B.V.</v>
      </c>
      <c r="C291" t="str">
        <f>BIdetails!J294</f>
        <v>5400853131</v>
      </c>
      <c r="D291" t="str">
        <f>BIdetails!K294</f>
        <v>20</v>
      </c>
      <c r="E291" s="158">
        <f>BIdetails!M294</f>
        <v>5985</v>
      </c>
      <c r="F291" t="str">
        <f>IF(ISERROR(IF(OR(C291="#",C291=0),"",VLOOKUP(C291,'AOP25'!M:M,1,0))),"Not Found",VLOOKUP(C291,'AOP25'!M:M,1,0))</f>
        <v>Not Found</v>
      </c>
      <c r="G291" t="e">
        <f t="shared" si="4"/>
        <v>#N/A</v>
      </c>
    </row>
    <row r="292" spans="1:7" x14ac:dyDescent="0.25">
      <c r="A292" t="str">
        <f>BIdetails!G295</f>
        <v>187516</v>
      </c>
      <c r="B292" t="str">
        <f>BIdetails!H295</f>
        <v>Accenture B.V.</v>
      </c>
      <c r="C292" t="str">
        <f>BIdetails!J295</f>
        <v>5400853131</v>
      </c>
      <c r="D292" t="str">
        <f>BIdetails!K295</f>
        <v>20</v>
      </c>
      <c r="E292" s="158">
        <f>BIdetails!M295</f>
        <v>5985</v>
      </c>
      <c r="F292" t="str">
        <f>IF(ISERROR(IF(OR(C292="#",C292=0),"",VLOOKUP(C292,'AOP25'!M:M,1,0))),"Not Found",VLOOKUP(C292,'AOP25'!M:M,1,0))</f>
        <v>Not Found</v>
      </c>
      <c r="G292" t="e">
        <f t="shared" si="4"/>
        <v>#N/A</v>
      </c>
    </row>
    <row r="293" spans="1:7" hidden="1" x14ac:dyDescent="0.25">
      <c r="A293" t="str">
        <f>BIdetails!G296</f>
        <v>187516</v>
      </c>
      <c r="B293" t="str">
        <f>BIdetails!H296</f>
        <v>Accenture B.V.</v>
      </c>
      <c r="C293" t="str">
        <f>BIdetails!J296</f>
        <v>5400853131</v>
      </c>
      <c r="D293" t="str">
        <f>BIdetails!K296</f>
        <v>20</v>
      </c>
      <c r="E293" s="158">
        <f>BIdetails!M296</f>
        <v>5985</v>
      </c>
      <c r="F293" t="str">
        <f>IF(ISERROR(IF(OR(C293="#",C293=0),"",VLOOKUP(C293,'AOP25'!M:M,1,0))),"Not Found",VLOOKUP(C293,'AOP25'!M:M,1,0))</f>
        <v>Not Found</v>
      </c>
      <c r="G293" t="e">
        <f t="shared" si="4"/>
        <v>#N/A</v>
      </c>
    </row>
    <row r="294" spans="1:7" hidden="1" x14ac:dyDescent="0.25">
      <c r="A294" t="str">
        <f>BIdetails!G297</f>
        <v>187516</v>
      </c>
      <c r="B294" t="str">
        <f>BIdetails!H297</f>
        <v>Accenture B.V.</v>
      </c>
      <c r="C294" t="str">
        <f>BIdetails!J297</f>
        <v>5400853131</v>
      </c>
      <c r="D294" t="str">
        <f>BIdetails!K297</f>
        <v>20</v>
      </c>
      <c r="E294" s="158">
        <f>BIdetails!M297</f>
        <v>5985</v>
      </c>
      <c r="F294" t="str">
        <f>IF(ISERROR(IF(OR(C294="#",C294=0),"",VLOOKUP(C294,'AOP25'!M:M,1,0))),"Not Found",VLOOKUP(C294,'AOP25'!M:M,1,0))</f>
        <v>Not Found</v>
      </c>
      <c r="G294" t="e">
        <f t="shared" si="4"/>
        <v>#N/A</v>
      </c>
    </row>
    <row r="295" spans="1:7" x14ac:dyDescent="0.25">
      <c r="A295" t="str">
        <f>BIdetails!G298</f>
        <v>187516</v>
      </c>
      <c r="B295" t="str">
        <f>BIdetails!H298</f>
        <v>Accenture B.V.</v>
      </c>
      <c r="C295" t="str">
        <f>BIdetails!J298</f>
        <v>5400853131</v>
      </c>
      <c r="D295" t="str">
        <f>BIdetails!K298</f>
        <v>20</v>
      </c>
      <c r="E295" s="158">
        <f>BIdetails!M298</f>
        <v>5985</v>
      </c>
      <c r="F295" t="str">
        <f>IF(ISERROR(IF(OR(C295="#",C295=0),"",VLOOKUP(C295,'AOP25'!M:M,1,0))),"Not Found",VLOOKUP(C295,'AOP25'!M:M,1,0))</f>
        <v>Not Found</v>
      </c>
      <c r="G295" t="e">
        <f t="shared" si="4"/>
        <v>#N/A</v>
      </c>
    </row>
    <row r="296" spans="1:7" hidden="1" x14ac:dyDescent="0.25">
      <c r="A296" t="str">
        <f>BIdetails!G299</f>
        <v>120252</v>
      </c>
      <c r="B296" t="str">
        <f>BIdetails!H299</f>
        <v>Eviden Netherlands B.V.</v>
      </c>
      <c r="C296" t="str">
        <f>BIdetails!J299</f>
        <v>5401023590</v>
      </c>
      <c r="D296" t="str">
        <f>BIdetails!K299</f>
        <v>10</v>
      </c>
      <c r="E296" s="158">
        <f>BIdetails!M299</f>
        <v>8571.9699999999993</v>
      </c>
      <c r="F296" t="str">
        <f>IF(ISERROR(IF(OR(C296="#",C296=0),"",VLOOKUP(C296,'AOP25'!M:M,1,0))),"Not Found",VLOOKUP(C296,'AOP25'!M:M,1,0))</f>
        <v>Not Found</v>
      </c>
      <c r="G296" t="e">
        <f t="shared" si="4"/>
        <v>#N/A</v>
      </c>
    </row>
    <row r="297" spans="1:7" hidden="1" x14ac:dyDescent="0.25">
      <c r="A297" t="str">
        <f>BIdetails!G300</f>
        <v>120252</v>
      </c>
      <c r="B297" t="str">
        <f>BIdetails!H300</f>
        <v>Eviden Netherlands B.V.</v>
      </c>
      <c r="C297" t="str">
        <f>BIdetails!J300</f>
        <v>5401087887</v>
      </c>
      <c r="D297" t="str">
        <f>BIdetails!K300</f>
        <v>10</v>
      </c>
      <c r="E297" s="158">
        <f>BIdetails!M300</f>
        <v>150000</v>
      </c>
      <c r="F297" t="str">
        <f>IF(ISERROR(IF(OR(C297="#",C297=0),"",VLOOKUP(C297,'AOP25'!M:M,1,0))),"Not Found",VLOOKUP(C297,'AOP25'!M:M,1,0))</f>
        <v>Not Found</v>
      </c>
      <c r="G297" t="e">
        <f t="shared" si="4"/>
        <v>#N/A</v>
      </c>
    </row>
    <row r="298" spans="1:7" hidden="1" x14ac:dyDescent="0.25">
      <c r="A298" t="str">
        <f>BIdetails!G301</f>
        <v>120252</v>
      </c>
      <c r="B298" t="str">
        <f>BIdetails!H301</f>
        <v>Eviden Netherlands B.V.</v>
      </c>
      <c r="C298" t="str">
        <f>BIdetails!J301</f>
        <v>5401023592</v>
      </c>
      <c r="D298" t="str">
        <f>BIdetails!K301</f>
        <v>10</v>
      </c>
      <c r="E298" s="158">
        <f>BIdetails!M301</f>
        <v>-5000</v>
      </c>
      <c r="F298" t="str">
        <f>IF(ISERROR(IF(OR(C298="#",C298=0),"",VLOOKUP(C298,'AOP25'!M:M,1,0))),"Not Found",VLOOKUP(C298,'AOP25'!M:M,1,0))</f>
        <v>Not Found</v>
      </c>
      <c r="G298" t="e">
        <f t="shared" si="4"/>
        <v>#N/A</v>
      </c>
    </row>
    <row r="299" spans="1:7" hidden="1" x14ac:dyDescent="0.25">
      <c r="A299" t="str">
        <f>BIdetails!G302</f>
        <v>120252</v>
      </c>
      <c r="B299" t="str">
        <f>BIdetails!H302</f>
        <v>Eviden Netherlands B.V.</v>
      </c>
      <c r="C299" t="str">
        <f>BIdetails!J302</f>
        <v>5401023592</v>
      </c>
      <c r="D299" t="str">
        <f>BIdetails!K302</f>
        <v>10</v>
      </c>
      <c r="E299" s="158">
        <f>BIdetails!M302</f>
        <v>1029.05</v>
      </c>
      <c r="F299" t="str">
        <f>IF(ISERROR(IF(OR(C299="#",C299=0),"",VLOOKUP(C299,'AOP25'!M:M,1,0))),"Not Found",VLOOKUP(C299,'AOP25'!M:M,1,0))</f>
        <v>Not Found</v>
      </c>
      <c r="G299" t="e">
        <f t="shared" si="4"/>
        <v>#N/A</v>
      </c>
    </row>
    <row r="300" spans="1:7" hidden="1" x14ac:dyDescent="0.25">
      <c r="A300" t="str">
        <f>BIdetails!G303</f>
        <v>120252</v>
      </c>
      <c r="B300" t="str">
        <f>BIdetails!H303</f>
        <v>Eviden Netherlands B.V.</v>
      </c>
      <c r="C300" t="str">
        <f>BIdetails!J303</f>
        <v>5401023592</v>
      </c>
      <c r="D300" t="str">
        <f>BIdetails!K303</f>
        <v>10</v>
      </c>
      <c r="E300" s="158">
        <f>BIdetails!M303</f>
        <v>3970.95</v>
      </c>
      <c r="F300" t="str">
        <f>IF(ISERROR(IF(OR(C300="#",C300=0),"",VLOOKUP(C300,'AOP25'!M:M,1,0))),"Not Found",VLOOKUP(C300,'AOP25'!M:M,1,0))</f>
        <v>Not Found</v>
      </c>
      <c r="G300" t="e">
        <f t="shared" si="4"/>
        <v>#N/A</v>
      </c>
    </row>
    <row r="301" spans="1:7" x14ac:dyDescent="0.25">
      <c r="A301" t="str">
        <f>BIdetails!G304</f>
        <v>120252</v>
      </c>
      <c r="B301" t="str">
        <f>BIdetails!H304</f>
        <v>Eviden Netherlands B.V.</v>
      </c>
      <c r="C301" t="str">
        <f>BIdetails!J304</f>
        <v>5401023592</v>
      </c>
      <c r="D301" t="str">
        <f>BIdetails!K304</f>
        <v>10</v>
      </c>
      <c r="E301" s="158">
        <f>BIdetails!M304</f>
        <v>277.2</v>
      </c>
      <c r="F301" t="str">
        <f>IF(ISERROR(IF(OR(C301="#",C301=0),"",VLOOKUP(C301,'AOP25'!M:M,1,0))),"Not Found",VLOOKUP(C301,'AOP25'!M:M,1,0))</f>
        <v>Not Found</v>
      </c>
      <c r="G301" t="e">
        <f t="shared" si="4"/>
        <v>#N/A</v>
      </c>
    </row>
    <row r="302" spans="1:7" x14ac:dyDescent="0.25">
      <c r="A302" t="str">
        <f>BIdetails!G305</f>
        <v>120252</v>
      </c>
      <c r="B302" t="str">
        <f>BIdetails!H305</f>
        <v>Eviden Netherlands B.V.</v>
      </c>
      <c r="C302" t="str">
        <f>BIdetails!J305</f>
        <v>5401023590</v>
      </c>
      <c r="D302" t="str">
        <f>BIdetails!K305</f>
        <v>10</v>
      </c>
      <c r="E302" s="158">
        <f>BIdetails!M305</f>
        <v>8675.51</v>
      </c>
      <c r="F302" t="str">
        <f>IF(ISERROR(IF(OR(C302="#",C302=0),"",VLOOKUP(C302,'AOP25'!M:M,1,0))),"Not Found",VLOOKUP(C302,'AOP25'!M:M,1,0))</f>
        <v>Not Found</v>
      </c>
      <c r="G302" t="e">
        <f t="shared" si="4"/>
        <v>#N/A</v>
      </c>
    </row>
    <row r="303" spans="1:7" hidden="1" x14ac:dyDescent="0.25">
      <c r="A303" t="str">
        <f>BIdetails!G306</f>
        <v>120252</v>
      </c>
      <c r="B303" t="str">
        <f>BIdetails!H306</f>
        <v>Eviden Netherlands B.V.</v>
      </c>
      <c r="C303" t="str">
        <f>BIdetails!J306</f>
        <v>5401023592</v>
      </c>
      <c r="D303" t="str">
        <f>BIdetails!K306</f>
        <v>10</v>
      </c>
      <c r="E303" s="158">
        <f>BIdetails!M306</f>
        <v>-3970.95</v>
      </c>
      <c r="F303" t="str">
        <f>IF(ISERROR(IF(OR(C303="#",C303=0),"",VLOOKUP(C303,'AOP25'!M:M,1,0))),"Not Found",VLOOKUP(C303,'AOP25'!M:M,1,0))</f>
        <v>Not Found</v>
      </c>
      <c r="G303" t="e">
        <f t="shared" si="4"/>
        <v>#N/A</v>
      </c>
    </row>
    <row r="304" spans="1:7" hidden="1" x14ac:dyDescent="0.25">
      <c r="A304" t="str">
        <f>BIdetails!G307</f>
        <v>120252</v>
      </c>
      <c r="B304" t="str">
        <f>BIdetails!H307</f>
        <v>Eviden Netherlands B.V.</v>
      </c>
      <c r="C304" t="str">
        <f>BIdetails!J307</f>
        <v>5401023592</v>
      </c>
      <c r="D304" t="str">
        <f>BIdetails!K307</f>
        <v>10</v>
      </c>
      <c r="E304" s="158">
        <f>BIdetails!M307</f>
        <v>221.64</v>
      </c>
      <c r="F304" t="str">
        <f>IF(ISERROR(IF(OR(C304="#",C304=0),"",VLOOKUP(C304,'AOP25'!M:M,1,0))),"Not Found",VLOOKUP(C304,'AOP25'!M:M,1,0))</f>
        <v>Not Found</v>
      </c>
      <c r="G304" t="e">
        <f t="shared" si="4"/>
        <v>#N/A</v>
      </c>
    </row>
    <row r="305" spans="1:7" hidden="1" x14ac:dyDescent="0.25">
      <c r="A305" t="str">
        <f>BIdetails!G308</f>
        <v>120252</v>
      </c>
      <c r="B305" t="str">
        <f>BIdetails!H308</f>
        <v>Eviden Netherlands B.V.</v>
      </c>
      <c r="C305" t="str">
        <f>BIdetails!J308</f>
        <v>5401023592</v>
      </c>
      <c r="D305" t="str">
        <f>BIdetails!K308</f>
        <v>10</v>
      </c>
      <c r="E305" s="158">
        <f>BIdetails!M308</f>
        <v>1322.64</v>
      </c>
      <c r="F305" t="str">
        <f>IF(ISERROR(IF(OR(C305="#",C305=0),"",VLOOKUP(C305,'AOP25'!M:M,1,0))),"Not Found",VLOOKUP(C305,'AOP25'!M:M,1,0))</f>
        <v>Not Found</v>
      </c>
      <c r="G305" t="e">
        <f t="shared" si="4"/>
        <v>#N/A</v>
      </c>
    </row>
    <row r="306" spans="1:7" hidden="1" x14ac:dyDescent="0.25">
      <c r="A306" t="str">
        <f>BIdetails!G309</f>
        <v>120252</v>
      </c>
      <c r="B306" t="str">
        <f>BIdetails!H309</f>
        <v>Eviden Netherlands B.V.</v>
      </c>
      <c r="C306" t="str">
        <f>BIdetails!J309</f>
        <v>5401087887</v>
      </c>
      <c r="D306" t="str">
        <f>BIdetails!K309</f>
        <v>10</v>
      </c>
      <c r="E306" s="158">
        <f>BIdetails!M309</f>
        <v>150000</v>
      </c>
      <c r="F306" t="str">
        <f>IF(ISERROR(IF(OR(C306="#",C306=0),"",VLOOKUP(C306,'AOP25'!M:M,1,0))),"Not Found",VLOOKUP(C306,'AOP25'!M:M,1,0))</f>
        <v>Not Found</v>
      </c>
      <c r="G306" t="e">
        <f t="shared" si="4"/>
        <v>#N/A</v>
      </c>
    </row>
    <row r="307" spans="1:7" hidden="1" x14ac:dyDescent="0.25">
      <c r="A307" t="str">
        <f>BIdetails!G310</f>
        <v>120252</v>
      </c>
      <c r="B307" t="str">
        <f>BIdetails!H310</f>
        <v>Eviden Netherlands B.V.</v>
      </c>
      <c r="C307" t="str">
        <f>BIdetails!J310</f>
        <v>5401087891</v>
      </c>
      <c r="D307" t="str">
        <f>BIdetails!K310</f>
        <v>10</v>
      </c>
      <c r="E307" s="158">
        <f>BIdetails!M310</f>
        <v>8000</v>
      </c>
      <c r="F307" t="str">
        <f>IF(ISERROR(IF(OR(C307="#",C307=0),"",VLOOKUP(C307,'AOP25'!M:M,1,0))),"Not Found",VLOOKUP(C307,'AOP25'!M:M,1,0))</f>
        <v>Not Found</v>
      </c>
      <c r="G307" t="e">
        <f t="shared" si="4"/>
        <v>#N/A</v>
      </c>
    </row>
    <row r="308" spans="1:7" hidden="1" x14ac:dyDescent="0.25">
      <c r="A308" t="str">
        <f>BIdetails!G311</f>
        <v>120252</v>
      </c>
      <c r="B308" t="str">
        <f>BIdetails!H311</f>
        <v>Eviden Netherlands B.V.</v>
      </c>
      <c r="C308" t="str">
        <f>BIdetails!J311</f>
        <v>5401087887</v>
      </c>
      <c r="D308" t="str">
        <f>BIdetails!K311</f>
        <v>10</v>
      </c>
      <c r="E308" s="158">
        <f>BIdetails!M311</f>
        <v>3602.19</v>
      </c>
      <c r="F308" t="str">
        <f>IF(ISERROR(IF(OR(C308="#",C308=0),"",VLOOKUP(C308,'AOP25'!M:M,1,0))),"Not Found",VLOOKUP(C308,'AOP25'!M:M,1,0))</f>
        <v>Not Found</v>
      </c>
      <c r="G308" t="e">
        <f t="shared" si="4"/>
        <v>#N/A</v>
      </c>
    </row>
    <row r="309" spans="1:7" hidden="1" x14ac:dyDescent="0.25">
      <c r="A309" t="str">
        <f>BIdetails!G312</f>
        <v>120252</v>
      </c>
      <c r="B309" t="str">
        <f>BIdetails!H312</f>
        <v>Eviden Netherlands B.V.</v>
      </c>
      <c r="C309" t="str">
        <f>BIdetails!J312</f>
        <v>5401087891</v>
      </c>
      <c r="D309" t="str">
        <f>BIdetails!K312</f>
        <v>10</v>
      </c>
      <c r="E309" s="158">
        <f>BIdetails!M312</f>
        <v>1758.74</v>
      </c>
      <c r="F309" t="str">
        <f>IF(ISERROR(IF(OR(C309="#",C309=0),"",VLOOKUP(C309,'AOP25'!M:M,1,0))),"Not Found",VLOOKUP(C309,'AOP25'!M:M,1,0))</f>
        <v>Not Found</v>
      </c>
      <c r="G309" t="e">
        <f t="shared" si="4"/>
        <v>#N/A</v>
      </c>
    </row>
    <row r="310" spans="1:7" hidden="1" x14ac:dyDescent="0.25">
      <c r="A310" t="str">
        <f>BIdetails!G313</f>
        <v>120252</v>
      </c>
      <c r="B310" t="str">
        <f>BIdetails!H313</f>
        <v>Eviden Netherlands B.V.</v>
      </c>
      <c r="C310" t="str">
        <f>BIdetails!J313</f>
        <v>5401087891</v>
      </c>
      <c r="D310" t="str">
        <f>BIdetails!K313</f>
        <v>10</v>
      </c>
      <c r="E310" s="158">
        <f>BIdetails!M313</f>
        <v>437.51</v>
      </c>
      <c r="F310" t="str">
        <f>IF(ISERROR(IF(OR(C310="#",C310=0),"",VLOOKUP(C310,'AOP25'!M:M,1,0))),"Not Found",VLOOKUP(C310,'AOP25'!M:M,1,0))</f>
        <v>Not Found</v>
      </c>
      <c r="G310" t="e">
        <f t="shared" si="4"/>
        <v>#N/A</v>
      </c>
    </row>
    <row r="311" spans="1:7" hidden="1" x14ac:dyDescent="0.25">
      <c r="A311" t="str">
        <f>BIdetails!G314</f>
        <v>120252</v>
      </c>
      <c r="B311" t="str">
        <f>BIdetails!H314</f>
        <v>Eviden Netherlands B.V.</v>
      </c>
      <c r="C311" t="str">
        <f>BIdetails!J314</f>
        <v>5401087887</v>
      </c>
      <c r="D311" t="str">
        <f>BIdetails!K314</f>
        <v>10</v>
      </c>
      <c r="E311" s="158">
        <f>BIdetails!M314</f>
        <v>4819.2700000000004</v>
      </c>
      <c r="F311" t="str">
        <f>IF(ISERROR(IF(OR(C311="#",C311=0),"",VLOOKUP(C311,'AOP25'!M:M,1,0))),"Not Found",VLOOKUP(C311,'AOP25'!M:M,1,0))</f>
        <v>Not Found</v>
      </c>
      <c r="G311" t="e">
        <f t="shared" si="4"/>
        <v>#N/A</v>
      </c>
    </row>
    <row r="312" spans="1:7" hidden="1" x14ac:dyDescent="0.25">
      <c r="A312" t="str">
        <f>BIdetails!G315</f>
        <v>120252</v>
      </c>
      <c r="B312" t="str">
        <f>BIdetails!H315</f>
        <v>Eviden Netherlands B.V.</v>
      </c>
      <c r="C312" t="str">
        <f>BIdetails!J315</f>
        <v>5401087887</v>
      </c>
      <c r="D312" t="str">
        <f>BIdetails!K315</f>
        <v>10</v>
      </c>
      <c r="E312" s="158">
        <f>BIdetails!M315</f>
        <v>150000</v>
      </c>
      <c r="F312" t="str">
        <f>IF(ISERROR(IF(OR(C312="#",C312=0),"",VLOOKUP(C312,'AOP25'!M:M,1,0))),"Not Found",VLOOKUP(C312,'AOP25'!M:M,1,0))</f>
        <v>Not Found</v>
      </c>
      <c r="G312" t="e">
        <f t="shared" si="4"/>
        <v>#N/A</v>
      </c>
    </row>
    <row r="313" spans="1:7" hidden="1" x14ac:dyDescent="0.25">
      <c r="A313" t="str">
        <f>BIdetails!G316</f>
        <v>120252</v>
      </c>
      <c r="B313" t="str">
        <f>BIdetails!H316</f>
        <v>Eviden Netherlands B.V.</v>
      </c>
      <c r="C313" t="str">
        <f>BIdetails!J316</f>
        <v>5401087891</v>
      </c>
      <c r="D313" t="str">
        <f>BIdetails!K316</f>
        <v>10</v>
      </c>
      <c r="E313" s="158">
        <f>BIdetails!M316</f>
        <v>1707.56</v>
      </c>
      <c r="F313" t="str">
        <f>IF(ISERROR(IF(OR(C313="#",C313=0),"",VLOOKUP(C313,'AOP25'!M:M,1,0))),"Not Found",VLOOKUP(C313,'AOP25'!M:M,1,0))</f>
        <v>Not Found</v>
      </c>
      <c r="G313" t="e">
        <f t="shared" si="4"/>
        <v>#N/A</v>
      </c>
    </row>
    <row r="314" spans="1:7" hidden="1" x14ac:dyDescent="0.25">
      <c r="A314" t="str">
        <f>BIdetails!G317</f>
        <v>120252</v>
      </c>
      <c r="B314" t="str">
        <f>BIdetails!H317</f>
        <v>Eviden Netherlands B.V.</v>
      </c>
      <c r="C314" t="str">
        <f>BIdetails!J317</f>
        <v>5401087891</v>
      </c>
      <c r="D314" t="str">
        <f>BIdetails!K317</f>
        <v>10</v>
      </c>
      <c r="E314" s="158">
        <f>BIdetails!M317</f>
        <v>1424.48</v>
      </c>
      <c r="F314" t="str">
        <f>IF(ISERROR(IF(OR(C314="#",C314=0),"",VLOOKUP(C314,'AOP25'!M:M,1,0))),"Not Found",VLOOKUP(C314,'AOP25'!M:M,1,0))</f>
        <v>Not Found</v>
      </c>
      <c r="G314" t="e">
        <f t="shared" si="4"/>
        <v>#N/A</v>
      </c>
    </row>
    <row r="315" spans="1:7" hidden="1" x14ac:dyDescent="0.25">
      <c r="A315" t="str">
        <f>BIdetails!G318</f>
        <v>120252</v>
      </c>
      <c r="B315" t="str">
        <f>BIdetails!H318</f>
        <v>Eviden Netherlands B.V.</v>
      </c>
      <c r="C315" t="str">
        <f>BIdetails!J318</f>
        <v>5401087891</v>
      </c>
      <c r="D315" t="str">
        <f>BIdetails!K318</f>
        <v>10</v>
      </c>
      <c r="E315" s="158">
        <f>BIdetails!M318</f>
        <v>1039.04</v>
      </c>
      <c r="F315" t="str">
        <f>IF(ISERROR(IF(OR(C315="#",C315=0),"",VLOOKUP(C315,'AOP25'!M:M,1,0))),"Not Found",VLOOKUP(C315,'AOP25'!M:M,1,0))</f>
        <v>Not Found</v>
      </c>
      <c r="G315" t="e">
        <f t="shared" si="4"/>
        <v>#N/A</v>
      </c>
    </row>
    <row r="316" spans="1:7" hidden="1" x14ac:dyDescent="0.25">
      <c r="A316" t="str">
        <f>BIdetails!G319</f>
        <v>120252</v>
      </c>
      <c r="B316" t="str">
        <f>BIdetails!H319</f>
        <v>Eviden Netherlands B.V.</v>
      </c>
      <c r="C316" t="str">
        <f>BIdetails!J319</f>
        <v>5401023590</v>
      </c>
      <c r="D316" t="str">
        <f>BIdetails!K319</f>
        <v>10</v>
      </c>
      <c r="E316" s="158">
        <f>BIdetails!M319</f>
        <v>3500</v>
      </c>
      <c r="F316" t="str">
        <f>IF(ISERROR(IF(OR(C316="#",C316=0),"",VLOOKUP(C316,'AOP25'!M:M,1,0))),"Not Found",VLOOKUP(C316,'AOP25'!M:M,1,0))</f>
        <v>Not Found</v>
      </c>
      <c r="G316" t="e">
        <f t="shared" si="4"/>
        <v>#N/A</v>
      </c>
    </row>
    <row r="317" spans="1:7" hidden="1" x14ac:dyDescent="0.25">
      <c r="A317" t="str">
        <f>BIdetails!G320</f>
        <v>120252</v>
      </c>
      <c r="B317" t="str">
        <f>BIdetails!H320</f>
        <v>Eviden Netherlands B.V.</v>
      </c>
      <c r="C317" t="str">
        <f>BIdetails!J320</f>
        <v>5401023590</v>
      </c>
      <c r="D317" t="str">
        <f>BIdetails!K320</f>
        <v>10</v>
      </c>
      <c r="E317" s="158">
        <f>BIdetails!M320</f>
        <v>-3500</v>
      </c>
      <c r="F317" t="str">
        <f>IF(ISERROR(IF(OR(C317="#",C317=0),"",VLOOKUP(C317,'AOP25'!M:M,1,0))),"Not Found",VLOOKUP(C317,'AOP25'!M:M,1,0))</f>
        <v>Not Found</v>
      </c>
      <c r="G317" t="e">
        <f t="shared" si="4"/>
        <v>#N/A</v>
      </c>
    </row>
    <row r="318" spans="1:7" hidden="1" x14ac:dyDescent="0.25">
      <c r="A318" t="str">
        <f>BIdetails!G321</f>
        <v>120252</v>
      </c>
      <c r="B318" t="str">
        <f>BIdetails!H321</f>
        <v>Eviden Netherlands B.V.</v>
      </c>
      <c r="C318" t="str">
        <f>BIdetails!J321</f>
        <v>5401023590</v>
      </c>
      <c r="D318" t="str">
        <f>BIdetails!K321</f>
        <v>10</v>
      </c>
      <c r="E318" s="158">
        <f>BIdetails!M321</f>
        <v>3500</v>
      </c>
      <c r="F318" t="str">
        <f>IF(ISERROR(IF(OR(C318="#",C318=0),"",VLOOKUP(C318,'AOP25'!M:M,1,0))),"Not Found",VLOOKUP(C318,'AOP25'!M:M,1,0))</f>
        <v>Not Found</v>
      </c>
      <c r="G318" t="e">
        <f t="shared" si="4"/>
        <v>#N/A</v>
      </c>
    </row>
    <row r="319" spans="1:7" hidden="1" x14ac:dyDescent="0.25">
      <c r="A319" t="str">
        <f>BIdetails!G322</f>
        <v>120252</v>
      </c>
      <c r="B319" t="str">
        <f>BIdetails!H322</f>
        <v>Eviden Netherlands B.V.</v>
      </c>
      <c r="C319" t="str">
        <f>BIdetails!J322</f>
        <v>5401087887</v>
      </c>
      <c r="D319" t="str">
        <f>BIdetails!K322</f>
        <v>10</v>
      </c>
      <c r="E319" s="158">
        <f>BIdetails!M322</f>
        <v>1827.77</v>
      </c>
      <c r="F319" t="str">
        <f>IF(ISERROR(IF(OR(C319="#",C319=0),"",VLOOKUP(C319,'AOP25'!M:M,1,0))),"Not Found",VLOOKUP(C319,'AOP25'!M:M,1,0))</f>
        <v>Not Found</v>
      </c>
      <c r="G319" t="e">
        <f t="shared" si="4"/>
        <v>#N/A</v>
      </c>
    </row>
    <row r="320" spans="1:7" x14ac:dyDescent="0.25">
      <c r="A320" t="str">
        <f>BIdetails!G323</f>
        <v>120252</v>
      </c>
      <c r="B320" t="str">
        <f>BIdetails!H323</f>
        <v>Eviden Netherlands B.V.</v>
      </c>
      <c r="C320" t="str">
        <f>BIdetails!J323</f>
        <v>5401087891</v>
      </c>
      <c r="D320" t="str">
        <f>BIdetails!K323</f>
        <v>10</v>
      </c>
      <c r="E320" s="158">
        <f>BIdetails!M323</f>
        <v>3852.96</v>
      </c>
      <c r="F320" t="str">
        <f>IF(ISERROR(IF(OR(C320="#",C320=0),"",VLOOKUP(C320,'AOP25'!M:M,1,0))),"Not Found",VLOOKUP(C320,'AOP25'!M:M,1,0))</f>
        <v>Not Found</v>
      </c>
      <c r="G320" t="e">
        <f t="shared" si="4"/>
        <v>#N/A</v>
      </c>
    </row>
    <row r="321" spans="1:7" hidden="1" x14ac:dyDescent="0.25">
      <c r="A321" t="str">
        <f>BIdetails!G324</f>
        <v>120252</v>
      </c>
      <c r="B321" t="str">
        <f>BIdetails!H324</f>
        <v>Eviden Netherlands B.V.</v>
      </c>
      <c r="C321" t="str">
        <f>BIdetails!J324</f>
        <v>5401087891</v>
      </c>
      <c r="D321" t="str">
        <f>BIdetails!K324</f>
        <v>10</v>
      </c>
      <c r="E321" s="158">
        <f>BIdetails!M324</f>
        <v>2084.04</v>
      </c>
      <c r="F321" t="str">
        <f>IF(ISERROR(IF(OR(C321="#",C321=0),"",VLOOKUP(C321,'AOP25'!M:M,1,0))),"Not Found",VLOOKUP(C321,'AOP25'!M:M,1,0))</f>
        <v>Not Found</v>
      </c>
      <c r="G321" t="e">
        <f t="shared" si="4"/>
        <v>#N/A</v>
      </c>
    </row>
    <row r="322" spans="1:7" hidden="1" x14ac:dyDescent="0.25">
      <c r="A322" t="str">
        <f>BIdetails!G325</f>
        <v>120252</v>
      </c>
      <c r="B322" t="str">
        <f>BIdetails!H325</f>
        <v>Eviden Netherlands B.V.</v>
      </c>
      <c r="C322" t="str">
        <f>BIdetails!J325</f>
        <v>5401087887</v>
      </c>
      <c r="D322" t="str">
        <f>BIdetails!K325</f>
        <v>10</v>
      </c>
      <c r="E322" s="158">
        <f>BIdetails!M325</f>
        <v>150000</v>
      </c>
      <c r="F322" t="str">
        <f>IF(ISERROR(IF(OR(C322="#",C322=0),"",VLOOKUP(C322,'AOP25'!M:M,1,0))),"Not Found",VLOOKUP(C322,'AOP25'!M:M,1,0))</f>
        <v>Not Found</v>
      </c>
      <c r="G322" t="e">
        <f t="shared" si="4"/>
        <v>#N/A</v>
      </c>
    </row>
    <row r="323" spans="1:7" hidden="1" x14ac:dyDescent="0.25">
      <c r="A323" t="str">
        <f>BIdetails!G326</f>
        <v>120252</v>
      </c>
      <c r="B323" t="str">
        <f>BIdetails!H326</f>
        <v>Eviden Netherlands B.V.</v>
      </c>
      <c r="C323" t="str">
        <f>BIdetails!J326</f>
        <v>5401087887</v>
      </c>
      <c r="D323" t="str">
        <f>BIdetails!K326</f>
        <v>10</v>
      </c>
      <c r="E323" s="158">
        <f>BIdetails!M326</f>
        <v>150000</v>
      </c>
      <c r="F323" t="str">
        <f>IF(ISERROR(IF(OR(C323="#",C323=0),"",VLOOKUP(C323,'AOP25'!M:M,1,0))),"Not Found",VLOOKUP(C323,'AOP25'!M:M,1,0))</f>
        <v>Not Found</v>
      </c>
      <c r="G323" t="e">
        <f t="shared" ref="G323:G386" si="5">IF(NOT(ISERROR(VLOOKUP(C323,$K$2:$K$50,1,0))),"Y",VLOOKUP(C323,$K$2:$K$50,1,0))</f>
        <v>#N/A</v>
      </c>
    </row>
    <row r="324" spans="1:7" hidden="1" x14ac:dyDescent="0.25">
      <c r="A324" t="str">
        <f>BIdetails!G327</f>
        <v>120252</v>
      </c>
      <c r="B324" t="str">
        <f>BIdetails!H327</f>
        <v>Eviden Netherlands B.V.</v>
      </c>
      <c r="C324" t="str">
        <f>BIdetails!J327</f>
        <v>5401087887</v>
      </c>
      <c r="D324" t="str">
        <f>BIdetails!K327</f>
        <v>10</v>
      </c>
      <c r="E324" s="158">
        <f>BIdetails!M327</f>
        <v>1842.33</v>
      </c>
      <c r="F324" t="str">
        <f>IF(ISERROR(IF(OR(C324="#",C324=0),"",VLOOKUP(C324,'AOP25'!M:M,1,0))),"Not Found",VLOOKUP(C324,'AOP25'!M:M,1,0))</f>
        <v>Not Found</v>
      </c>
      <c r="G324" t="e">
        <f t="shared" si="5"/>
        <v>#N/A</v>
      </c>
    </row>
    <row r="325" spans="1:7" hidden="1" x14ac:dyDescent="0.25">
      <c r="A325" t="str">
        <f>BIdetails!G328</f>
        <v>120252</v>
      </c>
      <c r="B325" t="str">
        <f>BIdetails!H328</f>
        <v>Eviden Netherlands B.V.</v>
      </c>
      <c r="C325" t="str">
        <f>BIdetails!J328</f>
        <v>5401087891</v>
      </c>
      <c r="D325" t="str">
        <f>BIdetails!K328</f>
        <v>10</v>
      </c>
      <c r="E325" s="158">
        <f>BIdetails!M328</f>
        <v>10094.620000000001</v>
      </c>
      <c r="F325" t="str">
        <f>IF(ISERROR(IF(OR(C325="#",C325=0),"",VLOOKUP(C325,'AOP25'!M:M,1,0))),"Not Found",VLOOKUP(C325,'AOP25'!M:M,1,0))</f>
        <v>Not Found</v>
      </c>
      <c r="G325" t="e">
        <f t="shared" si="5"/>
        <v>#N/A</v>
      </c>
    </row>
    <row r="326" spans="1:7" hidden="1" x14ac:dyDescent="0.25">
      <c r="A326" t="str">
        <f>BIdetails!G329</f>
        <v>120252</v>
      </c>
      <c r="B326" t="str">
        <f>BIdetails!H329</f>
        <v>Eviden Netherlands B.V.</v>
      </c>
      <c r="C326" t="str">
        <f>BIdetails!J329</f>
        <v>5401087891</v>
      </c>
      <c r="D326" t="str">
        <f>BIdetails!K329</f>
        <v>10</v>
      </c>
      <c r="E326" s="158">
        <f>BIdetails!M329</f>
        <v>1205.19</v>
      </c>
      <c r="F326" t="str">
        <f>IF(ISERROR(IF(OR(C326="#",C326=0),"",VLOOKUP(C326,'AOP25'!M:M,1,0))),"Not Found",VLOOKUP(C326,'AOP25'!M:M,1,0))</f>
        <v>Not Found</v>
      </c>
      <c r="G326" t="e">
        <f t="shared" si="5"/>
        <v>#N/A</v>
      </c>
    </row>
    <row r="327" spans="1:7" hidden="1" x14ac:dyDescent="0.25">
      <c r="A327" t="str">
        <f>BIdetails!G330</f>
        <v>120252</v>
      </c>
      <c r="B327" t="str">
        <f>BIdetails!H330</f>
        <v>Eviden Netherlands B.V.</v>
      </c>
      <c r="C327" t="str">
        <f>BIdetails!J330</f>
        <v>5401087887</v>
      </c>
      <c r="D327" t="str">
        <f>BIdetails!K330</f>
        <v>10</v>
      </c>
      <c r="E327" s="158">
        <f>BIdetails!M330</f>
        <v>987.05</v>
      </c>
      <c r="F327" t="str">
        <f>IF(ISERROR(IF(OR(C327="#",C327=0),"",VLOOKUP(C327,'AOP25'!M:M,1,0))),"Not Found",VLOOKUP(C327,'AOP25'!M:M,1,0))</f>
        <v>Not Found</v>
      </c>
      <c r="G327" t="e">
        <f t="shared" si="5"/>
        <v>#N/A</v>
      </c>
    </row>
    <row r="328" spans="1:7" hidden="1" x14ac:dyDescent="0.25">
      <c r="A328" t="str">
        <f>BIdetails!G331</f>
        <v>120252</v>
      </c>
      <c r="B328" t="str">
        <f>BIdetails!H331</f>
        <v>Eviden Netherlands B.V.</v>
      </c>
      <c r="C328" t="str">
        <f>BIdetails!J331</f>
        <v>5401087887</v>
      </c>
      <c r="D328" t="str">
        <f>BIdetails!K331</f>
        <v>10</v>
      </c>
      <c r="E328" s="158">
        <f>BIdetails!M331</f>
        <v>150000</v>
      </c>
      <c r="F328" t="str">
        <f>IF(ISERROR(IF(OR(C328="#",C328=0),"",VLOOKUP(C328,'AOP25'!M:M,1,0))),"Not Found",VLOOKUP(C328,'AOP25'!M:M,1,0))</f>
        <v>Not Found</v>
      </c>
      <c r="G328" t="e">
        <f t="shared" si="5"/>
        <v>#N/A</v>
      </c>
    </row>
    <row r="329" spans="1:7" hidden="1" x14ac:dyDescent="0.25">
      <c r="A329" t="str">
        <f>BIdetails!G332</f>
        <v>120252</v>
      </c>
      <c r="B329" t="str">
        <f>BIdetails!H332</f>
        <v>Eviden Netherlands B.V.</v>
      </c>
      <c r="C329" t="str">
        <f>BIdetails!J332</f>
        <v>5401087891</v>
      </c>
      <c r="D329" t="str">
        <f>BIdetails!K332</f>
        <v>10</v>
      </c>
      <c r="E329" s="158">
        <f>BIdetails!M332</f>
        <v>5000</v>
      </c>
      <c r="F329" t="str">
        <f>IF(ISERROR(IF(OR(C329="#",C329=0),"",VLOOKUP(C329,'AOP25'!M:M,1,0))),"Not Found",VLOOKUP(C329,'AOP25'!M:M,1,0))</f>
        <v>Not Found</v>
      </c>
      <c r="G329" t="e">
        <f t="shared" si="5"/>
        <v>#N/A</v>
      </c>
    </row>
    <row r="330" spans="1:7" x14ac:dyDescent="0.25">
      <c r="A330" t="str">
        <f>BIdetails!G333</f>
        <v>120252</v>
      </c>
      <c r="B330" t="str">
        <f>BIdetails!H333</f>
        <v>Eviden Netherlands B.V.</v>
      </c>
      <c r="C330" t="str">
        <f>BIdetails!J333</f>
        <v>5401087891</v>
      </c>
      <c r="D330" t="str">
        <f>BIdetails!K333</f>
        <v>10</v>
      </c>
      <c r="E330" s="158">
        <f>BIdetails!M333</f>
        <v>5054.17</v>
      </c>
      <c r="F330" t="str">
        <f>IF(ISERROR(IF(OR(C330="#",C330=0),"",VLOOKUP(C330,'AOP25'!M:M,1,0))),"Not Found",VLOOKUP(C330,'AOP25'!M:M,1,0))</f>
        <v>Not Found</v>
      </c>
      <c r="G330" t="e">
        <f t="shared" si="5"/>
        <v>#N/A</v>
      </c>
    </row>
    <row r="331" spans="1:7" hidden="1" x14ac:dyDescent="0.25">
      <c r="A331" t="str">
        <f>BIdetails!G334</f>
        <v>120252</v>
      </c>
      <c r="B331" t="str">
        <f>BIdetails!H334</f>
        <v>Eviden Netherlands B.V.</v>
      </c>
      <c r="C331" t="str">
        <f>BIdetails!J334</f>
        <v>5401087891</v>
      </c>
      <c r="D331" t="str">
        <f>BIdetails!K334</f>
        <v>10</v>
      </c>
      <c r="E331" s="158">
        <f>BIdetails!M334</f>
        <v>8000</v>
      </c>
      <c r="F331" t="str">
        <f>IF(ISERROR(IF(OR(C331="#",C331=0),"",VLOOKUP(C331,'AOP25'!M:M,1,0))),"Not Found",VLOOKUP(C331,'AOP25'!M:M,1,0))</f>
        <v>Not Found</v>
      </c>
      <c r="G331" t="e">
        <f t="shared" si="5"/>
        <v>#N/A</v>
      </c>
    </row>
    <row r="332" spans="1:7" hidden="1" x14ac:dyDescent="0.25">
      <c r="A332" t="str">
        <f>BIdetails!G335</f>
        <v>120252</v>
      </c>
      <c r="B332" t="str">
        <f>BIdetails!H335</f>
        <v>Eviden Netherlands B.V.</v>
      </c>
      <c r="C332" t="str">
        <f>BIdetails!J335</f>
        <v>5401087891</v>
      </c>
      <c r="D332" t="str">
        <f>BIdetails!K335</f>
        <v>10</v>
      </c>
      <c r="E332" s="158">
        <f>BIdetails!M335</f>
        <v>0.3</v>
      </c>
      <c r="F332" t="str">
        <f>IF(ISERROR(IF(OR(C332="#",C332=0),"",VLOOKUP(C332,'AOP25'!M:M,1,0))),"Not Found",VLOOKUP(C332,'AOP25'!M:M,1,0))</f>
        <v>Not Found</v>
      </c>
      <c r="G332" t="e">
        <f t="shared" si="5"/>
        <v>#N/A</v>
      </c>
    </row>
    <row r="333" spans="1:7" hidden="1" x14ac:dyDescent="0.25">
      <c r="A333" t="str">
        <f>BIdetails!G336</f>
        <v>#</v>
      </c>
      <c r="B333" t="str">
        <f>BIdetails!H336</f>
        <v>Not assigned</v>
      </c>
      <c r="C333" t="str">
        <f>BIdetails!J336</f>
        <v>#</v>
      </c>
      <c r="D333" t="str">
        <f>BIdetails!K336</f>
        <v>#</v>
      </c>
      <c r="E333" s="158">
        <f>BIdetails!M336</f>
        <v>-3500</v>
      </c>
      <c r="F333" t="e">
        <f>IF(ISERROR(IF(OR(C333="#",C333=0),"",VLOOKUP(C333,'AOP25'!M:M,1,0))),"Not Found",VLOOKUP(C333,'AOP25'!M:M,1,0))</f>
        <v>#N/A</v>
      </c>
      <c r="G333" t="e">
        <f t="shared" si="5"/>
        <v>#N/A</v>
      </c>
    </row>
    <row r="334" spans="1:7" hidden="1" x14ac:dyDescent="0.25">
      <c r="A334" t="str">
        <f>BIdetails!G337</f>
        <v>118041</v>
      </c>
      <c r="B334" t="str">
        <f>BIdetails!H337</f>
        <v>IBM Nederland B.V.</v>
      </c>
      <c r="C334" t="str">
        <f>BIdetails!J337</f>
        <v>5401047705</v>
      </c>
      <c r="D334" t="str">
        <f>BIdetails!K337</f>
        <v>30</v>
      </c>
      <c r="E334" s="158">
        <f>BIdetails!M337</f>
        <v>14560</v>
      </c>
      <c r="F334" t="str">
        <f>IF(ISERROR(IF(OR(C334="#",C334=0),"",VLOOKUP(C334,'AOP25'!M:M,1,0))),"Not Found",VLOOKUP(C334,'AOP25'!M:M,1,0))</f>
        <v>Not Found</v>
      </c>
      <c r="G334" t="e">
        <f t="shared" si="5"/>
        <v>#N/A</v>
      </c>
    </row>
    <row r="335" spans="1:7" hidden="1" x14ac:dyDescent="0.25">
      <c r="A335" t="str">
        <f>BIdetails!G338</f>
        <v>118041</v>
      </c>
      <c r="B335" t="str">
        <f>BIdetails!H338</f>
        <v>IBM Nederland B.V.</v>
      </c>
      <c r="C335" t="str">
        <f>BIdetails!J338</f>
        <v>5401047705</v>
      </c>
      <c r="D335" t="str">
        <f>BIdetails!K338</f>
        <v>30</v>
      </c>
      <c r="E335" s="158">
        <f>BIdetails!M338</f>
        <v>3600</v>
      </c>
      <c r="F335" t="str">
        <f>IF(ISERROR(IF(OR(C335="#",C335=0),"",VLOOKUP(C335,'AOP25'!M:M,1,0))),"Not Found",VLOOKUP(C335,'AOP25'!M:M,1,0))</f>
        <v>Not Found</v>
      </c>
      <c r="G335" t="e">
        <f t="shared" si="5"/>
        <v>#N/A</v>
      </c>
    </row>
    <row r="336" spans="1:7" hidden="1" x14ac:dyDescent="0.25">
      <c r="A336" t="str">
        <f>BIdetails!G339</f>
        <v>118041</v>
      </c>
      <c r="B336" t="str">
        <f>BIdetails!H339</f>
        <v>IBM Nederland B.V.</v>
      </c>
      <c r="C336" t="str">
        <f>BIdetails!J339</f>
        <v>5401087657</v>
      </c>
      <c r="D336" t="str">
        <f>BIdetails!K339</f>
        <v>10</v>
      </c>
      <c r="E336" s="158">
        <f>BIdetails!M339</f>
        <v>15000</v>
      </c>
      <c r="F336" t="str">
        <f>IF(ISERROR(IF(OR(C336="#",C336=0),"",VLOOKUP(C336,'AOP25'!M:M,1,0))),"Not Found",VLOOKUP(C336,'AOP25'!M:M,1,0))</f>
        <v>Not Found</v>
      </c>
      <c r="G336" t="e">
        <f t="shared" si="5"/>
        <v>#N/A</v>
      </c>
    </row>
    <row r="337" spans="1:7" hidden="1" x14ac:dyDescent="0.25">
      <c r="A337" t="str">
        <f>BIdetails!G340</f>
        <v>118041</v>
      </c>
      <c r="B337" t="str">
        <f>BIdetails!H340</f>
        <v>IBM Nederland B.V.</v>
      </c>
      <c r="C337" t="str">
        <f>BIdetails!J340</f>
        <v>5401087657</v>
      </c>
      <c r="D337" t="str">
        <f>BIdetails!K340</f>
        <v>10</v>
      </c>
      <c r="E337" s="158">
        <f>BIdetails!M340</f>
        <v>15000</v>
      </c>
      <c r="F337" t="str">
        <f>IF(ISERROR(IF(OR(C337="#",C337=0),"",VLOOKUP(C337,'AOP25'!M:M,1,0))),"Not Found",VLOOKUP(C337,'AOP25'!M:M,1,0))</f>
        <v>Not Found</v>
      </c>
      <c r="G337" t="e">
        <f t="shared" si="5"/>
        <v>#N/A</v>
      </c>
    </row>
    <row r="338" spans="1:7" x14ac:dyDescent="0.25">
      <c r="A338" t="str">
        <f>BIdetails!G341</f>
        <v>118041</v>
      </c>
      <c r="B338" t="str">
        <f>BIdetails!H341</f>
        <v>IBM Nederland B.V.</v>
      </c>
      <c r="C338" t="str">
        <f>BIdetails!J341</f>
        <v>5401087657</v>
      </c>
      <c r="D338" t="str">
        <f>BIdetails!K341</f>
        <v>10</v>
      </c>
      <c r="E338" s="158">
        <f>BIdetails!M341</f>
        <v>15000</v>
      </c>
      <c r="F338" t="str">
        <f>IF(ISERROR(IF(OR(C338="#",C338=0),"",VLOOKUP(C338,'AOP25'!M:M,1,0))),"Not Found",VLOOKUP(C338,'AOP25'!M:M,1,0))</f>
        <v>Not Found</v>
      </c>
      <c r="G338" t="e">
        <f t="shared" si="5"/>
        <v>#N/A</v>
      </c>
    </row>
    <row r="339" spans="1:7" x14ac:dyDescent="0.25">
      <c r="A339" t="str">
        <f>BIdetails!G342</f>
        <v>118041</v>
      </c>
      <c r="B339" t="str">
        <f>BIdetails!H342</f>
        <v>IBM Nederland B.V.</v>
      </c>
      <c r="C339" t="str">
        <f>BIdetails!J342</f>
        <v>5401087657</v>
      </c>
      <c r="D339" t="str">
        <f>BIdetails!K342</f>
        <v>10</v>
      </c>
      <c r="E339" s="158">
        <f>BIdetails!M342</f>
        <v>-15000</v>
      </c>
      <c r="F339" t="str">
        <f>IF(ISERROR(IF(OR(C339="#",C339=0),"",VLOOKUP(C339,'AOP25'!M:M,1,0))),"Not Found",VLOOKUP(C339,'AOP25'!M:M,1,0))</f>
        <v>Not Found</v>
      </c>
      <c r="G339" t="e">
        <f t="shared" si="5"/>
        <v>#N/A</v>
      </c>
    </row>
    <row r="340" spans="1:7" x14ac:dyDescent="0.25">
      <c r="A340" t="str">
        <f>BIdetails!G343</f>
        <v>118041</v>
      </c>
      <c r="B340" t="str">
        <f>BIdetails!H343</f>
        <v>IBM Nederland B.V.</v>
      </c>
      <c r="C340" t="str">
        <f>BIdetails!J343</f>
        <v>5401087657</v>
      </c>
      <c r="D340" t="str">
        <f>BIdetails!K343</f>
        <v>10</v>
      </c>
      <c r="E340" s="158">
        <f>BIdetails!M343</f>
        <v>13769.6</v>
      </c>
      <c r="F340" t="str">
        <f>IF(ISERROR(IF(OR(C340="#",C340=0),"",VLOOKUP(C340,'AOP25'!M:M,1,0))),"Not Found",VLOOKUP(C340,'AOP25'!M:M,1,0))</f>
        <v>Not Found</v>
      </c>
      <c r="G340" t="e">
        <f t="shared" si="5"/>
        <v>#N/A</v>
      </c>
    </row>
    <row r="341" spans="1:7" x14ac:dyDescent="0.25">
      <c r="A341" t="str">
        <f>BIdetails!G344</f>
        <v>118041</v>
      </c>
      <c r="B341" t="str">
        <f>BIdetails!H344</f>
        <v>IBM Nederland B.V.</v>
      </c>
      <c r="C341" t="str">
        <f>BIdetails!J344</f>
        <v>5401087657</v>
      </c>
      <c r="D341" t="str">
        <f>BIdetails!K344</f>
        <v>10</v>
      </c>
      <c r="E341" s="158">
        <f>BIdetails!M344</f>
        <v>9856</v>
      </c>
      <c r="F341" t="str">
        <f>IF(ISERROR(IF(OR(C341="#",C341=0),"",VLOOKUP(C341,'AOP25'!M:M,1,0))),"Not Found",VLOOKUP(C341,'AOP25'!M:M,1,0))</f>
        <v>Not Found</v>
      </c>
      <c r="G341" t="e">
        <f t="shared" si="5"/>
        <v>#N/A</v>
      </c>
    </row>
    <row r="342" spans="1:7" x14ac:dyDescent="0.25">
      <c r="A342" t="str">
        <f>BIdetails!G345</f>
        <v>118041</v>
      </c>
      <c r="B342" t="str">
        <f>BIdetails!H345</f>
        <v>IBM Nederland B.V.</v>
      </c>
      <c r="C342" t="str">
        <f>BIdetails!J345</f>
        <v>5401087657</v>
      </c>
      <c r="D342" t="str">
        <f>BIdetails!K345</f>
        <v>10</v>
      </c>
      <c r="E342" s="158">
        <f>BIdetails!M345</f>
        <v>3096</v>
      </c>
      <c r="F342" t="str">
        <f>IF(ISERROR(IF(OR(C342="#",C342=0),"",VLOOKUP(C342,'AOP25'!M:M,1,0))),"Not Found",VLOOKUP(C342,'AOP25'!M:M,1,0))</f>
        <v>Not Found</v>
      </c>
      <c r="G342" t="e">
        <f t="shared" si="5"/>
        <v>#N/A</v>
      </c>
    </row>
    <row r="343" spans="1:7" x14ac:dyDescent="0.25">
      <c r="A343" t="str">
        <f>BIdetails!G346</f>
        <v>118041</v>
      </c>
      <c r="B343" t="str">
        <f>BIdetails!H346</f>
        <v>IBM Nederland B.V.</v>
      </c>
      <c r="C343" t="str">
        <f>BIdetails!J346</f>
        <v>5401087657</v>
      </c>
      <c r="D343" t="str">
        <f>BIdetails!K346</f>
        <v>10</v>
      </c>
      <c r="E343" s="158">
        <f>BIdetails!M346</f>
        <v>11336</v>
      </c>
      <c r="F343" t="str">
        <f>IF(ISERROR(IF(OR(C343="#",C343=0),"",VLOOKUP(C343,'AOP25'!M:M,1,0))),"Not Found",VLOOKUP(C343,'AOP25'!M:M,1,0))</f>
        <v>Not Found</v>
      </c>
      <c r="G343" t="e">
        <f t="shared" si="5"/>
        <v>#N/A</v>
      </c>
    </row>
    <row r="344" spans="1:7" x14ac:dyDescent="0.25">
      <c r="A344" t="str">
        <f>BIdetails!G347</f>
        <v>118041</v>
      </c>
      <c r="B344" t="str">
        <f>BIdetails!H347</f>
        <v>IBM Nederland B.V.</v>
      </c>
      <c r="C344" t="str">
        <f>BIdetails!J347</f>
        <v>5401087657</v>
      </c>
      <c r="D344" t="str">
        <f>BIdetails!K347</f>
        <v>20</v>
      </c>
      <c r="E344" s="158">
        <f>BIdetails!M347</f>
        <v>28745.599999999999</v>
      </c>
      <c r="F344" t="str">
        <f>IF(ISERROR(IF(OR(C344="#",C344=0),"",VLOOKUP(C344,'AOP25'!M:M,1,0))),"Not Found",VLOOKUP(C344,'AOP25'!M:M,1,0))</f>
        <v>Not Found</v>
      </c>
      <c r="G344" t="e">
        <f t="shared" si="5"/>
        <v>#N/A</v>
      </c>
    </row>
    <row r="345" spans="1:7" hidden="1" x14ac:dyDescent="0.25">
      <c r="A345" t="str">
        <f>BIdetails!G348</f>
        <v>120252</v>
      </c>
      <c r="B345" t="str">
        <f>BIdetails!H348</f>
        <v>Eviden Netherlands B.V.</v>
      </c>
      <c r="C345" t="str">
        <f>BIdetails!J348</f>
        <v>5401023588</v>
      </c>
      <c r="D345" t="str">
        <f>BIdetails!K348</f>
        <v>10</v>
      </c>
      <c r="E345" s="158">
        <f>BIdetails!M348</f>
        <v>15785.86</v>
      </c>
      <c r="F345" t="str">
        <f>IF(ISERROR(IF(OR(C345="#",C345=0),"",VLOOKUP(C345,'AOP25'!M:M,1,0))),"Not Found",VLOOKUP(C345,'AOP25'!M:M,1,0))</f>
        <v>Not Found</v>
      </c>
      <c r="G345" t="e">
        <f t="shared" si="5"/>
        <v>#N/A</v>
      </c>
    </row>
    <row r="346" spans="1:7" x14ac:dyDescent="0.25">
      <c r="A346" t="str">
        <f>BIdetails!G349</f>
        <v>120252</v>
      </c>
      <c r="B346" t="str">
        <f>BIdetails!H349</f>
        <v>Eviden Netherlands B.V.</v>
      </c>
      <c r="C346" t="str">
        <f>BIdetails!J349</f>
        <v>5401087886</v>
      </c>
      <c r="D346" t="str">
        <f>BIdetails!K349</f>
        <v>10</v>
      </c>
      <c r="E346" s="158">
        <f>BIdetails!M349</f>
        <v>60000</v>
      </c>
      <c r="F346" t="str">
        <f>IF(ISERROR(IF(OR(C346="#",C346=0),"",VLOOKUP(C346,'AOP25'!M:M,1,0))),"Not Found",VLOOKUP(C346,'AOP25'!M:M,1,0))</f>
        <v>Not Found</v>
      </c>
      <c r="G346" t="e">
        <f t="shared" si="5"/>
        <v>#N/A</v>
      </c>
    </row>
    <row r="347" spans="1:7" x14ac:dyDescent="0.25">
      <c r="A347" t="str">
        <f>BIdetails!G350</f>
        <v>120252</v>
      </c>
      <c r="B347" t="str">
        <f>BIdetails!H350</f>
        <v>Eviden Netherlands B.V.</v>
      </c>
      <c r="C347" t="str">
        <f>BIdetails!J350</f>
        <v>5401065646</v>
      </c>
      <c r="D347" t="str">
        <f>BIdetails!K350</f>
        <v>10</v>
      </c>
      <c r="E347" s="158">
        <f>BIdetails!M350</f>
        <v>1407.75</v>
      </c>
      <c r="F347" t="str">
        <f>IF(ISERROR(IF(OR(C347="#",C347=0),"",VLOOKUP(C347,'AOP25'!M:M,1,0))),"Not Found",VLOOKUP(C347,'AOP25'!M:M,1,0))</f>
        <v>Not Found</v>
      </c>
      <c r="G347" t="e">
        <f t="shared" si="5"/>
        <v>#N/A</v>
      </c>
    </row>
    <row r="348" spans="1:7" x14ac:dyDescent="0.25">
      <c r="A348" t="str">
        <f>BIdetails!G351</f>
        <v>120252</v>
      </c>
      <c r="B348" t="str">
        <f>BIdetails!H351</f>
        <v>Eviden Netherlands B.V.</v>
      </c>
      <c r="C348" t="str">
        <f>BIdetails!J351</f>
        <v>5401023591</v>
      </c>
      <c r="D348" t="str">
        <f>BIdetails!K351</f>
        <v>10</v>
      </c>
      <c r="E348" s="158">
        <f>BIdetails!M351</f>
        <v>-350</v>
      </c>
      <c r="F348" t="str">
        <f>IF(ISERROR(IF(OR(C348="#",C348=0),"",VLOOKUP(C348,'AOP25'!M:M,1,0))),"Not Found",VLOOKUP(C348,'AOP25'!M:M,1,0))</f>
        <v>Not Found</v>
      </c>
      <c r="G348" t="e">
        <f t="shared" si="5"/>
        <v>#N/A</v>
      </c>
    </row>
    <row r="349" spans="1:7" x14ac:dyDescent="0.25">
      <c r="A349" t="str">
        <f>BIdetails!G352</f>
        <v>120252</v>
      </c>
      <c r="B349" t="str">
        <f>BIdetails!H352</f>
        <v>Eviden Netherlands B.V.</v>
      </c>
      <c r="C349" t="str">
        <f>BIdetails!J352</f>
        <v>5401023591</v>
      </c>
      <c r="D349" t="str">
        <f>BIdetails!K352</f>
        <v>10</v>
      </c>
      <c r="E349" s="158">
        <f>BIdetails!M352</f>
        <v>415.84</v>
      </c>
      <c r="F349" t="str">
        <f>IF(ISERROR(IF(OR(C349="#",C349=0),"",VLOOKUP(C349,'AOP25'!M:M,1,0))),"Not Found",VLOOKUP(C349,'AOP25'!M:M,1,0))</f>
        <v>Not Found</v>
      </c>
      <c r="G349" t="e">
        <f t="shared" si="5"/>
        <v>#N/A</v>
      </c>
    </row>
    <row r="350" spans="1:7" x14ac:dyDescent="0.25">
      <c r="A350" t="str">
        <f>BIdetails!G353</f>
        <v>120252</v>
      </c>
      <c r="B350" t="str">
        <f>BIdetails!H353</f>
        <v>Eviden Netherlands B.V.</v>
      </c>
      <c r="C350" t="str">
        <f>BIdetails!J353</f>
        <v>5401023588</v>
      </c>
      <c r="D350" t="str">
        <f>BIdetails!K353</f>
        <v>10</v>
      </c>
      <c r="E350" s="158">
        <f>BIdetails!M353</f>
        <v>17242.36</v>
      </c>
      <c r="F350" t="str">
        <f>IF(ISERROR(IF(OR(C350="#",C350=0),"",VLOOKUP(C350,'AOP25'!M:M,1,0))),"Not Found",VLOOKUP(C350,'AOP25'!M:M,1,0))</f>
        <v>Not Found</v>
      </c>
      <c r="G350" t="e">
        <f t="shared" si="5"/>
        <v>#N/A</v>
      </c>
    </row>
    <row r="351" spans="1:7" x14ac:dyDescent="0.25">
      <c r="A351" t="str">
        <f>BIdetails!G354</f>
        <v>120252</v>
      </c>
      <c r="B351" t="str">
        <f>BIdetails!H354</f>
        <v>Eviden Netherlands B.V.</v>
      </c>
      <c r="C351" t="str">
        <f>BIdetails!J354</f>
        <v>5401023591</v>
      </c>
      <c r="D351" t="str">
        <f>BIdetails!K354</f>
        <v>10</v>
      </c>
      <c r="E351" s="158">
        <f>BIdetails!M354</f>
        <v>524.54999999999995</v>
      </c>
      <c r="F351" t="str">
        <f>IF(ISERROR(IF(OR(C351="#",C351=0),"",VLOOKUP(C351,'AOP25'!M:M,1,0))),"Not Found",VLOOKUP(C351,'AOP25'!M:M,1,0))</f>
        <v>Not Found</v>
      </c>
      <c r="G351" t="e">
        <f t="shared" si="5"/>
        <v>#N/A</v>
      </c>
    </row>
    <row r="352" spans="1:7" x14ac:dyDescent="0.25">
      <c r="A352" t="str">
        <f>BIdetails!G355</f>
        <v>120252</v>
      </c>
      <c r="B352" t="str">
        <f>BIdetails!H355</f>
        <v>Eviden Netherlands B.V.</v>
      </c>
      <c r="C352" t="str">
        <f>BIdetails!J355</f>
        <v>5401023591</v>
      </c>
      <c r="D352" t="str">
        <f>BIdetails!K355</f>
        <v>10</v>
      </c>
      <c r="E352" s="158">
        <f>BIdetails!M355</f>
        <v>-350</v>
      </c>
      <c r="F352" t="str">
        <f>IF(ISERROR(IF(OR(C352="#",C352=0),"",VLOOKUP(C352,'AOP25'!M:M,1,0))),"Not Found",VLOOKUP(C352,'AOP25'!M:M,1,0))</f>
        <v>Not Found</v>
      </c>
      <c r="G352" t="e">
        <f t="shared" si="5"/>
        <v>#N/A</v>
      </c>
    </row>
    <row r="353" spans="1:7" x14ac:dyDescent="0.25">
      <c r="A353" t="str">
        <f>BIdetails!G356</f>
        <v>120252</v>
      </c>
      <c r="B353" t="str">
        <f>BIdetails!H356</f>
        <v>Eviden Netherlands B.V.</v>
      </c>
      <c r="C353" t="str">
        <f>BIdetails!J356</f>
        <v>5401087886</v>
      </c>
      <c r="D353" t="str">
        <f>BIdetails!K356</f>
        <v>10</v>
      </c>
      <c r="E353" s="158">
        <f>BIdetails!M356</f>
        <v>60000</v>
      </c>
      <c r="F353" t="str">
        <f>IF(ISERROR(IF(OR(C353="#",C353=0),"",VLOOKUP(C353,'AOP25'!M:M,1,0))),"Not Found",VLOOKUP(C353,'AOP25'!M:M,1,0))</f>
        <v>Not Found</v>
      </c>
      <c r="G353" t="e">
        <f t="shared" si="5"/>
        <v>#N/A</v>
      </c>
    </row>
    <row r="354" spans="1:7" hidden="1" x14ac:dyDescent="0.25">
      <c r="A354" t="str">
        <f>BIdetails!G357</f>
        <v>120252</v>
      </c>
      <c r="B354" t="str">
        <f>BIdetails!H357</f>
        <v>Eviden Netherlands B.V.</v>
      </c>
      <c r="C354" t="str">
        <f>BIdetails!J357</f>
        <v>5401087890</v>
      </c>
      <c r="D354" t="str">
        <f>BIdetails!K357</f>
        <v>10</v>
      </c>
      <c r="E354" s="158">
        <f>BIdetails!M357</f>
        <v>8000</v>
      </c>
      <c r="F354" t="str">
        <f>IF(ISERROR(IF(OR(C354="#",C354=0),"",VLOOKUP(C354,'AOP25'!M:M,1,0))),"Not Found",VLOOKUP(C354,'AOP25'!M:M,1,0))</f>
        <v>Not Found</v>
      </c>
      <c r="G354" t="e">
        <f t="shared" si="5"/>
        <v>#N/A</v>
      </c>
    </row>
    <row r="355" spans="1:7" hidden="1" x14ac:dyDescent="0.25">
      <c r="A355" t="str">
        <f>BIdetails!G358</f>
        <v>120252</v>
      </c>
      <c r="B355" t="str">
        <f>BIdetails!H358</f>
        <v>Eviden Netherlands B.V.</v>
      </c>
      <c r="C355" t="str">
        <f>BIdetails!J358</f>
        <v>5401087886</v>
      </c>
      <c r="D355" t="str">
        <f>BIdetails!K358</f>
        <v>10</v>
      </c>
      <c r="E355" s="158">
        <f>BIdetails!M358</f>
        <v>15175.29</v>
      </c>
      <c r="F355" t="str">
        <f>IF(ISERROR(IF(OR(C355="#",C355=0),"",VLOOKUP(C355,'AOP25'!M:M,1,0))),"Not Found",VLOOKUP(C355,'AOP25'!M:M,1,0))</f>
        <v>Not Found</v>
      </c>
      <c r="G355" t="e">
        <f t="shared" si="5"/>
        <v>#N/A</v>
      </c>
    </row>
    <row r="356" spans="1:7" hidden="1" x14ac:dyDescent="0.25">
      <c r="A356" t="str">
        <f>BIdetails!G359</f>
        <v>120252</v>
      </c>
      <c r="B356" t="str">
        <f>BIdetails!H359</f>
        <v>Eviden Netherlands B.V.</v>
      </c>
      <c r="C356" t="str">
        <f>BIdetails!J359</f>
        <v>5401087890</v>
      </c>
      <c r="D356" t="str">
        <f>BIdetails!K359</f>
        <v>10</v>
      </c>
      <c r="E356" s="158">
        <f>BIdetails!M359</f>
        <v>427.32</v>
      </c>
      <c r="F356" t="str">
        <f>IF(ISERROR(IF(OR(C356="#",C356=0),"",VLOOKUP(C356,'AOP25'!M:M,1,0))),"Not Found",VLOOKUP(C356,'AOP25'!M:M,1,0))</f>
        <v>Not Found</v>
      </c>
      <c r="G356" t="e">
        <f t="shared" si="5"/>
        <v>#N/A</v>
      </c>
    </row>
    <row r="357" spans="1:7" hidden="1" x14ac:dyDescent="0.25">
      <c r="A357" t="str">
        <f>BIdetails!G360</f>
        <v>120252</v>
      </c>
      <c r="B357" t="str">
        <f>BIdetails!H360</f>
        <v>Eviden Netherlands B.V.</v>
      </c>
      <c r="C357" t="str">
        <f>BIdetails!J360</f>
        <v>5401087890</v>
      </c>
      <c r="D357" t="str">
        <f>BIdetails!K360</f>
        <v>10</v>
      </c>
      <c r="E357" s="158">
        <f>BIdetails!M360</f>
        <v>35.4</v>
      </c>
      <c r="F357" t="str">
        <f>IF(ISERROR(IF(OR(C357="#",C357=0),"",VLOOKUP(C357,'AOP25'!M:M,1,0))),"Not Found",VLOOKUP(C357,'AOP25'!M:M,1,0))</f>
        <v>Not Found</v>
      </c>
      <c r="G357" t="e">
        <f t="shared" si="5"/>
        <v>#N/A</v>
      </c>
    </row>
    <row r="358" spans="1:7" hidden="1" x14ac:dyDescent="0.25">
      <c r="A358" t="str">
        <f>BIdetails!G361</f>
        <v>120252</v>
      </c>
      <c r="B358" t="str">
        <f>BIdetails!H361</f>
        <v>Eviden Netherlands B.V.</v>
      </c>
      <c r="C358" t="str">
        <f>BIdetails!J361</f>
        <v>5401087886</v>
      </c>
      <c r="D358" t="str">
        <f>BIdetails!K361</f>
        <v>10</v>
      </c>
      <c r="E358" s="158">
        <f>BIdetails!M361</f>
        <v>13010.5</v>
      </c>
      <c r="F358" t="str">
        <f>IF(ISERROR(IF(OR(C358="#",C358=0),"",VLOOKUP(C358,'AOP25'!M:M,1,0))),"Not Found",VLOOKUP(C358,'AOP25'!M:M,1,0))</f>
        <v>Not Found</v>
      </c>
      <c r="G358" t="e">
        <f t="shared" si="5"/>
        <v>#N/A</v>
      </c>
    </row>
    <row r="359" spans="1:7" hidden="1" x14ac:dyDescent="0.25">
      <c r="A359" t="str">
        <f>BIdetails!G362</f>
        <v>120252</v>
      </c>
      <c r="B359" t="str">
        <f>BIdetails!H362</f>
        <v>Eviden Netherlands B.V.</v>
      </c>
      <c r="C359" t="str">
        <f>BIdetails!J362</f>
        <v>5401065646</v>
      </c>
      <c r="D359" t="str">
        <f>BIdetails!K362</f>
        <v>10</v>
      </c>
      <c r="E359" s="158">
        <f>BIdetails!M362</f>
        <v>641.02</v>
      </c>
      <c r="F359" t="str">
        <f>IF(ISERROR(IF(OR(C359="#",C359=0),"",VLOOKUP(C359,'AOP25'!M:M,1,0))),"Not Found",VLOOKUP(C359,'AOP25'!M:M,1,0))</f>
        <v>Not Found</v>
      </c>
      <c r="G359" t="e">
        <f t="shared" si="5"/>
        <v>#N/A</v>
      </c>
    </row>
    <row r="360" spans="1:7" hidden="1" x14ac:dyDescent="0.25">
      <c r="A360" t="str">
        <f>BIdetails!G363</f>
        <v>120252</v>
      </c>
      <c r="B360" t="str">
        <f>BIdetails!H363</f>
        <v>Eviden Netherlands B.V.</v>
      </c>
      <c r="C360" t="str">
        <f>BIdetails!J363</f>
        <v>5401087890</v>
      </c>
      <c r="D360" t="str">
        <f>BIdetails!K363</f>
        <v>10</v>
      </c>
      <c r="E360" s="158">
        <f>BIdetails!M363</f>
        <v>160.36000000000001</v>
      </c>
      <c r="F360" t="str">
        <f>IF(ISERROR(IF(OR(C360="#",C360=0),"",VLOOKUP(C360,'AOP25'!M:M,1,0))),"Not Found",VLOOKUP(C360,'AOP25'!M:M,1,0))</f>
        <v>Not Found</v>
      </c>
      <c r="G360" t="e">
        <f t="shared" si="5"/>
        <v>#N/A</v>
      </c>
    </row>
    <row r="361" spans="1:7" hidden="1" x14ac:dyDescent="0.25">
      <c r="A361" t="str">
        <f>BIdetails!G364</f>
        <v>120252</v>
      </c>
      <c r="B361" t="str">
        <f>BIdetails!H364</f>
        <v>Eviden Netherlands B.V.</v>
      </c>
      <c r="C361" t="str">
        <f>BIdetails!J364</f>
        <v>5401087886</v>
      </c>
      <c r="D361" t="str">
        <f>BIdetails!K364</f>
        <v>10</v>
      </c>
      <c r="E361" s="158">
        <f>BIdetails!M364</f>
        <v>60000</v>
      </c>
      <c r="F361" t="str">
        <f>IF(ISERROR(IF(OR(C361="#",C361=0),"",VLOOKUP(C361,'AOP25'!M:M,1,0))),"Not Found",VLOOKUP(C361,'AOP25'!M:M,1,0))</f>
        <v>Not Found</v>
      </c>
      <c r="G361" t="e">
        <f t="shared" si="5"/>
        <v>#N/A</v>
      </c>
    </row>
    <row r="362" spans="1:7" hidden="1" x14ac:dyDescent="0.25">
      <c r="A362" t="str">
        <f>BIdetails!G365</f>
        <v>120252</v>
      </c>
      <c r="B362" t="str">
        <f>BIdetails!H365</f>
        <v>Eviden Netherlands B.V.</v>
      </c>
      <c r="C362" t="str">
        <f>BIdetails!J365</f>
        <v>5401087886</v>
      </c>
      <c r="D362" t="str">
        <f>BIdetails!K365</f>
        <v>10</v>
      </c>
      <c r="E362" s="158">
        <f>BIdetails!M365</f>
        <v>-60000</v>
      </c>
      <c r="F362" t="str">
        <f>IF(ISERROR(IF(OR(C362="#",C362=0),"",VLOOKUP(C362,'AOP25'!M:M,1,0))),"Not Found",VLOOKUP(C362,'AOP25'!M:M,1,0))</f>
        <v>Not Found</v>
      </c>
      <c r="G362" t="e">
        <f t="shared" si="5"/>
        <v>#N/A</v>
      </c>
    </row>
    <row r="363" spans="1:7" hidden="1" x14ac:dyDescent="0.25">
      <c r="A363" t="str">
        <f>BIdetails!G366</f>
        <v>120252</v>
      </c>
      <c r="B363" t="str">
        <f>BIdetails!H366</f>
        <v>Eviden Netherlands B.V.</v>
      </c>
      <c r="C363" t="str">
        <f>BIdetails!J366</f>
        <v>5401087886</v>
      </c>
      <c r="D363" t="str">
        <f>BIdetails!K366</f>
        <v>10</v>
      </c>
      <c r="E363" s="158">
        <f>BIdetails!M366</f>
        <v>60000</v>
      </c>
      <c r="F363" t="str">
        <f>IF(ISERROR(IF(OR(C363="#",C363=0),"",VLOOKUP(C363,'AOP25'!M:M,1,0))),"Not Found",VLOOKUP(C363,'AOP25'!M:M,1,0))</f>
        <v>Not Found</v>
      </c>
      <c r="G363" t="e">
        <f t="shared" si="5"/>
        <v>#N/A</v>
      </c>
    </row>
    <row r="364" spans="1:7" hidden="1" x14ac:dyDescent="0.25">
      <c r="A364" t="str">
        <f>BIdetails!G367</f>
        <v>120252</v>
      </c>
      <c r="B364" t="str">
        <f>BIdetails!H367</f>
        <v>Eviden Netherlands B.V.</v>
      </c>
      <c r="C364" t="str">
        <f>BIdetails!J367</f>
        <v>5401087886</v>
      </c>
      <c r="D364" t="str">
        <f>BIdetails!K367</f>
        <v>10</v>
      </c>
      <c r="E364" s="158">
        <f>BIdetails!M367</f>
        <v>13086.59</v>
      </c>
      <c r="F364" t="str">
        <f>IF(ISERROR(IF(OR(C364="#",C364=0),"",VLOOKUP(C364,'AOP25'!M:M,1,0))),"Not Found",VLOOKUP(C364,'AOP25'!M:M,1,0))</f>
        <v>Not Found</v>
      </c>
      <c r="G364" t="e">
        <f t="shared" si="5"/>
        <v>#N/A</v>
      </c>
    </row>
    <row r="365" spans="1:7" hidden="1" x14ac:dyDescent="0.25">
      <c r="A365" t="str">
        <f>BIdetails!G368</f>
        <v>120252</v>
      </c>
      <c r="B365" t="str">
        <f>BIdetails!H368</f>
        <v>Eviden Netherlands B.V.</v>
      </c>
      <c r="C365" t="str">
        <f>BIdetails!J368</f>
        <v>5401087886</v>
      </c>
      <c r="D365" t="str">
        <f>BIdetails!K368</f>
        <v>10</v>
      </c>
      <c r="E365" s="158">
        <f>BIdetails!M368</f>
        <v>60000</v>
      </c>
      <c r="F365" t="str">
        <f>IF(ISERROR(IF(OR(C365="#",C365=0),"",VLOOKUP(C365,'AOP25'!M:M,1,0))),"Not Found",VLOOKUP(C365,'AOP25'!M:M,1,0))</f>
        <v>Not Found</v>
      </c>
      <c r="G365" t="e">
        <f t="shared" si="5"/>
        <v>#N/A</v>
      </c>
    </row>
    <row r="366" spans="1:7" hidden="1" x14ac:dyDescent="0.25">
      <c r="A366" t="str">
        <f>BIdetails!G369</f>
        <v>120252</v>
      </c>
      <c r="B366" t="str">
        <f>BIdetails!H369</f>
        <v>Eviden Netherlands B.V.</v>
      </c>
      <c r="C366" t="str">
        <f>BIdetails!J369</f>
        <v>5401087890</v>
      </c>
      <c r="D366" t="str">
        <f>BIdetails!K369</f>
        <v>10</v>
      </c>
      <c r="E366" s="158">
        <f>BIdetails!M369</f>
        <v>573.75</v>
      </c>
      <c r="F366" t="str">
        <f>IF(ISERROR(IF(OR(C366="#",C366=0),"",VLOOKUP(C366,'AOP25'!M:M,1,0))),"Not Found",VLOOKUP(C366,'AOP25'!M:M,1,0))</f>
        <v>Not Found</v>
      </c>
      <c r="G366" t="e">
        <f t="shared" si="5"/>
        <v>#N/A</v>
      </c>
    </row>
    <row r="367" spans="1:7" hidden="1" x14ac:dyDescent="0.25">
      <c r="A367" t="str">
        <f>BIdetails!G370</f>
        <v>120252</v>
      </c>
      <c r="B367" t="str">
        <f>BIdetails!H370</f>
        <v>Eviden Netherlands B.V.</v>
      </c>
      <c r="C367" t="str">
        <f>BIdetails!J370</f>
        <v>5401087890</v>
      </c>
      <c r="D367" t="str">
        <f>BIdetails!K370</f>
        <v>10</v>
      </c>
      <c r="E367" s="158">
        <f>BIdetails!M370</f>
        <v>109.34</v>
      </c>
      <c r="F367" t="str">
        <f>IF(ISERROR(IF(OR(C367="#",C367=0),"",VLOOKUP(C367,'AOP25'!M:M,1,0))),"Not Found",VLOOKUP(C367,'AOP25'!M:M,1,0))</f>
        <v>Not Found</v>
      </c>
      <c r="G367" t="e">
        <f t="shared" si="5"/>
        <v>#N/A</v>
      </c>
    </row>
    <row r="368" spans="1:7" hidden="1" x14ac:dyDescent="0.25">
      <c r="A368" t="str">
        <f>BIdetails!G371</f>
        <v>120252</v>
      </c>
      <c r="B368" t="str">
        <f>BIdetails!H371</f>
        <v>Eviden Netherlands B.V.</v>
      </c>
      <c r="C368" t="str">
        <f>BIdetails!J371</f>
        <v>5401065646</v>
      </c>
      <c r="D368" t="str">
        <f>BIdetails!K371</f>
        <v>10</v>
      </c>
      <c r="E368" s="158">
        <f>BIdetails!M371</f>
        <v>106.84</v>
      </c>
      <c r="F368" t="str">
        <f>IF(ISERROR(IF(OR(C368="#",C368=0),"",VLOOKUP(C368,'AOP25'!M:M,1,0))),"Not Found",VLOOKUP(C368,'AOP25'!M:M,1,0))</f>
        <v>Not Found</v>
      </c>
      <c r="G368" t="e">
        <f t="shared" si="5"/>
        <v>#N/A</v>
      </c>
    </row>
    <row r="369" spans="1:7" hidden="1" x14ac:dyDescent="0.25">
      <c r="A369" t="str">
        <f>BIdetails!G372</f>
        <v>120252</v>
      </c>
      <c r="B369" t="str">
        <f>BIdetails!H372</f>
        <v>Eviden Netherlands B.V.</v>
      </c>
      <c r="C369" t="str">
        <f>BIdetails!J372</f>
        <v>5401087886</v>
      </c>
      <c r="D369" t="str">
        <f>BIdetails!K372</f>
        <v>10</v>
      </c>
      <c r="E369" s="158">
        <f>BIdetails!M372</f>
        <v>60000</v>
      </c>
      <c r="F369" t="str">
        <f>IF(ISERROR(IF(OR(C369="#",C369=0),"",VLOOKUP(C369,'AOP25'!M:M,1,0))),"Not Found",VLOOKUP(C369,'AOP25'!M:M,1,0))</f>
        <v>Not Found</v>
      </c>
      <c r="G369" t="e">
        <f t="shared" si="5"/>
        <v>#N/A</v>
      </c>
    </row>
    <row r="370" spans="1:7" hidden="1" x14ac:dyDescent="0.25">
      <c r="A370" t="str">
        <f>BIdetails!G373</f>
        <v>120252</v>
      </c>
      <c r="B370" t="str">
        <f>BIdetails!H373</f>
        <v>Eviden Netherlands B.V.</v>
      </c>
      <c r="C370" t="str">
        <f>BIdetails!J373</f>
        <v>5401087890</v>
      </c>
      <c r="D370" t="str">
        <f>BIdetails!K373</f>
        <v>10</v>
      </c>
      <c r="E370" s="158">
        <f>BIdetails!M373</f>
        <v>8000</v>
      </c>
      <c r="F370" t="str">
        <f>IF(ISERROR(IF(OR(C370="#",C370=0),"",VLOOKUP(C370,'AOP25'!M:M,1,0))),"Not Found",VLOOKUP(C370,'AOP25'!M:M,1,0))</f>
        <v>Not Found</v>
      </c>
      <c r="G370" t="e">
        <f t="shared" si="5"/>
        <v>#N/A</v>
      </c>
    </row>
    <row r="371" spans="1:7" x14ac:dyDescent="0.25">
      <c r="A371" t="str">
        <f>BIdetails!G374</f>
        <v>120252</v>
      </c>
      <c r="B371" t="str">
        <f>BIdetails!H374</f>
        <v>Eviden Netherlands B.V.</v>
      </c>
      <c r="C371" t="str">
        <f>BIdetails!J374</f>
        <v>5401087886</v>
      </c>
      <c r="D371" t="str">
        <f>BIdetails!K374</f>
        <v>10</v>
      </c>
      <c r="E371" s="158">
        <f>BIdetails!M374</f>
        <v>12696.03</v>
      </c>
      <c r="F371" t="str">
        <f>IF(ISERROR(IF(OR(C371="#",C371=0),"",VLOOKUP(C371,'AOP25'!M:M,1,0))),"Not Found",VLOOKUP(C371,'AOP25'!M:M,1,0))</f>
        <v>Not Found</v>
      </c>
      <c r="G371" t="e">
        <f t="shared" si="5"/>
        <v>#N/A</v>
      </c>
    </row>
    <row r="372" spans="1:7" x14ac:dyDescent="0.25">
      <c r="A372" t="str">
        <f>BIdetails!G375</f>
        <v>120252</v>
      </c>
      <c r="B372" t="str">
        <f>BIdetails!H375</f>
        <v>Eviden Netherlands B.V.</v>
      </c>
      <c r="C372" t="str">
        <f>BIdetails!J375</f>
        <v>5401087890</v>
      </c>
      <c r="D372" t="str">
        <f>BIdetails!K375</f>
        <v>10</v>
      </c>
      <c r="E372" s="158">
        <f>BIdetails!M375</f>
        <v>35.4</v>
      </c>
      <c r="F372" t="str">
        <f>IF(ISERROR(IF(OR(C372="#",C372=0),"",VLOOKUP(C372,'AOP25'!M:M,1,0))),"Not Found",VLOOKUP(C372,'AOP25'!M:M,1,0))</f>
        <v>Not Found</v>
      </c>
      <c r="G372" t="e">
        <f t="shared" si="5"/>
        <v>#N/A</v>
      </c>
    </row>
    <row r="373" spans="1:7" hidden="1" x14ac:dyDescent="0.25">
      <c r="A373" t="str">
        <f>BIdetails!G376</f>
        <v>120252</v>
      </c>
      <c r="B373" t="str">
        <f>BIdetails!H376</f>
        <v>Eviden Netherlands B.V.</v>
      </c>
      <c r="C373" t="str">
        <f>BIdetails!J376</f>
        <v>5401087886</v>
      </c>
      <c r="D373" t="str">
        <f>BIdetails!K376</f>
        <v>10</v>
      </c>
      <c r="E373" s="158">
        <f>BIdetails!M376</f>
        <v>12890.3</v>
      </c>
      <c r="F373" t="str">
        <f>IF(ISERROR(IF(OR(C373="#",C373=0),"",VLOOKUP(C373,'AOP25'!M:M,1,0))),"Not Found",VLOOKUP(C373,'AOP25'!M:M,1,0))</f>
        <v>Not Found</v>
      </c>
      <c r="G373" t="e">
        <f t="shared" si="5"/>
        <v>#N/A</v>
      </c>
    </row>
    <row r="374" spans="1:7" x14ac:dyDescent="0.25">
      <c r="A374" t="str">
        <f>BIdetails!G377</f>
        <v>120252</v>
      </c>
      <c r="B374" t="str">
        <f>BIdetails!H377</f>
        <v>Eviden Netherlands B.V.</v>
      </c>
      <c r="C374" t="str">
        <f>BIdetails!J377</f>
        <v>5401087886</v>
      </c>
      <c r="D374" t="str">
        <f>BIdetails!K377</f>
        <v>10</v>
      </c>
      <c r="E374" s="158">
        <f>BIdetails!M377</f>
        <v>60000</v>
      </c>
      <c r="F374" t="str">
        <f>IF(ISERROR(IF(OR(C374="#",C374=0),"",VLOOKUP(C374,'AOP25'!M:M,1,0))),"Not Found",VLOOKUP(C374,'AOP25'!M:M,1,0))</f>
        <v>Not Found</v>
      </c>
      <c r="G374" t="e">
        <f t="shared" si="5"/>
        <v>#N/A</v>
      </c>
    </row>
    <row r="375" spans="1:7" hidden="1" x14ac:dyDescent="0.25">
      <c r="A375" t="str">
        <f>BIdetails!G378</f>
        <v>187516</v>
      </c>
      <c r="B375" t="str">
        <f>BIdetails!H378</f>
        <v>Accenture B.V.</v>
      </c>
      <c r="C375" t="str">
        <f>BIdetails!J378</f>
        <v>5401113577</v>
      </c>
      <c r="D375" t="str">
        <f>BIdetails!K378</f>
        <v>10</v>
      </c>
      <c r="E375" s="158">
        <f>BIdetails!M378</f>
        <v>3172.17</v>
      </c>
      <c r="F375" t="str">
        <f>IF(ISERROR(IF(OR(C375="#",C375=0),"",VLOOKUP(C375,'AOP25'!M:M,1,0))),"Not Found",VLOOKUP(C375,'AOP25'!M:M,1,0))</f>
        <v>Not Found</v>
      </c>
      <c r="G375" t="e">
        <f t="shared" si="5"/>
        <v>#N/A</v>
      </c>
    </row>
    <row r="376" spans="1:7" hidden="1" x14ac:dyDescent="0.25">
      <c r="A376" t="str">
        <f>BIdetails!G379</f>
        <v>#</v>
      </c>
      <c r="B376" t="str">
        <f>BIdetails!H379</f>
        <v>Not assigned</v>
      </c>
      <c r="C376" t="str">
        <f>BIdetails!J379</f>
        <v>#</v>
      </c>
      <c r="D376" t="str">
        <f>BIdetails!K379</f>
        <v>#</v>
      </c>
      <c r="E376" s="158">
        <f>BIdetails!M379</f>
        <v>0</v>
      </c>
      <c r="F376" t="e">
        <f>IF(ISERROR(IF(OR(C376="#",C376=0),"",VLOOKUP(C376,'AOP25'!M:M,1,0))),"Not Found",VLOOKUP(C376,'AOP25'!M:M,1,0))</f>
        <v>#N/A</v>
      </c>
      <c r="G376" t="e">
        <f t="shared" si="5"/>
        <v>#N/A</v>
      </c>
    </row>
    <row r="377" spans="1:7" hidden="1" x14ac:dyDescent="0.25">
      <c r="A377" t="str">
        <f>BIdetails!G380</f>
        <v>#</v>
      </c>
      <c r="B377" t="str">
        <f>BIdetails!H380</f>
        <v>Not assigned</v>
      </c>
      <c r="C377" t="str">
        <f>BIdetails!J380</f>
        <v>#</v>
      </c>
      <c r="D377" t="str">
        <f>BIdetails!K380</f>
        <v>#</v>
      </c>
      <c r="E377" s="158">
        <f>BIdetails!M380</f>
        <v>0</v>
      </c>
      <c r="F377" t="e">
        <f>IF(ISERROR(IF(OR(C377="#",C377=0),"",VLOOKUP(C377,'AOP25'!M:M,1,0))),"Not Found",VLOOKUP(C377,'AOP25'!M:M,1,0))</f>
        <v>#N/A</v>
      </c>
      <c r="G377" t="e">
        <f t="shared" si="5"/>
        <v>#N/A</v>
      </c>
    </row>
    <row r="378" spans="1:7" hidden="1" x14ac:dyDescent="0.25">
      <c r="A378" t="str">
        <f>BIdetails!G381</f>
        <v>#</v>
      </c>
      <c r="B378" t="str">
        <f>BIdetails!H381</f>
        <v>Not assigned</v>
      </c>
      <c r="C378" t="str">
        <f>BIdetails!J381</f>
        <v>#</v>
      </c>
      <c r="D378" t="str">
        <f>BIdetails!K381</f>
        <v>#</v>
      </c>
      <c r="E378" s="158">
        <f>BIdetails!M381</f>
        <v>0</v>
      </c>
      <c r="F378" t="e">
        <f>IF(ISERROR(IF(OR(C378="#",C378=0),"",VLOOKUP(C378,'AOP25'!M:M,1,0))),"Not Found",VLOOKUP(C378,'AOP25'!M:M,1,0))</f>
        <v>#N/A</v>
      </c>
      <c r="G378" t="e">
        <f t="shared" si="5"/>
        <v>#N/A</v>
      </c>
    </row>
    <row r="379" spans="1:7" x14ac:dyDescent="0.25">
      <c r="A379" t="str">
        <f>BIdetails!G382</f>
        <v>#</v>
      </c>
      <c r="B379" t="str">
        <f>BIdetails!H382</f>
        <v>Not assigned</v>
      </c>
      <c r="C379" t="str">
        <f>BIdetails!J382</f>
        <v>#</v>
      </c>
      <c r="D379" t="str">
        <f>BIdetails!K382</f>
        <v>#</v>
      </c>
      <c r="E379" s="158">
        <f>BIdetails!M382</f>
        <v>0</v>
      </c>
      <c r="F379" t="e">
        <f>IF(ISERROR(IF(OR(C379="#",C379=0),"",VLOOKUP(C379,'AOP25'!M:M,1,0))),"Not Found",VLOOKUP(C379,'AOP25'!M:M,1,0))</f>
        <v>#N/A</v>
      </c>
      <c r="G379" t="e">
        <f t="shared" si="5"/>
        <v>#N/A</v>
      </c>
    </row>
    <row r="380" spans="1:7" hidden="1" x14ac:dyDescent="0.25">
      <c r="A380" t="str">
        <f>BIdetails!G383</f>
        <v>#</v>
      </c>
      <c r="B380" t="str">
        <f>BIdetails!H383</f>
        <v>Not assigned</v>
      </c>
      <c r="C380" t="str">
        <f>BIdetails!J383</f>
        <v>#</v>
      </c>
      <c r="D380" t="str">
        <f>BIdetails!K383</f>
        <v>#</v>
      </c>
      <c r="E380" s="158">
        <f>BIdetails!M383</f>
        <v>25000</v>
      </c>
      <c r="F380" t="e">
        <f>IF(ISERROR(IF(OR(C380="#",C380=0),"",VLOOKUP(C380,'AOP25'!M:M,1,0))),"Not Found",VLOOKUP(C380,'AOP25'!M:M,1,0))</f>
        <v>#N/A</v>
      </c>
      <c r="G380" t="e">
        <f t="shared" si="5"/>
        <v>#N/A</v>
      </c>
    </row>
    <row r="381" spans="1:7" hidden="1" x14ac:dyDescent="0.25">
      <c r="A381" t="str">
        <f>BIdetails!G384</f>
        <v>187516</v>
      </c>
      <c r="B381" t="str">
        <f>BIdetails!H384</f>
        <v>Accenture B.V.</v>
      </c>
      <c r="C381" t="str">
        <f>BIdetails!J384</f>
        <v>5401068208</v>
      </c>
      <c r="D381" t="str">
        <f>BIdetails!K384</f>
        <v>10</v>
      </c>
      <c r="E381" s="158">
        <f>BIdetails!M384</f>
        <v>-24000</v>
      </c>
      <c r="F381" t="str">
        <f>IF(ISERROR(IF(OR(C381="#",C381=0),"",VLOOKUP(C381,'AOP25'!M:M,1,0))),"Not Found",VLOOKUP(C381,'AOP25'!M:M,1,0))</f>
        <v>Not Found</v>
      </c>
      <c r="G381" t="e">
        <f t="shared" si="5"/>
        <v>#N/A</v>
      </c>
    </row>
    <row r="382" spans="1:7" hidden="1" x14ac:dyDescent="0.25">
      <c r="A382" t="str">
        <f>BIdetails!G385</f>
        <v>187516</v>
      </c>
      <c r="B382" t="str">
        <f>BIdetails!H385</f>
        <v>Accenture B.V.</v>
      </c>
      <c r="C382" t="str">
        <f>BIdetails!J385</f>
        <v>5401068208</v>
      </c>
      <c r="D382" t="str">
        <f>BIdetails!K385</f>
        <v>10</v>
      </c>
      <c r="E382" s="158">
        <f>BIdetails!M385</f>
        <v>23649.89</v>
      </c>
      <c r="F382" t="str">
        <f>IF(ISERROR(IF(OR(C382="#",C382=0),"",VLOOKUP(C382,'AOP25'!M:M,1,0))),"Not Found",VLOOKUP(C382,'AOP25'!M:M,1,0))</f>
        <v>Not Found</v>
      </c>
      <c r="G382" t="e">
        <f t="shared" si="5"/>
        <v>#N/A</v>
      </c>
    </row>
    <row r="383" spans="1:7" hidden="1" x14ac:dyDescent="0.25">
      <c r="A383" t="str">
        <f>BIdetails!G386</f>
        <v>187516</v>
      </c>
      <c r="B383" t="str">
        <f>BIdetails!H386</f>
        <v>Accenture B.V.</v>
      </c>
      <c r="C383" t="str">
        <f>BIdetails!J386</f>
        <v>5401098602</v>
      </c>
      <c r="D383" t="str">
        <f>BIdetails!K386</f>
        <v>10</v>
      </c>
      <c r="E383" s="158">
        <f>BIdetails!M386</f>
        <v>23290.92</v>
      </c>
      <c r="F383" t="str">
        <f>IF(ISERROR(IF(OR(C383="#",C383=0),"",VLOOKUP(C383,'AOP25'!M:M,1,0))),"Not Found",VLOOKUP(C383,'AOP25'!M:M,1,0))</f>
        <v>Not Found</v>
      </c>
      <c r="G383" t="e">
        <f t="shared" si="5"/>
        <v>#N/A</v>
      </c>
    </row>
    <row r="384" spans="1:7" hidden="1" x14ac:dyDescent="0.25">
      <c r="A384" t="str">
        <f>BIdetails!G387</f>
        <v>187516</v>
      </c>
      <c r="B384" t="str">
        <f>BIdetails!H387</f>
        <v>Accenture B.V.</v>
      </c>
      <c r="C384" t="str">
        <f>BIdetails!J387</f>
        <v>5401098602</v>
      </c>
      <c r="D384" t="str">
        <f>BIdetails!K387</f>
        <v>10</v>
      </c>
      <c r="E384" s="158">
        <f>BIdetails!M387</f>
        <v>24000</v>
      </c>
      <c r="F384" t="str">
        <f>IF(ISERROR(IF(OR(C384="#",C384=0),"",VLOOKUP(C384,'AOP25'!M:M,1,0))),"Not Found",VLOOKUP(C384,'AOP25'!M:M,1,0))</f>
        <v>Not Found</v>
      </c>
      <c r="G384" t="e">
        <f t="shared" si="5"/>
        <v>#N/A</v>
      </c>
    </row>
    <row r="385" spans="1:7" hidden="1" x14ac:dyDescent="0.25">
      <c r="A385" t="str">
        <f>BIdetails!G388</f>
        <v>187516</v>
      </c>
      <c r="B385" t="str">
        <f>BIdetails!H388</f>
        <v>Accenture B.V.</v>
      </c>
      <c r="C385" t="str">
        <f>BIdetails!J388</f>
        <v>5401098602</v>
      </c>
      <c r="D385" t="str">
        <f>BIdetails!K388</f>
        <v>10</v>
      </c>
      <c r="E385" s="158">
        <f>BIdetails!M388</f>
        <v>24000</v>
      </c>
      <c r="F385" t="str">
        <f>IF(ISERROR(IF(OR(C385="#",C385=0),"",VLOOKUP(C385,'AOP25'!M:M,1,0))),"Not Found",VLOOKUP(C385,'AOP25'!M:M,1,0))</f>
        <v>Not Found</v>
      </c>
      <c r="G385" t="e">
        <f t="shared" si="5"/>
        <v>#N/A</v>
      </c>
    </row>
    <row r="386" spans="1:7" hidden="1" x14ac:dyDescent="0.25">
      <c r="A386" t="str">
        <f>BIdetails!G389</f>
        <v>187516</v>
      </c>
      <c r="B386" t="str">
        <f>BIdetails!H389</f>
        <v>Accenture B.V.</v>
      </c>
      <c r="C386" t="str">
        <f>BIdetails!J389</f>
        <v>5401098602</v>
      </c>
      <c r="D386" t="str">
        <f>BIdetails!K389</f>
        <v>10</v>
      </c>
      <c r="E386" s="158">
        <f>BIdetails!M389</f>
        <v>-24000</v>
      </c>
      <c r="F386" t="str">
        <f>IF(ISERROR(IF(OR(C386="#",C386=0),"",VLOOKUP(C386,'AOP25'!M:M,1,0))),"Not Found",VLOOKUP(C386,'AOP25'!M:M,1,0))</f>
        <v>Not Found</v>
      </c>
      <c r="G386" t="e">
        <f t="shared" si="5"/>
        <v>#N/A</v>
      </c>
    </row>
    <row r="387" spans="1:7" x14ac:dyDescent="0.25">
      <c r="A387" t="str">
        <f>BIdetails!G390</f>
        <v>187516</v>
      </c>
      <c r="B387" t="str">
        <f>BIdetails!H390</f>
        <v>Accenture B.V.</v>
      </c>
      <c r="C387" t="str">
        <f>BIdetails!J390</f>
        <v>5401098602</v>
      </c>
      <c r="D387" t="str">
        <f>BIdetails!K390</f>
        <v>10</v>
      </c>
      <c r="E387" s="158">
        <f>BIdetails!M390</f>
        <v>23232.06</v>
      </c>
      <c r="F387" t="str">
        <f>IF(ISERROR(IF(OR(C387="#",C387=0),"",VLOOKUP(C387,'AOP25'!M:M,1,0))),"Not Found",VLOOKUP(C387,'AOP25'!M:M,1,0))</f>
        <v>Not Found</v>
      </c>
      <c r="G387" t="e">
        <f t="shared" ref="G387:G450" si="6">IF(NOT(ISERROR(VLOOKUP(C387,$K$2:$K$50,1,0))),"Y",VLOOKUP(C387,$K$2:$K$50,1,0))</f>
        <v>#N/A</v>
      </c>
    </row>
    <row r="388" spans="1:7" x14ac:dyDescent="0.25">
      <c r="A388" t="str">
        <f>BIdetails!G391</f>
        <v>187516</v>
      </c>
      <c r="B388" t="str">
        <f>BIdetails!H391</f>
        <v>Accenture B.V.</v>
      </c>
      <c r="C388" t="str">
        <f>BIdetails!J391</f>
        <v>5401098602</v>
      </c>
      <c r="D388" t="str">
        <f>BIdetails!K391</f>
        <v>10</v>
      </c>
      <c r="E388" s="158">
        <f>BIdetails!M391</f>
        <v>-24000</v>
      </c>
      <c r="F388" t="str">
        <f>IF(ISERROR(IF(OR(C388="#",C388=0),"",VLOOKUP(C388,'AOP25'!M:M,1,0))),"Not Found",VLOOKUP(C388,'AOP25'!M:M,1,0))</f>
        <v>Not Found</v>
      </c>
      <c r="G388" t="e">
        <f t="shared" si="6"/>
        <v>#N/A</v>
      </c>
    </row>
    <row r="389" spans="1:7" x14ac:dyDescent="0.25">
      <c r="A389" t="str">
        <f>BIdetails!G392</f>
        <v>187516</v>
      </c>
      <c r="B389" t="str">
        <f>BIdetails!H392</f>
        <v>Accenture B.V.</v>
      </c>
      <c r="C389" t="str">
        <f>BIdetails!J392</f>
        <v>5401098602</v>
      </c>
      <c r="D389" t="str">
        <f>BIdetails!K392</f>
        <v>10</v>
      </c>
      <c r="E389" s="158">
        <f>BIdetails!M392</f>
        <v>23188.77</v>
      </c>
      <c r="F389" t="str">
        <f>IF(ISERROR(IF(OR(C389="#",C389=0),"",VLOOKUP(C389,'AOP25'!M:M,1,0))),"Not Found",VLOOKUP(C389,'AOP25'!M:M,1,0))</f>
        <v>Not Found</v>
      </c>
      <c r="G389" t="e">
        <f t="shared" si="6"/>
        <v>#N/A</v>
      </c>
    </row>
    <row r="390" spans="1:7" x14ac:dyDescent="0.25">
      <c r="A390" t="str">
        <f>BIdetails!G393</f>
        <v>187516</v>
      </c>
      <c r="B390" t="str">
        <f>BIdetails!H393</f>
        <v>Accenture B.V.</v>
      </c>
      <c r="C390" t="str">
        <f>BIdetails!J393</f>
        <v>5401098602</v>
      </c>
      <c r="D390" t="str">
        <f>BIdetails!K393</f>
        <v>10</v>
      </c>
      <c r="E390" s="158">
        <f>BIdetails!M393</f>
        <v>23000</v>
      </c>
      <c r="F390" t="str">
        <f>IF(ISERROR(IF(OR(C390="#",C390=0),"",VLOOKUP(C390,'AOP25'!M:M,1,0))),"Not Found",VLOOKUP(C390,'AOP25'!M:M,1,0))</f>
        <v>Not Found</v>
      </c>
      <c r="G390" t="e">
        <f t="shared" si="6"/>
        <v>#N/A</v>
      </c>
    </row>
    <row r="391" spans="1:7" hidden="1" x14ac:dyDescent="0.25">
      <c r="A391" t="str">
        <f>BIdetails!G394</f>
        <v>187516</v>
      </c>
      <c r="B391" t="str">
        <f>BIdetails!H394</f>
        <v>Accenture B.V.</v>
      </c>
      <c r="C391" t="str">
        <f>BIdetails!J394</f>
        <v>5401098602</v>
      </c>
      <c r="D391" t="str">
        <f>BIdetails!K394</f>
        <v>10</v>
      </c>
      <c r="E391" s="158">
        <f>BIdetails!M394</f>
        <v>-23000</v>
      </c>
      <c r="F391" t="str">
        <f>IF(ISERROR(IF(OR(C391="#",C391=0),"",VLOOKUP(C391,'AOP25'!M:M,1,0))),"Not Found",VLOOKUP(C391,'AOP25'!M:M,1,0))</f>
        <v>Not Found</v>
      </c>
      <c r="G391" t="e">
        <f t="shared" si="6"/>
        <v>#N/A</v>
      </c>
    </row>
    <row r="392" spans="1:7" hidden="1" x14ac:dyDescent="0.25">
      <c r="A392" t="str">
        <f>BIdetails!G395</f>
        <v>187516</v>
      </c>
      <c r="B392" t="str">
        <f>BIdetails!H395</f>
        <v>Accenture B.V.</v>
      </c>
      <c r="C392" t="str">
        <f>BIdetails!J395</f>
        <v>5401098602</v>
      </c>
      <c r="D392" t="str">
        <f>BIdetails!K395</f>
        <v>10</v>
      </c>
      <c r="E392" s="158">
        <f>BIdetails!M395</f>
        <v>22686.71</v>
      </c>
      <c r="F392" t="str">
        <f>IF(ISERROR(IF(OR(C392="#",C392=0),"",VLOOKUP(C392,'AOP25'!M:M,1,0))),"Not Found",VLOOKUP(C392,'AOP25'!M:M,1,0))</f>
        <v>Not Found</v>
      </c>
      <c r="G392" t="e">
        <f t="shared" si="6"/>
        <v>#N/A</v>
      </c>
    </row>
    <row r="393" spans="1:7" hidden="1" x14ac:dyDescent="0.25">
      <c r="A393" t="str">
        <f>BIdetails!G396</f>
        <v>187516</v>
      </c>
      <c r="B393" t="str">
        <f>BIdetails!H396</f>
        <v>Accenture B.V.</v>
      </c>
      <c r="C393" t="str">
        <f>BIdetails!J396</f>
        <v>5401098602</v>
      </c>
      <c r="D393" t="str">
        <f>BIdetails!K396</f>
        <v>10</v>
      </c>
      <c r="E393" s="158">
        <f>BIdetails!M396</f>
        <v>22000</v>
      </c>
      <c r="F393" t="str">
        <f>IF(ISERROR(IF(OR(C393="#",C393=0),"",VLOOKUP(C393,'AOP25'!M:M,1,0))),"Not Found",VLOOKUP(C393,'AOP25'!M:M,1,0))</f>
        <v>Not Found</v>
      </c>
      <c r="G393" t="e">
        <f t="shared" si="6"/>
        <v>#N/A</v>
      </c>
    </row>
    <row r="394" spans="1:7" x14ac:dyDescent="0.25">
      <c r="A394" t="str">
        <f>BIdetails!G397</f>
        <v>187516</v>
      </c>
      <c r="B394" t="str">
        <f>BIdetails!H397</f>
        <v>Accenture B.V.</v>
      </c>
      <c r="C394" t="str">
        <f>BIdetails!J397</f>
        <v>5401098602</v>
      </c>
      <c r="D394" t="str">
        <f>BIdetails!K397</f>
        <v>10</v>
      </c>
      <c r="E394" s="158">
        <f>BIdetails!M397</f>
        <v>22000</v>
      </c>
      <c r="F394" t="str">
        <f>IF(ISERROR(IF(OR(C394="#",C394=0),"",VLOOKUP(C394,'AOP25'!M:M,1,0))),"Not Found",VLOOKUP(C394,'AOP25'!M:M,1,0))</f>
        <v>Not Found</v>
      </c>
      <c r="G394" t="e">
        <f t="shared" si="6"/>
        <v>#N/A</v>
      </c>
    </row>
    <row r="395" spans="1:7" x14ac:dyDescent="0.25">
      <c r="A395" t="str">
        <f>BIdetails!G398</f>
        <v>187516</v>
      </c>
      <c r="B395" t="str">
        <f>BIdetails!H398</f>
        <v>Accenture B.V.</v>
      </c>
      <c r="C395" t="str">
        <f>BIdetails!J398</f>
        <v>5401098602</v>
      </c>
      <c r="D395" t="str">
        <f>BIdetails!K398</f>
        <v>10</v>
      </c>
      <c r="E395" s="158">
        <f>BIdetails!M398</f>
        <v>-22000</v>
      </c>
      <c r="F395" t="str">
        <f>IF(ISERROR(IF(OR(C395="#",C395=0),"",VLOOKUP(C395,'AOP25'!M:M,1,0))),"Not Found",VLOOKUP(C395,'AOP25'!M:M,1,0))</f>
        <v>Not Found</v>
      </c>
      <c r="G395" t="e">
        <f t="shared" si="6"/>
        <v>#N/A</v>
      </c>
    </row>
    <row r="396" spans="1:7" x14ac:dyDescent="0.25">
      <c r="A396" t="str">
        <f>BIdetails!G399</f>
        <v>187516</v>
      </c>
      <c r="B396" t="str">
        <f>BIdetails!H399</f>
        <v>Accenture B.V.</v>
      </c>
      <c r="C396" t="str">
        <f>BIdetails!J399</f>
        <v>5401098602</v>
      </c>
      <c r="D396" t="str">
        <f>BIdetails!K399</f>
        <v>10</v>
      </c>
      <c r="E396" s="158">
        <f>BIdetails!M399</f>
        <v>22000</v>
      </c>
      <c r="F396" t="str">
        <f>IF(ISERROR(IF(OR(C396="#",C396=0),"",VLOOKUP(C396,'AOP25'!M:M,1,0))),"Not Found",VLOOKUP(C396,'AOP25'!M:M,1,0))</f>
        <v>Not Found</v>
      </c>
      <c r="G396" t="e">
        <f t="shared" si="6"/>
        <v>#N/A</v>
      </c>
    </row>
    <row r="397" spans="1:7" hidden="1" x14ac:dyDescent="0.25">
      <c r="A397" t="str">
        <f>BIdetails!G400</f>
        <v>187516</v>
      </c>
      <c r="B397" t="str">
        <f>BIdetails!H400</f>
        <v>Accenture B.V.</v>
      </c>
      <c r="C397" t="str">
        <f>BIdetails!J400</f>
        <v>5401098602</v>
      </c>
      <c r="D397" t="str">
        <f>BIdetails!K400</f>
        <v>10</v>
      </c>
      <c r="E397" s="158">
        <f>BIdetails!M400</f>
        <v>-0.9</v>
      </c>
      <c r="F397" t="str">
        <f>IF(ISERROR(IF(OR(C397="#",C397=0),"",VLOOKUP(C397,'AOP25'!M:M,1,0))),"Not Found",VLOOKUP(C397,'AOP25'!M:M,1,0))</f>
        <v>Not Found</v>
      </c>
      <c r="G397" t="e">
        <f t="shared" si="6"/>
        <v>#N/A</v>
      </c>
    </row>
    <row r="398" spans="1:7" hidden="1" x14ac:dyDescent="0.25">
      <c r="A398" t="str">
        <f>BIdetails!G401</f>
        <v>207761</v>
      </c>
      <c r="B398" t="str">
        <f>BIdetails!H401</f>
        <v>Livingstone Technologies Limited</v>
      </c>
      <c r="C398" t="str">
        <f>BIdetails!J401</f>
        <v>5401070316</v>
      </c>
      <c r="D398" t="str">
        <f>BIdetails!K401</f>
        <v>10</v>
      </c>
      <c r="E398" s="158">
        <f>BIdetails!M401</f>
        <v>6667</v>
      </c>
      <c r="F398" t="str">
        <f>IF(ISERROR(IF(OR(C398="#",C398=0),"",VLOOKUP(C398,'AOP25'!M:M,1,0))),"Not Found",VLOOKUP(C398,'AOP25'!M:M,1,0))</f>
        <v>Not Found</v>
      </c>
      <c r="G398" t="e">
        <f t="shared" si="6"/>
        <v>#N/A</v>
      </c>
    </row>
    <row r="399" spans="1:7" hidden="1" x14ac:dyDescent="0.25">
      <c r="A399" t="str">
        <f>BIdetails!G402</f>
        <v>207761</v>
      </c>
      <c r="B399" t="str">
        <f>BIdetails!H402</f>
        <v>Livingstone Technologies Limited</v>
      </c>
      <c r="C399" t="str">
        <f>BIdetails!J402</f>
        <v>5401070316</v>
      </c>
      <c r="D399" t="str">
        <f>BIdetails!K402</f>
        <v>10</v>
      </c>
      <c r="E399" s="158">
        <f>BIdetails!M402</f>
        <v>6667</v>
      </c>
      <c r="F399" t="str">
        <f>IF(ISERROR(IF(OR(C399="#",C399=0),"",VLOOKUP(C399,'AOP25'!M:M,1,0))),"Not Found",VLOOKUP(C399,'AOP25'!M:M,1,0))</f>
        <v>Not Found</v>
      </c>
      <c r="G399" t="e">
        <f t="shared" si="6"/>
        <v>#N/A</v>
      </c>
    </row>
    <row r="400" spans="1:7" x14ac:dyDescent="0.25">
      <c r="A400" t="str">
        <f>BIdetails!G403</f>
        <v>207761</v>
      </c>
      <c r="B400" t="str">
        <f>BIdetails!H403</f>
        <v>Livingstone Technologies Limited</v>
      </c>
      <c r="C400" t="str">
        <f>BIdetails!J403</f>
        <v>5401070316</v>
      </c>
      <c r="D400" t="str">
        <f>BIdetails!K403</f>
        <v>10</v>
      </c>
      <c r="E400" s="158">
        <f>BIdetails!M403</f>
        <v>6667</v>
      </c>
      <c r="F400" t="str">
        <f>IF(ISERROR(IF(OR(C400="#",C400=0),"",VLOOKUP(C400,'AOP25'!M:M,1,0))),"Not Found",VLOOKUP(C400,'AOP25'!M:M,1,0))</f>
        <v>Not Found</v>
      </c>
      <c r="G400" t="e">
        <f t="shared" si="6"/>
        <v>#N/A</v>
      </c>
    </row>
    <row r="401" spans="1:7" x14ac:dyDescent="0.25">
      <c r="A401" t="str">
        <f>BIdetails!G404</f>
        <v>207761</v>
      </c>
      <c r="B401" t="str">
        <f>BIdetails!H404</f>
        <v>Livingstone Technologies Limited</v>
      </c>
      <c r="C401" t="str">
        <f>BIdetails!J404</f>
        <v>5401070316</v>
      </c>
      <c r="D401" t="str">
        <f>BIdetails!K404</f>
        <v>10</v>
      </c>
      <c r="E401" s="158">
        <f>BIdetails!M404</f>
        <v>6667</v>
      </c>
      <c r="F401" t="str">
        <f>IF(ISERROR(IF(OR(C401="#",C401=0),"",VLOOKUP(C401,'AOP25'!M:M,1,0))),"Not Found",VLOOKUP(C401,'AOP25'!M:M,1,0))</f>
        <v>Not Found</v>
      </c>
      <c r="G401" t="e">
        <f t="shared" si="6"/>
        <v>#N/A</v>
      </c>
    </row>
    <row r="402" spans="1:7" x14ac:dyDescent="0.25">
      <c r="A402" t="str">
        <f>BIdetails!G405</f>
        <v>207761</v>
      </c>
      <c r="B402" t="str">
        <f>BIdetails!H405</f>
        <v>Livingstone Technologies Limited</v>
      </c>
      <c r="C402" t="str">
        <f>BIdetails!J405</f>
        <v>5401070316</v>
      </c>
      <c r="D402" t="str">
        <f>BIdetails!K405</f>
        <v>10</v>
      </c>
      <c r="E402" s="158">
        <f>BIdetails!M405</f>
        <v>6667</v>
      </c>
      <c r="F402" t="str">
        <f>IF(ISERROR(IF(OR(C402="#",C402=0),"",VLOOKUP(C402,'AOP25'!M:M,1,0))),"Not Found",VLOOKUP(C402,'AOP25'!M:M,1,0))</f>
        <v>Not Found</v>
      </c>
      <c r="G402" t="e">
        <f t="shared" si="6"/>
        <v>#N/A</v>
      </c>
    </row>
    <row r="403" spans="1:7" hidden="1" x14ac:dyDescent="0.25">
      <c r="A403" t="str">
        <f>BIdetails!G406</f>
        <v>207761</v>
      </c>
      <c r="B403" t="str">
        <f>BIdetails!H406</f>
        <v>Livingstone Technologies Limited</v>
      </c>
      <c r="C403" t="str">
        <f>BIdetails!J406</f>
        <v>5401070316</v>
      </c>
      <c r="D403" t="str">
        <f>BIdetails!K406</f>
        <v>10</v>
      </c>
      <c r="E403" s="158">
        <f>BIdetails!M406</f>
        <v>6667</v>
      </c>
      <c r="F403" t="str">
        <f>IF(ISERROR(IF(OR(C403="#",C403=0),"",VLOOKUP(C403,'AOP25'!M:M,1,0))),"Not Found",VLOOKUP(C403,'AOP25'!M:M,1,0))</f>
        <v>Not Found</v>
      </c>
      <c r="G403" t="e">
        <f t="shared" si="6"/>
        <v>#N/A</v>
      </c>
    </row>
    <row r="404" spans="1:7" hidden="1" x14ac:dyDescent="0.25">
      <c r="A404" t="str">
        <f>BIdetails!G407</f>
        <v>211753</v>
      </c>
      <c r="B404" t="str">
        <f>BIdetails!H407</f>
        <v>Softwareone Netherlands B.V.</v>
      </c>
      <c r="C404" t="str">
        <f>BIdetails!J407</f>
        <v>5401109430</v>
      </c>
      <c r="D404" t="str">
        <f>BIdetails!K407</f>
        <v>10</v>
      </c>
      <c r="E404" s="158">
        <f>BIdetails!M407</f>
        <v>23760</v>
      </c>
      <c r="F404" t="str">
        <f>IF(ISERROR(IF(OR(C404="#",C404=0),"",VLOOKUP(C404,'AOP25'!M:M,1,0))),"Not Found",VLOOKUP(C404,'AOP25'!M:M,1,0))</f>
        <v>Not Found</v>
      </c>
      <c r="G404" t="e">
        <f t="shared" si="6"/>
        <v>#N/A</v>
      </c>
    </row>
    <row r="405" spans="1:7" x14ac:dyDescent="0.25">
      <c r="A405" t="str">
        <f>BIdetails!G408</f>
        <v>152539</v>
      </c>
      <c r="B405" t="str">
        <f>BIdetails!H408</f>
        <v>Insight Enterprise Netherlands B.V.</v>
      </c>
      <c r="C405" t="str">
        <f>BIdetails!J408</f>
        <v>5401098805</v>
      </c>
      <c r="D405" t="str">
        <f>BIdetails!K408</f>
        <v>10</v>
      </c>
      <c r="E405" s="158">
        <f>BIdetails!M408</f>
        <v>33027.82</v>
      </c>
      <c r="F405" t="str">
        <f>IF(ISERROR(IF(OR(C405="#",C405=0),"",VLOOKUP(C405,'AOP25'!M:M,1,0))),"Not Found",VLOOKUP(C405,'AOP25'!M:M,1,0))</f>
        <v>Not Found</v>
      </c>
      <c r="G405" t="e">
        <f t="shared" si="6"/>
        <v>#N/A</v>
      </c>
    </row>
    <row r="406" spans="1:7" x14ac:dyDescent="0.25">
      <c r="A406" t="str">
        <f>BIdetails!G409</f>
        <v>165840</v>
      </c>
      <c r="B406" t="str">
        <f>BIdetails!H409</f>
        <v>Ploum Lodder Princen Advocaten en N</v>
      </c>
      <c r="C406" t="str">
        <f>BIdetails!J409</f>
        <v>5401116343</v>
      </c>
      <c r="D406" t="str">
        <f>BIdetails!K409</f>
        <v>10</v>
      </c>
      <c r="E406" s="158">
        <f>BIdetails!M409</f>
        <v>610</v>
      </c>
      <c r="F406" t="str">
        <f>IF(ISERROR(IF(OR(C406="#",C406=0),"",VLOOKUP(C406,'AOP25'!M:M,1,0))),"Not Found",VLOOKUP(C406,'AOP25'!M:M,1,0))</f>
        <v>Not Found</v>
      </c>
      <c r="G406" t="e">
        <f t="shared" si="6"/>
        <v>#N/A</v>
      </c>
    </row>
    <row r="407" spans="1:7" hidden="1" x14ac:dyDescent="0.25">
      <c r="A407" t="str">
        <f>BIdetails!G410</f>
        <v>181508</v>
      </c>
      <c r="B407" t="str">
        <f>BIdetails!H410</f>
        <v>PWC Advisory</v>
      </c>
      <c r="C407" t="str">
        <f>BIdetails!J410</f>
        <v>5401053722</v>
      </c>
      <c r="D407" t="str">
        <f>BIdetails!K410</f>
        <v>20</v>
      </c>
      <c r="E407" s="158">
        <f>BIdetails!M410</f>
        <v>1834</v>
      </c>
      <c r="F407" t="str">
        <f>IF(ISERROR(IF(OR(C407="#",C407=0),"",VLOOKUP(C407,'AOP25'!M:M,1,0))),"Not Found",VLOOKUP(C407,'AOP25'!M:M,1,0))</f>
        <v>Not Found</v>
      </c>
      <c r="G407" t="e">
        <f t="shared" si="6"/>
        <v>#N/A</v>
      </c>
    </row>
    <row r="408" spans="1:7" hidden="1" x14ac:dyDescent="0.25">
      <c r="A408" t="str">
        <f>BIdetails!G411</f>
        <v>187516</v>
      </c>
      <c r="B408" t="str">
        <f>BIdetails!H411</f>
        <v>Accenture B.V.</v>
      </c>
      <c r="C408" t="str">
        <f>BIdetails!J411</f>
        <v>5400840950</v>
      </c>
      <c r="D408" t="str">
        <f>BIdetails!K411</f>
        <v>80</v>
      </c>
      <c r="E408" s="158">
        <f>BIdetails!M411</f>
        <v>-10098.91</v>
      </c>
      <c r="F408" t="str">
        <f>IF(ISERROR(IF(OR(C408="#",C408=0),"",VLOOKUP(C408,'AOP25'!M:M,1,0))),"Not Found",VLOOKUP(C408,'AOP25'!M:M,1,0))</f>
        <v>Not Found</v>
      </c>
      <c r="G408" t="e">
        <f t="shared" si="6"/>
        <v>#N/A</v>
      </c>
    </row>
    <row r="409" spans="1:7" hidden="1" x14ac:dyDescent="0.25">
      <c r="A409" t="str">
        <f>BIdetails!G412</f>
        <v>187516</v>
      </c>
      <c r="B409" t="str">
        <f>BIdetails!H412</f>
        <v>Accenture B.V.</v>
      </c>
      <c r="C409" t="str">
        <f>BIdetails!J412</f>
        <v>5400840950</v>
      </c>
      <c r="D409" t="str">
        <f>BIdetails!K412</f>
        <v>80</v>
      </c>
      <c r="E409" s="158">
        <f>BIdetails!M412</f>
        <v>8000</v>
      </c>
      <c r="F409" t="str">
        <f>IF(ISERROR(IF(OR(C409="#",C409=0),"",VLOOKUP(C409,'AOP25'!M:M,1,0))),"Not Found",VLOOKUP(C409,'AOP25'!M:M,1,0))</f>
        <v>Not Found</v>
      </c>
      <c r="G409" t="e">
        <f t="shared" si="6"/>
        <v>#N/A</v>
      </c>
    </row>
    <row r="410" spans="1:7" hidden="1" x14ac:dyDescent="0.25">
      <c r="A410" t="str">
        <f>BIdetails!G413</f>
        <v>187516</v>
      </c>
      <c r="B410" t="str">
        <f>BIdetails!H413</f>
        <v>Accenture B.V.</v>
      </c>
      <c r="C410" t="str">
        <f>BIdetails!J413</f>
        <v>5400840950</v>
      </c>
      <c r="D410" t="str">
        <f>BIdetails!K413</f>
        <v>80</v>
      </c>
      <c r="E410" s="158">
        <f>BIdetails!M413</f>
        <v>2098.91</v>
      </c>
      <c r="F410" t="str">
        <f>IF(ISERROR(IF(OR(C410="#",C410=0),"",VLOOKUP(C410,'AOP25'!M:M,1,0))),"Not Found",VLOOKUP(C410,'AOP25'!M:M,1,0))</f>
        <v>Not Found</v>
      </c>
      <c r="G410" t="e">
        <f t="shared" si="6"/>
        <v>#N/A</v>
      </c>
    </row>
    <row r="411" spans="1:7" x14ac:dyDescent="0.25">
      <c r="A411" t="str">
        <f>BIdetails!G414</f>
        <v>187516</v>
      </c>
      <c r="B411" t="str">
        <f>BIdetails!H414</f>
        <v>Accenture B.V.</v>
      </c>
      <c r="C411" t="str">
        <f>BIdetails!J414</f>
        <v>5400912390</v>
      </c>
      <c r="D411" t="str">
        <f>BIdetails!K414</f>
        <v>10</v>
      </c>
      <c r="E411" s="158">
        <f>BIdetails!M414</f>
        <v>7402.75</v>
      </c>
      <c r="F411" t="str">
        <f>IF(ISERROR(IF(OR(C411="#",C411=0),"",VLOOKUP(C411,'AOP25'!M:M,1,0))),"Not Found",VLOOKUP(C411,'AOP25'!M:M,1,0))</f>
        <v>Not Found</v>
      </c>
      <c r="G411" t="e">
        <f t="shared" si="6"/>
        <v>#N/A</v>
      </c>
    </row>
    <row r="412" spans="1:7" x14ac:dyDescent="0.25">
      <c r="A412" t="str">
        <f>BIdetails!G415</f>
        <v>187516</v>
      </c>
      <c r="B412" t="str">
        <f>BIdetails!H415</f>
        <v>Accenture B.V.</v>
      </c>
      <c r="C412" t="str">
        <f>BIdetails!J415</f>
        <v>5401002572</v>
      </c>
      <c r="D412" t="str">
        <f>BIdetails!K415</f>
        <v>30</v>
      </c>
      <c r="E412" s="158">
        <f>BIdetails!M415</f>
        <v>4567.68</v>
      </c>
      <c r="F412" t="str">
        <f>IF(ISERROR(IF(OR(C412="#",C412=0),"",VLOOKUP(C412,'AOP25'!M:M,1,0))),"Not Found",VLOOKUP(C412,'AOP25'!M:M,1,0))</f>
        <v>Not Found</v>
      </c>
      <c r="G412" t="e">
        <f t="shared" si="6"/>
        <v>#N/A</v>
      </c>
    </row>
    <row r="413" spans="1:7" x14ac:dyDescent="0.25">
      <c r="A413" t="str">
        <f>BIdetails!G416</f>
        <v>187516</v>
      </c>
      <c r="B413" t="str">
        <f>BIdetails!H416</f>
        <v>Accenture B.V.</v>
      </c>
      <c r="C413" t="str">
        <f>BIdetails!J416</f>
        <v>5401002572</v>
      </c>
      <c r="D413" t="str">
        <f>BIdetails!K416</f>
        <v>30</v>
      </c>
      <c r="E413" s="158">
        <f>BIdetails!M416</f>
        <v>4930</v>
      </c>
      <c r="F413" t="str">
        <f>IF(ISERROR(IF(OR(C413="#",C413=0),"",VLOOKUP(C413,'AOP25'!M:M,1,0))),"Not Found",VLOOKUP(C413,'AOP25'!M:M,1,0))</f>
        <v>Not Found</v>
      </c>
      <c r="G413" t="e">
        <f t="shared" si="6"/>
        <v>#N/A</v>
      </c>
    </row>
    <row r="414" spans="1:7" x14ac:dyDescent="0.25">
      <c r="A414" t="str">
        <f>BIdetails!G417</f>
        <v>187516</v>
      </c>
      <c r="B414" t="str">
        <f>BIdetails!H417</f>
        <v>Accenture B.V.</v>
      </c>
      <c r="C414" t="str">
        <f>BIdetails!J417</f>
        <v>5400840950</v>
      </c>
      <c r="D414" t="str">
        <f>BIdetails!K417</f>
        <v>70</v>
      </c>
      <c r="E414" s="158">
        <f>BIdetails!M417</f>
        <v>18720</v>
      </c>
      <c r="F414" t="str">
        <f>IF(ISERROR(IF(OR(C414="#",C414=0),"",VLOOKUP(C414,'AOP25'!M:M,1,0))),"Not Found",VLOOKUP(C414,'AOP25'!M:M,1,0))</f>
        <v>Not Found</v>
      </c>
      <c r="G414" t="e">
        <f t="shared" si="6"/>
        <v>#N/A</v>
      </c>
    </row>
    <row r="415" spans="1:7" hidden="1" x14ac:dyDescent="0.25">
      <c r="A415" t="str">
        <f>BIdetails!G418</f>
        <v>187516</v>
      </c>
      <c r="B415" t="str">
        <f>BIdetails!H418</f>
        <v>Accenture B.V.</v>
      </c>
      <c r="C415" t="str">
        <f>BIdetails!J418</f>
        <v>5401093332</v>
      </c>
      <c r="D415" t="str">
        <f>BIdetails!K418</f>
        <v>50</v>
      </c>
      <c r="E415" s="158">
        <f>BIdetails!M418</f>
        <v>1736</v>
      </c>
      <c r="F415" t="str">
        <f>IF(ISERROR(IF(OR(C415="#",C415=0),"",VLOOKUP(C415,'AOP25'!M:M,1,0))),"Not Found",VLOOKUP(C415,'AOP25'!M:M,1,0))</f>
        <v>Not Found</v>
      </c>
      <c r="G415" t="e">
        <f t="shared" si="6"/>
        <v>#N/A</v>
      </c>
    </row>
    <row r="416" spans="1:7" hidden="1" x14ac:dyDescent="0.25">
      <c r="A416" t="str">
        <f>BIdetails!G419</f>
        <v>187516</v>
      </c>
      <c r="B416" t="str">
        <f>BIdetails!H419</f>
        <v>Accenture B.V.</v>
      </c>
      <c r="C416" t="str">
        <f>BIdetails!J419</f>
        <v>5400840950</v>
      </c>
      <c r="D416" t="str">
        <f>BIdetails!K419</f>
        <v>80</v>
      </c>
      <c r="E416" s="158">
        <f>BIdetails!M419</f>
        <v>8000</v>
      </c>
      <c r="F416" t="str">
        <f>IF(ISERROR(IF(OR(C416="#",C416=0),"",VLOOKUP(C416,'AOP25'!M:M,1,0))),"Not Found",VLOOKUP(C416,'AOP25'!M:M,1,0))</f>
        <v>Not Found</v>
      </c>
      <c r="G416" t="e">
        <f t="shared" si="6"/>
        <v>#N/A</v>
      </c>
    </row>
    <row r="417" spans="1:7" hidden="1" x14ac:dyDescent="0.25">
      <c r="A417" t="str">
        <f>BIdetails!G420</f>
        <v>187516</v>
      </c>
      <c r="B417" t="str">
        <f>BIdetails!H420</f>
        <v>Accenture B.V.</v>
      </c>
      <c r="C417" t="str">
        <f>BIdetails!J420</f>
        <v>5400840950</v>
      </c>
      <c r="D417" t="str">
        <f>BIdetails!K420</f>
        <v>80</v>
      </c>
      <c r="E417" s="158">
        <f>BIdetails!M420</f>
        <v>2098.91</v>
      </c>
      <c r="F417" t="str">
        <f>IF(ISERROR(IF(OR(C417="#",C417=0),"",VLOOKUP(C417,'AOP25'!M:M,1,0))),"Not Found",VLOOKUP(C417,'AOP25'!M:M,1,0))</f>
        <v>Not Found</v>
      </c>
      <c r="G417" t="e">
        <f t="shared" si="6"/>
        <v>#N/A</v>
      </c>
    </row>
    <row r="418" spans="1:7" hidden="1" x14ac:dyDescent="0.25">
      <c r="A418" t="str">
        <f>BIdetails!G421</f>
        <v>187516</v>
      </c>
      <c r="B418" t="str">
        <f>BIdetails!H421</f>
        <v>Accenture B.V.</v>
      </c>
      <c r="C418" t="str">
        <f>BIdetails!J421</f>
        <v>5400912390</v>
      </c>
      <c r="D418" t="str">
        <f>BIdetails!K421</f>
        <v>10</v>
      </c>
      <c r="E418" s="158">
        <f>BIdetails!M421</f>
        <v>7402.75</v>
      </c>
      <c r="F418" t="str">
        <f>IF(ISERROR(IF(OR(C418="#",C418=0),"",VLOOKUP(C418,'AOP25'!M:M,1,0))),"Not Found",VLOOKUP(C418,'AOP25'!M:M,1,0))</f>
        <v>Not Found</v>
      </c>
      <c r="G418" t="e">
        <f t="shared" si="6"/>
        <v>#N/A</v>
      </c>
    </row>
    <row r="419" spans="1:7" x14ac:dyDescent="0.25">
      <c r="A419" t="str">
        <f>BIdetails!G422</f>
        <v>187516</v>
      </c>
      <c r="B419" t="str">
        <f>BIdetails!H422</f>
        <v>Accenture B.V.</v>
      </c>
      <c r="C419" t="str">
        <f>BIdetails!J422</f>
        <v>5401002572</v>
      </c>
      <c r="D419" t="str">
        <f>BIdetails!K422</f>
        <v>30</v>
      </c>
      <c r="E419" s="158">
        <f>BIdetails!M422</f>
        <v>4567.68</v>
      </c>
      <c r="F419" t="str">
        <f>IF(ISERROR(IF(OR(C419="#",C419=0),"",VLOOKUP(C419,'AOP25'!M:M,1,0))),"Not Found",VLOOKUP(C419,'AOP25'!M:M,1,0))</f>
        <v>Not Found</v>
      </c>
      <c r="G419" t="e">
        <f t="shared" si="6"/>
        <v>#N/A</v>
      </c>
    </row>
    <row r="420" spans="1:7" x14ac:dyDescent="0.25">
      <c r="A420" t="str">
        <f>BIdetails!G423</f>
        <v>187516</v>
      </c>
      <c r="B420" t="str">
        <f>BIdetails!H423</f>
        <v>Accenture B.V.</v>
      </c>
      <c r="C420" t="str">
        <f>BIdetails!J423</f>
        <v>5401002572</v>
      </c>
      <c r="D420" t="str">
        <f>BIdetails!K423</f>
        <v>30</v>
      </c>
      <c r="E420" s="158">
        <f>BIdetails!M423</f>
        <v>4930</v>
      </c>
      <c r="F420" t="str">
        <f>IF(ISERROR(IF(OR(C420="#",C420=0),"",VLOOKUP(C420,'AOP25'!M:M,1,0))),"Not Found",VLOOKUP(C420,'AOP25'!M:M,1,0))</f>
        <v>Not Found</v>
      </c>
      <c r="G420" t="e">
        <f t="shared" si="6"/>
        <v>#N/A</v>
      </c>
    </row>
    <row r="421" spans="1:7" hidden="1" x14ac:dyDescent="0.25">
      <c r="A421" t="str">
        <f>BIdetails!G424</f>
        <v>187516</v>
      </c>
      <c r="B421" t="str">
        <f>BIdetails!H424</f>
        <v>Accenture B.V.</v>
      </c>
      <c r="C421" t="str">
        <f>BIdetails!J424</f>
        <v>5400840950</v>
      </c>
      <c r="D421" t="str">
        <f>BIdetails!K424</f>
        <v>70</v>
      </c>
      <c r="E421" s="158">
        <f>BIdetails!M424</f>
        <v>18720</v>
      </c>
      <c r="F421" t="str">
        <f>IF(ISERROR(IF(OR(C421="#",C421=0),"",VLOOKUP(C421,'AOP25'!M:M,1,0))),"Not Found",VLOOKUP(C421,'AOP25'!M:M,1,0))</f>
        <v>Not Found</v>
      </c>
      <c r="G421" t="e">
        <f t="shared" si="6"/>
        <v>#N/A</v>
      </c>
    </row>
    <row r="422" spans="1:7" x14ac:dyDescent="0.25">
      <c r="A422" t="str">
        <f>BIdetails!G425</f>
        <v>187516</v>
      </c>
      <c r="B422" t="str">
        <f>BIdetails!H425</f>
        <v>Accenture B.V.</v>
      </c>
      <c r="C422" t="str">
        <f>BIdetails!J425</f>
        <v>5400840950</v>
      </c>
      <c r="D422" t="str">
        <f>BIdetails!K425</f>
        <v>80</v>
      </c>
      <c r="E422" s="158">
        <f>BIdetails!M425</f>
        <v>8000</v>
      </c>
      <c r="F422" t="str">
        <f>IF(ISERROR(IF(OR(C422="#",C422=0),"",VLOOKUP(C422,'AOP25'!M:M,1,0))),"Not Found",VLOOKUP(C422,'AOP25'!M:M,1,0))</f>
        <v>Not Found</v>
      </c>
      <c r="G422" t="e">
        <f t="shared" si="6"/>
        <v>#N/A</v>
      </c>
    </row>
    <row r="423" spans="1:7" x14ac:dyDescent="0.25">
      <c r="A423" t="str">
        <f>BIdetails!G426</f>
        <v>187516</v>
      </c>
      <c r="B423" t="str">
        <f>BIdetails!H426</f>
        <v>Accenture B.V.</v>
      </c>
      <c r="C423" t="str">
        <f>BIdetails!J426</f>
        <v>5400840950</v>
      </c>
      <c r="D423" t="str">
        <f>BIdetails!K426</f>
        <v>80</v>
      </c>
      <c r="E423" s="158">
        <f>BIdetails!M426</f>
        <v>2098.91</v>
      </c>
      <c r="F423" t="str">
        <f>IF(ISERROR(IF(OR(C423="#",C423=0),"",VLOOKUP(C423,'AOP25'!M:M,1,0))),"Not Found",VLOOKUP(C423,'AOP25'!M:M,1,0))</f>
        <v>Not Found</v>
      </c>
      <c r="G423" t="e">
        <f t="shared" si="6"/>
        <v>#N/A</v>
      </c>
    </row>
    <row r="424" spans="1:7" x14ac:dyDescent="0.25">
      <c r="A424" t="str">
        <f>BIdetails!G427</f>
        <v>187516</v>
      </c>
      <c r="B424" t="str">
        <f>BIdetails!H427</f>
        <v>Accenture B.V.</v>
      </c>
      <c r="C424" t="str">
        <f>BIdetails!J427</f>
        <v>5401093332</v>
      </c>
      <c r="D424" t="str">
        <f>BIdetails!K427</f>
        <v>50</v>
      </c>
      <c r="E424" s="158">
        <f>BIdetails!M427</f>
        <v>1736</v>
      </c>
      <c r="F424" t="str">
        <f>IF(ISERROR(IF(OR(C424="#",C424=0),"",VLOOKUP(C424,'AOP25'!M:M,1,0))),"Not Found",VLOOKUP(C424,'AOP25'!M:M,1,0))</f>
        <v>Not Found</v>
      </c>
      <c r="G424" t="e">
        <f t="shared" si="6"/>
        <v>#N/A</v>
      </c>
    </row>
    <row r="425" spans="1:7" x14ac:dyDescent="0.25">
      <c r="A425" t="str">
        <f>BIdetails!G428</f>
        <v>187516</v>
      </c>
      <c r="B425" t="str">
        <f>BIdetails!H428</f>
        <v>Accenture B.V.</v>
      </c>
      <c r="C425" t="str">
        <f>BIdetails!J428</f>
        <v>5400912390</v>
      </c>
      <c r="D425" t="str">
        <f>BIdetails!K428</f>
        <v>10</v>
      </c>
      <c r="E425" s="158">
        <f>BIdetails!M428</f>
        <v>7402.75</v>
      </c>
      <c r="F425" t="str">
        <f>IF(ISERROR(IF(OR(C425="#",C425=0),"",VLOOKUP(C425,'AOP25'!M:M,1,0))),"Not Found",VLOOKUP(C425,'AOP25'!M:M,1,0))</f>
        <v>Not Found</v>
      </c>
      <c r="G425" t="e">
        <f t="shared" si="6"/>
        <v>#N/A</v>
      </c>
    </row>
    <row r="426" spans="1:7" x14ac:dyDescent="0.25">
      <c r="A426" t="str">
        <f>BIdetails!G429</f>
        <v>187516</v>
      </c>
      <c r="B426" t="str">
        <f>BIdetails!H429</f>
        <v>Accenture B.V.</v>
      </c>
      <c r="C426" t="str">
        <f>BIdetails!J429</f>
        <v>5401002572</v>
      </c>
      <c r="D426" t="str">
        <f>BIdetails!K429</f>
        <v>30</v>
      </c>
      <c r="E426" s="158">
        <f>BIdetails!M429</f>
        <v>4567.68</v>
      </c>
      <c r="F426" t="str">
        <f>IF(ISERROR(IF(OR(C426="#",C426=0),"",VLOOKUP(C426,'AOP25'!M:M,1,0))),"Not Found",VLOOKUP(C426,'AOP25'!M:M,1,0))</f>
        <v>Not Found</v>
      </c>
      <c r="G426" t="e">
        <f t="shared" si="6"/>
        <v>#N/A</v>
      </c>
    </row>
    <row r="427" spans="1:7" hidden="1" x14ac:dyDescent="0.25">
      <c r="A427" t="str">
        <f>BIdetails!G430</f>
        <v>187516</v>
      </c>
      <c r="B427" t="str">
        <f>BIdetails!H430</f>
        <v>Accenture B.V.</v>
      </c>
      <c r="C427" t="str">
        <f>BIdetails!J430</f>
        <v>5401002572</v>
      </c>
      <c r="D427" t="str">
        <f>BIdetails!K430</f>
        <v>30</v>
      </c>
      <c r="E427" s="158">
        <f>BIdetails!M430</f>
        <v>4930</v>
      </c>
      <c r="F427" t="str">
        <f>IF(ISERROR(IF(OR(C427="#",C427=0),"",VLOOKUP(C427,'AOP25'!M:M,1,0))),"Not Found",VLOOKUP(C427,'AOP25'!M:M,1,0))</f>
        <v>Not Found</v>
      </c>
      <c r="G427" t="e">
        <f t="shared" si="6"/>
        <v>#N/A</v>
      </c>
    </row>
    <row r="428" spans="1:7" x14ac:dyDescent="0.25">
      <c r="A428" t="str">
        <f>BIdetails!G431</f>
        <v>187516</v>
      </c>
      <c r="B428" t="str">
        <f>BIdetails!H431</f>
        <v>Accenture B.V.</v>
      </c>
      <c r="C428" t="str">
        <f>BIdetails!J431</f>
        <v>5400840950</v>
      </c>
      <c r="D428" t="str">
        <f>BIdetails!K431</f>
        <v>70</v>
      </c>
      <c r="E428" s="158">
        <f>BIdetails!M431</f>
        <v>18720</v>
      </c>
      <c r="F428" t="str">
        <f>IF(ISERROR(IF(OR(C428="#",C428=0),"",VLOOKUP(C428,'AOP25'!M:M,1,0))),"Not Found",VLOOKUP(C428,'AOP25'!M:M,1,0))</f>
        <v>Not Found</v>
      </c>
      <c r="G428" t="e">
        <f t="shared" si="6"/>
        <v>#N/A</v>
      </c>
    </row>
    <row r="429" spans="1:7" x14ac:dyDescent="0.25">
      <c r="A429" t="str">
        <f>BIdetails!G432</f>
        <v>187516</v>
      </c>
      <c r="B429" t="str">
        <f>BIdetails!H432</f>
        <v>Accenture B.V.</v>
      </c>
      <c r="C429" t="str">
        <f>BIdetails!J432</f>
        <v>5400840950</v>
      </c>
      <c r="D429" t="str">
        <f>BIdetails!K432</f>
        <v>80</v>
      </c>
      <c r="E429" s="158">
        <f>BIdetails!M432</f>
        <v>2098.91</v>
      </c>
      <c r="F429" t="str">
        <f>IF(ISERROR(IF(OR(C429="#",C429=0),"",VLOOKUP(C429,'AOP25'!M:M,1,0))),"Not Found",VLOOKUP(C429,'AOP25'!M:M,1,0))</f>
        <v>Not Found</v>
      </c>
      <c r="G429" t="e">
        <f t="shared" si="6"/>
        <v>#N/A</v>
      </c>
    </row>
    <row r="430" spans="1:7" hidden="1" x14ac:dyDescent="0.25">
      <c r="A430" t="str">
        <f>BIdetails!G433</f>
        <v>187516</v>
      </c>
      <c r="B430" t="str">
        <f>BIdetails!H433</f>
        <v>Accenture B.V.</v>
      </c>
      <c r="C430" t="str">
        <f>BIdetails!J433</f>
        <v>5401002572</v>
      </c>
      <c r="D430" t="str">
        <f>BIdetails!K433</f>
        <v>30</v>
      </c>
      <c r="E430" s="158">
        <f>BIdetails!M433</f>
        <v>4930</v>
      </c>
      <c r="F430" t="str">
        <f>IF(ISERROR(IF(OR(C430="#",C430=0),"",VLOOKUP(C430,'AOP25'!M:M,1,0))),"Not Found",VLOOKUP(C430,'AOP25'!M:M,1,0))</f>
        <v>Not Found</v>
      </c>
      <c r="G430" t="e">
        <f t="shared" si="6"/>
        <v>#N/A</v>
      </c>
    </row>
    <row r="431" spans="1:7" hidden="1" x14ac:dyDescent="0.25">
      <c r="A431" t="str">
        <f>BIdetails!G434</f>
        <v>187516</v>
      </c>
      <c r="B431" t="str">
        <f>BIdetails!H434</f>
        <v>Accenture B.V.</v>
      </c>
      <c r="C431" t="str">
        <f>BIdetails!J434</f>
        <v>5400840950</v>
      </c>
      <c r="D431" t="str">
        <f>BIdetails!K434</f>
        <v>80</v>
      </c>
      <c r="E431" s="158">
        <f>BIdetails!M434</f>
        <v>8000</v>
      </c>
      <c r="F431" t="str">
        <f>IF(ISERROR(IF(OR(C431="#",C431=0),"",VLOOKUP(C431,'AOP25'!M:M,1,0))),"Not Found",VLOOKUP(C431,'AOP25'!M:M,1,0))</f>
        <v>Not Found</v>
      </c>
      <c r="G431" t="e">
        <f t="shared" si="6"/>
        <v>#N/A</v>
      </c>
    </row>
    <row r="432" spans="1:7" hidden="1" x14ac:dyDescent="0.25">
      <c r="A432" t="str">
        <f>BIdetails!G435</f>
        <v>187516</v>
      </c>
      <c r="B432" t="str">
        <f>BIdetails!H435</f>
        <v>Accenture B.V.</v>
      </c>
      <c r="C432" t="str">
        <f>BIdetails!J435</f>
        <v>5400840950</v>
      </c>
      <c r="D432" t="str">
        <f>BIdetails!K435</f>
        <v>80</v>
      </c>
      <c r="E432" s="158">
        <f>BIdetails!M435</f>
        <v>2098.91</v>
      </c>
      <c r="F432" t="str">
        <f>IF(ISERROR(IF(OR(C432="#",C432=0),"",VLOOKUP(C432,'AOP25'!M:M,1,0))),"Not Found",VLOOKUP(C432,'AOP25'!M:M,1,0))</f>
        <v>Not Found</v>
      </c>
      <c r="G432" t="e">
        <f t="shared" si="6"/>
        <v>#N/A</v>
      </c>
    </row>
    <row r="433" spans="1:7" x14ac:dyDescent="0.25">
      <c r="A433" t="str">
        <f>BIdetails!G436</f>
        <v>187516</v>
      </c>
      <c r="B433" t="str">
        <f>BIdetails!H436</f>
        <v>Accenture B.V.</v>
      </c>
      <c r="C433" t="str">
        <f>BIdetails!J436</f>
        <v>5400840950</v>
      </c>
      <c r="D433" t="str">
        <f>BIdetails!K436</f>
        <v>80</v>
      </c>
      <c r="E433" s="158">
        <f>BIdetails!M436</f>
        <v>8000</v>
      </c>
      <c r="F433" t="str">
        <f>IF(ISERROR(IF(OR(C433="#",C433=0),"",VLOOKUP(C433,'AOP25'!M:M,1,0))),"Not Found",VLOOKUP(C433,'AOP25'!M:M,1,0))</f>
        <v>Not Found</v>
      </c>
      <c r="G433" t="e">
        <f t="shared" si="6"/>
        <v>#N/A</v>
      </c>
    </row>
    <row r="434" spans="1:7" hidden="1" x14ac:dyDescent="0.25">
      <c r="A434" t="str">
        <f>BIdetails!G437</f>
        <v>187516</v>
      </c>
      <c r="B434" t="str">
        <f>BIdetails!H437</f>
        <v>Accenture B.V.</v>
      </c>
      <c r="C434" t="str">
        <f>BIdetails!J437</f>
        <v>5400840950</v>
      </c>
      <c r="D434" t="str">
        <f>BIdetails!K437</f>
        <v>70</v>
      </c>
      <c r="E434" s="158">
        <f>BIdetails!M437</f>
        <v>18720</v>
      </c>
      <c r="F434" t="str">
        <f>IF(ISERROR(IF(OR(C434="#",C434=0),"",VLOOKUP(C434,'AOP25'!M:M,1,0))),"Not Found",VLOOKUP(C434,'AOP25'!M:M,1,0))</f>
        <v>Not Found</v>
      </c>
      <c r="G434" t="e">
        <f t="shared" si="6"/>
        <v>#N/A</v>
      </c>
    </row>
    <row r="435" spans="1:7" hidden="1" x14ac:dyDescent="0.25">
      <c r="A435" t="str">
        <f>BIdetails!G438</f>
        <v>187516</v>
      </c>
      <c r="B435" t="str">
        <f>BIdetails!H438</f>
        <v>Accenture B.V.</v>
      </c>
      <c r="C435" t="str">
        <f>BIdetails!J438</f>
        <v>5400912390</v>
      </c>
      <c r="D435" t="str">
        <f>BIdetails!K438</f>
        <v>10</v>
      </c>
      <c r="E435" s="158">
        <f>BIdetails!M438</f>
        <v>7402.75</v>
      </c>
      <c r="F435" t="str">
        <f>IF(ISERROR(IF(OR(C435="#",C435=0),"",VLOOKUP(C435,'AOP25'!M:M,1,0))),"Not Found",VLOOKUP(C435,'AOP25'!M:M,1,0))</f>
        <v>Not Found</v>
      </c>
      <c r="G435" t="e">
        <f t="shared" si="6"/>
        <v>#N/A</v>
      </c>
    </row>
    <row r="436" spans="1:7" hidden="1" x14ac:dyDescent="0.25">
      <c r="A436" t="str">
        <f>BIdetails!G439</f>
        <v>187516</v>
      </c>
      <c r="B436" t="str">
        <f>BIdetails!H439</f>
        <v>Accenture B.V.</v>
      </c>
      <c r="C436" t="str">
        <f>BIdetails!J439</f>
        <v>5401002572</v>
      </c>
      <c r="D436" t="str">
        <f>BIdetails!K439</f>
        <v>30</v>
      </c>
      <c r="E436" s="158">
        <f>BIdetails!M439</f>
        <v>4567.68</v>
      </c>
      <c r="F436" t="str">
        <f>IF(ISERROR(IF(OR(C436="#",C436=0),"",VLOOKUP(C436,'AOP25'!M:M,1,0))),"Not Found",VLOOKUP(C436,'AOP25'!M:M,1,0))</f>
        <v>Not Found</v>
      </c>
      <c r="G436" t="e">
        <f t="shared" si="6"/>
        <v>#N/A</v>
      </c>
    </row>
    <row r="437" spans="1:7" hidden="1" x14ac:dyDescent="0.25">
      <c r="A437" t="str">
        <f>BIdetails!G440</f>
        <v>187516</v>
      </c>
      <c r="B437" t="str">
        <f>BIdetails!H440</f>
        <v>Accenture B.V.</v>
      </c>
      <c r="C437" t="str">
        <f>BIdetails!J440</f>
        <v>5401002572</v>
      </c>
      <c r="D437" t="str">
        <f>BIdetails!K440</f>
        <v>30</v>
      </c>
      <c r="E437" s="158">
        <f>BIdetails!M440</f>
        <v>4930</v>
      </c>
      <c r="F437" t="str">
        <f>IF(ISERROR(IF(OR(C437="#",C437=0),"",VLOOKUP(C437,'AOP25'!M:M,1,0))),"Not Found",VLOOKUP(C437,'AOP25'!M:M,1,0))</f>
        <v>Not Found</v>
      </c>
      <c r="G437" t="e">
        <f t="shared" si="6"/>
        <v>#N/A</v>
      </c>
    </row>
    <row r="438" spans="1:7" hidden="1" x14ac:dyDescent="0.25">
      <c r="A438" t="str">
        <f>BIdetails!G441</f>
        <v>187516</v>
      </c>
      <c r="B438" t="str">
        <f>BIdetails!H441</f>
        <v>Accenture B.V.</v>
      </c>
      <c r="C438" t="str">
        <f>BIdetails!J441</f>
        <v>5401002572</v>
      </c>
      <c r="D438" t="str">
        <f>BIdetails!K441</f>
        <v>30</v>
      </c>
      <c r="E438" s="158">
        <f>BIdetails!M441</f>
        <v>4567.68</v>
      </c>
      <c r="F438" t="str">
        <f>IF(ISERROR(IF(OR(C438="#",C438=0),"",VLOOKUP(C438,'AOP25'!M:M,1,0))),"Not Found",VLOOKUP(C438,'AOP25'!M:M,1,0))</f>
        <v>Not Found</v>
      </c>
      <c r="G438" t="e">
        <f t="shared" si="6"/>
        <v>#N/A</v>
      </c>
    </row>
    <row r="439" spans="1:7" hidden="1" x14ac:dyDescent="0.25">
      <c r="A439" t="str">
        <f>BIdetails!G442</f>
        <v>187516</v>
      </c>
      <c r="B439" t="str">
        <f>BIdetails!H442</f>
        <v>Accenture B.V.</v>
      </c>
      <c r="C439" t="str">
        <f>BIdetails!J442</f>
        <v>5401002572</v>
      </c>
      <c r="D439" t="str">
        <f>BIdetails!K442</f>
        <v>30</v>
      </c>
      <c r="E439" s="158">
        <f>BIdetails!M442</f>
        <v>4930</v>
      </c>
      <c r="F439" t="str">
        <f>IF(ISERROR(IF(OR(C439="#",C439=0),"",VLOOKUP(C439,'AOP25'!M:M,1,0))),"Not Found",VLOOKUP(C439,'AOP25'!M:M,1,0))</f>
        <v>Not Found</v>
      </c>
      <c r="G439" t="e">
        <f t="shared" si="6"/>
        <v>#N/A</v>
      </c>
    </row>
    <row r="440" spans="1:7" hidden="1" x14ac:dyDescent="0.25">
      <c r="A440" t="str">
        <f>BIdetails!G443</f>
        <v>187516</v>
      </c>
      <c r="B440" t="str">
        <f>BIdetails!H443</f>
        <v>Accenture B.V.</v>
      </c>
      <c r="C440" t="str">
        <f>BIdetails!J443</f>
        <v>5400912390</v>
      </c>
      <c r="D440" t="str">
        <f>BIdetails!K443</f>
        <v>10</v>
      </c>
      <c r="E440" s="158">
        <f>BIdetails!M443</f>
        <v>7402.75</v>
      </c>
      <c r="F440" t="str">
        <f>IF(ISERROR(IF(OR(C440="#",C440=0),"",VLOOKUP(C440,'AOP25'!M:M,1,0))),"Not Found",VLOOKUP(C440,'AOP25'!M:M,1,0))</f>
        <v>Not Found</v>
      </c>
      <c r="G440" t="e">
        <f t="shared" si="6"/>
        <v>#N/A</v>
      </c>
    </row>
    <row r="441" spans="1:7" hidden="1" x14ac:dyDescent="0.25">
      <c r="A441" t="str">
        <f>BIdetails!G444</f>
        <v>187516</v>
      </c>
      <c r="B441" t="str">
        <f>BIdetails!H444</f>
        <v>Accenture B.V.</v>
      </c>
      <c r="C441" t="str">
        <f>BIdetails!J444</f>
        <v>5400840950</v>
      </c>
      <c r="D441" t="str">
        <f>BIdetails!K444</f>
        <v>80</v>
      </c>
      <c r="E441" s="158">
        <f>BIdetails!M444</f>
        <v>8000</v>
      </c>
      <c r="F441" t="str">
        <f>IF(ISERROR(IF(OR(C441="#",C441=0),"",VLOOKUP(C441,'AOP25'!M:M,1,0))),"Not Found",VLOOKUP(C441,'AOP25'!M:M,1,0))</f>
        <v>Not Found</v>
      </c>
      <c r="G441" t="e">
        <f t="shared" si="6"/>
        <v>#N/A</v>
      </c>
    </row>
    <row r="442" spans="1:7" hidden="1" x14ac:dyDescent="0.25">
      <c r="A442" t="str">
        <f>BIdetails!G445</f>
        <v>187516</v>
      </c>
      <c r="B442" t="str">
        <f>BIdetails!H445</f>
        <v>Accenture B.V.</v>
      </c>
      <c r="C442" t="str">
        <f>BIdetails!J445</f>
        <v>5400840950</v>
      </c>
      <c r="D442" t="str">
        <f>BIdetails!K445</f>
        <v>80</v>
      </c>
      <c r="E442" s="158">
        <f>BIdetails!M445</f>
        <v>2098.91</v>
      </c>
      <c r="F442" t="str">
        <f>IF(ISERROR(IF(OR(C442="#",C442=0),"",VLOOKUP(C442,'AOP25'!M:M,1,0))),"Not Found",VLOOKUP(C442,'AOP25'!M:M,1,0))</f>
        <v>Not Found</v>
      </c>
      <c r="G442" t="e">
        <f t="shared" si="6"/>
        <v>#N/A</v>
      </c>
    </row>
    <row r="443" spans="1:7" hidden="1" x14ac:dyDescent="0.25">
      <c r="A443" t="str">
        <f>BIdetails!G446</f>
        <v>187516</v>
      </c>
      <c r="B443" t="str">
        <f>BIdetails!H446</f>
        <v>Accenture B.V.</v>
      </c>
      <c r="C443" t="str">
        <f>BIdetails!J446</f>
        <v>5400840950</v>
      </c>
      <c r="D443" t="str">
        <f>BIdetails!K446</f>
        <v>70</v>
      </c>
      <c r="E443" s="158">
        <f>BIdetails!M446</f>
        <v>18720</v>
      </c>
      <c r="F443" t="str">
        <f>IF(ISERROR(IF(OR(C443="#",C443=0),"",VLOOKUP(C443,'AOP25'!M:M,1,0))),"Not Found",VLOOKUP(C443,'AOP25'!M:M,1,0))</f>
        <v>Not Found</v>
      </c>
      <c r="G443" t="e">
        <f t="shared" si="6"/>
        <v>#N/A</v>
      </c>
    </row>
    <row r="444" spans="1:7" hidden="1" x14ac:dyDescent="0.25">
      <c r="A444" t="str">
        <f>BIdetails!G447</f>
        <v>187516</v>
      </c>
      <c r="B444" t="str">
        <f>BIdetails!H447</f>
        <v>Accenture B.V.</v>
      </c>
      <c r="C444" t="str">
        <f>BIdetails!J447</f>
        <v>5401093332</v>
      </c>
      <c r="D444" t="str">
        <f>BIdetails!K447</f>
        <v>50</v>
      </c>
      <c r="E444" s="158">
        <f>BIdetails!M447</f>
        <v>1736</v>
      </c>
      <c r="F444" t="str">
        <f>IF(ISERROR(IF(OR(C444="#",C444=0),"",VLOOKUP(C444,'AOP25'!M:M,1,0))),"Not Found",VLOOKUP(C444,'AOP25'!M:M,1,0))</f>
        <v>Not Found</v>
      </c>
      <c r="G444" t="e">
        <f t="shared" si="6"/>
        <v>#N/A</v>
      </c>
    </row>
    <row r="445" spans="1:7" hidden="1" x14ac:dyDescent="0.25">
      <c r="A445" t="str">
        <f>BIdetails!G448</f>
        <v>187516</v>
      </c>
      <c r="B445" t="str">
        <f>BIdetails!H448</f>
        <v>Accenture B.V.</v>
      </c>
      <c r="C445" t="str">
        <f>BIdetails!J448</f>
        <v>5401093332</v>
      </c>
      <c r="D445" t="str">
        <f>BIdetails!K448</f>
        <v>50</v>
      </c>
      <c r="E445" s="158">
        <f>BIdetails!M448</f>
        <v>1736</v>
      </c>
      <c r="F445" t="str">
        <f>IF(ISERROR(IF(OR(C445="#",C445=0),"",VLOOKUP(C445,'AOP25'!M:M,1,0))),"Not Found",VLOOKUP(C445,'AOP25'!M:M,1,0))</f>
        <v>Not Found</v>
      </c>
      <c r="G445" t="e">
        <f t="shared" si="6"/>
        <v>#N/A</v>
      </c>
    </row>
    <row r="446" spans="1:7" hidden="1" x14ac:dyDescent="0.25">
      <c r="A446" t="str">
        <f>BIdetails!G449</f>
        <v>187516</v>
      </c>
      <c r="B446" t="str">
        <f>BIdetails!H449</f>
        <v>Accenture B.V.</v>
      </c>
      <c r="C446" t="str">
        <f>BIdetails!J449</f>
        <v>5401093332</v>
      </c>
      <c r="D446" t="str">
        <f>BIdetails!K449</f>
        <v>50</v>
      </c>
      <c r="E446" s="158">
        <f>BIdetails!M449</f>
        <v>1736</v>
      </c>
      <c r="F446" t="str">
        <f>IF(ISERROR(IF(OR(C446="#",C446=0),"",VLOOKUP(C446,'AOP25'!M:M,1,0))),"Not Found",VLOOKUP(C446,'AOP25'!M:M,1,0))</f>
        <v>Not Found</v>
      </c>
      <c r="G446" t="e">
        <f t="shared" si="6"/>
        <v>#N/A</v>
      </c>
    </row>
    <row r="447" spans="1:7" hidden="1" x14ac:dyDescent="0.25">
      <c r="A447" t="str">
        <f>BIdetails!G450</f>
        <v>187516</v>
      </c>
      <c r="B447" t="str">
        <f>BIdetails!H450</f>
        <v>Accenture B.V.</v>
      </c>
      <c r="C447" t="str">
        <f>BIdetails!J450</f>
        <v>5400840950</v>
      </c>
      <c r="D447" t="str">
        <f>BIdetails!K450</f>
        <v>70</v>
      </c>
      <c r="E447" s="158">
        <f>BIdetails!M450</f>
        <v>18720</v>
      </c>
      <c r="F447" t="str">
        <f>IF(ISERROR(IF(OR(C447="#",C447=0),"",VLOOKUP(C447,'AOP25'!M:M,1,0))),"Not Found",VLOOKUP(C447,'AOP25'!M:M,1,0))</f>
        <v>Not Found</v>
      </c>
      <c r="G447" t="e">
        <f t="shared" si="6"/>
        <v>#N/A</v>
      </c>
    </row>
    <row r="448" spans="1:7" hidden="1" x14ac:dyDescent="0.25">
      <c r="A448" t="str">
        <f>BIdetails!G451</f>
        <v>187516</v>
      </c>
      <c r="B448" t="str">
        <f>BIdetails!H451</f>
        <v>Accenture B.V.</v>
      </c>
      <c r="C448" t="str">
        <f>BIdetails!J451</f>
        <v>5400840950</v>
      </c>
      <c r="D448" t="str">
        <f>BIdetails!K451</f>
        <v>80</v>
      </c>
      <c r="E448" s="158">
        <f>BIdetails!M451</f>
        <v>8000</v>
      </c>
      <c r="F448" t="str">
        <f>IF(ISERROR(IF(OR(C448="#",C448=0),"",VLOOKUP(C448,'AOP25'!M:M,1,0))),"Not Found",VLOOKUP(C448,'AOP25'!M:M,1,0))</f>
        <v>Not Found</v>
      </c>
      <c r="G448" t="e">
        <f t="shared" si="6"/>
        <v>#N/A</v>
      </c>
    </row>
    <row r="449" spans="1:7" hidden="1" x14ac:dyDescent="0.25">
      <c r="A449" t="str">
        <f>BIdetails!G452</f>
        <v>187516</v>
      </c>
      <c r="B449" t="str">
        <f>BIdetails!H452</f>
        <v>Accenture B.V.</v>
      </c>
      <c r="C449" t="str">
        <f>BIdetails!J452</f>
        <v>5400840950</v>
      </c>
      <c r="D449" t="str">
        <f>BIdetails!K452</f>
        <v>80</v>
      </c>
      <c r="E449" s="158">
        <f>BIdetails!M452</f>
        <v>2098.91</v>
      </c>
      <c r="F449" t="str">
        <f>IF(ISERROR(IF(OR(C449="#",C449=0),"",VLOOKUP(C449,'AOP25'!M:M,1,0))),"Not Found",VLOOKUP(C449,'AOP25'!M:M,1,0))</f>
        <v>Not Found</v>
      </c>
      <c r="G449" t="e">
        <f t="shared" si="6"/>
        <v>#N/A</v>
      </c>
    </row>
    <row r="450" spans="1:7" hidden="1" x14ac:dyDescent="0.25">
      <c r="A450" t="str">
        <f>BIdetails!G453</f>
        <v>187516</v>
      </c>
      <c r="B450" t="str">
        <f>BIdetails!H453</f>
        <v>Accenture B.V.</v>
      </c>
      <c r="C450" t="str">
        <f>BIdetails!J453</f>
        <v>5400912390</v>
      </c>
      <c r="D450" t="str">
        <f>BIdetails!K453</f>
        <v>10</v>
      </c>
      <c r="E450" s="158">
        <f>BIdetails!M453</f>
        <v>7402.75</v>
      </c>
      <c r="F450" t="str">
        <f>IF(ISERROR(IF(OR(C450="#",C450=0),"",VLOOKUP(C450,'AOP25'!M:M,1,0))),"Not Found",VLOOKUP(C450,'AOP25'!M:M,1,0))</f>
        <v>Not Found</v>
      </c>
      <c r="G450" t="e">
        <f t="shared" si="6"/>
        <v>#N/A</v>
      </c>
    </row>
    <row r="451" spans="1:7" x14ac:dyDescent="0.25">
      <c r="A451" t="str">
        <f>BIdetails!G454</f>
        <v>187516</v>
      </c>
      <c r="B451" t="str">
        <f>BIdetails!H454</f>
        <v>Accenture B.V.</v>
      </c>
      <c r="C451" t="str">
        <f>BIdetails!J454</f>
        <v>5401002572</v>
      </c>
      <c r="D451" t="str">
        <f>BIdetails!K454</f>
        <v>30</v>
      </c>
      <c r="E451" s="158">
        <f>BIdetails!M454</f>
        <v>4567.68</v>
      </c>
      <c r="F451" t="str">
        <f>IF(ISERROR(IF(OR(C451="#",C451=0),"",VLOOKUP(C451,'AOP25'!M:M,1,0))),"Not Found",VLOOKUP(C451,'AOP25'!M:M,1,0))</f>
        <v>Not Found</v>
      </c>
      <c r="G451" t="e">
        <f t="shared" ref="G451:G500" si="7">IF(NOT(ISERROR(VLOOKUP(C451,$K$2:$K$50,1,0))),"Y",VLOOKUP(C451,$K$2:$K$50,1,0))</f>
        <v>#N/A</v>
      </c>
    </row>
    <row r="452" spans="1:7" hidden="1" x14ac:dyDescent="0.25">
      <c r="A452" t="str">
        <f>BIdetails!G455</f>
        <v>187516</v>
      </c>
      <c r="B452" t="str">
        <f>BIdetails!H455</f>
        <v>Accenture B.V.</v>
      </c>
      <c r="C452" t="str">
        <f>BIdetails!J455</f>
        <v>5401002572</v>
      </c>
      <c r="D452" t="str">
        <f>BIdetails!K455</f>
        <v>30</v>
      </c>
      <c r="E452" s="158">
        <f>BIdetails!M455</f>
        <v>4930</v>
      </c>
      <c r="F452" t="str">
        <f>IF(ISERROR(IF(OR(C452="#",C452=0),"",VLOOKUP(C452,'AOP25'!M:M,1,0))),"Not Found",VLOOKUP(C452,'AOP25'!M:M,1,0))</f>
        <v>Not Found</v>
      </c>
      <c r="G452" t="e">
        <f t="shared" si="7"/>
        <v>#N/A</v>
      </c>
    </row>
    <row r="453" spans="1:7" x14ac:dyDescent="0.25">
      <c r="A453" t="str">
        <f>BIdetails!G456</f>
        <v>187516</v>
      </c>
      <c r="B453" t="str">
        <f>BIdetails!H456</f>
        <v>Accenture B.V.</v>
      </c>
      <c r="C453" t="str">
        <f>BIdetails!J456</f>
        <v>5401093332</v>
      </c>
      <c r="D453" t="str">
        <f>BIdetails!K456</f>
        <v>50</v>
      </c>
      <c r="E453" s="158">
        <f>BIdetails!M456</f>
        <v>1736</v>
      </c>
      <c r="F453" t="str">
        <f>IF(ISERROR(IF(OR(C453="#",C453=0),"",VLOOKUP(C453,'AOP25'!M:M,1,0))),"Not Found",VLOOKUP(C453,'AOP25'!M:M,1,0))</f>
        <v>Not Found</v>
      </c>
      <c r="G453" t="e">
        <f t="shared" si="7"/>
        <v>#N/A</v>
      </c>
    </row>
    <row r="454" spans="1:7" x14ac:dyDescent="0.25">
      <c r="A454" t="str">
        <f>BIdetails!G457</f>
        <v>187516</v>
      </c>
      <c r="B454" t="str">
        <f>BIdetails!H457</f>
        <v>Accenture B.V.</v>
      </c>
      <c r="C454" t="str">
        <f>BIdetails!J457</f>
        <v>5400912390</v>
      </c>
      <c r="D454" t="str">
        <f>BIdetails!K457</f>
        <v>10</v>
      </c>
      <c r="E454" s="158">
        <f>BIdetails!M457</f>
        <v>-0.03</v>
      </c>
      <c r="F454" t="str">
        <f>IF(ISERROR(IF(OR(C454="#",C454=0),"",VLOOKUP(C454,'AOP25'!M:M,1,0))),"Not Found",VLOOKUP(C454,'AOP25'!M:M,1,0))</f>
        <v>Not Found</v>
      </c>
      <c r="G454" t="e">
        <f t="shared" si="7"/>
        <v>#N/A</v>
      </c>
    </row>
    <row r="455" spans="1:7" hidden="1" x14ac:dyDescent="0.25">
      <c r="A455" t="str">
        <f>BIdetails!G458</f>
        <v>187516</v>
      </c>
      <c r="B455" t="str">
        <f>BIdetails!H458</f>
        <v>Accenture B.V.</v>
      </c>
      <c r="C455" t="str">
        <f>BIdetails!J458</f>
        <v>5400912390</v>
      </c>
      <c r="D455" t="str">
        <f>BIdetails!K458</f>
        <v>10</v>
      </c>
      <c r="E455" s="158">
        <f>BIdetails!M458</f>
        <v>-0.03</v>
      </c>
      <c r="F455" t="str">
        <f>IF(ISERROR(IF(OR(C455="#",C455=0),"",VLOOKUP(C455,'AOP25'!M:M,1,0))),"Not Found",VLOOKUP(C455,'AOP25'!M:M,1,0))</f>
        <v>Not Found</v>
      </c>
      <c r="G455" t="e">
        <f t="shared" si="7"/>
        <v>#N/A</v>
      </c>
    </row>
    <row r="456" spans="1:7" hidden="1" x14ac:dyDescent="0.25">
      <c r="A456" t="str">
        <f>BIdetails!G459</f>
        <v>187516</v>
      </c>
      <c r="B456" t="str">
        <f>BIdetails!H459</f>
        <v>Accenture B.V.</v>
      </c>
      <c r="C456" t="str">
        <f>BIdetails!J459</f>
        <v>5400912390</v>
      </c>
      <c r="D456" t="str">
        <f>BIdetails!K459</f>
        <v>10</v>
      </c>
      <c r="E456" s="158">
        <f>BIdetails!M459</f>
        <v>-0.03</v>
      </c>
      <c r="F456" t="str">
        <f>IF(ISERROR(IF(OR(C456="#",C456=0),"",VLOOKUP(C456,'AOP25'!M:M,1,0))),"Not Found",VLOOKUP(C456,'AOP25'!M:M,1,0))</f>
        <v>Not Found</v>
      </c>
      <c r="G456" t="e">
        <f t="shared" si="7"/>
        <v>#N/A</v>
      </c>
    </row>
    <row r="457" spans="1:7" hidden="1" x14ac:dyDescent="0.25">
      <c r="A457" t="str">
        <f>BIdetails!G460</f>
        <v>187516</v>
      </c>
      <c r="B457" t="str">
        <f>BIdetails!H460</f>
        <v>Accenture B.V.</v>
      </c>
      <c r="C457" t="str">
        <f>BIdetails!J460</f>
        <v>5400912390</v>
      </c>
      <c r="D457" t="str">
        <f>BIdetails!K460</f>
        <v>10</v>
      </c>
      <c r="E457" s="158">
        <f>BIdetails!M460</f>
        <v>-0.03</v>
      </c>
      <c r="F457" t="str">
        <f>IF(ISERROR(IF(OR(C457="#",C457=0),"",VLOOKUP(C457,'AOP25'!M:M,1,0))),"Not Found",VLOOKUP(C457,'AOP25'!M:M,1,0))</f>
        <v>Not Found</v>
      </c>
      <c r="G457" t="e">
        <f t="shared" si="7"/>
        <v>#N/A</v>
      </c>
    </row>
    <row r="458" spans="1:7" hidden="1" x14ac:dyDescent="0.25">
      <c r="A458" t="str">
        <f>BIdetails!G461</f>
        <v>187516</v>
      </c>
      <c r="B458" t="str">
        <f>BIdetails!H461</f>
        <v>Accenture B.V.</v>
      </c>
      <c r="C458" t="str">
        <f>BIdetails!J461</f>
        <v>5400912390</v>
      </c>
      <c r="D458" t="str">
        <f>BIdetails!K461</f>
        <v>10</v>
      </c>
      <c r="E458" s="158">
        <f>BIdetails!M461</f>
        <v>-0.03</v>
      </c>
      <c r="F458" t="str">
        <f>IF(ISERROR(IF(OR(C458="#",C458=0),"",VLOOKUP(C458,'AOP25'!M:M,1,0))),"Not Found",VLOOKUP(C458,'AOP25'!M:M,1,0))</f>
        <v>Not Found</v>
      </c>
      <c r="G458" t="e">
        <f t="shared" si="7"/>
        <v>#N/A</v>
      </c>
    </row>
    <row r="459" spans="1:7" hidden="1" x14ac:dyDescent="0.25">
      <c r="A459" t="str">
        <f>BIdetails!G462</f>
        <v>187516</v>
      </c>
      <c r="B459" t="str">
        <f>BIdetails!H462</f>
        <v>Accenture B.V.</v>
      </c>
      <c r="C459" t="str">
        <f>BIdetails!J462</f>
        <v>5401093332</v>
      </c>
      <c r="D459" t="str">
        <f>BIdetails!K462</f>
        <v>50</v>
      </c>
      <c r="E459" s="158">
        <f>BIdetails!M462</f>
        <v>0.9</v>
      </c>
      <c r="F459" t="str">
        <f>IF(ISERROR(IF(OR(C459="#",C459=0),"",VLOOKUP(C459,'AOP25'!M:M,1,0))),"Not Found",VLOOKUP(C459,'AOP25'!M:M,1,0))</f>
        <v>Not Found</v>
      </c>
      <c r="G459" t="e">
        <f t="shared" si="7"/>
        <v>#N/A</v>
      </c>
    </row>
    <row r="460" spans="1:7" hidden="1" x14ac:dyDescent="0.25">
      <c r="A460" t="str">
        <f>BIdetails!G463</f>
        <v>195870</v>
      </c>
      <c r="B460" t="str">
        <f>BIdetails!H463</f>
        <v>Sans Institute</v>
      </c>
      <c r="C460" t="str">
        <f>BIdetails!J463</f>
        <v>5401102234</v>
      </c>
      <c r="D460" t="str">
        <f>BIdetails!K463</f>
        <v>10</v>
      </c>
      <c r="E460" s="158">
        <f>BIdetails!M463</f>
        <v>104911.78</v>
      </c>
      <c r="F460" t="str">
        <f>IF(ISERROR(IF(OR(C460="#",C460=0),"",VLOOKUP(C460,'AOP25'!M:M,1,0))),"Not Found",VLOOKUP(C460,'AOP25'!M:M,1,0))</f>
        <v>Not Found</v>
      </c>
      <c r="G460" t="e">
        <f t="shared" si="7"/>
        <v>#N/A</v>
      </c>
    </row>
    <row r="461" spans="1:7" hidden="1" x14ac:dyDescent="0.25">
      <c r="A461" t="str">
        <f>BIdetails!G464</f>
        <v>196653</v>
      </c>
      <c r="B461" t="str">
        <f>BIdetails!H464</f>
        <v>Orange Business Netherlands B.V.</v>
      </c>
      <c r="C461" t="str">
        <f>BIdetails!J464</f>
        <v>5401090239</v>
      </c>
      <c r="D461" t="str">
        <f>BIdetails!K464</f>
        <v>10</v>
      </c>
      <c r="E461" s="158">
        <f>BIdetails!M464</f>
        <v>6400</v>
      </c>
      <c r="F461" t="str">
        <f>IF(ISERROR(IF(OR(C461="#",C461=0),"",VLOOKUP(C461,'AOP25'!M:M,1,0))),"Not Found",VLOOKUP(C461,'AOP25'!M:M,1,0))</f>
        <v>Not Found</v>
      </c>
      <c r="G461" t="e">
        <f t="shared" si="7"/>
        <v>#N/A</v>
      </c>
    </row>
    <row r="462" spans="1:7" hidden="1" x14ac:dyDescent="0.25">
      <c r="A462" t="str">
        <f>BIdetails!G465</f>
        <v>196653</v>
      </c>
      <c r="B462" t="str">
        <f>BIdetails!H465</f>
        <v>Orange Business Netherlands B.V.</v>
      </c>
      <c r="C462" t="str">
        <f>BIdetails!J465</f>
        <v>5401090239</v>
      </c>
      <c r="D462" t="str">
        <f>BIdetails!K465</f>
        <v>10</v>
      </c>
      <c r="E462" s="158">
        <f>BIdetails!M465</f>
        <v>58</v>
      </c>
      <c r="F462" t="str">
        <f>IF(ISERROR(IF(OR(C462="#",C462=0),"",VLOOKUP(C462,'AOP25'!M:M,1,0))),"Not Found",VLOOKUP(C462,'AOP25'!M:M,1,0))</f>
        <v>Not Found</v>
      </c>
      <c r="G462" t="e">
        <f t="shared" si="7"/>
        <v>#N/A</v>
      </c>
    </row>
    <row r="463" spans="1:7" hidden="1" x14ac:dyDescent="0.25">
      <c r="A463" t="str">
        <f>BIdetails!G466</f>
        <v>196653</v>
      </c>
      <c r="B463" t="str">
        <f>BIdetails!H466</f>
        <v>Orange Business Netherlands B.V.</v>
      </c>
      <c r="C463" t="str">
        <f>BIdetails!J466</f>
        <v>5401090239</v>
      </c>
      <c r="D463" t="str">
        <f>BIdetails!K466</f>
        <v>10</v>
      </c>
      <c r="E463" s="158">
        <f>BIdetails!M466</f>
        <v>3200</v>
      </c>
      <c r="F463" t="str">
        <f>IF(ISERROR(IF(OR(C463="#",C463=0),"",VLOOKUP(C463,'AOP25'!M:M,1,0))),"Not Found",VLOOKUP(C463,'AOP25'!M:M,1,0))</f>
        <v>Not Found</v>
      </c>
      <c r="G463" t="e">
        <f t="shared" si="7"/>
        <v>#N/A</v>
      </c>
    </row>
    <row r="464" spans="1:7" hidden="1" x14ac:dyDescent="0.25">
      <c r="A464" t="str">
        <f>BIdetails!G467</f>
        <v>196653</v>
      </c>
      <c r="B464" t="str">
        <f>BIdetails!H467</f>
        <v>Orange Business Netherlands B.V.</v>
      </c>
      <c r="C464" t="str">
        <f>BIdetails!J467</f>
        <v>5401090239</v>
      </c>
      <c r="D464" t="str">
        <f>BIdetails!K467</f>
        <v>10</v>
      </c>
      <c r="E464" s="158">
        <f>BIdetails!M467</f>
        <v>29</v>
      </c>
      <c r="F464" t="str">
        <f>IF(ISERROR(IF(OR(C464="#",C464=0),"",VLOOKUP(C464,'AOP25'!M:M,1,0))),"Not Found",VLOOKUP(C464,'AOP25'!M:M,1,0))</f>
        <v>Not Found</v>
      </c>
      <c r="G464" t="e">
        <f t="shared" si="7"/>
        <v>#N/A</v>
      </c>
    </row>
    <row r="465" spans="1:7" hidden="1" x14ac:dyDescent="0.25">
      <c r="A465" t="str">
        <f>BIdetails!G468</f>
        <v>196653</v>
      </c>
      <c r="B465" t="str">
        <f>BIdetails!H468</f>
        <v>Orange Business Netherlands B.V.</v>
      </c>
      <c r="C465" t="str">
        <f>BIdetails!J468</f>
        <v>5401090239</v>
      </c>
      <c r="D465" t="str">
        <f>BIdetails!K468</f>
        <v>10</v>
      </c>
      <c r="E465" s="158">
        <f>BIdetails!M468</f>
        <v>3200</v>
      </c>
      <c r="F465" t="str">
        <f>IF(ISERROR(IF(OR(C465="#",C465=0),"",VLOOKUP(C465,'AOP25'!M:M,1,0))),"Not Found",VLOOKUP(C465,'AOP25'!M:M,1,0))</f>
        <v>Not Found</v>
      </c>
      <c r="G465" t="e">
        <f t="shared" si="7"/>
        <v>#N/A</v>
      </c>
    </row>
    <row r="466" spans="1:7" hidden="1" x14ac:dyDescent="0.25">
      <c r="A466" t="str">
        <f>BIdetails!G469</f>
        <v>196653</v>
      </c>
      <c r="B466" t="str">
        <f>BIdetails!H469</f>
        <v>Orange Business Netherlands B.V.</v>
      </c>
      <c r="C466" t="str">
        <f>BIdetails!J469</f>
        <v>5401090239</v>
      </c>
      <c r="D466" t="str">
        <f>BIdetails!K469</f>
        <v>10</v>
      </c>
      <c r="E466" s="158">
        <f>BIdetails!M469</f>
        <v>3200</v>
      </c>
      <c r="F466" t="str">
        <f>IF(ISERROR(IF(OR(C466="#",C466=0),"",VLOOKUP(C466,'AOP25'!M:M,1,0))),"Not Found",VLOOKUP(C466,'AOP25'!M:M,1,0))</f>
        <v>Not Found</v>
      </c>
      <c r="G466" t="e">
        <f t="shared" si="7"/>
        <v>#N/A</v>
      </c>
    </row>
    <row r="467" spans="1:7" hidden="1" x14ac:dyDescent="0.25">
      <c r="A467" t="str">
        <f>BIdetails!G470</f>
        <v>196653</v>
      </c>
      <c r="B467" t="str">
        <f>BIdetails!H470</f>
        <v>Orange Business Netherlands B.V.</v>
      </c>
      <c r="C467" t="str">
        <f>BIdetails!J470</f>
        <v>5401090239</v>
      </c>
      <c r="D467" t="str">
        <f>BIdetails!K470</f>
        <v>10</v>
      </c>
      <c r="E467" s="158">
        <f>BIdetails!M470</f>
        <v>3200</v>
      </c>
      <c r="F467" t="str">
        <f>IF(ISERROR(IF(OR(C467="#",C467=0),"",VLOOKUP(C467,'AOP25'!M:M,1,0))),"Not Found",VLOOKUP(C467,'AOP25'!M:M,1,0))</f>
        <v>Not Found</v>
      </c>
      <c r="G467" t="e">
        <f t="shared" si="7"/>
        <v>#N/A</v>
      </c>
    </row>
    <row r="468" spans="1:7" hidden="1" x14ac:dyDescent="0.25">
      <c r="A468" t="str">
        <f>BIdetails!G471</f>
        <v>209374</v>
      </c>
      <c r="B468" t="str">
        <f>BIdetails!H471</f>
        <v>Grabowsky B.V.</v>
      </c>
      <c r="C468" t="str">
        <f>BIdetails!J471</f>
        <v>5401093321</v>
      </c>
      <c r="D468" t="str">
        <f>BIdetails!K471</f>
        <v>10</v>
      </c>
      <c r="E468" s="158">
        <f>BIdetails!M471</f>
        <v>1640</v>
      </c>
      <c r="F468" t="str">
        <f>IF(ISERROR(IF(OR(C468="#",C468=0),"",VLOOKUP(C468,'AOP25'!M:M,1,0))),"Not Found",VLOOKUP(C468,'AOP25'!M:M,1,0))</f>
        <v>Not Found</v>
      </c>
      <c r="G468" t="e">
        <f t="shared" si="7"/>
        <v>#N/A</v>
      </c>
    </row>
    <row r="469" spans="1:7" hidden="1" x14ac:dyDescent="0.25">
      <c r="A469" t="str">
        <f>BIdetails!G472</f>
        <v>209509</v>
      </c>
      <c r="B469" t="str">
        <f>BIdetails!H472</f>
        <v>Ironscales Ltd.</v>
      </c>
      <c r="C469" t="str">
        <f>BIdetails!J472</f>
        <v>5401087958</v>
      </c>
      <c r="D469" t="str">
        <f>BIdetails!K472</f>
        <v>10</v>
      </c>
      <c r="E469" s="158">
        <f>BIdetails!M472</f>
        <v>240711.66</v>
      </c>
      <c r="F469" t="str">
        <f>IF(ISERROR(IF(OR(C469="#",C469=0),"",VLOOKUP(C469,'AOP25'!M:M,1,0))),"Not Found",VLOOKUP(C469,'AOP25'!M:M,1,0))</f>
        <v>Not Found</v>
      </c>
      <c r="G469" t="e">
        <f t="shared" si="7"/>
        <v>#N/A</v>
      </c>
    </row>
    <row r="470" spans="1:7" hidden="1" x14ac:dyDescent="0.25">
      <c r="A470" t="str">
        <f>BIdetails!G473</f>
        <v>#</v>
      </c>
      <c r="B470" t="str">
        <f>BIdetails!H473</f>
        <v>Not assigned</v>
      </c>
      <c r="C470" t="str">
        <f>BIdetails!J473</f>
        <v>#</v>
      </c>
      <c r="D470" t="str">
        <f>BIdetails!K473</f>
        <v>#</v>
      </c>
      <c r="E470" s="158">
        <f>BIdetails!M473</f>
        <v>50065.68</v>
      </c>
      <c r="F470" t="e">
        <f>IF(ISERROR(IF(OR(C470="#",C470=0),"",VLOOKUP(C470,'AOP25'!M:M,1,0))),"Not Found",VLOOKUP(C470,'AOP25'!M:M,1,0))</f>
        <v>#N/A</v>
      </c>
      <c r="G470" t="e">
        <f t="shared" si="7"/>
        <v>#N/A</v>
      </c>
    </row>
    <row r="471" spans="1:7" hidden="1" x14ac:dyDescent="0.25">
      <c r="A471" t="str">
        <f>BIdetails!G474</f>
        <v>#</v>
      </c>
      <c r="B471" t="str">
        <f>BIdetails!H474</f>
        <v>Not assigned</v>
      </c>
      <c r="C471" t="str">
        <f>BIdetails!J474</f>
        <v>#</v>
      </c>
      <c r="D471" t="str">
        <f>BIdetails!K474</f>
        <v>#</v>
      </c>
      <c r="E471" s="158">
        <f>BIdetails!M474</f>
        <v>5575</v>
      </c>
      <c r="F471" t="e">
        <f>IF(ISERROR(IF(OR(C471="#",C471=0),"",VLOOKUP(C471,'AOP25'!M:M,1,0))),"Not Found",VLOOKUP(C471,'AOP25'!M:M,1,0))</f>
        <v>#N/A</v>
      </c>
      <c r="G471" t="e">
        <f t="shared" si="7"/>
        <v>#N/A</v>
      </c>
    </row>
    <row r="472" spans="1:7" hidden="1" x14ac:dyDescent="0.25">
      <c r="A472" t="str">
        <f>BIdetails!G475</f>
        <v>#</v>
      </c>
      <c r="B472" t="str">
        <f>BIdetails!H475</f>
        <v>Not assigned</v>
      </c>
      <c r="C472" t="str">
        <f>BIdetails!J475</f>
        <v>#</v>
      </c>
      <c r="D472" t="str">
        <f>BIdetails!K475</f>
        <v>#</v>
      </c>
      <c r="E472" s="158">
        <f>BIdetails!M475</f>
        <v>9642</v>
      </c>
      <c r="F472" t="e">
        <f>IF(ISERROR(IF(OR(C472="#",C472=0),"",VLOOKUP(C472,'AOP25'!M:M,1,0))),"Not Found",VLOOKUP(C472,'AOP25'!M:M,1,0))</f>
        <v>#N/A</v>
      </c>
      <c r="G472" t="e">
        <f t="shared" si="7"/>
        <v>#N/A</v>
      </c>
    </row>
    <row r="473" spans="1:7" hidden="1" x14ac:dyDescent="0.25">
      <c r="A473" t="str">
        <f>BIdetails!G476</f>
        <v>#</v>
      </c>
      <c r="B473" t="str">
        <f>BIdetails!H476</f>
        <v>Not assigned</v>
      </c>
      <c r="C473" t="str">
        <f>BIdetails!J476</f>
        <v>#</v>
      </c>
      <c r="D473" t="str">
        <f>BIdetails!K476</f>
        <v>#</v>
      </c>
      <c r="E473" s="158">
        <f>BIdetails!M476</f>
        <v>10726</v>
      </c>
      <c r="F473" t="e">
        <f>IF(ISERROR(IF(OR(C473="#",C473=0),"",VLOOKUP(C473,'AOP25'!M:M,1,0))),"Not Found",VLOOKUP(C473,'AOP25'!M:M,1,0))</f>
        <v>#N/A</v>
      </c>
      <c r="G473" t="e">
        <f t="shared" si="7"/>
        <v>#N/A</v>
      </c>
    </row>
    <row r="474" spans="1:7" hidden="1" x14ac:dyDescent="0.25">
      <c r="A474" t="str">
        <f>BIdetails!G477</f>
        <v>#</v>
      </c>
      <c r="B474" t="str">
        <f>BIdetails!H477</f>
        <v>Not assigned</v>
      </c>
      <c r="C474" t="str">
        <f>BIdetails!J477</f>
        <v>#</v>
      </c>
      <c r="D474" t="str">
        <f>BIdetails!K477</f>
        <v>#</v>
      </c>
      <c r="E474" s="158">
        <f>BIdetails!M477</f>
        <v>40222</v>
      </c>
      <c r="F474" t="e">
        <f>IF(ISERROR(IF(OR(C474="#",C474=0),"",VLOOKUP(C474,'AOP25'!M:M,1,0))),"Not Found",VLOOKUP(C474,'AOP25'!M:M,1,0))</f>
        <v>#N/A</v>
      </c>
      <c r="G474" t="e">
        <f t="shared" si="7"/>
        <v>#N/A</v>
      </c>
    </row>
    <row r="475" spans="1:7" x14ac:dyDescent="0.25">
      <c r="A475" t="str">
        <f>BIdetails!G478</f>
        <v>#</v>
      </c>
      <c r="B475" t="str">
        <f>BIdetails!H478</f>
        <v>Not assigned</v>
      </c>
      <c r="C475" t="str">
        <f>BIdetails!J478</f>
        <v>#</v>
      </c>
      <c r="D475" t="str">
        <f>BIdetails!K478</f>
        <v>#</v>
      </c>
      <c r="E475" s="158">
        <f>BIdetails!M478</f>
        <v>-240711.66</v>
      </c>
      <c r="F475" t="e">
        <f>IF(ISERROR(IF(OR(C475="#",C475=0),"",VLOOKUP(C475,'AOP25'!M:M,1,0))),"Not Found",VLOOKUP(C475,'AOP25'!M:M,1,0))</f>
        <v>#N/A</v>
      </c>
      <c r="G475" t="e">
        <f t="shared" si="7"/>
        <v>#N/A</v>
      </c>
    </row>
    <row r="476" spans="1:7" x14ac:dyDescent="0.25">
      <c r="A476" t="str">
        <f>BIdetails!G479</f>
        <v>#</v>
      </c>
      <c r="B476" t="str">
        <f>BIdetails!H479</f>
        <v>Not assigned</v>
      </c>
      <c r="C476" t="str">
        <f>BIdetails!J479</f>
        <v>#</v>
      </c>
      <c r="D476" t="str">
        <f>BIdetails!K479</f>
        <v>#</v>
      </c>
      <c r="E476" s="158">
        <f>BIdetails!M479</f>
        <v>80237.240000000005</v>
      </c>
      <c r="F476" t="e">
        <f>IF(ISERROR(IF(OR(C476="#",C476=0),"",VLOOKUP(C476,'AOP25'!M:M,1,0))),"Not Found",VLOOKUP(C476,'AOP25'!M:M,1,0))</f>
        <v>#N/A</v>
      </c>
      <c r="G476" t="e">
        <f t="shared" si="7"/>
        <v>#N/A</v>
      </c>
    </row>
    <row r="477" spans="1:7" hidden="1" x14ac:dyDescent="0.25">
      <c r="A477" t="str">
        <f>BIdetails!G480</f>
        <v>#</v>
      </c>
      <c r="B477" t="str">
        <f>BIdetails!H480</f>
        <v>Not assigned</v>
      </c>
      <c r="C477" t="str">
        <f>BIdetails!J480</f>
        <v>#</v>
      </c>
      <c r="D477" t="str">
        <f>BIdetails!K480</f>
        <v>#</v>
      </c>
      <c r="E477" s="158">
        <f>BIdetails!M480</f>
        <v>-104911.78</v>
      </c>
      <c r="F477" t="e">
        <f>IF(ISERROR(IF(OR(C477="#",C477=0),"",VLOOKUP(C477,'AOP25'!M:M,1,0))),"Not Found",VLOOKUP(C477,'AOP25'!M:M,1,0))</f>
        <v>#N/A</v>
      </c>
      <c r="G477" t="e">
        <f t="shared" si="7"/>
        <v>#N/A</v>
      </c>
    </row>
    <row r="478" spans="1:7" x14ac:dyDescent="0.25">
      <c r="A478" t="str">
        <f>BIdetails!G481</f>
        <v>#</v>
      </c>
      <c r="B478" t="str">
        <f>BIdetails!H481</f>
        <v>Not assigned</v>
      </c>
      <c r="C478" t="str">
        <f>BIdetails!J481</f>
        <v>#</v>
      </c>
      <c r="D478" t="str">
        <f>BIdetails!K481</f>
        <v>#</v>
      </c>
      <c r="E478" s="158">
        <f>BIdetails!M481</f>
        <v>41964.72</v>
      </c>
      <c r="F478" t="e">
        <f>IF(ISERROR(IF(OR(C478="#",C478=0),"",VLOOKUP(C478,'AOP25'!M:M,1,0))),"Not Found",VLOOKUP(C478,'AOP25'!M:M,1,0))</f>
        <v>#N/A</v>
      </c>
      <c r="G478" t="e">
        <f t="shared" si="7"/>
        <v>#N/A</v>
      </c>
    </row>
    <row r="479" spans="1:7" x14ac:dyDescent="0.25">
      <c r="A479" t="str">
        <f>BIdetails!G482</f>
        <v>#</v>
      </c>
      <c r="B479" t="str">
        <f>BIdetails!H482</f>
        <v>Not assigned</v>
      </c>
      <c r="C479" t="str">
        <f>BIdetails!J482</f>
        <v>#</v>
      </c>
      <c r="D479" t="str">
        <f>BIdetails!K482</f>
        <v>#</v>
      </c>
      <c r="E479" s="158">
        <f>BIdetails!M482</f>
        <v>-8000</v>
      </c>
      <c r="F479" t="e">
        <f>IF(ISERROR(IF(OR(C479="#",C479=0),"",VLOOKUP(C479,'AOP25'!M:M,1,0))),"Not Found",VLOOKUP(C479,'AOP25'!M:M,1,0))</f>
        <v>#N/A</v>
      </c>
      <c r="G479" t="e">
        <f t="shared" si="7"/>
        <v>#N/A</v>
      </c>
    </row>
    <row r="480" spans="1:7" hidden="1" x14ac:dyDescent="0.25">
      <c r="A480" t="str">
        <f>BIdetails!G483</f>
        <v>#</v>
      </c>
      <c r="B480" t="str">
        <f>BIdetails!H483</f>
        <v>Not assigned</v>
      </c>
      <c r="C480" t="str">
        <f>BIdetails!J483</f>
        <v>#</v>
      </c>
      <c r="D480" t="str">
        <f>BIdetails!K483</f>
        <v>#</v>
      </c>
      <c r="E480" s="158">
        <f>BIdetails!M483</f>
        <v>12515</v>
      </c>
      <c r="F480" t="e">
        <f>IF(ISERROR(IF(OR(C480="#",C480=0),"",VLOOKUP(C480,'AOP25'!M:M,1,0))),"Not Found",VLOOKUP(C480,'AOP25'!M:M,1,0))</f>
        <v>#N/A</v>
      </c>
      <c r="G480" t="e">
        <f t="shared" si="7"/>
        <v>#N/A</v>
      </c>
    </row>
    <row r="481" spans="1:7" x14ac:dyDescent="0.25">
      <c r="A481" t="str">
        <f>BIdetails!G484</f>
        <v>#</v>
      </c>
      <c r="B481" t="str">
        <f>BIdetails!H484</f>
        <v>Not assigned</v>
      </c>
      <c r="C481" t="str">
        <f>BIdetails!J484</f>
        <v>#</v>
      </c>
      <c r="D481" t="str">
        <f>BIdetails!K484</f>
        <v>#</v>
      </c>
      <c r="E481" s="158">
        <f>BIdetails!M484</f>
        <v>0</v>
      </c>
      <c r="F481" t="e">
        <f>IF(ISERROR(IF(OR(C481="#",C481=0),"",VLOOKUP(C481,'AOP25'!M:M,1,0))),"Not Found",VLOOKUP(C481,'AOP25'!M:M,1,0))</f>
        <v>#N/A</v>
      </c>
      <c r="G481" t="e">
        <f t="shared" si="7"/>
        <v>#N/A</v>
      </c>
    </row>
    <row r="482" spans="1:7" hidden="1" x14ac:dyDescent="0.25">
      <c r="A482" t="str">
        <f>BIdetails!G485</f>
        <v>#</v>
      </c>
      <c r="B482" t="str">
        <f>BIdetails!H485</f>
        <v>Not assigned</v>
      </c>
      <c r="C482" t="str">
        <f>BIdetails!J485</f>
        <v>#</v>
      </c>
      <c r="D482" t="str">
        <f>BIdetails!K485</f>
        <v>#</v>
      </c>
      <c r="E482" s="158">
        <f>BIdetails!M485</f>
        <v>0</v>
      </c>
      <c r="F482" t="e">
        <f>IF(ISERROR(IF(OR(C482="#",C482=0),"",VLOOKUP(C482,'AOP25'!M:M,1,0))),"Not Found",VLOOKUP(C482,'AOP25'!M:M,1,0))</f>
        <v>#N/A</v>
      </c>
      <c r="G482" t="e">
        <f t="shared" si="7"/>
        <v>#N/A</v>
      </c>
    </row>
    <row r="483" spans="1:7" hidden="1" x14ac:dyDescent="0.25">
      <c r="A483" t="str">
        <f>BIdetails!G486</f>
        <v>#</v>
      </c>
      <c r="B483" t="str">
        <f>BIdetails!H486</f>
        <v>Not assigned</v>
      </c>
      <c r="C483" t="str">
        <f>BIdetails!J486</f>
        <v>#</v>
      </c>
      <c r="D483" t="str">
        <f>BIdetails!K486</f>
        <v>#</v>
      </c>
      <c r="E483" s="158">
        <f>BIdetails!M486</f>
        <v>0</v>
      </c>
      <c r="F483" t="e">
        <f>IF(ISERROR(IF(OR(C483="#",C483=0),"",VLOOKUP(C483,'AOP25'!M:M,1,0))),"Not Found",VLOOKUP(C483,'AOP25'!M:M,1,0))</f>
        <v>#N/A</v>
      </c>
      <c r="G483" t="e">
        <f t="shared" si="7"/>
        <v>#N/A</v>
      </c>
    </row>
    <row r="484" spans="1:7" hidden="1" x14ac:dyDescent="0.25">
      <c r="A484" t="str">
        <f>BIdetails!G487</f>
        <v>#</v>
      </c>
      <c r="B484" t="str">
        <f>BIdetails!H487</f>
        <v>Not assigned</v>
      </c>
      <c r="C484" t="str">
        <f>BIdetails!J487</f>
        <v>#</v>
      </c>
      <c r="D484" t="str">
        <f>BIdetails!K487</f>
        <v>#</v>
      </c>
      <c r="E484" s="158">
        <f>BIdetails!M487</f>
        <v>12450.9</v>
      </c>
      <c r="F484" t="e">
        <f>IF(ISERROR(IF(OR(C484="#",C484=0),"",VLOOKUP(C484,'AOP25'!M:M,1,0))),"Not Found",VLOOKUP(C484,'AOP25'!M:M,1,0))</f>
        <v>#N/A</v>
      </c>
      <c r="G484" t="e">
        <f t="shared" si="7"/>
        <v>#N/A</v>
      </c>
    </row>
    <row r="485" spans="1:7" hidden="1" x14ac:dyDescent="0.25">
      <c r="A485" t="str">
        <f>BIdetails!G488</f>
        <v>#</v>
      </c>
      <c r="B485" t="str">
        <f>BIdetails!H488</f>
        <v>Not assigned</v>
      </c>
      <c r="C485" t="str">
        <f>BIdetails!J488</f>
        <v>#</v>
      </c>
      <c r="D485" t="str">
        <f>BIdetails!K488</f>
        <v>#</v>
      </c>
      <c r="E485" s="158">
        <f>BIdetails!M488</f>
        <v>17549.099999999999</v>
      </c>
      <c r="F485" t="e">
        <f>IF(ISERROR(IF(OR(C485="#",C485=0),"",VLOOKUP(C485,'AOP25'!M:M,1,0))),"Not Found",VLOOKUP(C485,'AOP25'!M:M,1,0))</f>
        <v>#N/A</v>
      </c>
      <c r="G485" t="e">
        <f t="shared" si="7"/>
        <v>#N/A</v>
      </c>
    </row>
    <row r="486" spans="1:7" hidden="1" x14ac:dyDescent="0.25">
      <c r="A486" t="str">
        <f>BIdetails!G489</f>
        <v>187516</v>
      </c>
      <c r="B486" t="str">
        <f>BIdetails!H489</f>
        <v>Accenture B.V.</v>
      </c>
      <c r="C486" t="str">
        <f>BIdetails!J489</f>
        <v>5401045581</v>
      </c>
      <c r="D486" t="str">
        <f>BIdetails!K489</f>
        <v>10</v>
      </c>
      <c r="E486" s="158">
        <f>BIdetails!M489</f>
        <v>-10000</v>
      </c>
      <c r="F486" t="str">
        <f>IF(ISERROR(IF(OR(C486="#",C486=0),"",VLOOKUP(C486,'AOP25'!M:M,1,0))),"Not Found",VLOOKUP(C486,'AOP25'!M:M,1,0))</f>
        <v>Not Found</v>
      </c>
      <c r="G486" t="e">
        <f t="shared" si="7"/>
        <v>#N/A</v>
      </c>
    </row>
    <row r="487" spans="1:7" hidden="1" x14ac:dyDescent="0.25">
      <c r="A487" t="str">
        <f>BIdetails!G490</f>
        <v>187516</v>
      </c>
      <c r="B487" t="str">
        <f>BIdetails!H490</f>
        <v>Accenture B.V.</v>
      </c>
      <c r="C487" t="str">
        <f>BIdetails!J490</f>
        <v>5401045581</v>
      </c>
      <c r="D487" t="str">
        <f>BIdetails!K490</f>
        <v>10</v>
      </c>
      <c r="E487" s="158">
        <f>BIdetails!M490</f>
        <v>7950</v>
      </c>
      <c r="F487" t="str">
        <f>IF(ISERROR(IF(OR(C487="#",C487=0),"",VLOOKUP(C487,'AOP25'!M:M,1,0))),"Not Found",VLOOKUP(C487,'AOP25'!M:M,1,0))</f>
        <v>Not Found</v>
      </c>
      <c r="G487" t="e">
        <f t="shared" si="7"/>
        <v>#N/A</v>
      </c>
    </row>
    <row r="488" spans="1:7" hidden="1" x14ac:dyDescent="0.25">
      <c r="A488" t="str">
        <f>BIdetails!G491</f>
        <v>187516</v>
      </c>
      <c r="B488" t="str">
        <f>BIdetails!H491</f>
        <v>Accenture B.V.</v>
      </c>
      <c r="C488" t="str">
        <f>BIdetails!J491</f>
        <v>5400853128</v>
      </c>
      <c r="D488" t="str">
        <f>BIdetails!K491</f>
        <v>10</v>
      </c>
      <c r="E488" s="158">
        <f>BIdetails!M491</f>
        <v>45333</v>
      </c>
      <c r="F488" t="str">
        <f>IF(ISERROR(IF(OR(C488="#",C488=0),"",VLOOKUP(C488,'AOP25'!M:M,1,0))),"Not Found",VLOOKUP(C488,'AOP25'!M:M,1,0))</f>
        <v>Not Found</v>
      </c>
      <c r="G488" t="e">
        <f t="shared" si="7"/>
        <v>#N/A</v>
      </c>
    </row>
    <row r="489" spans="1:7" hidden="1" x14ac:dyDescent="0.25">
      <c r="A489" t="str">
        <f>BIdetails!G492</f>
        <v>187516</v>
      </c>
      <c r="B489" t="str">
        <f>BIdetails!H492</f>
        <v>Accenture B.V.</v>
      </c>
      <c r="C489" t="str">
        <f>BIdetails!J492</f>
        <v>5401023508</v>
      </c>
      <c r="D489" t="str">
        <f>BIdetails!K492</f>
        <v>230</v>
      </c>
      <c r="E489" s="158">
        <f>BIdetails!M492</f>
        <v>1498</v>
      </c>
      <c r="F489" t="str">
        <f>IF(ISERROR(IF(OR(C489="#",C489=0),"",VLOOKUP(C489,'AOP25'!M:M,1,0))),"Not Found",VLOOKUP(C489,'AOP25'!M:M,1,0))</f>
        <v>Not Found</v>
      </c>
      <c r="G489" t="e">
        <f t="shared" si="7"/>
        <v>#N/A</v>
      </c>
    </row>
    <row r="490" spans="1:7" hidden="1" x14ac:dyDescent="0.25">
      <c r="A490" t="str">
        <f>BIdetails!G493</f>
        <v>187516</v>
      </c>
      <c r="B490" t="str">
        <f>BIdetails!H493</f>
        <v>Accenture B.V.</v>
      </c>
      <c r="C490" t="str">
        <f>BIdetails!J493</f>
        <v>5401023508</v>
      </c>
      <c r="D490" t="str">
        <f>BIdetails!K493</f>
        <v>250</v>
      </c>
      <c r="E490" s="158">
        <f>BIdetails!M493</f>
        <v>-5807.16</v>
      </c>
      <c r="F490" t="str">
        <f>IF(ISERROR(IF(OR(C490="#",C490=0),"",VLOOKUP(C490,'AOP25'!M:M,1,0))),"Not Found",VLOOKUP(C490,'AOP25'!M:M,1,0))</f>
        <v>Not Found</v>
      </c>
      <c r="G490" t="e">
        <f t="shared" si="7"/>
        <v>#N/A</v>
      </c>
    </row>
    <row r="491" spans="1:7" hidden="1" x14ac:dyDescent="0.25">
      <c r="A491" t="str">
        <f>BIdetails!G494</f>
        <v>187516</v>
      </c>
      <c r="B491" t="str">
        <f>BIdetails!H494</f>
        <v>Accenture B.V.</v>
      </c>
      <c r="C491" t="str">
        <f>BIdetails!J494</f>
        <v>5401023508</v>
      </c>
      <c r="D491" t="str">
        <f>BIdetails!K494</f>
        <v>250</v>
      </c>
      <c r="E491" s="158">
        <f>BIdetails!M494</f>
        <v>2441.0500000000002</v>
      </c>
      <c r="F491" t="str">
        <f>IF(ISERROR(IF(OR(C491="#",C491=0),"",VLOOKUP(C491,'AOP25'!M:M,1,0))),"Not Found",VLOOKUP(C491,'AOP25'!M:M,1,0))</f>
        <v>Not Found</v>
      </c>
      <c r="G491" t="e">
        <f t="shared" si="7"/>
        <v>#N/A</v>
      </c>
    </row>
    <row r="492" spans="1:7" hidden="1" x14ac:dyDescent="0.25">
      <c r="A492" t="str">
        <f>BIdetails!G495</f>
        <v>187516</v>
      </c>
      <c r="B492" t="str">
        <f>BIdetails!H495</f>
        <v>Accenture B.V.</v>
      </c>
      <c r="C492" t="str">
        <f>BIdetails!J495</f>
        <v>5400836551</v>
      </c>
      <c r="D492" t="str">
        <f>BIdetails!K495</f>
        <v>20</v>
      </c>
      <c r="E492" s="158">
        <f>BIdetails!M495</f>
        <v>1875</v>
      </c>
      <c r="F492" t="str">
        <f>IF(ISERROR(IF(OR(C492="#",C492=0),"",VLOOKUP(C492,'AOP25'!M:M,1,0))),"Not Found",VLOOKUP(C492,'AOP25'!M:M,1,0))</f>
        <v>Not Found</v>
      </c>
      <c r="G492" t="e">
        <f t="shared" si="7"/>
        <v>#N/A</v>
      </c>
    </row>
    <row r="493" spans="1:7" hidden="1" x14ac:dyDescent="0.25">
      <c r="A493" t="str">
        <f>BIdetails!G496</f>
        <v>187516</v>
      </c>
      <c r="B493" t="str">
        <f>BIdetails!H496</f>
        <v>Accenture B.V.</v>
      </c>
      <c r="C493" t="str">
        <f>BIdetails!J496</f>
        <v>5400980360</v>
      </c>
      <c r="D493" t="str">
        <f>BIdetails!K496</f>
        <v>10</v>
      </c>
      <c r="E493" s="158">
        <f>BIdetails!M496</f>
        <v>16365.79</v>
      </c>
      <c r="F493" t="str">
        <f>IF(ISERROR(IF(OR(C493="#",C493=0),"",VLOOKUP(C493,'AOP25'!M:M,1,0))),"Not Found",VLOOKUP(C493,'AOP25'!M:M,1,0))</f>
        <v>Not Found</v>
      </c>
      <c r="G493" t="e">
        <f t="shared" si="7"/>
        <v>#N/A</v>
      </c>
    </row>
    <row r="494" spans="1:7" hidden="1" x14ac:dyDescent="0.25">
      <c r="A494" t="str">
        <f>BIdetails!G497</f>
        <v>187516</v>
      </c>
      <c r="B494" t="str">
        <f>BIdetails!H497</f>
        <v>Accenture B.V.</v>
      </c>
      <c r="C494" t="str">
        <f>BIdetails!J497</f>
        <v>5401045581</v>
      </c>
      <c r="D494" t="str">
        <f>BIdetails!K497</f>
        <v>10</v>
      </c>
      <c r="E494" s="158">
        <f>BIdetails!M497</f>
        <v>-10000</v>
      </c>
      <c r="F494" t="str">
        <f>IF(ISERROR(IF(OR(C494="#",C494=0),"",VLOOKUP(C494,'AOP25'!M:M,1,0))),"Not Found",VLOOKUP(C494,'AOP25'!M:M,1,0))</f>
        <v>Not Found</v>
      </c>
      <c r="G494" t="e">
        <f t="shared" si="7"/>
        <v>#N/A</v>
      </c>
    </row>
    <row r="495" spans="1:7" hidden="1" x14ac:dyDescent="0.25">
      <c r="A495" t="str">
        <f>BIdetails!G498</f>
        <v>187516</v>
      </c>
      <c r="B495" t="str">
        <f>BIdetails!H498</f>
        <v>Accenture B.V.</v>
      </c>
      <c r="C495" t="str">
        <f>BIdetails!J498</f>
        <v>5401045581</v>
      </c>
      <c r="D495" t="str">
        <f>BIdetails!K498</f>
        <v>10</v>
      </c>
      <c r="E495" s="158">
        <f>BIdetails!M498</f>
        <v>7420</v>
      </c>
      <c r="F495" t="str">
        <f>IF(ISERROR(IF(OR(C495="#",C495=0),"",VLOOKUP(C495,'AOP25'!M:M,1,0))),"Not Found",VLOOKUP(C495,'AOP25'!M:M,1,0))</f>
        <v>Not Found</v>
      </c>
      <c r="G495" t="e">
        <f t="shared" si="7"/>
        <v>#N/A</v>
      </c>
    </row>
    <row r="496" spans="1:7" hidden="1" x14ac:dyDescent="0.25">
      <c r="A496" t="str">
        <f>BIdetails!G499</f>
        <v>187516</v>
      </c>
      <c r="B496" t="str">
        <f>BIdetails!H499</f>
        <v>Accenture B.V.</v>
      </c>
      <c r="C496" t="str">
        <f>BIdetails!J499</f>
        <v>5401045581</v>
      </c>
      <c r="D496" t="str">
        <f>BIdetails!K499</f>
        <v>10</v>
      </c>
      <c r="E496" s="158">
        <f>BIdetails!M499</f>
        <v>10000</v>
      </c>
      <c r="F496" t="str">
        <f>IF(ISERROR(IF(OR(C496="#",C496=0),"",VLOOKUP(C496,'AOP25'!M:M,1,0))),"Not Found",VLOOKUP(C496,'AOP25'!M:M,1,0))</f>
        <v>Not Found</v>
      </c>
      <c r="G496" t="e">
        <f t="shared" si="7"/>
        <v>#N/A</v>
      </c>
    </row>
    <row r="497" spans="1:7" hidden="1" x14ac:dyDescent="0.25">
      <c r="A497" t="str">
        <f>BIdetails!G500</f>
        <v>187516</v>
      </c>
      <c r="B497" t="str">
        <f>BIdetails!H500</f>
        <v>Accenture B.V.</v>
      </c>
      <c r="C497" t="str">
        <f>BIdetails!J500</f>
        <v>5401046469</v>
      </c>
      <c r="D497" t="str">
        <f>BIdetails!K500</f>
        <v>10</v>
      </c>
      <c r="E497" s="158">
        <f>BIdetails!M500</f>
        <v>-10000</v>
      </c>
      <c r="F497" t="str">
        <f>IF(ISERROR(IF(OR(C497="#",C497=0),"",VLOOKUP(C497,'AOP25'!M:M,1,0))),"Not Found",VLOOKUP(C497,'AOP25'!M:M,1,0))</f>
        <v>Not Found</v>
      </c>
      <c r="G497" t="e">
        <f t="shared" si="7"/>
        <v>#N/A</v>
      </c>
    </row>
    <row r="498" spans="1:7" hidden="1" x14ac:dyDescent="0.25">
      <c r="A498" t="str">
        <f>BIdetails!G501</f>
        <v>187516</v>
      </c>
      <c r="B498" t="str">
        <f>BIdetails!H501</f>
        <v>Accenture B.V.</v>
      </c>
      <c r="C498" t="str">
        <f>BIdetails!J501</f>
        <v>5401046469</v>
      </c>
      <c r="D498" t="str">
        <f>BIdetails!K501</f>
        <v>10</v>
      </c>
      <c r="E498" s="158">
        <f>BIdetails!M501</f>
        <v>3850</v>
      </c>
      <c r="F498" t="str">
        <f>IF(ISERROR(IF(OR(C498="#",C498=0),"",VLOOKUP(C498,'AOP25'!M:M,1,0))),"Not Found",VLOOKUP(C498,'AOP25'!M:M,1,0))</f>
        <v>Not Found</v>
      </c>
      <c r="G498" t="e">
        <f t="shared" si="7"/>
        <v>#N/A</v>
      </c>
    </row>
    <row r="499" spans="1:7" hidden="1" x14ac:dyDescent="0.25">
      <c r="A499" t="str">
        <f>BIdetails!G502</f>
        <v>187516</v>
      </c>
      <c r="B499" t="str">
        <f>BIdetails!H502</f>
        <v>Accenture B.V.</v>
      </c>
      <c r="C499" t="str">
        <f>BIdetails!J502</f>
        <v>5401046469</v>
      </c>
      <c r="D499" t="str">
        <f>BIdetails!K502</f>
        <v>10</v>
      </c>
      <c r="E499" s="158">
        <f>BIdetails!M502</f>
        <v>6150</v>
      </c>
      <c r="F499" t="str">
        <f>IF(ISERROR(IF(OR(C499="#",C499=0),"",VLOOKUP(C499,'AOP25'!M:M,1,0))),"Not Found",VLOOKUP(C499,'AOP25'!M:M,1,0))</f>
        <v>Not Found</v>
      </c>
      <c r="G499" t="e">
        <f t="shared" si="7"/>
        <v>#N/A</v>
      </c>
    </row>
    <row r="500" spans="1:7" hidden="1" x14ac:dyDescent="0.25">
      <c r="A500" t="str">
        <f>BIdetails!G503</f>
        <v>187516</v>
      </c>
      <c r="B500" t="str">
        <f>BIdetails!H503</f>
        <v>Accenture B.V.</v>
      </c>
      <c r="C500" t="str">
        <f>BIdetails!J503</f>
        <v>5401088459</v>
      </c>
      <c r="D500" t="str">
        <f>BIdetails!K503</f>
        <v>10</v>
      </c>
      <c r="E500" s="158">
        <f>BIdetails!M503</f>
        <v>28177.5</v>
      </c>
      <c r="F500" t="str">
        <f>IF(ISERROR(IF(OR(C500="#",C500=0),"",VLOOKUP(C500,'AOP25'!M:M,1,0))),"Not Found",VLOOKUP(C500,'AOP25'!M:M,1,0))</f>
        <v>Not Found</v>
      </c>
      <c r="G500" t="e">
        <f t="shared" si="7"/>
        <v>#N/A</v>
      </c>
    </row>
    <row r="501" spans="1:7" hidden="1" x14ac:dyDescent="0.25">
      <c r="A501" t="str">
        <f>BIdetails!G504</f>
        <v>187516</v>
      </c>
      <c r="B501" t="str">
        <f>BIdetails!H504</f>
        <v>Accenture B.V.</v>
      </c>
      <c r="C501" t="str">
        <f>BIdetails!J504</f>
        <v>5401088459</v>
      </c>
      <c r="D501" t="str">
        <f>BIdetails!K504</f>
        <v>20</v>
      </c>
      <c r="E501" s="158">
        <f>BIdetails!M504</f>
        <v>3892</v>
      </c>
      <c r="F501" t="str">
        <f>IF(ISERROR(IF(OR(C501="#",C501=0),"",VLOOKUP(C501,'AOP25'!M:M,1,0))),"Not Found",VLOOKUP(C501,'AOP25'!M:M,1,0))</f>
        <v>Not Found</v>
      </c>
      <c r="G501" t="e">
        <f>IF(NOT(ISERROR(VLOOKUP(C501,$K$2:$K$50,1,0))),"Y",VLOOKUP(C501,$K$2:$K$50,1,0))</f>
        <v>#N/A</v>
      </c>
    </row>
    <row r="502" spans="1:7" hidden="1" x14ac:dyDescent="0.25">
      <c r="A502" t="str">
        <f>BIdetails!G505</f>
        <v>187516</v>
      </c>
      <c r="B502" t="str">
        <f>BIdetails!H505</f>
        <v>Accenture B.V.</v>
      </c>
      <c r="C502" t="str">
        <f>BIdetails!J505</f>
        <v>5401088459</v>
      </c>
      <c r="D502" t="str">
        <f>BIdetails!K505</f>
        <v>30</v>
      </c>
      <c r="E502" s="158">
        <f>BIdetails!M505</f>
        <v>33330.92</v>
      </c>
      <c r="F502" t="str">
        <f>IF(ISERROR(IF(OR(C502="#",C502=0),"",VLOOKUP(C502,'AOP25'!M:M,1,0))),"Not Found",VLOOKUP(C502,'AOP25'!M:M,1,0))</f>
        <v>Not Found</v>
      </c>
      <c r="G502" t="e">
        <f>IF(NOT(ISERROR(VLOOKUP(C502,$K$2:$K$50,1,0))),"Y",VLOOKUP(C502,$K$2:$K$50,1,0))</f>
        <v>#N/A</v>
      </c>
    </row>
    <row r="503" spans="1:7" hidden="1" x14ac:dyDescent="0.25">
      <c r="A503" t="str">
        <f>BIdetails!G506</f>
        <v>187516</v>
      </c>
      <c r="B503" t="str">
        <f>BIdetails!H506</f>
        <v>Accenture B.V.</v>
      </c>
      <c r="C503" t="str">
        <f>BIdetails!J506</f>
        <v>5401088459</v>
      </c>
      <c r="D503" t="str">
        <f>BIdetails!K506</f>
        <v>40</v>
      </c>
      <c r="E503" s="158">
        <f>BIdetails!M506</f>
        <v>4726.33</v>
      </c>
      <c r="F503" t="str">
        <f>IF(ISERROR(IF(OR(C503="#",C503=0),"",VLOOKUP(C503,'AOP25'!M:M,1,0))),"Not Found",VLOOKUP(C503,'AOP25'!M:M,1,0))</f>
        <v>Not Found</v>
      </c>
      <c r="G503" t="e">
        <f>IF(NOT(ISERROR(VLOOKUP(C503,$K$2:$K$50,1,0))),"Y",VLOOKUP(C503,$K$2:$K$50,1,0))</f>
        <v>#N/A</v>
      </c>
    </row>
    <row r="504" spans="1:7" hidden="1" x14ac:dyDescent="0.25">
      <c r="A504" t="str">
        <f>BIdetails!G507</f>
        <v>187516</v>
      </c>
      <c r="B504" t="str">
        <f>BIdetails!H507</f>
        <v>Accenture B.V.</v>
      </c>
      <c r="C504" t="str">
        <f>BIdetails!J507</f>
        <v>5401088459</v>
      </c>
      <c r="D504" t="str">
        <f>BIdetails!K507</f>
        <v>50</v>
      </c>
      <c r="E504" s="158">
        <f>BIdetails!M507</f>
        <v>64683.17</v>
      </c>
      <c r="F504" t="str">
        <f>IF(ISERROR(IF(OR(C504="#",C504=0),"",VLOOKUP(C504,'AOP25'!M:M,1,0))),"Not Found",VLOOKUP(C504,'AOP25'!M:M,1,0))</f>
        <v>Not Found</v>
      </c>
      <c r="G504" t="e">
        <f>IF(NOT(ISERROR(VLOOKUP(C504,$K$2:$K$50,1,0))),"Y",VLOOKUP(C504,$K$2:$K$50,1,0))</f>
        <v>#N/A</v>
      </c>
    </row>
    <row r="505" spans="1:7" hidden="1" x14ac:dyDescent="0.25">
      <c r="A505" t="str">
        <f>BIdetails!G508</f>
        <v>187516</v>
      </c>
      <c r="B505" t="str">
        <f>BIdetails!H508</f>
        <v>Accenture B.V.</v>
      </c>
      <c r="C505" t="str">
        <f>BIdetails!J508</f>
        <v>5401088459</v>
      </c>
      <c r="D505" t="str">
        <f>BIdetails!K508</f>
        <v>60</v>
      </c>
      <c r="E505" s="158">
        <f>BIdetails!M508</f>
        <v>6131</v>
      </c>
      <c r="F505" t="str">
        <f>IF(ISERROR(IF(OR(C505="#",C505=0),"",VLOOKUP(C505,'AOP25'!M:M,1,0))),"Not Found",VLOOKUP(C505,'AOP25'!M:M,1,0))</f>
        <v>Not Found</v>
      </c>
      <c r="G505" t="e">
        <f>IF(NOT(ISERROR(VLOOKUP(C505,$K$2:$K$50,1,0))),"Y",VLOOKUP(C505,$K$2:$K$50,1,0))</f>
        <v>#N/A</v>
      </c>
    </row>
    <row r="506" spans="1:7" hidden="1" x14ac:dyDescent="0.25">
      <c r="A506" t="str">
        <f>BIdetails!G509</f>
        <v>187516</v>
      </c>
      <c r="B506" t="str">
        <f>BIdetails!H509</f>
        <v>Accenture B.V.</v>
      </c>
      <c r="C506" t="str">
        <f>BIdetails!J509</f>
        <v>5401088459</v>
      </c>
      <c r="D506" t="str">
        <f>BIdetails!K509</f>
        <v>70</v>
      </c>
      <c r="E506" s="158">
        <f>BIdetails!M509</f>
        <v>12262</v>
      </c>
      <c r="F506" t="str">
        <f>IF(ISERROR(IF(OR(C506="#",C506=0),"",VLOOKUP(C506,'AOP25'!M:M,1,0))),"Not Found",VLOOKUP(C506,'AOP25'!M:M,1,0))</f>
        <v>Not Found</v>
      </c>
      <c r="G506" t="e">
        <f t="shared" ref="G506:G569" si="8">IF(NOT(ISERROR(VLOOKUP(C506,$K$2:$K$50,1,0))),"Y",VLOOKUP(C506,$K$2:$K$50,1,0))</f>
        <v>#N/A</v>
      </c>
    </row>
    <row r="507" spans="1:7" x14ac:dyDescent="0.25">
      <c r="A507" t="str">
        <f>BIdetails!G510</f>
        <v>187516</v>
      </c>
      <c r="B507" t="str">
        <f>BIdetails!H510</f>
        <v>Accenture B.V.</v>
      </c>
      <c r="C507" t="str">
        <f>BIdetails!J510</f>
        <v>5401088459</v>
      </c>
      <c r="D507" t="str">
        <f>BIdetails!K510</f>
        <v>80</v>
      </c>
      <c r="E507" s="158">
        <f>BIdetails!M510</f>
        <v>62652.69</v>
      </c>
      <c r="F507" t="str">
        <f>IF(ISERROR(IF(OR(C507="#",C507=0),"",VLOOKUP(C507,'AOP25'!M:M,1,0))),"Not Found",VLOOKUP(C507,'AOP25'!M:M,1,0))</f>
        <v>Not Found</v>
      </c>
      <c r="G507" t="e">
        <f t="shared" si="8"/>
        <v>#N/A</v>
      </c>
    </row>
    <row r="508" spans="1:7" x14ac:dyDescent="0.25">
      <c r="A508" t="str">
        <f>BIdetails!G511</f>
        <v>187516</v>
      </c>
      <c r="B508" t="str">
        <f>BIdetails!H511</f>
        <v>Accenture B.V.</v>
      </c>
      <c r="C508" t="str">
        <f>BIdetails!J511</f>
        <v>5401088459</v>
      </c>
      <c r="D508" t="str">
        <f>BIdetails!K511</f>
        <v>90</v>
      </c>
      <c r="E508" s="158">
        <f>BIdetails!M511</f>
        <v>37055.82</v>
      </c>
      <c r="F508" t="str">
        <f>IF(ISERROR(IF(OR(C508="#",C508=0),"",VLOOKUP(C508,'AOP25'!M:M,1,0))),"Not Found",VLOOKUP(C508,'AOP25'!M:M,1,0))</f>
        <v>Not Found</v>
      </c>
      <c r="G508" t="e">
        <f t="shared" si="8"/>
        <v>#N/A</v>
      </c>
    </row>
    <row r="509" spans="1:7" x14ac:dyDescent="0.25">
      <c r="A509" t="str">
        <f>BIdetails!G512</f>
        <v>187516</v>
      </c>
      <c r="B509" t="str">
        <f>BIdetails!H512</f>
        <v>Accenture B.V.</v>
      </c>
      <c r="C509" t="str">
        <f>BIdetails!J512</f>
        <v>5401088459</v>
      </c>
      <c r="D509" t="str">
        <f>BIdetails!K512</f>
        <v>110</v>
      </c>
      <c r="E509" s="158">
        <f>BIdetails!M512</f>
        <v>5833.33</v>
      </c>
      <c r="F509" t="str">
        <f>IF(ISERROR(IF(OR(C509="#",C509=0),"",VLOOKUP(C509,'AOP25'!M:M,1,0))),"Not Found",VLOOKUP(C509,'AOP25'!M:M,1,0))</f>
        <v>Not Found</v>
      </c>
      <c r="G509" t="e">
        <f t="shared" si="8"/>
        <v>#N/A</v>
      </c>
    </row>
    <row r="510" spans="1:7" x14ac:dyDescent="0.25">
      <c r="A510" t="str">
        <f>BIdetails!G513</f>
        <v>187516</v>
      </c>
      <c r="B510" t="str">
        <f>BIdetails!H513</f>
        <v>Accenture B.V.</v>
      </c>
      <c r="C510" t="str">
        <f>BIdetails!J513</f>
        <v>5401088459</v>
      </c>
      <c r="D510" t="str">
        <f>BIdetails!K513</f>
        <v>120</v>
      </c>
      <c r="E510" s="158">
        <f>BIdetails!M513</f>
        <v>5250</v>
      </c>
      <c r="F510" t="str">
        <f>IF(ISERROR(IF(OR(C510="#",C510=0),"",VLOOKUP(C510,'AOP25'!M:M,1,0))),"Not Found",VLOOKUP(C510,'AOP25'!M:M,1,0))</f>
        <v>Not Found</v>
      </c>
      <c r="G510" t="e">
        <f t="shared" si="8"/>
        <v>#N/A</v>
      </c>
    </row>
    <row r="511" spans="1:7" x14ac:dyDescent="0.25">
      <c r="A511" t="str">
        <f>BIdetails!G514</f>
        <v>187516</v>
      </c>
      <c r="B511" t="str">
        <f>BIdetails!H514</f>
        <v>Accenture B.V.</v>
      </c>
      <c r="C511" t="str">
        <f>BIdetails!J514</f>
        <v>5401088459</v>
      </c>
      <c r="D511" t="str">
        <f>BIdetails!K514</f>
        <v>130</v>
      </c>
      <c r="E511" s="158">
        <f>BIdetails!M514</f>
        <v>27081.58</v>
      </c>
      <c r="F511" t="str">
        <f>IF(ISERROR(IF(OR(C511="#",C511=0),"",VLOOKUP(C511,'AOP25'!M:M,1,0))),"Not Found",VLOOKUP(C511,'AOP25'!M:M,1,0))</f>
        <v>Not Found</v>
      </c>
      <c r="G511" t="e">
        <f t="shared" si="8"/>
        <v>#N/A</v>
      </c>
    </row>
    <row r="512" spans="1:7" x14ac:dyDescent="0.25">
      <c r="A512" t="str">
        <f>BIdetails!G515</f>
        <v>187516</v>
      </c>
      <c r="B512" t="str">
        <f>BIdetails!H515</f>
        <v>Accenture B.V.</v>
      </c>
      <c r="C512" t="str">
        <f>BIdetails!J515</f>
        <v>5401088459</v>
      </c>
      <c r="D512" t="str">
        <f>BIdetails!K515</f>
        <v>150</v>
      </c>
      <c r="E512" s="158">
        <f>BIdetails!M515</f>
        <v>7071.53</v>
      </c>
      <c r="F512" t="str">
        <f>IF(ISERROR(IF(OR(C512="#",C512=0),"",VLOOKUP(C512,'AOP25'!M:M,1,0))),"Not Found",VLOOKUP(C512,'AOP25'!M:M,1,0))</f>
        <v>Not Found</v>
      </c>
      <c r="G512" t="e">
        <f t="shared" si="8"/>
        <v>#N/A</v>
      </c>
    </row>
    <row r="513" spans="1:7" x14ac:dyDescent="0.25">
      <c r="A513" t="str">
        <f>BIdetails!G516</f>
        <v>187516</v>
      </c>
      <c r="B513" t="str">
        <f>BIdetails!H516</f>
        <v>Accenture B.V.</v>
      </c>
      <c r="C513" t="str">
        <f>BIdetails!J516</f>
        <v>5401088459</v>
      </c>
      <c r="D513" t="str">
        <f>BIdetails!K516</f>
        <v>160</v>
      </c>
      <c r="E513" s="158">
        <f>BIdetails!M516</f>
        <v>9979.5</v>
      </c>
      <c r="F513" t="str">
        <f>IF(ISERROR(IF(OR(C513="#",C513=0),"",VLOOKUP(C513,'AOP25'!M:M,1,0))),"Not Found",VLOOKUP(C513,'AOP25'!M:M,1,0))</f>
        <v>Not Found</v>
      </c>
      <c r="G513" t="e">
        <f t="shared" si="8"/>
        <v>#N/A</v>
      </c>
    </row>
    <row r="514" spans="1:7" x14ac:dyDescent="0.25">
      <c r="A514" t="str">
        <f>BIdetails!G517</f>
        <v>187516</v>
      </c>
      <c r="B514" t="str">
        <f>BIdetails!H517</f>
        <v>Accenture B.V.</v>
      </c>
      <c r="C514" t="str">
        <f>BIdetails!J517</f>
        <v>5401088459</v>
      </c>
      <c r="D514" t="str">
        <f>BIdetails!K517</f>
        <v>170</v>
      </c>
      <c r="E514" s="158">
        <f>BIdetails!M517</f>
        <v>1319.25</v>
      </c>
      <c r="F514" t="str">
        <f>IF(ISERROR(IF(OR(C514="#",C514=0),"",VLOOKUP(C514,'AOP25'!M:M,1,0))),"Not Found",VLOOKUP(C514,'AOP25'!M:M,1,0))</f>
        <v>Not Found</v>
      </c>
      <c r="G514" t="e">
        <f t="shared" si="8"/>
        <v>#N/A</v>
      </c>
    </row>
    <row r="515" spans="1:7" hidden="1" x14ac:dyDescent="0.25">
      <c r="A515" t="str">
        <f>BIdetails!G518</f>
        <v>187516</v>
      </c>
      <c r="B515" t="str">
        <f>BIdetails!H518</f>
        <v>Accenture B.V.</v>
      </c>
      <c r="C515" t="str">
        <f>BIdetails!J518</f>
        <v>5401088459</v>
      </c>
      <c r="D515" t="str">
        <f>BIdetails!K518</f>
        <v>180</v>
      </c>
      <c r="E515" s="158">
        <f>BIdetails!M518</f>
        <v>6365.08</v>
      </c>
      <c r="F515" t="str">
        <f>IF(ISERROR(IF(OR(C515="#",C515=0),"",VLOOKUP(C515,'AOP25'!M:M,1,0))),"Not Found",VLOOKUP(C515,'AOP25'!M:M,1,0))</f>
        <v>Not Found</v>
      </c>
      <c r="G515" t="e">
        <f t="shared" si="8"/>
        <v>#N/A</v>
      </c>
    </row>
    <row r="516" spans="1:7" x14ac:dyDescent="0.25">
      <c r="A516" t="str">
        <f>BIdetails!G519</f>
        <v>187516</v>
      </c>
      <c r="B516" t="str">
        <f>BIdetails!H519</f>
        <v>Accenture B.V.</v>
      </c>
      <c r="C516" t="str">
        <f>BIdetails!J519</f>
        <v>5401088459</v>
      </c>
      <c r="D516" t="str">
        <f>BIdetails!K519</f>
        <v>190</v>
      </c>
      <c r="E516" s="158">
        <f>BIdetails!M519</f>
        <v>20670.240000000002</v>
      </c>
      <c r="F516" t="str">
        <f>IF(ISERROR(IF(OR(C516="#",C516=0),"",VLOOKUP(C516,'AOP25'!M:M,1,0))),"Not Found",VLOOKUP(C516,'AOP25'!M:M,1,0))</f>
        <v>Not Found</v>
      </c>
      <c r="G516" t="e">
        <f t="shared" si="8"/>
        <v>#N/A</v>
      </c>
    </row>
    <row r="517" spans="1:7" hidden="1" x14ac:dyDescent="0.25">
      <c r="A517" t="str">
        <f>BIdetails!G520</f>
        <v>187516</v>
      </c>
      <c r="B517" t="str">
        <f>BIdetails!H520</f>
        <v>Accenture B.V.</v>
      </c>
      <c r="C517" t="str">
        <f>BIdetails!J520</f>
        <v>5401088459</v>
      </c>
      <c r="D517" t="str">
        <f>BIdetails!K520</f>
        <v>200</v>
      </c>
      <c r="E517" s="158">
        <f>BIdetails!M520</f>
        <v>33528.04</v>
      </c>
      <c r="F517" t="str">
        <f>IF(ISERROR(IF(OR(C517="#",C517=0),"",VLOOKUP(C517,'AOP25'!M:M,1,0))),"Not Found",VLOOKUP(C517,'AOP25'!M:M,1,0))</f>
        <v>Not Found</v>
      </c>
      <c r="G517" t="e">
        <f t="shared" si="8"/>
        <v>#N/A</v>
      </c>
    </row>
    <row r="518" spans="1:7" hidden="1" x14ac:dyDescent="0.25">
      <c r="A518" t="str">
        <f>BIdetails!G521</f>
        <v>187516</v>
      </c>
      <c r="B518" t="str">
        <f>BIdetails!H521</f>
        <v>Accenture B.V.</v>
      </c>
      <c r="C518" t="str">
        <f>BIdetails!J521</f>
        <v>5401088459</v>
      </c>
      <c r="D518" t="str">
        <f>BIdetails!K521</f>
        <v>210</v>
      </c>
      <c r="E518" s="158">
        <f>BIdetails!M521</f>
        <v>27403.14</v>
      </c>
      <c r="F518" t="str">
        <f>IF(ISERROR(IF(OR(C518="#",C518=0),"",VLOOKUP(C518,'AOP25'!M:M,1,0))),"Not Found",VLOOKUP(C518,'AOP25'!M:M,1,0))</f>
        <v>Not Found</v>
      </c>
      <c r="G518" t="e">
        <f t="shared" si="8"/>
        <v>#N/A</v>
      </c>
    </row>
    <row r="519" spans="1:7" hidden="1" x14ac:dyDescent="0.25">
      <c r="A519" t="str">
        <f>BIdetails!G522</f>
        <v>187516</v>
      </c>
      <c r="B519" t="str">
        <f>BIdetails!H522</f>
        <v>Accenture B.V.</v>
      </c>
      <c r="C519" t="str">
        <f>BIdetails!J522</f>
        <v>5401088459</v>
      </c>
      <c r="D519" t="str">
        <f>BIdetails!K522</f>
        <v>220</v>
      </c>
      <c r="E519" s="158">
        <f>BIdetails!M522</f>
        <v>5923.44</v>
      </c>
      <c r="F519" t="str">
        <f>IF(ISERROR(IF(OR(C519="#",C519=0),"",VLOOKUP(C519,'AOP25'!M:M,1,0))),"Not Found",VLOOKUP(C519,'AOP25'!M:M,1,0))</f>
        <v>Not Found</v>
      </c>
      <c r="G519" t="e">
        <f t="shared" si="8"/>
        <v>#N/A</v>
      </c>
    </row>
    <row r="520" spans="1:7" hidden="1" x14ac:dyDescent="0.25">
      <c r="A520" t="str">
        <f>BIdetails!G523</f>
        <v>187516</v>
      </c>
      <c r="B520" t="str">
        <f>BIdetails!H523</f>
        <v>Accenture B.V.</v>
      </c>
      <c r="C520" t="str">
        <f>BIdetails!J523</f>
        <v>5401088459</v>
      </c>
      <c r="D520" t="str">
        <f>BIdetails!K523</f>
        <v>230</v>
      </c>
      <c r="E520" s="158">
        <f>BIdetails!M523</f>
        <v>3166.2</v>
      </c>
      <c r="F520" t="str">
        <f>IF(ISERROR(IF(OR(C520="#",C520=0),"",VLOOKUP(C520,'AOP25'!M:M,1,0))),"Not Found",VLOOKUP(C520,'AOP25'!M:M,1,0))</f>
        <v>Not Found</v>
      </c>
      <c r="G520" t="e">
        <f t="shared" si="8"/>
        <v>#N/A</v>
      </c>
    </row>
    <row r="521" spans="1:7" hidden="1" x14ac:dyDescent="0.25">
      <c r="A521" t="str">
        <f>BIdetails!G524</f>
        <v>187516</v>
      </c>
      <c r="B521" t="str">
        <f>BIdetails!H524</f>
        <v>Accenture B.V.</v>
      </c>
      <c r="C521" t="str">
        <f>BIdetails!J524</f>
        <v>5401088459</v>
      </c>
      <c r="D521" t="str">
        <f>BIdetails!K524</f>
        <v>250</v>
      </c>
      <c r="E521" s="158">
        <f>BIdetails!M524</f>
        <v>16144.11</v>
      </c>
      <c r="F521" t="str">
        <f>IF(ISERROR(IF(OR(C521="#",C521=0),"",VLOOKUP(C521,'AOP25'!M:M,1,0))),"Not Found",VLOOKUP(C521,'AOP25'!M:M,1,0))</f>
        <v>Not Found</v>
      </c>
      <c r="G521" t="e">
        <f t="shared" si="8"/>
        <v>#N/A</v>
      </c>
    </row>
    <row r="522" spans="1:7" hidden="1" x14ac:dyDescent="0.25">
      <c r="A522" t="str">
        <f>BIdetails!G525</f>
        <v>187516</v>
      </c>
      <c r="B522" t="str">
        <f>BIdetails!H525</f>
        <v>Accenture B.V.</v>
      </c>
      <c r="C522" t="str">
        <f>BIdetails!J525</f>
        <v>5401088459</v>
      </c>
      <c r="D522" t="str">
        <f>BIdetails!K525</f>
        <v>260</v>
      </c>
      <c r="E522" s="158">
        <f>BIdetails!M525</f>
        <v>10000</v>
      </c>
      <c r="F522" t="str">
        <f>IF(ISERROR(IF(OR(C522="#",C522=0),"",VLOOKUP(C522,'AOP25'!M:M,1,0))),"Not Found",VLOOKUP(C522,'AOP25'!M:M,1,0))</f>
        <v>Not Found</v>
      </c>
      <c r="G522" t="e">
        <f t="shared" si="8"/>
        <v>#N/A</v>
      </c>
    </row>
    <row r="523" spans="1:7" hidden="1" x14ac:dyDescent="0.25">
      <c r="A523" t="str">
        <f>BIdetails!G526</f>
        <v>187516</v>
      </c>
      <c r="B523" t="str">
        <f>BIdetails!H526</f>
        <v>Accenture B.V.</v>
      </c>
      <c r="C523" t="str">
        <f>BIdetails!J526</f>
        <v>5401001779</v>
      </c>
      <c r="D523" t="str">
        <f>BIdetails!K526</f>
        <v>40</v>
      </c>
      <c r="E523" s="158">
        <f>BIdetails!M526</f>
        <v>16100</v>
      </c>
      <c r="F523" t="str">
        <f>IF(ISERROR(IF(OR(C523="#",C523=0),"",VLOOKUP(C523,'AOP25'!M:M,1,0))),"Not Found",VLOOKUP(C523,'AOP25'!M:M,1,0))</f>
        <v>Not Found</v>
      </c>
      <c r="G523" t="e">
        <f t="shared" si="8"/>
        <v>#N/A</v>
      </c>
    </row>
    <row r="524" spans="1:7" hidden="1" x14ac:dyDescent="0.25">
      <c r="A524" t="str">
        <f>BIdetails!G527</f>
        <v>187516</v>
      </c>
      <c r="B524" t="str">
        <f>BIdetails!H527</f>
        <v>Accenture B.V.</v>
      </c>
      <c r="C524" t="str">
        <f>BIdetails!J527</f>
        <v>5401030676</v>
      </c>
      <c r="D524" t="str">
        <f>BIdetails!K527</f>
        <v>30</v>
      </c>
      <c r="E524" s="158">
        <f>BIdetails!M527</f>
        <v>1736</v>
      </c>
      <c r="F524" t="str">
        <f>IF(ISERROR(IF(OR(C524="#",C524=0),"",VLOOKUP(C524,'AOP25'!M:M,1,0))),"Not Found",VLOOKUP(C524,'AOP25'!M:M,1,0))</f>
        <v>Not Found</v>
      </c>
      <c r="G524" t="e">
        <f t="shared" si="8"/>
        <v>#N/A</v>
      </c>
    </row>
    <row r="525" spans="1:7" hidden="1" x14ac:dyDescent="0.25">
      <c r="A525" t="str">
        <f>BIdetails!G528</f>
        <v>187516</v>
      </c>
      <c r="B525" t="str">
        <f>BIdetails!H528</f>
        <v>Accenture B.V.</v>
      </c>
      <c r="C525" t="str">
        <f>BIdetails!J528</f>
        <v>5401080603</v>
      </c>
      <c r="D525" t="str">
        <f>BIdetails!K528</f>
        <v>10</v>
      </c>
      <c r="E525" s="158">
        <f>BIdetails!M528</f>
        <v>11300</v>
      </c>
      <c r="F525" t="str">
        <f>IF(ISERROR(IF(OR(C525="#",C525=0),"",VLOOKUP(C525,'AOP25'!M:M,1,0))),"Not Found",VLOOKUP(C525,'AOP25'!M:M,1,0))</f>
        <v>Not Found</v>
      </c>
      <c r="G525" t="e">
        <f t="shared" si="8"/>
        <v>#N/A</v>
      </c>
    </row>
    <row r="526" spans="1:7" hidden="1" x14ac:dyDescent="0.25">
      <c r="A526" t="str">
        <f>BIdetails!G529</f>
        <v>187516</v>
      </c>
      <c r="B526" t="str">
        <f>BIdetails!H529</f>
        <v>Accenture B.V.</v>
      </c>
      <c r="C526" t="str">
        <f>BIdetails!J529</f>
        <v>5401082177</v>
      </c>
      <c r="D526" t="str">
        <f>BIdetails!K529</f>
        <v>10</v>
      </c>
      <c r="E526" s="158">
        <f>BIdetails!M529</f>
        <v>18000</v>
      </c>
      <c r="F526" t="str">
        <f>IF(ISERROR(IF(OR(C526="#",C526=0),"",VLOOKUP(C526,'AOP25'!M:M,1,0))),"Not Found",VLOOKUP(C526,'AOP25'!M:M,1,0))</f>
        <v>Not Found</v>
      </c>
      <c r="G526" t="e">
        <f t="shared" si="8"/>
        <v>#N/A</v>
      </c>
    </row>
    <row r="527" spans="1:7" hidden="1" x14ac:dyDescent="0.25">
      <c r="A527" t="str">
        <f>BIdetails!G530</f>
        <v>187516</v>
      </c>
      <c r="B527" t="str">
        <f>BIdetails!H530</f>
        <v>Accenture B.V.</v>
      </c>
      <c r="C527" t="str">
        <f>BIdetails!J530</f>
        <v>5400836551</v>
      </c>
      <c r="D527" t="str">
        <f>BIdetails!K530</f>
        <v>20</v>
      </c>
      <c r="E527" s="158">
        <f>BIdetails!M530</f>
        <v>1875</v>
      </c>
      <c r="F527" t="str">
        <f>IF(ISERROR(IF(OR(C527="#",C527=0),"",VLOOKUP(C527,'AOP25'!M:M,1,0))),"Not Found",VLOOKUP(C527,'AOP25'!M:M,1,0))</f>
        <v>Not Found</v>
      </c>
      <c r="G527" t="e">
        <f t="shared" si="8"/>
        <v>#N/A</v>
      </c>
    </row>
    <row r="528" spans="1:7" hidden="1" x14ac:dyDescent="0.25">
      <c r="A528" t="str">
        <f>BIdetails!G531</f>
        <v>187516</v>
      </c>
      <c r="B528" t="str">
        <f>BIdetails!H531</f>
        <v>Accenture B.V.</v>
      </c>
      <c r="C528" t="str">
        <f>BIdetails!J531</f>
        <v>5400853128</v>
      </c>
      <c r="D528" t="str">
        <f>BIdetails!K531</f>
        <v>10</v>
      </c>
      <c r="E528" s="158">
        <f>BIdetails!M531</f>
        <v>45333</v>
      </c>
      <c r="F528" t="str">
        <f>IF(ISERROR(IF(OR(C528="#",C528=0),"",VLOOKUP(C528,'AOP25'!M:M,1,0))),"Not Found",VLOOKUP(C528,'AOP25'!M:M,1,0))</f>
        <v>Not Found</v>
      </c>
      <c r="G528" t="e">
        <f t="shared" si="8"/>
        <v>#N/A</v>
      </c>
    </row>
    <row r="529" spans="1:7" hidden="1" x14ac:dyDescent="0.25">
      <c r="A529" t="str">
        <f>BIdetails!G532</f>
        <v>187516</v>
      </c>
      <c r="B529" t="str">
        <f>BIdetails!H532</f>
        <v>Accenture B.V.</v>
      </c>
      <c r="C529" t="str">
        <f>BIdetails!J532</f>
        <v>5400980360</v>
      </c>
      <c r="D529" t="str">
        <f>BIdetails!K532</f>
        <v>10</v>
      </c>
      <c r="E529" s="158">
        <f>BIdetails!M532</f>
        <v>8000</v>
      </c>
      <c r="F529" t="str">
        <f>IF(ISERROR(IF(OR(C529="#",C529=0),"",VLOOKUP(C529,'AOP25'!M:M,1,0))),"Not Found",VLOOKUP(C529,'AOP25'!M:M,1,0))</f>
        <v>Not Found</v>
      </c>
      <c r="G529" t="e">
        <f t="shared" si="8"/>
        <v>#N/A</v>
      </c>
    </row>
    <row r="530" spans="1:7" hidden="1" x14ac:dyDescent="0.25">
      <c r="A530" t="str">
        <f>BIdetails!G533</f>
        <v>187516</v>
      </c>
      <c r="B530" t="str">
        <f>BIdetails!H533</f>
        <v>Accenture B.V.</v>
      </c>
      <c r="C530" t="str">
        <f>BIdetails!J533</f>
        <v>5401001779</v>
      </c>
      <c r="D530" t="str">
        <f>BIdetails!K533</f>
        <v>40</v>
      </c>
      <c r="E530" s="158">
        <f>BIdetails!M533</f>
        <v>16100</v>
      </c>
      <c r="F530" t="str">
        <f>IF(ISERROR(IF(OR(C530="#",C530=0),"",VLOOKUP(C530,'AOP25'!M:M,1,0))),"Not Found",VLOOKUP(C530,'AOP25'!M:M,1,0))</f>
        <v>Not Found</v>
      </c>
      <c r="G530" t="e">
        <f t="shared" si="8"/>
        <v>#N/A</v>
      </c>
    </row>
    <row r="531" spans="1:7" hidden="1" x14ac:dyDescent="0.25">
      <c r="A531" t="str">
        <f>BIdetails!G534</f>
        <v>187516</v>
      </c>
      <c r="B531" t="str">
        <f>BIdetails!H534</f>
        <v>Accenture B.V.</v>
      </c>
      <c r="C531" t="str">
        <f>BIdetails!J534</f>
        <v>5400877269</v>
      </c>
      <c r="D531" t="str">
        <f>BIdetails!K534</f>
        <v>40</v>
      </c>
      <c r="E531" s="158">
        <f>BIdetails!M534</f>
        <v>2787.43</v>
      </c>
      <c r="F531" t="str">
        <f>IF(ISERROR(IF(OR(C531="#",C531=0),"",VLOOKUP(C531,'AOP25'!M:M,1,0))),"Not Found",VLOOKUP(C531,'AOP25'!M:M,1,0))</f>
        <v>Not Found</v>
      </c>
      <c r="G531" t="e">
        <f t="shared" si="8"/>
        <v>#N/A</v>
      </c>
    </row>
    <row r="532" spans="1:7" hidden="1" x14ac:dyDescent="0.25">
      <c r="A532" t="str">
        <f>BIdetails!G535</f>
        <v>187516</v>
      </c>
      <c r="B532" t="str">
        <f>BIdetails!H535</f>
        <v>Accenture B.V.</v>
      </c>
      <c r="C532" t="str">
        <f>BIdetails!J535</f>
        <v>5400877269</v>
      </c>
      <c r="D532" t="str">
        <f>BIdetails!K535</f>
        <v>40</v>
      </c>
      <c r="E532" s="158">
        <f>BIdetails!M535</f>
        <v>2787.43</v>
      </c>
      <c r="F532" t="str">
        <f>IF(ISERROR(IF(OR(C532="#",C532=0),"",VLOOKUP(C532,'AOP25'!M:M,1,0))),"Not Found",VLOOKUP(C532,'AOP25'!M:M,1,0))</f>
        <v>Not Found</v>
      </c>
      <c r="G532" t="e">
        <f t="shared" si="8"/>
        <v>#N/A</v>
      </c>
    </row>
    <row r="533" spans="1:7" hidden="1" x14ac:dyDescent="0.25">
      <c r="A533" t="str">
        <f>BIdetails!G536</f>
        <v>187516</v>
      </c>
      <c r="B533" t="str">
        <f>BIdetails!H536</f>
        <v>Accenture B.V.</v>
      </c>
      <c r="C533" t="str">
        <f>BIdetails!J536</f>
        <v>5401045581</v>
      </c>
      <c r="D533" t="str">
        <f>BIdetails!K536</f>
        <v>10</v>
      </c>
      <c r="E533" s="158">
        <f>BIdetails!M536</f>
        <v>1130</v>
      </c>
      <c r="F533" t="str">
        <f>IF(ISERROR(IF(OR(C533="#",C533=0),"",VLOOKUP(C533,'AOP25'!M:M,1,0))),"Not Found",VLOOKUP(C533,'AOP25'!M:M,1,0))</f>
        <v>Not Found</v>
      </c>
      <c r="G533" t="e">
        <f t="shared" si="8"/>
        <v>#N/A</v>
      </c>
    </row>
    <row r="534" spans="1:7" hidden="1" x14ac:dyDescent="0.25">
      <c r="A534" t="str">
        <f>BIdetails!G537</f>
        <v>187516</v>
      </c>
      <c r="B534" t="str">
        <f>BIdetails!H537</f>
        <v>Accenture B.V.</v>
      </c>
      <c r="C534" t="str">
        <f>BIdetails!J537</f>
        <v>5401045581</v>
      </c>
      <c r="D534" t="str">
        <f>BIdetails!K537</f>
        <v>10</v>
      </c>
      <c r="E534" s="158">
        <f>BIdetails!M537</f>
        <v>10000</v>
      </c>
      <c r="F534" t="str">
        <f>IF(ISERROR(IF(OR(C534="#",C534=0),"",VLOOKUP(C534,'AOP25'!M:M,1,0))),"Not Found",VLOOKUP(C534,'AOP25'!M:M,1,0))</f>
        <v>Not Found</v>
      </c>
      <c r="G534" t="e">
        <f t="shared" si="8"/>
        <v>#N/A</v>
      </c>
    </row>
    <row r="535" spans="1:7" hidden="1" x14ac:dyDescent="0.25">
      <c r="A535" t="str">
        <f>BIdetails!G538</f>
        <v>187516</v>
      </c>
      <c r="B535" t="str">
        <f>BIdetails!H538</f>
        <v>Accenture B.V.</v>
      </c>
      <c r="C535" t="str">
        <f>BIdetails!J538</f>
        <v>5401094857</v>
      </c>
      <c r="D535" t="str">
        <f>BIdetails!K538</f>
        <v>10</v>
      </c>
      <c r="E535" s="158">
        <f>BIdetails!M538</f>
        <v>7284.42</v>
      </c>
      <c r="F535" t="str">
        <f>IF(ISERROR(IF(OR(C535="#",C535=0),"",VLOOKUP(C535,'AOP25'!M:M,1,0))),"Not Found",VLOOKUP(C535,'AOP25'!M:M,1,0))</f>
        <v>Not Found</v>
      </c>
      <c r="G535" t="e">
        <f t="shared" si="8"/>
        <v>#N/A</v>
      </c>
    </row>
    <row r="536" spans="1:7" hidden="1" x14ac:dyDescent="0.25">
      <c r="A536" t="str">
        <f>BIdetails!G539</f>
        <v>187516</v>
      </c>
      <c r="B536" t="str">
        <f>BIdetails!H539</f>
        <v>Accenture B.V.</v>
      </c>
      <c r="C536" t="str">
        <f>BIdetails!J539</f>
        <v>5401094867</v>
      </c>
      <c r="D536" t="str">
        <f>BIdetails!K539</f>
        <v>10</v>
      </c>
      <c r="E536" s="158">
        <f>BIdetails!M539</f>
        <v>8277</v>
      </c>
      <c r="F536" t="str">
        <f>IF(ISERROR(IF(OR(C536="#",C536=0),"",VLOOKUP(C536,'AOP25'!M:M,1,0))),"Not Found",VLOOKUP(C536,'AOP25'!M:M,1,0))</f>
        <v>Not Found</v>
      </c>
      <c r="G536" t="e">
        <f t="shared" si="8"/>
        <v>#N/A</v>
      </c>
    </row>
    <row r="537" spans="1:7" hidden="1" x14ac:dyDescent="0.25">
      <c r="A537" t="str">
        <f>BIdetails!G540</f>
        <v>187516</v>
      </c>
      <c r="B537" t="str">
        <f>BIdetails!H540</f>
        <v>Accenture B.V.</v>
      </c>
      <c r="C537" t="str">
        <f>BIdetails!J540</f>
        <v>5401088459</v>
      </c>
      <c r="D537" t="str">
        <f>BIdetails!K540</f>
        <v>10</v>
      </c>
      <c r="E537" s="158">
        <f>BIdetails!M540</f>
        <v>28177.5</v>
      </c>
      <c r="F537" t="str">
        <f>IF(ISERROR(IF(OR(C537="#",C537=0),"",VLOOKUP(C537,'AOP25'!M:M,1,0))),"Not Found",VLOOKUP(C537,'AOP25'!M:M,1,0))</f>
        <v>Not Found</v>
      </c>
      <c r="G537" t="e">
        <f t="shared" si="8"/>
        <v>#N/A</v>
      </c>
    </row>
    <row r="538" spans="1:7" hidden="1" x14ac:dyDescent="0.25">
      <c r="A538" t="str">
        <f>BIdetails!G541</f>
        <v>187516</v>
      </c>
      <c r="B538" t="str">
        <f>BIdetails!H541</f>
        <v>Accenture B.V.</v>
      </c>
      <c r="C538" t="str">
        <f>BIdetails!J541</f>
        <v>5401088459</v>
      </c>
      <c r="D538" t="str">
        <f>BIdetails!K541</f>
        <v>20</v>
      </c>
      <c r="E538" s="158">
        <f>BIdetails!M541</f>
        <v>3892</v>
      </c>
      <c r="F538" t="str">
        <f>IF(ISERROR(IF(OR(C538="#",C538=0),"",VLOOKUP(C538,'AOP25'!M:M,1,0))),"Not Found",VLOOKUP(C538,'AOP25'!M:M,1,0))</f>
        <v>Not Found</v>
      </c>
      <c r="G538" t="e">
        <f t="shared" si="8"/>
        <v>#N/A</v>
      </c>
    </row>
    <row r="539" spans="1:7" hidden="1" x14ac:dyDescent="0.25">
      <c r="A539" t="str">
        <f>BIdetails!G542</f>
        <v>187516</v>
      </c>
      <c r="B539" t="str">
        <f>BIdetails!H542</f>
        <v>Accenture B.V.</v>
      </c>
      <c r="C539" t="str">
        <f>BIdetails!J542</f>
        <v>5401088459</v>
      </c>
      <c r="D539" t="str">
        <f>BIdetails!K542</f>
        <v>30</v>
      </c>
      <c r="E539" s="158">
        <f>BIdetails!M542</f>
        <v>33330.92</v>
      </c>
      <c r="F539" t="str">
        <f>IF(ISERROR(IF(OR(C539="#",C539=0),"",VLOOKUP(C539,'AOP25'!M:M,1,0))),"Not Found",VLOOKUP(C539,'AOP25'!M:M,1,0))</f>
        <v>Not Found</v>
      </c>
      <c r="G539" t="e">
        <f t="shared" si="8"/>
        <v>#N/A</v>
      </c>
    </row>
    <row r="540" spans="1:7" hidden="1" x14ac:dyDescent="0.25">
      <c r="A540" t="str">
        <f>BIdetails!G543</f>
        <v>187516</v>
      </c>
      <c r="B540" t="str">
        <f>BIdetails!H543</f>
        <v>Accenture B.V.</v>
      </c>
      <c r="C540" t="str">
        <f>BIdetails!J543</f>
        <v>5401088459</v>
      </c>
      <c r="D540" t="str">
        <f>BIdetails!K543</f>
        <v>40</v>
      </c>
      <c r="E540" s="158">
        <f>BIdetails!M543</f>
        <v>4726.33</v>
      </c>
      <c r="F540" t="str">
        <f>IF(ISERROR(IF(OR(C540="#",C540=0),"",VLOOKUP(C540,'AOP25'!M:M,1,0))),"Not Found",VLOOKUP(C540,'AOP25'!M:M,1,0))</f>
        <v>Not Found</v>
      </c>
      <c r="G540" t="e">
        <f t="shared" si="8"/>
        <v>#N/A</v>
      </c>
    </row>
    <row r="541" spans="1:7" hidden="1" x14ac:dyDescent="0.25">
      <c r="A541" t="str">
        <f>BIdetails!G544</f>
        <v>187516</v>
      </c>
      <c r="B541" t="str">
        <f>BIdetails!H544</f>
        <v>Accenture B.V.</v>
      </c>
      <c r="C541" t="str">
        <f>BIdetails!J544</f>
        <v>5401088459</v>
      </c>
      <c r="D541" t="str">
        <f>BIdetails!K544</f>
        <v>50</v>
      </c>
      <c r="E541" s="158">
        <f>BIdetails!M544</f>
        <v>64683.17</v>
      </c>
      <c r="F541" t="str">
        <f>IF(ISERROR(IF(OR(C541="#",C541=0),"",VLOOKUP(C541,'AOP25'!M:M,1,0))),"Not Found",VLOOKUP(C541,'AOP25'!M:M,1,0))</f>
        <v>Not Found</v>
      </c>
      <c r="G541" t="e">
        <f t="shared" si="8"/>
        <v>#N/A</v>
      </c>
    </row>
    <row r="542" spans="1:7" x14ac:dyDescent="0.25">
      <c r="A542" t="str">
        <f>BIdetails!G545</f>
        <v>187516</v>
      </c>
      <c r="B542" t="str">
        <f>BIdetails!H545</f>
        <v>Accenture B.V.</v>
      </c>
      <c r="C542" t="str">
        <f>BIdetails!J545</f>
        <v>5401088459</v>
      </c>
      <c r="D542" t="str">
        <f>BIdetails!K545</f>
        <v>60</v>
      </c>
      <c r="E542" s="158">
        <f>BIdetails!M545</f>
        <v>6131</v>
      </c>
      <c r="F542" t="str">
        <f>IF(ISERROR(IF(OR(C542="#",C542=0),"",VLOOKUP(C542,'AOP25'!M:M,1,0))),"Not Found",VLOOKUP(C542,'AOP25'!M:M,1,0))</f>
        <v>Not Found</v>
      </c>
      <c r="G542" t="e">
        <f t="shared" si="8"/>
        <v>#N/A</v>
      </c>
    </row>
    <row r="543" spans="1:7" x14ac:dyDescent="0.25">
      <c r="A543" t="str">
        <f>BIdetails!G546</f>
        <v>187516</v>
      </c>
      <c r="B543" t="str">
        <f>BIdetails!H546</f>
        <v>Accenture B.V.</v>
      </c>
      <c r="C543" t="str">
        <f>BIdetails!J546</f>
        <v>5401088459</v>
      </c>
      <c r="D543" t="str">
        <f>BIdetails!K546</f>
        <v>70</v>
      </c>
      <c r="E543" s="158">
        <f>BIdetails!M546</f>
        <v>12262</v>
      </c>
      <c r="F543" t="str">
        <f>IF(ISERROR(IF(OR(C543="#",C543=0),"",VLOOKUP(C543,'AOP25'!M:M,1,0))),"Not Found",VLOOKUP(C543,'AOP25'!M:M,1,0))</f>
        <v>Not Found</v>
      </c>
      <c r="G543" t="e">
        <f t="shared" si="8"/>
        <v>#N/A</v>
      </c>
    </row>
    <row r="544" spans="1:7" x14ac:dyDescent="0.25">
      <c r="A544" t="str">
        <f>BIdetails!G547</f>
        <v>187516</v>
      </c>
      <c r="B544" t="str">
        <f>BIdetails!H547</f>
        <v>Accenture B.V.</v>
      </c>
      <c r="C544" t="str">
        <f>BIdetails!J547</f>
        <v>5401088459</v>
      </c>
      <c r="D544" t="str">
        <f>BIdetails!K547</f>
        <v>80</v>
      </c>
      <c r="E544" s="158">
        <f>BIdetails!M547</f>
        <v>62652.69</v>
      </c>
      <c r="F544" t="str">
        <f>IF(ISERROR(IF(OR(C544="#",C544=0),"",VLOOKUP(C544,'AOP25'!M:M,1,0))),"Not Found",VLOOKUP(C544,'AOP25'!M:M,1,0))</f>
        <v>Not Found</v>
      </c>
      <c r="G544" t="e">
        <f t="shared" si="8"/>
        <v>#N/A</v>
      </c>
    </row>
    <row r="545" spans="1:7" hidden="1" x14ac:dyDescent="0.25">
      <c r="A545" t="str">
        <f>BIdetails!G548</f>
        <v>187516</v>
      </c>
      <c r="B545" t="str">
        <f>BIdetails!H548</f>
        <v>Accenture B.V.</v>
      </c>
      <c r="C545" t="str">
        <f>BIdetails!J548</f>
        <v>5401088459</v>
      </c>
      <c r="D545" t="str">
        <f>BIdetails!K548</f>
        <v>90</v>
      </c>
      <c r="E545" s="158">
        <f>BIdetails!M548</f>
        <v>37055.82</v>
      </c>
      <c r="F545" t="str">
        <f>IF(ISERROR(IF(OR(C545="#",C545=0),"",VLOOKUP(C545,'AOP25'!M:M,1,0))),"Not Found",VLOOKUP(C545,'AOP25'!M:M,1,0))</f>
        <v>Not Found</v>
      </c>
      <c r="G545" t="e">
        <f t="shared" si="8"/>
        <v>#N/A</v>
      </c>
    </row>
    <row r="546" spans="1:7" x14ac:dyDescent="0.25">
      <c r="A546" t="str">
        <f>BIdetails!G549</f>
        <v>187516</v>
      </c>
      <c r="B546" t="str">
        <f>BIdetails!H549</f>
        <v>Accenture B.V.</v>
      </c>
      <c r="C546" t="str">
        <f>BIdetails!J549</f>
        <v>5401088459</v>
      </c>
      <c r="D546" t="str">
        <f>BIdetails!K549</f>
        <v>110</v>
      </c>
      <c r="E546" s="158">
        <f>BIdetails!M549</f>
        <v>5833.33</v>
      </c>
      <c r="F546" t="str">
        <f>IF(ISERROR(IF(OR(C546="#",C546=0),"",VLOOKUP(C546,'AOP25'!M:M,1,0))),"Not Found",VLOOKUP(C546,'AOP25'!M:M,1,0))</f>
        <v>Not Found</v>
      </c>
      <c r="G546" t="e">
        <f t="shared" si="8"/>
        <v>#N/A</v>
      </c>
    </row>
    <row r="547" spans="1:7" x14ac:dyDescent="0.25">
      <c r="A547" t="str">
        <f>BIdetails!G550</f>
        <v>187516</v>
      </c>
      <c r="B547" t="str">
        <f>BIdetails!H550</f>
        <v>Accenture B.V.</v>
      </c>
      <c r="C547" t="str">
        <f>BIdetails!J550</f>
        <v>5401088459</v>
      </c>
      <c r="D547" t="str">
        <f>BIdetails!K550</f>
        <v>120</v>
      </c>
      <c r="E547" s="158">
        <f>BIdetails!M550</f>
        <v>5250</v>
      </c>
      <c r="F547" t="str">
        <f>IF(ISERROR(IF(OR(C547="#",C547=0),"",VLOOKUP(C547,'AOP25'!M:M,1,0))),"Not Found",VLOOKUP(C547,'AOP25'!M:M,1,0))</f>
        <v>Not Found</v>
      </c>
      <c r="G547" t="e">
        <f t="shared" si="8"/>
        <v>#N/A</v>
      </c>
    </row>
    <row r="548" spans="1:7" x14ac:dyDescent="0.25">
      <c r="A548" t="str">
        <f>BIdetails!G551</f>
        <v>187516</v>
      </c>
      <c r="B548" t="str">
        <f>BIdetails!H551</f>
        <v>Accenture B.V.</v>
      </c>
      <c r="C548" t="str">
        <f>BIdetails!J551</f>
        <v>5401088459</v>
      </c>
      <c r="D548" t="str">
        <f>BIdetails!K551</f>
        <v>130</v>
      </c>
      <c r="E548" s="158">
        <f>BIdetails!M551</f>
        <v>27081.58</v>
      </c>
      <c r="F548" t="str">
        <f>IF(ISERROR(IF(OR(C548="#",C548=0),"",VLOOKUP(C548,'AOP25'!M:M,1,0))),"Not Found",VLOOKUP(C548,'AOP25'!M:M,1,0))</f>
        <v>Not Found</v>
      </c>
      <c r="G548" t="e">
        <f t="shared" si="8"/>
        <v>#N/A</v>
      </c>
    </row>
    <row r="549" spans="1:7" x14ac:dyDescent="0.25">
      <c r="A549" t="str">
        <f>BIdetails!G552</f>
        <v>187516</v>
      </c>
      <c r="B549" t="str">
        <f>BIdetails!H552</f>
        <v>Accenture B.V.</v>
      </c>
      <c r="C549" t="str">
        <f>BIdetails!J552</f>
        <v>5401088459</v>
      </c>
      <c r="D549" t="str">
        <f>BIdetails!K552</f>
        <v>150</v>
      </c>
      <c r="E549" s="158">
        <f>BIdetails!M552</f>
        <v>7071.53</v>
      </c>
      <c r="F549" t="str">
        <f>IF(ISERROR(IF(OR(C549="#",C549=0),"",VLOOKUP(C549,'AOP25'!M:M,1,0))),"Not Found",VLOOKUP(C549,'AOP25'!M:M,1,0))</f>
        <v>Not Found</v>
      </c>
      <c r="G549" t="e">
        <f t="shared" si="8"/>
        <v>#N/A</v>
      </c>
    </row>
    <row r="550" spans="1:7" x14ac:dyDescent="0.25">
      <c r="A550" t="str">
        <f>BIdetails!G553</f>
        <v>187516</v>
      </c>
      <c r="B550" t="str">
        <f>BIdetails!H553</f>
        <v>Accenture B.V.</v>
      </c>
      <c r="C550" t="str">
        <f>BIdetails!J553</f>
        <v>5401088459</v>
      </c>
      <c r="D550" t="str">
        <f>BIdetails!K553</f>
        <v>160</v>
      </c>
      <c r="E550" s="158">
        <f>BIdetails!M553</f>
        <v>9979.5</v>
      </c>
      <c r="F550" t="str">
        <f>IF(ISERROR(IF(OR(C550="#",C550=0),"",VLOOKUP(C550,'AOP25'!M:M,1,0))),"Not Found",VLOOKUP(C550,'AOP25'!M:M,1,0))</f>
        <v>Not Found</v>
      </c>
      <c r="G550" t="e">
        <f t="shared" si="8"/>
        <v>#N/A</v>
      </c>
    </row>
    <row r="551" spans="1:7" hidden="1" x14ac:dyDescent="0.25">
      <c r="A551" t="str">
        <f>BIdetails!G554</f>
        <v>187516</v>
      </c>
      <c r="B551" t="str">
        <f>BIdetails!H554</f>
        <v>Accenture B.V.</v>
      </c>
      <c r="C551" t="str">
        <f>BIdetails!J554</f>
        <v>5401088459</v>
      </c>
      <c r="D551" t="str">
        <f>BIdetails!K554</f>
        <v>170</v>
      </c>
      <c r="E551" s="158">
        <f>BIdetails!M554</f>
        <v>1319.25</v>
      </c>
      <c r="F551" t="str">
        <f>IF(ISERROR(IF(OR(C551="#",C551=0),"",VLOOKUP(C551,'AOP25'!M:M,1,0))),"Not Found",VLOOKUP(C551,'AOP25'!M:M,1,0))</f>
        <v>Not Found</v>
      </c>
      <c r="G551" t="e">
        <f t="shared" si="8"/>
        <v>#N/A</v>
      </c>
    </row>
    <row r="552" spans="1:7" x14ac:dyDescent="0.25">
      <c r="A552" t="str">
        <f>BIdetails!G555</f>
        <v>187516</v>
      </c>
      <c r="B552" t="str">
        <f>BIdetails!H555</f>
        <v>Accenture B.V.</v>
      </c>
      <c r="C552" t="str">
        <f>BIdetails!J555</f>
        <v>5401088459</v>
      </c>
      <c r="D552" t="str">
        <f>BIdetails!K555</f>
        <v>180</v>
      </c>
      <c r="E552" s="158">
        <f>BIdetails!M555</f>
        <v>6365.08</v>
      </c>
      <c r="F552" t="str">
        <f>IF(ISERROR(IF(OR(C552="#",C552=0),"",VLOOKUP(C552,'AOP25'!M:M,1,0))),"Not Found",VLOOKUP(C552,'AOP25'!M:M,1,0))</f>
        <v>Not Found</v>
      </c>
      <c r="G552" t="e">
        <f t="shared" si="8"/>
        <v>#N/A</v>
      </c>
    </row>
    <row r="553" spans="1:7" x14ac:dyDescent="0.25">
      <c r="A553" t="str">
        <f>BIdetails!G556</f>
        <v>187516</v>
      </c>
      <c r="B553" t="str">
        <f>BIdetails!H556</f>
        <v>Accenture B.V.</v>
      </c>
      <c r="C553" t="str">
        <f>BIdetails!J556</f>
        <v>5401088459</v>
      </c>
      <c r="D553" t="str">
        <f>BIdetails!K556</f>
        <v>190</v>
      </c>
      <c r="E553" s="158">
        <f>BIdetails!M556</f>
        <v>20670.240000000002</v>
      </c>
      <c r="F553" t="str">
        <f>IF(ISERROR(IF(OR(C553="#",C553=0),"",VLOOKUP(C553,'AOP25'!M:M,1,0))),"Not Found",VLOOKUP(C553,'AOP25'!M:M,1,0))</f>
        <v>Not Found</v>
      </c>
      <c r="G553" t="e">
        <f t="shared" si="8"/>
        <v>#N/A</v>
      </c>
    </row>
    <row r="554" spans="1:7" x14ac:dyDescent="0.25">
      <c r="A554" t="str">
        <f>BIdetails!G557</f>
        <v>187516</v>
      </c>
      <c r="B554" t="str">
        <f>BIdetails!H557</f>
        <v>Accenture B.V.</v>
      </c>
      <c r="C554" t="str">
        <f>BIdetails!J557</f>
        <v>5401088459</v>
      </c>
      <c r="D554" t="str">
        <f>BIdetails!K557</f>
        <v>200</v>
      </c>
      <c r="E554" s="158">
        <f>BIdetails!M557</f>
        <v>33528.04</v>
      </c>
      <c r="F554" t="str">
        <f>IF(ISERROR(IF(OR(C554="#",C554=0),"",VLOOKUP(C554,'AOP25'!M:M,1,0))),"Not Found",VLOOKUP(C554,'AOP25'!M:M,1,0))</f>
        <v>Not Found</v>
      </c>
      <c r="G554" t="e">
        <f t="shared" si="8"/>
        <v>#N/A</v>
      </c>
    </row>
    <row r="555" spans="1:7" hidden="1" x14ac:dyDescent="0.25">
      <c r="A555" t="str">
        <f>BIdetails!G558</f>
        <v>187516</v>
      </c>
      <c r="B555" t="str">
        <f>BIdetails!H558</f>
        <v>Accenture B.V.</v>
      </c>
      <c r="C555" t="str">
        <f>BIdetails!J558</f>
        <v>5401088459</v>
      </c>
      <c r="D555" t="str">
        <f>BIdetails!K558</f>
        <v>210</v>
      </c>
      <c r="E555" s="158">
        <f>BIdetails!M558</f>
        <v>27403.14</v>
      </c>
      <c r="F555" t="str">
        <f>IF(ISERROR(IF(OR(C555="#",C555=0),"",VLOOKUP(C555,'AOP25'!M:M,1,0))),"Not Found",VLOOKUP(C555,'AOP25'!M:M,1,0))</f>
        <v>Not Found</v>
      </c>
      <c r="G555" t="e">
        <f t="shared" si="8"/>
        <v>#N/A</v>
      </c>
    </row>
    <row r="556" spans="1:7" hidden="1" x14ac:dyDescent="0.25">
      <c r="A556" t="str">
        <f>BIdetails!G559</f>
        <v>187516</v>
      </c>
      <c r="B556" t="str">
        <f>BIdetails!H559</f>
        <v>Accenture B.V.</v>
      </c>
      <c r="C556" t="str">
        <f>BIdetails!J559</f>
        <v>5401088459</v>
      </c>
      <c r="D556" t="str">
        <f>BIdetails!K559</f>
        <v>220</v>
      </c>
      <c r="E556" s="158">
        <f>BIdetails!M559</f>
        <v>5923.44</v>
      </c>
      <c r="F556" t="str">
        <f>IF(ISERROR(IF(OR(C556="#",C556=0),"",VLOOKUP(C556,'AOP25'!M:M,1,0))),"Not Found",VLOOKUP(C556,'AOP25'!M:M,1,0))</f>
        <v>Not Found</v>
      </c>
      <c r="G556" t="e">
        <f t="shared" si="8"/>
        <v>#N/A</v>
      </c>
    </row>
    <row r="557" spans="1:7" hidden="1" x14ac:dyDescent="0.25">
      <c r="A557" t="str">
        <f>BIdetails!G560</f>
        <v>187516</v>
      </c>
      <c r="B557" t="str">
        <f>BIdetails!H560</f>
        <v>Accenture B.V.</v>
      </c>
      <c r="C557" t="str">
        <f>BIdetails!J560</f>
        <v>5401088459</v>
      </c>
      <c r="D557" t="str">
        <f>BIdetails!K560</f>
        <v>230</v>
      </c>
      <c r="E557" s="158">
        <f>BIdetails!M560</f>
        <v>3166.2</v>
      </c>
      <c r="F557" t="str">
        <f>IF(ISERROR(IF(OR(C557="#",C557=0),"",VLOOKUP(C557,'AOP25'!M:M,1,0))),"Not Found",VLOOKUP(C557,'AOP25'!M:M,1,0))</f>
        <v>Not Found</v>
      </c>
      <c r="G557" t="e">
        <f t="shared" si="8"/>
        <v>#N/A</v>
      </c>
    </row>
    <row r="558" spans="1:7" hidden="1" x14ac:dyDescent="0.25">
      <c r="A558" t="str">
        <f>BIdetails!G561</f>
        <v>187516</v>
      </c>
      <c r="B558" t="str">
        <f>BIdetails!H561</f>
        <v>Accenture B.V.</v>
      </c>
      <c r="C558" t="str">
        <f>BIdetails!J561</f>
        <v>5401088459</v>
      </c>
      <c r="D558" t="str">
        <f>BIdetails!K561</f>
        <v>240</v>
      </c>
      <c r="E558" s="158">
        <f>BIdetails!M561</f>
        <v>14655.6</v>
      </c>
      <c r="F558" t="str">
        <f>IF(ISERROR(IF(OR(C558="#",C558=0),"",VLOOKUP(C558,'AOP25'!M:M,1,0))),"Not Found",VLOOKUP(C558,'AOP25'!M:M,1,0))</f>
        <v>Not Found</v>
      </c>
      <c r="G558" t="e">
        <f t="shared" si="8"/>
        <v>#N/A</v>
      </c>
    </row>
    <row r="559" spans="1:7" hidden="1" x14ac:dyDescent="0.25">
      <c r="A559" t="str">
        <f>BIdetails!G562</f>
        <v>187516</v>
      </c>
      <c r="B559" t="str">
        <f>BIdetails!H562</f>
        <v>Accenture B.V.</v>
      </c>
      <c r="C559" t="str">
        <f>BIdetails!J562</f>
        <v>5401088459</v>
      </c>
      <c r="D559" t="str">
        <f>BIdetails!K562</f>
        <v>250</v>
      </c>
      <c r="E559" s="158">
        <f>BIdetails!M562</f>
        <v>16144.11</v>
      </c>
      <c r="F559" t="str">
        <f>IF(ISERROR(IF(OR(C559="#",C559=0),"",VLOOKUP(C559,'AOP25'!M:M,1,0))),"Not Found",VLOOKUP(C559,'AOP25'!M:M,1,0))</f>
        <v>Not Found</v>
      </c>
      <c r="G559" t="e">
        <f t="shared" si="8"/>
        <v>#N/A</v>
      </c>
    </row>
    <row r="560" spans="1:7" hidden="1" x14ac:dyDescent="0.25">
      <c r="A560" t="str">
        <f>BIdetails!G563</f>
        <v>187516</v>
      </c>
      <c r="B560" t="str">
        <f>BIdetails!H563</f>
        <v>Accenture B.V.</v>
      </c>
      <c r="C560" t="str">
        <f>BIdetails!J563</f>
        <v>5401088459</v>
      </c>
      <c r="D560" t="str">
        <f>BIdetails!K563</f>
        <v>260</v>
      </c>
      <c r="E560" s="158">
        <f>BIdetails!M563</f>
        <v>10000</v>
      </c>
      <c r="F560" t="str">
        <f>IF(ISERROR(IF(OR(C560="#",C560=0),"",VLOOKUP(C560,'AOP25'!M:M,1,0))),"Not Found",VLOOKUP(C560,'AOP25'!M:M,1,0))</f>
        <v>Not Found</v>
      </c>
      <c r="G560" t="e">
        <f t="shared" si="8"/>
        <v>#N/A</v>
      </c>
    </row>
    <row r="561" spans="1:7" hidden="1" x14ac:dyDescent="0.25">
      <c r="A561" t="str">
        <f>BIdetails!G564</f>
        <v>187516</v>
      </c>
      <c r="B561" t="str">
        <f>BIdetails!H564</f>
        <v>Accenture B.V.</v>
      </c>
      <c r="C561" t="str">
        <f>BIdetails!J564</f>
        <v>5401088459</v>
      </c>
      <c r="D561" t="str">
        <f>BIdetails!K564</f>
        <v>270</v>
      </c>
      <c r="E561" s="158">
        <f>BIdetails!M564</f>
        <v>9500</v>
      </c>
      <c r="F561" t="str">
        <f>IF(ISERROR(IF(OR(C561="#",C561=0),"",VLOOKUP(C561,'AOP25'!M:M,1,0))),"Not Found",VLOOKUP(C561,'AOP25'!M:M,1,0))</f>
        <v>Not Found</v>
      </c>
      <c r="G561" t="e">
        <f t="shared" si="8"/>
        <v>#N/A</v>
      </c>
    </row>
    <row r="562" spans="1:7" hidden="1" x14ac:dyDescent="0.25">
      <c r="A562" t="str">
        <f>BIdetails!G565</f>
        <v>187516</v>
      </c>
      <c r="B562" t="str">
        <f>BIdetails!H565</f>
        <v>Accenture B.V.</v>
      </c>
      <c r="C562" t="str">
        <f>BIdetails!J565</f>
        <v>5400980360</v>
      </c>
      <c r="D562" t="str">
        <f>BIdetails!K565</f>
        <v>10</v>
      </c>
      <c r="E562" s="158">
        <f>BIdetails!M565</f>
        <v>4165.1099999999997</v>
      </c>
      <c r="F562" t="str">
        <f>IF(ISERROR(IF(OR(C562="#",C562=0),"",VLOOKUP(C562,'AOP25'!M:M,1,0))),"Not Found",VLOOKUP(C562,'AOP25'!M:M,1,0))</f>
        <v>Not Found</v>
      </c>
      <c r="G562" t="e">
        <f t="shared" si="8"/>
        <v>#N/A</v>
      </c>
    </row>
    <row r="563" spans="1:7" hidden="1" x14ac:dyDescent="0.25">
      <c r="A563" t="str">
        <f>BIdetails!G566</f>
        <v>187516</v>
      </c>
      <c r="B563" t="str">
        <f>BIdetails!H566</f>
        <v>Accenture B.V.</v>
      </c>
      <c r="C563" t="str">
        <f>BIdetails!J566</f>
        <v>5400980360</v>
      </c>
      <c r="D563" t="str">
        <f>BIdetails!K566</f>
        <v>10</v>
      </c>
      <c r="E563" s="158">
        <f>BIdetails!M566</f>
        <v>7854.35</v>
      </c>
      <c r="F563" t="str">
        <f>IF(ISERROR(IF(OR(C563="#",C563=0),"",VLOOKUP(C563,'AOP25'!M:M,1,0))),"Not Found",VLOOKUP(C563,'AOP25'!M:M,1,0))</f>
        <v>Not Found</v>
      </c>
      <c r="G563" t="e">
        <f t="shared" si="8"/>
        <v>#N/A</v>
      </c>
    </row>
    <row r="564" spans="1:7" hidden="1" x14ac:dyDescent="0.25">
      <c r="A564" t="str">
        <f>BIdetails!G567</f>
        <v>187516</v>
      </c>
      <c r="B564" t="str">
        <f>BIdetails!H567</f>
        <v>Accenture B.V.</v>
      </c>
      <c r="C564" t="str">
        <f>BIdetails!J567</f>
        <v>5401080603</v>
      </c>
      <c r="D564" t="str">
        <f>BIdetails!K567</f>
        <v>10</v>
      </c>
      <c r="E564" s="158">
        <f>BIdetails!M567</f>
        <v>11300</v>
      </c>
      <c r="F564" t="str">
        <f>IF(ISERROR(IF(OR(C564="#",C564=0),"",VLOOKUP(C564,'AOP25'!M:M,1,0))),"Not Found",VLOOKUP(C564,'AOP25'!M:M,1,0))</f>
        <v>Not Found</v>
      </c>
      <c r="G564" t="e">
        <f t="shared" si="8"/>
        <v>#N/A</v>
      </c>
    </row>
    <row r="565" spans="1:7" hidden="1" x14ac:dyDescent="0.25">
      <c r="A565" t="str">
        <f>BIdetails!G568</f>
        <v>187516</v>
      </c>
      <c r="B565" t="str">
        <f>BIdetails!H568</f>
        <v>Accenture B.V.</v>
      </c>
      <c r="C565" t="str">
        <f>BIdetails!J568</f>
        <v>5401082177</v>
      </c>
      <c r="D565" t="str">
        <f>BIdetails!K568</f>
        <v>10</v>
      </c>
      <c r="E565" s="158">
        <f>BIdetails!M568</f>
        <v>18000</v>
      </c>
      <c r="F565" t="str">
        <f>IF(ISERROR(IF(OR(C565="#",C565=0),"",VLOOKUP(C565,'AOP25'!M:M,1,0))),"Not Found",VLOOKUP(C565,'AOP25'!M:M,1,0))</f>
        <v>Not Found</v>
      </c>
      <c r="G565" t="e">
        <f t="shared" si="8"/>
        <v>#N/A</v>
      </c>
    </row>
    <row r="566" spans="1:7" hidden="1" x14ac:dyDescent="0.25">
      <c r="A566" t="str">
        <f>BIdetails!G569</f>
        <v>187516</v>
      </c>
      <c r="B566" t="str">
        <f>BIdetails!H569</f>
        <v>Accenture B.V.</v>
      </c>
      <c r="C566" t="str">
        <f>BIdetails!J569</f>
        <v>5401034404</v>
      </c>
      <c r="D566" t="str">
        <f>BIdetails!K569</f>
        <v>10</v>
      </c>
      <c r="E566" s="158">
        <f>BIdetails!M569</f>
        <v>6953.31</v>
      </c>
      <c r="F566" t="str">
        <f>IF(ISERROR(IF(OR(C566="#",C566=0),"",VLOOKUP(C566,'AOP25'!M:M,1,0))),"Not Found",VLOOKUP(C566,'AOP25'!M:M,1,0))</f>
        <v>Not Found</v>
      </c>
      <c r="G566" t="e">
        <f t="shared" si="8"/>
        <v>#N/A</v>
      </c>
    </row>
    <row r="567" spans="1:7" hidden="1" x14ac:dyDescent="0.25">
      <c r="A567" t="str">
        <f>BIdetails!G570</f>
        <v>187516</v>
      </c>
      <c r="B567" t="str">
        <f>BIdetails!H570</f>
        <v>Accenture B.V.</v>
      </c>
      <c r="C567" t="str">
        <f>BIdetails!J570</f>
        <v>5401034404</v>
      </c>
      <c r="D567" t="str">
        <f>BIdetails!K570</f>
        <v>10</v>
      </c>
      <c r="E567" s="158">
        <f>BIdetails!M570</f>
        <v>6622.2</v>
      </c>
      <c r="F567" t="str">
        <f>IF(ISERROR(IF(OR(C567="#",C567=0),"",VLOOKUP(C567,'AOP25'!M:M,1,0))),"Not Found",VLOOKUP(C567,'AOP25'!M:M,1,0))</f>
        <v>Not Found</v>
      </c>
      <c r="G567" t="e">
        <f t="shared" si="8"/>
        <v>#N/A</v>
      </c>
    </row>
    <row r="568" spans="1:7" hidden="1" x14ac:dyDescent="0.25">
      <c r="A568" t="str">
        <f>BIdetails!G571</f>
        <v>187516</v>
      </c>
      <c r="B568" t="str">
        <f>BIdetails!H571</f>
        <v>Accenture B.V.</v>
      </c>
      <c r="C568" t="str">
        <f>BIdetails!J571</f>
        <v>5401034404</v>
      </c>
      <c r="D568" t="str">
        <f>BIdetails!K571</f>
        <v>10</v>
      </c>
      <c r="E568" s="158">
        <f>BIdetails!M571</f>
        <v>7284.42</v>
      </c>
      <c r="F568" t="str">
        <f>IF(ISERROR(IF(OR(C568="#",C568=0),"",VLOOKUP(C568,'AOP25'!M:M,1,0))),"Not Found",VLOOKUP(C568,'AOP25'!M:M,1,0))</f>
        <v>Not Found</v>
      </c>
      <c r="G568" t="e">
        <f t="shared" si="8"/>
        <v>#N/A</v>
      </c>
    </row>
    <row r="569" spans="1:7" hidden="1" x14ac:dyDescent="0.25">
      <c r="A569" t="str">
        <f>BIdetails!G572</f>
        <v>187516</v>
      </c>
      <c r="B569" t="str">
        <f>BIdetails!H572</f>
        <v>Accenture B.V.</v>
      </c>
      <c r="C569" t="str">
        <f>BIdetails!J572</f>
        <v>5401080603</v>
      </c>
      <c r="D569" t="str">
        <f>BIdetails!K572</f>
        <v>10</v>
      </c>
      <c r="E569" s="158">
        <f>BIdetails!M572</f>
        <v>2260</v>
      </c>
      <c r="F569" t="str">
        <f>IF(ISERROR(IF(OR(C569="#",C569=0),"",VLOOKUP(C569,'AOP25'!M:M,1,0))),"Not Found",VLOOKUP(C569,'AOP25'!M:M,1,0))</f>
        <v>Not Found</v>
      </c>
      <c r="G569" t="e">
        <f t="shared" si="8"/>
        <v>#N/A</v>
      </c>
    </row>
    <row r="570" spans="1:7" hidden="1" x14ac:dyDescent="0.25">
      <c r="A570" t="str">
        <f>BIdetails!G573</f>
        <v>187516</v>
      </c>
      <c r="B570" t="str">
        <f>BIdetails!H573</f>
        <v>Accenture B.V.</v>
      </c>
      <c r="C570" t="str">
        <f>BIdetails!J573</f>
        <v>5401082177</v>
      </c>
      <c r="D570" t="str">
        <f>BIdetails!K573</f>
        <v>10</v>
      </c>
      <c r="E570" s="158">
        <f>BIdetails!M573</f>
        <v>-18000</v>
      </c>
      <c r="F570" t="str">
        <f>IF(ISERROR(IF(OR(C570="#",C570=0),"",VLOOKUP(C570,'AOP25'!M:M,1,0))),"Not Found",VLOOKUP(C570,'AOP25'!M:M,1,0))</f>
        <v>Not Found</v>
      </c>
      <c r="G570" t="e">
        <f t="shared" ref="G570:G633" si="9">IF(NOT(ISERROR(VLOOKUP(C570,$K$2:$K$50,1,0))),"Y",VLOOKUP(C570,$K$2:$K$50,1,0))</f>
        <v>#N/A</v>
      </c>
    </row>
    <row r="571" spans="1:7" hidden="1" x14ac:dyDescent="0.25">
      <c r="A571" t="str">
        <f>BIdetails!G574</f>
        <v>187516</v>
      </c>
      <c r="B571" t="str">
        <f>BIdetails!H574</f>
        <v>Accenture B.V.</v>
      </c>
      <c r="C571" t="str">
        <f>BIdetails!J574</f>
        <v>5401082177</v>
      </c>
      <c r="D571" t="str">
        <f>BIdetails!K574</f>
        <v>10</v>
      </c>
      <c r="E571" s="158">
        <f>BIdetails!M574</f>
        <v>17680</v>
      </c>
      <c r="F571" t="str">
        <f>IF(ISERROR(IF(OR(C571="#",C571=0),"",VLOOKUP(C571,'AOP25'!M:M,1,0))),"Not Found",VLOOKUP(C571,'AOP25'!M:M,1,0))</f>
        <v>Not Found</v>
      </c>
      <c r="G571" t="e">
        <f t="shared" si="9"/>
        <v>#N/A</v>
      </c>
    </row>
    <row r="572" spans="1:7" hidden="1" x14ac:dyDescent="0.25">
      <c r="A572" t="str">
        <f>BIdetails!G575</f>
        <v>187516</v>
      </c>
      <c r="B572" t="str">
        <f>BIdetails!H575</f>
        <v>Accenture B.V.</v>
      </c>
      <c r="C572" t="str">
        <f>BIdetails!J575</f>
        <v>5401082177</v>
      </c>
      <c r="D572" t="str">
        <f>BIdetails!K575</f>
        <v>10</v>
      </c>
      <c r="E572" s="158">
        <f>BIdetails!M575</f>
        <v>17680</v>
      </c>
      <c r="F572" t="str">
        <f>IF(ISERROR(IF(OR(C572="#",C572=0),"",VLOOKUP(C572,'AOP25'!M:M,1,0))),"Not Found",VLOOKUP(C572,'AOP25'!M:M,1,0))</f>
        <v>Not Found</v>
      </c>
      <c r="G572" t="e">
        <f t="shared" si="9"/>
        <v>#N/A</v>
      </c>
    </row>
    <row r="573" spans="1:7" hidden="1" x14ac:dyDescent="0.25">
      <c r="A573" t="str">
        <f>BIdetails!G576</f>
        <v>187516</v>
      </c>
      <c r="B573" t="str">
        <f>BIdetails!H576</f>
        <v>Accenture B.V.</v>
      </c>
      <c r="C573" t="str">
        <f>BIdetails!J576</f>
        <v>5401099794</v>
      </c>
      <c r="D573" t="str">
        <f>BIdetails!K576</f>
        <v>10</v>
      </c>
      <c r="E573" s="158">
        <f>BIdetails!M576</f>
        <v>13000</v>
      </c>
      <c r="F573" t="str">
        <f>IF(ISERROR(IF(OR(C573="#",C573=0),"",VLOOKUP(C573,'AOP25'!M:M,1,0))),"Not Found",VLOOKUP(C573,'AOP25'!M:M,1,0))</f>
        <v>Not Found</v>
      </c>
      <c r="G573" t="e">
        <f t="shared" si="9"/>
        <v>#N/A</v>
      </c>
    </row>
    <row r="574" spans="1:7" hidden="1" x14ac:dyDescent="0.25">
      <c r="A574" t="str">
        <f>BIdetails!G577</f>
        <v>187516</v>
      </c>
      <c r="B574" t="str">
        <f>BIdetails!H577</f>
        <v>Accenture B.V.</v>
      </c>
      <c r="C574" t="str">
        <f>BIdetails!J577</f>
        <v>5400836551</v>
      </c>
      <c r="D574" t="str">
        <f>BIdetails!K577</f>
        <v>20</v>
      </c>
      <c r="E574" s="158">
        <f>BIdetails!M577</f>
        <v>1875</v>
      </c>
      <c r="F574" t="str">
        <f>IF(ISERROR(IF(OR(C574="#",C574=0),"",VLOOKUP(C574,'AOP25'!M:M,1,0))),"Not Found",VLOOKUP(C574,'AOP25'!M:M,1,0))</f>
        <v>Not Found</v>
      </c>
      <c r="G574" t="e">
        <f t="shared" si="9"/>
        <v>#N/A</v>
      </c>
    </row>
    <row r="575" spans="1:7" hidden="1" x14ac:dyDescent="0.25">
      <c r="A575" t="str">
        <f>BIdetails!G578</f>
        <v>187516</v>
      </c>
      <c r="B575" t="str">
        <f>BIdetails!H578</f>
        <v>Accenture B.V.</v>
      </c>
      <c r="C575" t="str">
        <f>BIdetails!J578</f>
        <v>5400853128</v>
      </c>
      <c r="D575" t="str">
        <f>BIdetails!K578</f>
        <v>10</v>
      </c>
      <c r="E575" s="158">
        <f>BIdetails!M578</f>
        <v>45333</v>
      </c>
      <c r="F575" t="str">
        <f>IF(ISERROR(IF(OR(C575="#",C575=0),"",VLOOKUP(C575,'AOP25'!M:M,1,0))),"Not Found",VLOOKUP(C575,'AOP25'!M:M,1,0))</f>
        <v>Not Found</v>
      </c>
      <c r="G575" t="e">
        <f t="shared" si="9"/>
        <v>#N/A</v>
      </c>
    </row>
    <row r="576" spans="1:7" hidden="1" x14ac:dyDescent="0.25">
      <c r="A576" t="str">
        <f>BIdetails!G579</f>
        <v>187516</v>
      </c>
      <c r="B576" t="str">
        <f>BIdetails!H579</f>
        <v>Accenture B.V.</v>
      </c>
      <c r="C576" t="str">
        <f>BIdetails!J579</f>
        <v>5401001779</v>
      </c>
      <c r="D576" t="str">
        <f>BIdetails!K579</f>
        <v>40</v>
      </c>
      <c r="E576" s="158">
        <f>BIdetails!M579</f>
        <v>16100</v>
      </c>
      <c r="F576" t="str">
        <f>IF(ISERROR(IF(OR(C576="#",C576=0),"",VLOOKUP(C576,'AOP25'!M:M,1,0))),"Not Found",VLOOKUP(C576,'AOP25'!M:M,1,0))</f>
        <v>Not Found</v>
      </c>
      <c r="G576" t="e">
        <f t="shared" si="9"/>
        <v>#N/A</v>
      </c>
    </row>
    <row r="577" spans="1:7" hidden="1" x14ac:dyDescent="0.25">
      <c r="A577" t="str">
        <f>BIdetails!G580</f>
        <v>187516</v>
      </c>
      <c r="B577" t="str">
        <f>BIdetails!H580</f>
        <v>Accenture B.V.</v>
      </c>
      <c r="C577" t="str">
        <f>BIdetails!J580</f>
        <v>5400980360</v>
      </c>
      <c r="D577" t="str">
        <f>BIdetails!K580</f>
        <v>10</v>
      </c>
      <c r="E577" s="158">
        <f>BIdetails!M580</f>
        <v>1162.2</v>
      </c>
      <c r="F577" t="str">
        <f>IF(ISERROR(IF(OR(C577="#",C577=0),"",VLOOKUP(C577,'AOP25'!M:M,1,0))),"Not Found",VLOOKUP(C577,'AOP25'!M:M,1,0))</f>
        <v>Not Found</v>
      </c>
      <c r="G577" t="e">
        <f t="shared" si="9"/>
        <v>#N/A</v>
      </c>
    </row>
    <row r="578" spans="1:7" hidden="1" x14ac:dyDescent="0.25">
      <c r="A578" t="str">
        <f>BIdetails!G581</f>
        <v>187516</v>
      </c>
      <c r="B578" t="str">
        <f>BIdetails!H581</f>
        <v>Accenture B.V.</v>
      </c>
      <c r="C578" t="str">
        <f>BIdetails!J581</f>
        <v>5401094857</v>
      </c>
      <c r="D578" t="str">
        <f>BIdetails!K581</f>
        <v>10</v>
      </c>
      <c r="E578" s="158">
        <f>BIdetails!M581</f>
        <v>7284.42</v>
      </c>
      <c r="F578" t="str">
        <f>IF(ISERROR(IF(OR(C578="#",C578=0),"",VLOOKUP(C578,'AOP25'!M:M,1,0))),"Not Found",VLOOKUP(C578,'AOP25'!M:M,1,0))</f>
        <v>Not Found</v>
      </c>
      <c r="G578" t="e">
        <f t="shared" si="9"/>
        <v>#N/A</v>
      </c>
    </row>
    <row r="579" spans="1:7" hidden="1" x14ac:dyDescent="0.25">
      <c r="A579" t="str">
        <f>BIdetails!G582</f>
        <v>187516</v>
      </c>
      <c r="B579" t="str">
        <f>BIdetails!H582</f>
        <v>Accenture B.V.</v>
      </c>
      <c r="C579" t="str">
        <f>BIdetails!J582</f>
        <v>5401088459</v>
      </c>
      <c r="D579" t="str">
        <f>BIdetails!K582</f>
        <v>10</v>
      </c>
      <c r="E579" s="158">
        <f>BIdetails!M582</f>
        <v>28177.5</v>
      </c>
      <c r="F579" t="str">
        <f>IF(ISERROR(IF(OR(C579="#",C579=0),"",VLOOKUP(C579,'AOP25'!M:M,1,0))),"Not Found",VLOOKUP(C579,'AOP25'!M:M,1,0))</f>
        <v>Not Found</v>
      </c>
      <c r="G579" t="e">
        <f t="shared" si="9"/>
        <v>#N/A</v>
      </c>
    </row>
    <row r="580" spans="1:7" hidden="1" x14ac:dyDescent="0.25">
      <c r="A580" t="str">
        <f>BIdetails!G583</f>
        <v>187516</v>
      </c>
      <c r="B580" t="str">
        <f>BIdetails!H583</f>
        <v>Accenture B.V.</v>
      </c>
      <c r="C580" t="str">
        <f>BIdetails!J583</f>
        <v>5401088459</v>
      </c>
      <c r="D580" t="str">
        <f>BIdetails!K583</f>
        <v>20</v>
      </c>
      <c r="E580" s="158">
        <f>BIdetails!M583</f>
        <v>3892</v>
      </c>
      <c r="F580" t="str">
        <f>IF(ISERROR(IF(OR(C580="#",C580=0),"",VLOOKUP(C580,'AOP25'!M:M,1,0))),"Not Found",VLOOKUP(C580,'AOP25'!M:M,1,0))</f>
        <v>Not Found</v>
      </c>
      <c r="G580" t="e">
        <f t="shared" si="9"/>
        <v>#N/A</v>
      </c>
    </row>
    <row r="581" spans="1:7" hidden="1" x14ac:dyDescent="0.25">
      <c r="A581" t="str">
        <f>BIdetails!G584</f>
        <v>187516</v>
      </c>
      <c r="B581" t="str">
        <f>BIdetails!H584</f>
        <v>Accenture B.V.</v>
      </c>
      <c r="C581" t="str">
        <f>BIdetails!J584</f>
        <v>5401088459</v>
      </c>
      <c r="D581" t="str">
        <f>BIdetails!K584</f>
        <v>30</v>
      </c>
      <c r="E581" s="158">
        <f>BIdetails!M584</f>
        <v>33330.92</v>
      </c>
      <c r="F581" t="str">
        <f>IF(ISERROR(IF(OR(C581="#",C581=0),"",VLOOKUP(C581,'AOP25'!M:M,1,0))),"Not Found",VLOOKUP(C581,'AOP25'!M:M,1,0))</f>
        <v>Not Found</v>
      </c>
      <c r="G581" t="e">
        <f t="shared" si="9"/>
        <v>#N/A</v>
      </c>
    </row>
    <row r="582" spans="1:7" hidden="1" x14ac:dyDescent="0.25">
      <c r="A582" t="str">
        <f>BIdetails!G585</f>
        <v>187516</v>
      </c>
      <c r="B582" t="str">
        <f>BIdetails!H585</f>
        <v>Accenture B.V.</v>
      </c>
      <c r="C582" t="str">
        <f>BIdetails!J585</f>
        <v>5401088459</v>
      </c>
      <c r="D582" t="str">
        <f>BIdetails!K585</f>
        <v>40</v>
      </c>
      <c r="E582" s="158">
        <f>BIdetails!M585</f>
        <v>4726.33</v>
      </c>
      <c r="F582" t="str">
        <f>IF(ISERROR(IF(OR(C582="#",C582=0),"",VLOOKUP(C582,'AOP25'!M:M,1,0))),"Not Found",VLOOKUP(C582,'AOP25'!M:M,1,0))</f>
        <v>Not Found</v>
      </c>
      <c r="G582" t="e">
        <f t="shared" si="9"/>
        <v>#N/A</v>
      </c>
    </row>
    <row r="583" spans="1:7" hidden="1" x14ac:dyDescent="0.25">
      <c r="A583" t="str">
        <f>BIdetails!G586</f>
        <v>187516</v>
      </c>
      <c r="B583" t="str">
        <f>BIdetails!H586</f>
        <v>Accenture B.V.</v>
      </c>
      <c r="C583" t="str">
        <f>BIdetails!J586</f>
        <v>5401088459</v>
      </c>
      <c r="D583" t="str">
        <f>BIdetails!K586</f>
        <v>50</v>
      </c>
      <c r="E583" s="158">
        <f>BIdetails!M586</f>
        <v>64683.17</v>
      </c>
      <c r="F583" t="str">
        <f>IF(ISERROR(IF(OR(C583="#",C583=0),"",VLOOKUP(C583,'AOP25'!M:M,1,0))),"Not Found",VLOOKUP(C583,'AOP25'!M:M,1,0))</f>
        <v>Not Found</v>
      </c>
      <c r="G583" t="e">
        <f t="shared" si="9"/>
        <v>#N/A</v>
      </c>
    </row>
    <row r="584" spans="1:7" x14ac:dyDescent="0.25">
      <c r="A584" t="str">
        <f>BIdetails!G587</f>
        <v>187516</v>
      </c>
      <c r="B584" t="str">
        <f>BIdetails!H587</f>
        <v>Accenture B.V.</v>
      </c>
      <c r="C584" t="str">
        <f>BIdetails!J587</f>
        <v>5401088459</v>
      </c>
      <c r="D584" t="str">
        <f>BIdetails!K587</f>
        <v>60</v>
      </c>
      <c r="E584" s="158">
        <f>BIdetails!M587</f>
        <v>6131</v>
      </c>
      <c r="F584" t="str">
        <f>IF(ISERROR(IF(OR(C584="#",C584=0),"",VLOOKUP(C584,'AOP25'!M:M,1,0))),"Not Found",VLOOKUP(C584,'AOP25'!M:M,1,0))</f>
        <v>Not Found</v>
      </c>
      <c r="G584" t="e">
        <f t="shared" si="9"/>
        <v>#N/A</v>
      </c>
    </row>
    <row r="585" spans="1:7" hidden="1" x14ac:dyDescent="0.25">
      <c r="A585" t="str">
        <f>BIdetails!G588</f>
        <v>187516</v>
      </c>
      <c r="B585" t="str">
        <f>BIdetails!H588</f>
        <v>Accenture B.V.</v>
      </c>
      <c r="C585" t="str">
        <f>BIdetails!J588</f>
        <v>5401088459</v>
      </c>
      <c r="D585" t="str">
        <f>BIdetails!K588</f>
        <v>70</v>
      </c>
      <c r="E585" s="158">
        <f>BIdetails!M588</f>
        <v>12262</v>
      </c>
      <c r="F585" t="str">
        <f>IF(ISERROR(IF(OR(C585="#",C585=0),"",VLOOKUP(C585,'AOP25'!M:M,1,0))),"Not Found",VLOOKUP(C585,'AOP25'!M:M,1,0))</f>
        <v>Not Found</v>
      </c>
      <c r="G585" t="e">
        <f t="shared" si="9"/>
        <v>#N/A</v>
      </c>
    </row>
    <row r="586" spans="1:7" hidden="1" x14ac:dyDescent="0.25">
      <c r="A586" t="str">
        <f>BIdetails!G589</f>
        <v>187516</v>
      </c>
      <c r="B586" t="str">
        <f>BIdetails!H589</f>
        <v>Accenture B.V.</v>
      </c>
      <c r="C586" t="str">
        <f>BIdetails!J589</f>
        <v>5401088459</v>
      </c>
      <c r="D586" t="str">
        <f>BIdetails!K589</f>
        <v>80</v>
      </c>
      <c r="E586" s="158">
        <f>BIdetails!M589</f>
        <v>62652.69</v>
      </c>
      <c r="F586" t="str">
        <f>IF(ISERROR(IF(OR(C586="#",C586=0),"",VLOOKUP(C586,'AOP25'!M:M,1,0))),"Not Found",VLOOKUP(C586,'AOP25'!M:M,1,0))</f>
        <v>Not Found</v>
      </c>
      <c r="G586" t="e">
        <f t="shared" si="9"/>
        <v>#N/A</v>
      </c>
    </row>
    <row r="587" spans="1:7" hidden="1" x14ac:dyDescent="0.25">
      <c r="A587" t="str">
        <f>BIdetails!G590</f>
        <v>187516</v>
      </c>
      <c r="B587" t="str">
        <f>BIdetails!H590</f>
        <v>Accenture B.V.</v>
      </c>
      <c r="C587" t="str">
        <f>BIdetails!J590</f>
        <v>5401088459</v>
      </c>
      <c r="D587" t="str">
        <f>BIdetails!K590</f>
        <v>90</v>
      </c>
      <c r="E587" s="158">
        <f>BIdetails!M590</f>
        <v>37055.82</v>
      </c>
      <c r="F587" t="str">
        <f>IF(ISERROR(IF(OR(C587="#",C587=0),"",VLOOKUP(C587,'AOP25'!M:M,1,0))),"Not Found",VLOOKUP(C587,'AOP25'!M:M,1,0))</f>
        <v>Not Found</v>
      </c>
      <c r="G587" t="e">
        <f t="shared" si="9"/>
        <v>#N/A</v>
      </c>
    </row>
    <row r="588" spans="1:7" hidden="1" x14ac:dyDescent="0.25">
      <c r="A588" t="str">
        <f>BIdetails!G591</f>
        <v>187516</v>
      </c>
      <c r="B588" t="str">
        <f>BIdetails!H591</f>
        <v>Accenture B.V.</v>
      </c>
      <c r="C588" t="str">
        <f>BIdetails!J591</f>
        <v>5401088459</v>
      </c>
      <c r="D588" t="str">
        <f>BIdetails!K591</f>
        <v>110</v>
      </c>
      <c r="E588" s="158">
        <f>BIdetails!M591</f>
        <v>5833.33</v>
      </c>
      <c r="F588" t="str">
        <f>IF(ISERROR(IF(OR(C588="#",C588=0),"",VLOOKUP(C588,'AOP25'!M:M,1,0))),"Not Found",VLOOKUP(C588,'AOP25'!M:M,1,0))</f>
        <v>Not Found</v>
      </c>
      <c r="G588" t="e">
        <f t="shared" si="9"/>
        <v>#N/A</v>
      </c>
    </row>
    <row r="589" spans="1:7" hidden="1" x14ac:dyDescent="0.25">
      <c r="A589" t="str">
        <f>BIdetails!G592</f>
        <v>187516</v>
      </c>
      <c r="B589" t="str">
        <f>BIdetails!H592</f>
        <v>Accenture B.V.</v>
      </c>
      <c r="C589" t="str">
        <f>BIdetails!J592</f>
        <v>5401088459</v>
      </c>
      <c r="D589" t="str">
        <f>BIdetails!K592</f>
        <v>120</v>
      </c>
      <c r="E589" s="158">
        <f>BIdetails!M592</f>
        <v>5250</v>
      </c>
      <c r="F589" t="str">
        <f>IF(ISERROR(IF(OR(C589="#",C589=0),"",VLOOKUP(C589,'AOP25'!M:M,1,0))),"Not Found",VLOOKUP(C589,'AOP25'!M:M,1,0))</f>
        <v>Not Found</v>
      </c>
      <c r="G589" t="e">
        <f t="shared" si="9"/>
        <v>#N/A</v>
      </c>
    </row>
    <row r="590" spans="1:7" hidden="1" x14ac:dyDescent="0.25">
      <c r="A590" t="str">
        <f>BIdetails!G593</f>
        <v>187516</v>
      </c>
      <c r="B590" t="str">
        <f>BIdetails!H593</f>
        <v>Accenture B.V.</v>
      </c>
      <c r="C590" t="str">
        <f>BIdetails!J593</f>
        <v>5401088459</v>
      </c>
      <c r="D590" t="str">
        <f>BIdetails!K593</f>
        <v>130</v>
      </c>
      <c r="E590" s="158">
        <f>BIdetails!M593</f>
        <v>27081.58</v>
      </c>
      <c r="F590" t="str">
        <f>IF(ISERROR(IF(OR(C590="#",C590=0),"",VLOOKUP(C590,'AOP25'!M:M,1,0))),"Not Found",VLOOKUP(C590,'AOP25'!M:M,1,0))</f>
        <v>Not Found</v>
      </c>
      <c r="G590" t="e">
        <f t="shared" si="9"/>
        <v>#N/A</v>
      </c>
    </row>
    <row r="591" spans="1:7" x14ac:dyDescent="0.25">
      <c r="A591" t="str">
        <f>BIdetails!G594</f>
        <v>187516</v>
      </c>
      <c r="B591" t="str">
        <f>BIdetails!H594</f>
        <v>Accenture B.V.</v>
      </c>
      <c r="C591" t="str">
        <f>BIdetails!J594</f>
        <v>5401088459</v>
      </c>
      <c r="D591" t="str">
        <f>BIdetails!K594</f>
        <v>150</v>
      </c>
      <c r="E591" s="158">
        <f>BIdetails!M594</f>
        <v>7071.33</v>
      </c>
      <c r="F591" t="str">
        <f>IF(ISERROR(IF(OR(C591="#",C591=0),"",VLOOKUP(C591,'AOP25'!M:M,1,0))),"Not Found",VLOOKUP(C591,'AOP25'!M:M,1,0))</f>
        <v>Not Found</v>
      </c>
      <c r="G591" t="e">
        <f t="shared" si="9"/>
        <v>#N/A</v>
      </c>
    </row>
    <row r="592" spans="1:7" x14ac:dyDescent="0.25">
      <c r="A592" t="str">
        <f>BIdetails!G595</f>
        <v>187516</v>
      </c>
      <c r="B592" t="str">
        <f>BIdetails!H595</f>
        <v>Accenture B.V.</v>
      </c>
      <c r="C592" t="str">
        <f>BIdetails!J595</f>
        <v>5401088459</v>
      </c>
      <c r="D592" t="str">
        <f>BIdetails!K595</f>
        <v>160</v>
      </c>
      <c r="E592" s="158">
        <f>BIdetails!M595</f>
        <v>9979.5</v>
      </c>
      <c r="F592" t="str">
        <f>IF(ISERROR(IF(OR(C592="#",C592=0),"",VLOOKUP(C592,'AOP25'!M:M,1,0))),"Not Found",VLOOKUP(C592,'AOP25'!M:M,1,0))</f>
        <v>Not Found</v>
      </c>
      <c r="G592" t="e">
        <f t="shared" si="9"/>
        <v>#N/A</v>
      </c>
    </row>
    <row r="593" spans="1:7" hidden="1" x14ac:dyDescent="0.25">
      <c r="A593" t="str">
        <f>BIdetails!G596</f>
        <v>187516</v>
      </c>
      <c r="B593" t="str">
        <f>BIdetails!H596</f>
        <v>Accenture B.V.</v>
      </c>
      <c r="C593" t="str">
        <f>BIdetails!J596</f>
        <v>5401088459</v>
      </c>
      <c r="D593" t="str">
        <f>BIdetails!K596</f>
        <v>170</v>
      </c>
      <c r="E593" s="158">
        <f>BIdetails!M596</f>
        <v>1319.25</v>
      </c>
      <c r="F593" t="str">
        <f>IF(ISERROR(IF(OR(C593="#",C593=0),"",VLOOKUP(C593,'AOP25'!M:M,1,0))),"Not Found",VLOOKUP(C593,'AOP25'!M:M,1,0))</f>
        <v>Not Found</v>
      </c>
      <c r="G593" t="e">
        <f t="shared" si="9"/>
        <v>#N/A</v>
      </c>
    </row>
    <row r="594" spans="1:7" x14ac:dyDescent="0.25">
      <c r="A594" t="str">
        <f>BIdetails!G597</f>
        <v>187516</v>
      </c>
      <c r="B594" t="str">
        <f>BIdetails!H597</f>
        <v>Accenture B.V.</v>
      </c>
      <c r="C594" t="str">
        <f>BIdetails!J597</f>
        <v>5401088459</v>
      </c>
      <c r="D594" t="str">
        <f>BIdetails!K597</f>
        <v>180</v>
      </c>
      <c r="E594" s="158">
        <f>BIdetails!M597</f>
        <v>6365.08</v>
      </c>
      <c r="F594" t="str">
        <f>IF(ISERROR(IF(OR(C594="#",C594=0),"",VLOOKUP(C594,'AOP25'!M:M,1,0))),"Not Found",VLOOKUP(C594,'AOP25'!M:M,1,0))</f>
        <v>Not Found</v>
      </c>
      <c r="G594" t="e">
        <f t="shared" si="9"/>
        <v>#N/A</v>
      </c>
    </row>
    <row r="595" spans="1:7" x14ac:dyDescent="0.25">
      <c r="A595" t="str">
        <f>BIdetails!G598</f>
        <v>187516</v>
      </c>
      <c r="B595" t="str">
        <f>BIdetails!H598</f>
        <v>Accenture B.V.</v>
      </c>
      <c r="C595" t="str">
        <f>BIdetails!J598</f>
        <v>5401088459</v>
      </c>
      <c r="D595" t="str">
        <f>BIdetails!K598</f>
        <v>190</v>
      </c>
      <c r="E595" s="158">
        <f>BIdetails!M598</f>
        <v>20670.240000000002</v>
      </c>
      <c r="F595" t="str">
        <f>IF(ISERROR(IF(OR(C595="#",C595=0),"",VLOOKUP(C595,'AOP25'!M:M,1,0))),"Not Found",VLOOKUP(C595,'AOP25'!M:M,1,0))</f>
        <v>Not Found</v>
      </c>
      <c r="G595" t="e">
        <f t="shared" si="9"/>
        <v>#N/A</v>
      </c>
    </row>
    <row r="596" spans="1:7" x14ac:dyDescent="0.25">
      <c r="A596" t="str">
        <f>BIdetails!G599</f>
        <v>187516</v>
      </c>
      <c r="B596" t="str">
        <f>BIdetails!H599</f>
        <v>Accenture B.V.</v>
      </c>
      <c r="C596" t="str">
        <f>BIdetails!J599</f>
        <v>5401088459</v>
      </c>
      <c r="D596" t="str">
        <f>BIdetails!K599</f>
        <v>200</v>
      </c>
      <c r="E596" s="158">
        <f>BIdetails!M599</f>
        <v>27556.720000000001</v>
      </c>
      <c r="F596" t="str">
        <f>IF(ISERROR(IF(OR(C596="#",C596=0),"",VLOOKUP(C596,'AOP25'!M:M,1,0))),"Not Found",VLOOKUP(C596,'AOP25'!M:M,1,0))</f>
        <v>Not Found</v>
      </c>
      <c r="G596" t="e">
        <f t="shared" si="9"/>
        <v>#N/A</v>
      </c>
    </row>
    <row r="597" spans="1:7" x14ac:dyDescent="0.25">
      <c r="A597" t="str">
        <f>BIdetails!G600</f>
        <v>187516</v>
      </c>
      <c r="B597" t="str">
        <f>BIdetails!H600</f>
        <v>Accenture B.V.</v>
      </c>
      <c r="C597" t="str">
        <f>BIdetails!J600</f>
        <v>5401088459</v>
      </c>
      <c r="D597" t="str">
        <f>BIdetails!K600</f>
        <v>210</v>
      </c>
      <c r="E597" s="158">
        <f>BIdetails!M600</f>
        <v>27403.14</v>
      </c>
      <c r="F597" t="str">
        <f>IF(ISERROR(IF(OR(C597="#",C597=0),"",VLOOKUP(C597,'AOP25'!M:M,1,0))),"Not Found",VLOOKUP(C597,'AOP25'!M:M,1,0))</f>
        <v>Not Found</v>
      </c>
      <c r="G597" t="e">
        <f t="shared" si="9"/>
        <v>#N/A</v>
      </c>
    </row>
    <row r="598" spans="1:7" x14ac:dyDescent="0.25">
      <c r="A598" t="str">
        <f>BIdetails!G601</f>
        <v>187516</v>
      </c>
      <c r="B598" t="str">
        <f>BIdetails!H601</f>
        <v>Accenture B.V.</v>
      </c>
      <c r="C598" t="str">
        <f>BIdetails!J601</f>
        <v>5401088459</v>
      </c>
      <c r="D598" t="str">
        <f>BIdetails!K601</f>
        <v>220</v>
      </c>
      <c r="E598" s="158">
        <f>BIdetails!M601</f>
        <v>5923.44</v>
      </c>
      <c r="F598" t="str">
        <f>IF(ISERROR(IF(OR(C598="#",C598=0),"",VLOOKUP(C598,'AOP25'!M:M,1,0))),"Not Found",VLOOKUP(C598,'AOP25'!M:M,1,0))</f>
        <v>Not Found</v>
      </c>
      <c r="G598" t="e">
        <f t="shared" si="9"/>
        <v>#N/A</v>
      </c>
    </row>
    <row r="599" spans="1:7" x14ac:dyDescent="0.25">
      <c r="A599" t="str">
        <f>BIdetails!G602</f>
        <v>187516</v>
      </c>
      <c r="B599" t="str">
        <f>BIdetails!H602</f>
        <v>Accenture B.V.</v>
      </c>
      <c r="C599" t="str">
        <f>BIdetails!J602</f>
        <v>5401088459</v>
      </c>
      <c r="D599" t="str">
        <f>BIdetails!K602</f>
        <v>230</v>
      </c>
      <c r="E599" s="158">
        <f>BIdetails!M602</f>
        <v>3166.2</v>
      </c>
      <c r="F599" t="str">
        <f>IF(ISERROR(IF(OR(C599="#",C599=0),"",VLOOKUP(C599,'AOP25'!M:M,1,0))),"Not Found",VLOOKUP(C599,'AOP25'!M:M,1,0))</f>
        <v>Not Found</v>
      </c>
      <c r="G599" t="e">
        <f t="shared" si="9"/>
        <v>#N/A</v>
      </c>
    </row>
    <row r="600" spans="1:7" hidden="1" x14ac:dyDescent="0.25">
      <c r="A600" t="str">
        <f>BIdetails!G603</f>
        <v>187516</v>
      </c>
      <c r="B600" t="str">
        <f>BIdetails!H603</f>
        <v>Accenture B.V.</v>
      </c>
      <c r="C600" t="str">
        <f>BIdetails!J603</f>
        <v>5401088459</v>
      </c>
      <c r="D600" t="str">
        <f>BIdetails!K603</f>
        <v>240</v>
      </c>
      <c r="E600" s="158">
        <f>BIdetails!M603</f>
        <v>7327.8</v>
      </c>
      <c r="F600" t="str">
        <f>IF(ISERROR(IF(OR(C600="#",C600=0),"",VLOOKUP(C600,'AOP25'!M:M,1,0))),"Not Found",VLOOKUP(C600,'AOP25'!M:M,1,0))</f>
        <v>Not Found</v>
      </c>
      <c r="G600" t="e">
        <f t="shared" si="9"/>
        <v>#N/A</v>
      </c>
    </row>
    <row r="601" spans="1:7" x14ac:dyDescent="0.25">
      <c r="A601" t="str">
        <f>BIdetails!G604</f>
        <v>187516</v>
      </c>
      <c r="B601" t="str">
        <f>BIdetails!H604</f>
        <v>Accenture B.V.</v>
      </c>
      <c r="C601" t="str">
        <f>BIdetails!J604</f>
        <v>5401088459</v>
      </c>
      <c r="D601" t="str">
        <f>BIdetails!K604</f>
        <v>250</v>
      </c>
      <c r="E601" s="158">
        <f>BIdetails!M604</f>
        <v>16144.11</v>
      </c>
      <c r="F601" t="str">
        <f>IF(ISERROR(IF(OR(C601="#",C601=0),"",VLOOKUP(C601,'AOP25'!M:M,1,0))),"Not Found",VLOOKUP(C601,'AOP25'!M:M,1,0))</f>
        <v>Not Found</v>
      </c>
      <c r="G601" t="e">
        <f t="shared" si="9"/>
        <v>#N/A</v>
      </c>
    </row>
    <row r="602" spans="1:7" x14ac:dyDescent="0.25">
      <c r="A602" t="str">
        <f>BIdetails!G605</f>
        <v>187516</v>
      </c>
      <c r="B602" t="str">
        <f>BIdetails!H605</f>
        <v>Accenture B.V.</v>
      </c>
      <c r="C602" t="str">
        <f>BIdetails!J605</f>
        <v>5401088459</v>
      </c>
      <c r="D602" t="str">
        <f>BIdetails!K605</f>
        <v>280</v>
      </c>
      <c r="E602" s="158">
        <f>BIdetails!M605</f>
        <v>7306.2</v>
      </c>
      <c r="F602" t="str">
        <f>IF(ISERROR(IF(OR(C602="#",C602=0),"",VLOOKUP(C602,'AOP25'!M:M,1,0))),"Not Found",VLOOKUP(C602,'AOP25'!M:M,1,0))</f>
        <v>Not Found</v>
      </c>
      <c r="G602" t="e">
        <f t="shared" si="9"/>
        <v>#N/A</v>
      </c>
    </row>
    <row r="603" spans="1:7" hidden="1" x14ac:dyDescent="0.25">
      <c r="A603" t="str">
        <f>BIdetails!G606</f>
        <v>187516</v>
      </c>
      <c r="B603" t="str">
        <f>BIdetails!H606</f>
        <v>Accenture B.V.</v>
      </c>
      <c r="C603" t="str">
        <f>BIdetails!J606</f>
        <v>5401088459</v>
      </c>
      <c r="D603" t="str">
        <f>BIdetails!K606</f>
        <v>260</v>
      </c>
      <c r="E603" s="158">
        <f>BIdetails!M606</f>
        <v>10000</v>
      </c>
      <c r="F603" t="str">
        <f>IF(ISERROR(IF(OR(C603="#",C603=0),"",VLOOKUP(C603,'AOP25'!M:M,1,0))),"Not Found",VLOOKUP(C603,'AOP25'!M:M,1,0))</f>
        <v>Not Found</v>
      </c>
      <c r="G603" t="e">
        <f t="shared" si="9"/>
        <v>#N/A</v>
      </c>
    </row>
    <row r="604" spans="1:7" hidden="1" x14ac:dyDescent="0.25">
      <c r="A604" t="str">
        <f>BIdetails!G607</f>
        <v>187516</v>
      </c>
      <c r="B604" t="str">
        <f>BIdetails!H607</f>
        <v>Accenture B.V.</v>
      </c>
      <c r="C604" t="str">
        <f>BIdetails!J607</f>
        <v>5401094867</v>
      </c>
      <c r="D604" t="str">
        <f>BIdetails!K607</f>
        <v>10</v>
      </c>
      <c r="E604" s="158">
        <f>BIdetails!M607</f>
        <v>8010</v>
      </c>
      <c r="F604" t="str">
        <f>IF(ISERROR(IF(OR(C604="#",C604=0),"",VLOOKUP(C604,'AOP25'!M:M,1,0))),"Not Found",VLOOKUP(C604,'AOP25'!M:M,1,0))</f>
        <v>Not Found</v>
      </c>
      <c r="G604" t="e">
        <f t="shared" si="9"/>
        <v>#N/A</v>
      </c>
    </row>
    <row r="605" spans="1:7" hidden="1" x14ac:dyDescent="0.25">
      <c r="A605" t="str">
        <f>BIdetails!G608</f>
        <v>187516</v>
      </c>
      <c r="B605" t="str">
        <f>BIdetails!H608</f>
        <v>Accenture B.V.</v>
      </c>
      <c r="C605" t="str">
        <f>BIdetails!J608</f>
        <v>5401094857</v>
      </c>
      <c r="D605" t="str">
        <f>BIdetails!K608</f>
        <v>10</v>
      </c>
      <c r="E605" s="158">
        <f>BIdetails!M608</f>
        <v>-7284.42</v>
      </c>
      <c r="F605" t="str">
        <f>IF(ISERROR(IF(OR(C605="#",C605=0),"",VLOOKUP(C605,'AOP25'!M:M,1,0))),"Not Found",VLOOKUP(C605,'AOP25'!M:M,1,0))</f>
        <v>Not Found</v>
      </c>
      <c r="G605" t="e">
        <f t="shared" si="9"/>
        <v>#N/A</v>
      </c>
    </row>
    <row r="606" spans="1:7" hidden="1" x14ac:dyDescent="0.25">
      <c r="A606" t="str">
        <f>BIdetails!G609</f>
        <v>187516</v>
      </c>
      <c r="B606" t="str">
        <f>BIdetails!H609</f>
        <v>Accenture B.V.</v>
      </c>
      <c r="C606" t="str">
        <f>BIdetails!J609</f>
        <v>5401094857</v>
      </c>
      <c r="D606" t="str">
        <f>BIdetails!K609</f>
        <v>10</v>
      </c>
      <c r="E606" s="158">
        <f>BIdetails!M609</f>
        <v>6291.09</v>
      </c>
      <c r="F606" t="str">
        <f>IF(ISERROR(IF(OR(C606="#",C606=0),"",VLOOKUP(C606,'AOP25'!M:M,1,0))),"Not Found",VLOOKUP(C606,'AOP25'!M:M,1,0))</f>
        <v>Not Found</v>
      </c>
      <c r="G606" t="e">
        <f t="shared" si="9"/>
        <v>#N/A</v>
      </c>
    </row>
    <row r="607" spans="1:7" hidden="1" x14ac:dyDescent="0.25">
      <c r="A607" t="str">
        <f>BIdetails!G610</f>
        <v>187516</v>
      </c>
      <c r="B607" t="str">
        <f>BIdetails!H610</f>
        <v>Accenture B.V.</v>
      </c>
      <c r="C607" t="str">
        <f>BIdetails!J610</f>
        <v>5401088459</v>
      </c>
      <c r="D607" t="str">
        <f>BIdetails!K610</f>
        <v>270</v>
      </c>
      <c r="E607" s="158">
        <f>BIdetails!M610</f>
        <v>9500</v>
      </c>
      <c r="F607" t="str">
        <f>IF(ISERROR(IF(OR(C607="#",C607=0),"",VLOOKUP(C607,'AOP25'!M:M,1,0))),"Not Found",VLOOKUP(C607,'AOP25'!M:M,1,0))</f>
        <v>Not Found</v>
      </c>
      <c r="G607" t="e">
        <f t="shared" si="9"/>
        <v>#N/A</v>
      </c>
    </row>
    <row r="608" spans="1:7" hidden="1" x14ac:dyDescent="0.25">
      <c r="A608" t="str">
        <f>BIdetails!G611</f>
        <v>187516</v>
      </c>
      <c r="B608" t="str">
        <f>BIdetails!H611</f>
        <v>Accenture B.V.</v>
      </c>
      <c r="C608" t="str">
        <f>BIdetails!J611</f>
        <v>5400877269</v>
      </c>
      <c r="D608" t="str">
        <f>BIdetails!K611</f>
        <v>40</v>
      </c>
      <c r="E608" s="158">
        <f>BIdetails!M611</f>
        <v>2787.43</v>
      </c>
      <c r="F608" t="str">
        <f>IF(ISERROR(IF(OR(C608="#",C608=0),"",VLOOKUP(C608,'AOP25'!M:M,1,0))),"Not Found",VLOOKUP(C608,'AOP25'!M:M,1,0))</f>
        <v>Not Found</v>
      </c>
      <c r="G608" t="e">
        <f t="shared" si="9"/>
        <v>#N/A</v>
      </c>
    </row>
    <row r="609" spans="1:7" hidden="1" x14ac:dyDescent="0.25">
      <c r="A609" t="str">
        <f>BIdetails!G612</f>
        <v>187516</v>
      </c>
      <c r="B609" t="str">
        <f>BIdetails!H612</f>
        <v>Accenture B.V.</v>
      </c>
      <c r="C609" t="str">
        <f>BIdetails!J612</f>
        <v>5401023508</v>
      </c>
      <c r="D609" t="str">
        <f>BIdetails!K612</f>
        <v>30</v>
      </c>
      <c r="E609" s="158">
        <f>BIdetails!M612</f>
        <v>-23240</v>
      </c>
      <c r="F609" t="str">
        <f>IF(ISERROR(IF(OR(C609="#",C609=0),"",VLOOKUP(C609,'AOP25'!M:M,1,0))),"Not Found",VLOOKUP(C609,'AOP25'!M:M,1,0))</f>
        <v>Not Found</v>
      </c>
      <c r="G609" t="e">
        <f t="shared" si="9"/>
        <v>#N/A</v>
      </c>
    </row>
    <row r="610" spans="1:7" hidden="1" x14ac:dyDescent="0.25">
      <c r="A610" t="str">
        <f>BIdetails!G613</f>
        <v>187516</v>
      </c>
      <c r="B610" t="str">
        <f>BIdetails!H613</f>
        <v>Accenture B.V.</v>
      </c>
      <c r="C610" t="str">
        <f>BIdetails!J613</f>
        <v>5401023508</v>
      </c>
      <c r="D610" t="str">
        <f>BIdetails!K613</f>
        <v>30</v>
      </c>
      <c r="E610" s="158">
        <f>BIdetails!M613</f>
        <v>-15000</v>
      </c>
      <c r="F610" t="str">
        <f>IF(ISERROR(IF(OR(C610="#",C610=0),"",VLOOKUP(C610,'AOP25'!M:M,1,0))),"Not Found",VLOOKUP(C610,'AOP25'!M:M,1,0))</f>
        <v>Not Found</v>
      </c>
      <c r="G610" t="e">
        <f t="shared" si="9"/>
        <v>#N/A</v>
      </c>
    </row>
    <row r="611" spans="1:7" hidden="1" x14ac:dyDescent="0.25">
      <c r="A611" t="str">
        <f>BIdetails!G614</f>
        <v>187516</v>
      </c>
      <c r="B611" t="str">
        <f>BIdetails!H614</f>
        <v>Accenture B.V.</v>
      </c>
      <c r="C611" t="str">
        <f>BIdetails!J614</f>
        <v>5401023508</v>
      </c>
      <c r="D611" t="str">
        <f>BIdetails!K614</f>
        <v>220</v>
      </c>
      <c r="E611" s="158">
        <f>BIdetails!M614</f>
        <v>-4297.8599999999997</v>
      </c>
      <c r="F611" t="str">
        <f>IF(ISERROR(IF(OR(C611="#",C611=0),"",VLOOKUP(C611,'AOP25'!M:M,1,0))),"Not Found",VLOOKUP(C611,'AOP25'!M:M,1,0))</f>
        <v>Not Found</v>
      </c>
      <c r="G611" t="e">
        <f t="shared" si="9"/>
        <v>#N/A</v>
      </c>
    </row>
    <row r="612" spans="1:7" hidden="1" x14ac:dyDescent="0.25">
      <c r="A612" t="str">
        <f>BIdetails!G615</f>
        <v>187516</v>
      </c>
      <c r="B612" t="str">
        <f>BIdetails!H615</f>
        <v>Accenture B.V.</v>
      </c>
      <c r="C612" t="str">
        <f>BIdetails!J615</f>
        <v>5401023508</v>
      </c>
      <c r="D612" t="str">
        <f>BIdetails!K615</f>
        <v>230</v>
      </c>
      <c r="E612" s="158">
        <f>BIdetails!M615</f>
        <v>-5130</v>
      </c>
      <c r="F612" t="str">
        <f>IF(ISERROR(IF(OR(C612="#",C612=0),"",VLOOKUP(C612,'AOP25'!M:M,1,0))),"Not Found",VLOOKUP(C612,'AOP25'!M:M,1,0))</f>
        <v>Not Found</v>
      </c>
      <c r="G612" t="e">
        <f t="shared" si="9"/>
        <v>#N/A</v>
      </c>
    </row>
    <row r="613" spans="1:7" hidden="1" x14ac:dyDescent="0.25">
      <c r="A613" t="str">
        <f>BIdetails!G616</f>
        <v>187516</v>
      </c>
      <c r="B613" t="str">
        <f>BIdetails!H616</f>
        <v>Accenture B.V.</v>
      </c>
      <c r="C613" t="str">
        <f>BIdetails!J616</f>
        <v>5401023508</v>
      </c>
      <c r="D613" t="str">
        <f>BIdetails!K616</f>
        <v>240</v>
      </c>
      <c r="E613" s="158">
        <f>BIdetails!M616</f>
        <v>-2200.84</v>
      </c>
      <c r="F613" t="str">
        <f>IF(ISERROR(IF(OR(C613="#",C613=0),"",VLOOKUP(C613,'AOP25'!M:M,1,0))),"Not Found",VLOOKUP(C613,'AOP25'!M:M,1,0))</f>
        <v>Not Found</v>
      </c>
      <c r="G613" t="e">
        <f t="shared" si="9"/>
        <v>#N/A</v>
      </c>
    </row>
    <row r="614" spans="1:7" hidden="1" x14ac:dyDescent="0.25">
      <c r="A614" t="str">
        <f>BIdetails!G617</f>
        <v>187516</v>
      </c>
      <c r="B614" t="str">
        <f>BIdetails!H617</f>
        <v>Accenture B.V.</v>
      </c>
      <c r="C614" t="str">
        <f>BIdetails!J617</f>
        <v>5401023508</v>
      </c>
      <c r="D614" t="str">
        <f>BIdetails!K617</f>
        <v>210</v>
      </c>
      <c r="E614" s="158">
        <f>BIdetails!M617</f>
        <v>-7045.71</v>
      </c>
      <c r="F614" t="str">
        <f>IF(ISERROR(IF(OR(C614="#",C614=0),"",VLOOKUP(C614,'AOP25'!M:M,1,0))),"Not Found",VLOOKUP(C614,'AOP25'!M:M,1,0))</f>
        <v>Not Found</v>
      </c>
      <c r="G614" t="e">
        <f t="shared" si="9"/>
        <v>#N/A</v>
      </c>
    </row>
    <row r="615" spans="1:7" hidden="1" x14ac:dyDescent="0.25">
      <c r="A615" t="str">
        <f>BIdetails!G618</f>
        <v>187516</v>
      </c>
      <c r="B615" t="str">
        <f>BIdetails!H618</f>
        <v>Accenture B.V.</v>
      </c>
      <c r="C615" t="str">
        <f>BIdetails!J618</f>
        <v>5401046469</v>
      </c>
      <c r="D615" t="str">
        <f>BIdetails!K618</f>
        <v>10</v>
      </c>
      <c r="E615" s="158">
        <f>BIdetails!M618</f>
        <v>-6150</v>
      </c>
      <c r="F615" t="str">
        <f>IF(ISERROR(IF(OR(C615="#",C615=0),"",VLOOKUP(C615,'AOP25'!M:M,1,0))),"Not Found",VLOOKUP(C615,'AOP25'!M:M,1,0))</f>
        <v>Not Found</v>
      </c>
      <c r="G615" t="e">
        <f t="shared" si="9"/>
        <v>#N/A</v>
      </c>
    </row>
    <row r="616" spans="1:7" hidden="1" x14ac:dyDescent="0.25">
      <c r="A616" t="str">
        <f>BIdetails!G619</f>
        <v>187516</v>
      </c>
      <c r="B616" t="str">
        <f>BIdetails!H619</f>
        <v>Accenture B.V.</v>
      </c>
      <c r="C616" t="str">
        <f>BIdetails!J619</f>
        <v>5400836551</v>
      </c>
      <c r="D616" t="str">
        <f>BIdetails!K619</f>
        <v>20</v>
      </c>
      <c r="E616" s="158">
        <f>BIdetails!M619</f>
        <v>1875</v>
      </c>
      <c r="F616" t="str">
        <f>IF(ISERROR(IF(OR(C616="#",C616=0),"",VLOOKUP(C616,'AOP25'!M:M,1,0))),"Not Found",VLOOKUP(C616,'AOP25'!M:M,1,0))</f>
        <v>Not Found</v>
      </c>
      <c r="G616" t="e">
        <f t="shared" si="9"/>
        <v>#N/A</v>
      </c>
    </row>
    <row r="617" spans="1:7" hidden="1" x14ac:dyDescent="0.25">
      <c r="A617" t="str">
        <f>BIdetails!G620</f>
        <v>187516</v>
      </c>
      <c r="B617" t="str">
        <f>BIdetails!H620</f>
        <v>Accenture B.V.</v>
      </c>
      <c r="C617" t="str">
        <f>BIdetails!J620</f>
        <v>5400853128</v>
      </c>
      <c r="D617" t="str">
        <f>BIdetails!K620</f>
        <v>10</v>
      </c>
      <c r="E617" s="158">
        <f>BIdetails!M620</f>
        <v>45333</v>
      </c>
      <c r="F617" t="str">
        <f>IF(ISERROR(IF(OR(C617="#",C617=0),"",VLOOKUP(C617,'AOP25'!M:M,1,0))),"Not Found",VLOOKUP(C617,'AOP25'!M:M,1,0))</f>
        <v>Not Found</v>
      </c>
      <c r="G617" t="e">
        <f t="shared" si="9"/>
        <v>#N/A</v>
      </c>
    </row>
    <row r="618" spans="1:7" hidden="1" x14ac:dyDescent="0.25">
      <c r="A618" t="str">
        <f>BIdetails!G621</f>
        <v>187516</v>
      </c>
      <c r="B618" t="str">
        <f>BIdetails!H621</f>
        <v>Accenture B.V.</v>
      </c>
      <c r="C618" t="str">
        <f>BIdetails!J621</f>
        <v>5400980360</v>
      </c>
      <c r="D618" t="str">
        <f>BIdetails!K621</f>
        <v>10</v>
      </c>
      <c r="E618" s="158">
        <f>BIdetails!M621</f>
        <v>10000</v>
      </c>
      <c r="F618" t="str">
        <f>IF(ISERROR(IF(OR(C618="#",C618=0),"",VLOOKUP(C618,'AOP25'!M:M,1,0))),"Not Found",VLOOKUP(C618,'AOP25'!M:M,1,0))</f>
        <v>Not Found</v>
      </c>
      <c r="G618" t="e">
        <f t="shared" si="9"/>
        <v>#N/A</v>
      </c>
    </row>
    <row r="619" spans="1:7" hidden="1" x14ac:dyDescent="0.25">
      <c r="A619" t="str">
        <f>BIdetails!G622</f>
        <v>187516</v>
      </c>
      <c r="B619" t="str">
        <f>BIdetails!H622</f>
        <v>Accenture B.V.</v>
      </c>
      <c r="C619" t="str">
        <f>BIdetails!J622</f>
        <v>5401001779</v>
      </c>
      <c r="D619" t="str">
        <f>BIdetails!K622</f>
        <v>40</v>
      </c>
      <c r="E619" s="158">
        <f>BIdetails!M622</f>
        <v>16100</v>
      </c>
      <c r="F619" t="str">
        <f>IF(ISERROR(IF(OR(C619="#",C619=0),"",VLOOKUP(C619,'AOP25'!M:M,1,0))),"Not Found",VLOOKUP(C619,'AOP25'!M:M,1,0))</f>
        <v>Not Found</v>
      </c>
      <c r="G619" t="e">
        <f t="shared" si="9"/>
        <v>#N/A</v>
      </c>
    </row>
    <row r="620" spans="1:7" hidden="1" x14ac:dyDescent="0.25">
      <c r="A620" t="str">
        <f>BIdetails!G623</f>
        <v>187516</v>
      </c>
      <c r="B620" t="str">
        <f>BIdetails!H623</f>
        <v>Accenture B.V.</v>
      </c>
      <c r="C620" t="str">
        <f>BIdetails!J623</f>
        <v>5401082177</v>
      </c>
      <c r="D620" t="str">
        <f>BIdetails!K623</f>
        <v>10</v>
      </c>
      <c r="E620" s="158">
        <f>BIdetails!M623</f>
        <v>884</v>
      </c>
      <c r="F620" t="str">
        <f>IF(ISERROR(IF(OR(C620="#",C620=0),"",VLOOKUP(C620,'AOP25'!M:M,1,0))),"Not Found",VLOOKUP(C620,'AOP25'!M:M,1,0))</f>
        <v>Not Found</v>
      </c>
      <c r="G620" t="e">
        <f t="shared" si="9"/>
        <v>#N/A</v>
      </c>
    </row>
    <row r="621" spans="1:7" hidden="1" x14ac:dyDescent="0.25">
      <c r="A621" t="str">
        <f>BIdetails!G624</f>
        <v>187516</v>
      </c>
      <c r="B621" t="str">
        <f>BIdetails!H624</f>
        <v>Accenture B.V.</v>
      </c>
      <c r="C621" t="str">
        <f>BIdetails!J624</f>
        <v>5401082177</v>
      </c>
      <c r="D621" t="str">
        <f>BIdetails!K624</f>
        <v>10</v>
      </c>
      <c r="E621" s="158">
        <f>BIdetails!M624</f>
        <v>15000</v>
      </c>
      <c r="F621" t="str">
        <f>IF(ISERROR(IF(OR(C621="#",C621=0),"",VLOOKUP(C621,'AOP25'!M:M,1,0))),"Not Found",VLOOKUP(C621,'AOP25'!M:M,1,0))</f>
        <v>Not Found</v>
      </c>
      <c r="G621" t="e">
        <f t="shared" si="9"/>
        <v>#N/A</v>
      </c>
    </row>
    <row r="622" spans="1:7" hidden="1" x14ac:dyDescent="0.25">
      <c r="A622" t="str">
        <f>BIdetails!G625</f>
        <v>187516</v>
      </c>
      <c r="B622" t="str">
        <f>BIdetails!H625</f>
        <v>Accenture B.V.</v>
      </c>
      <c r="C622" t="str">
        <f>BIdetails!J625</f>
        <v>5401045581</v>
      </c>
      <c r="D622" t="str">
        <f>BIdetails!K625</f>
        <v>10</v>
      </c>
      <c r="E622" s="158">
        <f>BIdetails!M625</f>
        <v>-10000</v>
      </c>
      <c r="F622" t="str">
        <f>IF(ISERROR(IF(OR(C622="#",C622=0),"",VLOOKUP(C622,'AOP25'!M:M,1,0))),"Not Found",VLOOKUP(C622,'AOP25'!M:M,1,0))</f>
        <v>Not Found</v>
      </c>
      <c r="G622" t="e">
        <f t="shared" si="9"/>
        <v>#N/A</v>
      </c>
    </row>
    <row r="623" spans="1:7" hidden="1" x14ac:dyDescent="0.25">
      <c r="A623" t="str">
        <f>BIdetails!G626</f>
        <v>187516</v>
      </c>
      <c r="B623" t="str">
        <f>BIdetails!H626</f>
        <v>Accenture B.V.</v>
      </c>
      <c r="C623" t="str">
        <f>BIdetails!J626</f>
        <v>5401088459</v>
      </c>
      <c r="D623" t="str">
        <f>BIdetails!K626</f>
        <v>10</v>
      </c>
      <c r="E623" s="158">
        <f>BIdetails!M626</f>
        <v>28177.5</v>
      </c>
      <c r="F623" t="str">
        <f>IF(ISERROR(IF(OR(C623="#",C623=0),"",VLOOKUP(C623,'AOP25'!M:M,1,0))),"Not Found",VLOOKUP(C623,'AOP25'!M:M,1,0))</f>
        <v>Not Found</v>
      </c>
      <c r="G623" t="e">
        <f t="shared" si="9"/>
        <v>#N/A</v>
      </c>
    </row>
    <row r="624" spans="1:7" hidden="1" x14ac:dyDescent="0.25">
      <c r="A624" t="str">
        <f>BIdetails!G627</f>
        <v>187516</v>
      </c>
      <c r="B624" t="str">
        <f>BIdetails!H627</f>
        <v>Accenture B.V.</v>
      </c>
      <c r="C624" t="str">
        <f>BIdetails!J627</f>
        <v>5401088459</v>
      </c>
      <c r="D624" t="str">
        <f>BIdetails!K627</f>
        <v>20</v>
      </c>
      <c r="E624" s="158">
        <f>BIdetails!M627</f>
        <v>3892</v>
      </c>
      <c r="F624" t="str">
        <f>IF(ISERROR(IF(OR(C624="#",C624=0),"",VLOOKUP(C624,'AOP25'!M:M,1,0))),"Not Found",VLOOKUP(C624,'AOP25'!M:M,1,0))</f>
        <v>Not Found</v>
      </c>
      <c r="G624" t="e">
        <f t="shared" si="9"/>
        <v>#N/A</v>
      </c>
    </row>
    <row r="625" spans="1:7" hidden="1" x14ac:dyDescent="0.25">
      <c r="A625" t="str">
        <f>BIdetails!G628</f>
        <v>187516</v>
      </c>
      <c r="B625" t="str">
        <f>BIdetails!H628</f>
        <v>Accenture B.V.</v>
      </c>
      <c r="C625" t="str">
        <f>BIdetails!J628</f>
        <v>5401088459</v>
      </c>
      <c r="D625" t="str">
        <f>BIdetails!K628</f>
        <v>30</v>
      </c>
      <c r="E625" s="158">
        <f>BIdetails!M628</f>
        <v>33330.92</v>
      </c>
      <c r="F625" t="str">
        <f>IF(ISERROR(IF(OR(C625="#",C625=0),"",VLOOKUP(C625,'AOP25'!M:M,1,0))),"Not Found",VLOOKUP(C625,'AOP25'!M:M,1,0))</f>
        <v>Not Found</v>
      </c>
      <c r="G625" t="e">
        <f t="shared" si="9"/>
        <v>#N/A</v>
      </c>
    </row>
    <row r="626" spans="1:7" hidden="1" x14ac:dyDescent="0.25">
      <c r="A626" t="str">
        <f>BIdetails!G629</f>
        <v>187516</v>
      </c>
      <c r="B626" t="str">
        <f>BIdetails!H629</f>
        <v>Accenture B.V.</v>
      </c>
      <c r="C626" t="str">
        <f>BIdetails!J629</f>
        <v>5401088459</v>
      </c>
      <c r="D626" t="str">
        <f>BIdetails!K629</f>
        <v>40</v>
      </c>
      <c r="E626" s="158">
        <f>BIdetails!M629</f>
        <v>4726.33</v>
      </c>
      <c r="F626" t="str">
        <f>IF(ISERROR(IF(OR(C626="#",C626=0),"",VLOOKUP(C626,'AOP25'!M:M,1,0))),"Not Found",VLOOKUP(C626,'AOP25'!M:M,1,0))</f>
        <v>Not Found</v>
      </c>
      <c r="G626" t="e">
        <f t="shared" si="9"/>
        <v>#N/A</v>
      </c>
    </row>
    <row r="627" spans="1:7" hidden="1" x14ac:dyDescent="0.25">
      <c r="A627" t="str">
        <f>BIdetails!G630</f>
        <v>187516</v>
      </c>
      <c r="B627" t="str">
        <f>BIdetails!H630</f>
        <v>Accenture B.V.</v>
      </c>
      <c r="C627" t="str">
        <f>BIdetails!J630</f>
        <v>5401088459</v>
      </c>
      <c r="D627" t="str">
        <f>BIdetails!K630</f>
        <v>50</v>
      </c>
      <c r="E627" s="158">
        <f>BIdetails!M630</f>
        <v>64683.17</v>
      </c>
      <c r="F627" t="str">
        <f>IF(ISERROR(IF(OR(C627="#",C627=0),"",VLOOKUP(C627,'AOP25'!M:M,1,0))),"Not Found",VLOOKUP(C627,'AOP25'!M:M,1,0))</f>
        <v>Not Found</v>
      </c>
      <c r="G627" t="e">
        <f t="shared" si="9"/>
        <v>#N/A</v>
      </c>
    </row>
    <row r="628" spans="1:7" hidden="1" x14ac:dyDescent="0.25">
      <c r="A628" t="str">
        <f>BIdetails!G631</f>
        <v>187516</v>
      </c>
      <c r="B628" t="str">
        <f>BIdetails!H631</f>
        <v>Accenture B.V.</v>
      </c>
      <c r="C628" t="str">
        <f>BIdetails!J631</f>
        <v>5401088459</v>
      </c>
      <c r="D628" t="str">
        <f>BIdetails!K631</f>
        <v>60</v>
      </c>
      <c r="E628" s="158">
        <f>BIdetails!M631</f>
        <v>6131</v>
      </c>
      <c r="F628" t="str">
        <f>IF(ISERROR(IF(OR(C628="#",C628=0),"",VLOOKUP(C628,'AOP25'!M:M,1,0))),"Not Found",VLOOKUP(C628,'AOP25'!M:M,1,0))</f>
        <v>Not Found</v>
      </c>
      <c r="G628" t="e">
        <f t="shared" si="9"/>
        <v>#N/A</v>
      </c>
    </row>
    <row r="629" spans="1:7" x14ac:dyDescent="0.25">
      <c r="A629" t="str">
        <f>BIdetails!G632</f>
        <v>187516</v>
      </c>
      <c r="B629" t="str">
        <f>BIdetails!H632</f>
        <v>Accenture B.V.</v>
      </c>
      <c r="C629" t="str">
        <f>BIdetails!J632</f>
        <v>5401088459</v>
      </c>
      <c r="D629" t="str">
        <f>BIdetails!K632</f>
        <v>70</v>
      </c>
      <c r="E629" s="158">
        <f>BIdetails!M632</f>
        <v>12262</v>
      </c>
      <c r="F629" t="str">
        <f>IF(ISERROR(IF(OR(C629="#",C629=0),"",VLOOKUP(C629,'AOP25'!M:M,1,0))),"Not Found",VLOOKUP(C629,'AOP25'!M:M,1,0))</f>
        <v>Not Found</v>
      </c>
      <c r="G629" t="e">
        <f t="shared" si="9"/>
        <v>#N/A</v>
      </c>
    </row>
    <row r="630" spans="1:7" x14ac:dyDescent="0.25">
      <c r="A630" t="str">
        <f>BIdetails!G633</f>
        <v>187516</v>
      </c>
      <c r="B630" t="str">
        <f>BIdetails!H633</f>
        <v>Accenture B.V.</v>
      </c>
      <c r="C630" t="str">
        <f>BIdetails!J633</f>
        <v>5401088459</v>
      </c>
      <c r="D630" t="str">
        <f>BIdetails!K633</f>
        <v>80</v>
      </c>
      <c r="E630" s="158">
        <f>BIdetails!M633</f>
        <v>62652.69</v>
      </c>
      <c r="F630" t="str">
        <f>IF(ISERROR(IF(OR(C630="#",C630=0),"",VLOOKUP(C630,'AOP25'!M:M,1,0))),"Not Found",VLOOKUP(C630,'AOP25'!M:M,1,0))</f>
        <v>Not Found</v>
      </c>
      <c r="G630" t="e">
        <f t="shared" si="9"/>
        <v>#N/A</v>
      </c>
    </row>
    <row r="631" spans="1:7" x14ac:dyDescent="0.25">
      <c r="A631" t="str">
        <f>BIdetails!G634</f>
        <v>187516</v>
      </c>
      <c r="B631" t="str">
        <f>BIdetails!H634</f>
        <v>Accenture B.V.</v>
      </c>
      <c r="C631" t="str">
        <f>BIdetails!J634</f>
        <v>5401088459</v>
      </c>
      <c r="D631" t="str">
        <f>BIdetails!K634</f>
        <v>90</v>
      </c>
      <c r="E631" s="158">
        <f>BIdetails!M634</f>
        <v>37055.82</v>
      </c>
      <c r="F631" t="str">
        <f>IF(ISERROR(IF(OR(C631="#",C631=0),"",VLOOKUP(C631,'AOP25'!M:M,1,0))),"Not Found",VLOOKUP(C631,'AOP25'!M:M,1,0))</f>
        <v>Not Found</v>
      </c>
      <c r="G631" t="e">
        <f t="shared" si="9"/>
        <v>#N/A</v>
      </c>
    </row>
    <row r="632" spans="1:7" hidden="1" x14ac:dyDescent="0.25">
      <c r="A632" t="str">
        <f>BIdetails!G635</f>
        <v>187516</v>
      </c>
      <c r="B632" t="str">
        <f>BIdetails!H635</f>
        <v>Accenture B.V.</v>
      </c>
      <c r="C632" t="str">
        <f>BIdetails!J635</f>
        <v>5401088459</v>
      </c>
      <c r="D632" t="str">
        <f>BIdetails!K635</f>
        <v>110</v>
      </c>
      <c r="E632" s="158">
        <f>BIdetails!M635</f>
        <v>5833.33</v>
      </c>
      <c r="F632" t="str">
        <f>IF(ISERROR(IF(OR(C632="#",C632=0),"",VLOOKUP(C632,'AOP25'!M:M,1,0))),"Not Found",VLOOKUP(C632,'AOP25'!M:M,1,0))</f>
        <v>Not Found</v>
      </c>
      <c r="G632" t="e">
        <f t="shared" si="9"/>
        <v>#N/A</v>
      </c>
    </row>
    <row r="633" spans="1:7" x14ac:dyDescent="0.25">
      <c r="A633" t="str">
        <f>BIdetails!G636</f>
        <v>187516</v>
      </c>
      <c r="B633" t="str">
        <f>BIdetails!H636</f>
        <v>Accenture B.V.</v>
      </c>
      <c r="C633" t="str">
        <f>BIdetails!J636</f>
        <v>5401088459</v>
      </c>
      <c r="D633" t="str">
        <f>BIdetails!K636</f>
        <v>120</v>
      </c>
      <c r="E633" s="158">
        <f>BIdetails!M636</f>
        <v>5250</v>
      </c>
      <c r="F633" t="str">
        <f>IF(ISERROR(IF(OR(C633="#",C633=0),"",VLOOKUP(C633,'AOP25'!M:M,1,0))),"Not Found",VLOOKUP(C633,'AOP25'!M:M,1,0))</f>
        <v>Not Found</v>
      </c>
      <c r="G633" t="e">
        <f t="shared" si="9"/>
        <v>#N/A</v>
      </c>
    </row>
    <row r="634" spans="1:7" x14ac:dyDescent="0.25">
      <c r="A634" t="str">
        <f>BIdetails!G637</f>
        <v>187516</v>
      </c>
      <c r="B634" t="str">
        <f>BIdetails!H637</f>
        <v>Accenture B.V.</v>
      </c>
      <c r="C634" t="str">
        <f>BIdetails!J637</f>
        <v>5401088459</v>
      </c>
      <c r="D634" t="str">
        <f>BIdetails!K637</f>
        <v>130</v>
      </c>
      <c r="E634" s="158">
        <f>BIdetails!M637</f>
        <v>14839.58</v>
      </c>
      <c r="F634" t="str">
        <f>IF(ISERROR(IF(OR(C634="#",C634=0),"",VLOOKUP(C634,'AOP25'!M:M,1,0))),"Not Found",VLOOKUP(C634,'AOP25'!M:M,1,0))</f>
        <v>Not Found</v>
      </c>
      <c r="G634" t="e">
        <f t="shared" ref="G634:G697" si="10">IF(NOT(ISERROR(VLOOKUP(C634,$K$2:$K$50,1,0))),"Y",VLOOKUP(C634,$K$2:$K$50,1,0))</f>
        <v>#N/A</v>
      </c>
    </row>
    <row r="635" spans="1:7" hidden="1" x14ac:dyDescent="0.25">
      <c r="A635" t="str">
        <f>BIdetails!G638</f>
        <v>187516</v>
      </c>
      <c r="B635" t="str">
        <f>BIdetails!H638</f>
        <v>Accenture B.V.</v>
      </c>
      <c r="C635" t="str">
        <f>BIdetails!J638</f>
        <v>5401088459</v>
      </c>
      <c r="D635" t="str">
        <f>BIdetails!K638</f>
        <v>150</v>
      </c>
      <c r="E635" s="158">
        <f>BIdetails!M638</f>
        <v>7071.33</v>
      </c>
      <c r="F635" t="str">
        <f>IF(ISERROR(IF(OR(C635="#",C635=0),"",VLOOKUP(C635,'AOP25'!M:M,1,0))),"Not Found",VLOOKUP(C635,'AOP25'!M:M,1,0))</f>
        <v>Not Found</v>
      </c>
      <c r="G635" t="e">
        <f t="shared" si="10"/>
        <v>#N/A</v>
      </c>
    </row>
    <row r="636" spans="1:7" hidden="1" x14ac:dyDescent="0.25">
      <c r="A636" t="str">
        <f>BIdetails!G639</f>
        <v>187516</v>
      </c>
      <c r="B636" t="str">
        <f>BIdetails!H639</f>
        <v>Accenture B.V.</v>
      </c>
      <c r="C636" t="str">
        <f>BIdetails!J639</f>
        <v>5401088459</v>
      </c>
      <c r="D636" t="str">
        <f>BIdetails!K639</f>
        <v>160</v>
      </c>
      <c r="E636" s="158">
        <f>BIdetails!M639</f>
        <v>9979.5</v>
      </c>
      <c r="F636" t="str">
        <f>IF(ISERROR(IF(OR(C636="#",C636=0),"",VLOOKUP(C636,'AOP25'!M:M,1,0))),"Not Found",VLOOKUP(C636,'AOP25'!M:M,1,0))</f>
        <v>Not Found</v>
      </c>
      <c r="G636" t="e">
        <f t="shared" si="10"/>
        <v>#N/A</v>
      </c>
    </row>
    <row r="637" spans="1:7" hidden="1" x14ac:dyDescent="0.25">
      <c r="A637" t="str">
        <f>BIdetails!G640</f>
        <v>187516</v>
      </c>
      <c r="B637" t="str">
        <f>BIdetails!H640</f>
        <v>Accenture B.V.</v>
      </c>
      <c r="C637" t="str">
        <f>BIdetails!J640</f>
        <v>5401088459</v>
      </c>
      <c r="D637" t="str">
        <f>BIdetails!K640</f>
        <v>170</v>
      </c>
      <c r="E637" s="158">
        <f>BIdetails!M640</f>
        <v>1319.25</v>
      </c>
      <c r="F637" t="str">
        <f>IF(ISERROR(IF(OR(C637="#",C637=0),"",VLOOKUP(C637,'AOP25'!M:M,1,0))),"Not Found",VLOOKUP(C637,'AOP25'!M:M,1,0))</f>
        <v>Not Found</v>
      </c>
      <c r="G637" t="e">
        <f t="shared" si="10"/>
        <v>#N/A</v>
      </c>
    </row>
    <row r="638" spans="1:7" hidden="1" x14ac:dyDescent="0.25">
      <c r="A638" t="str">
        <f>BIdetails!G641</f>
        <v>187516</v>
      </c>
      <c r="B638" t="str">
        <f>BIdetails!H641</f>
        <v>Accenture B.V.</v>
      </c>
      <c r="C638" t="str">
        <f>BIdetails!J641</f>
        <v>5401088459</v>
      </c>
      <c r="D638" t="str">
        <f>BIdetails!K641</f>
        <v>180</v>
      </c>
      <c r="E638" s="158">
        <f>BIdetails!M641</f>
        <v>6365.08</v>
      </c>
      <c r="F638" t="str">
        <f>IF(ISERROR(IF(OR(C638="#",C638=0),"",VLOOKUP(C638,'AOP25'!M:M,1,0))),"Not Found",VLOOKUP(C638,'AOP25'!M:M,1,0))</f>
        <v>Not Found</v>
      </c>
      <c r="G638" t="e">
        <f t="shared" si="10"/>
        <v>#N/A</v>
      </c>
    </row>
    <row r="639" spans="1:7" hidden="1" x14ac:dyDescent="0.25">
      <c r="A639" t="str">
        <f>BIdetails!G642</f>
        <v>187516</v>
      </c>
      <c r="B639" t="str">
        <f>BIdetails!H642</f>
        <v>Accenture B.V.</v>
      </c>
      <c r="C639" t="str">
        <f>BIdetails!J642</f>
        <v>5401088459</v>
      </c>
      <c r="D639" t="str">
        <f>BIdetails!K642</f>
        <v>190</v>
      </c>
      <c r="E639" s="158">
        <f>BIdetails!M642</f>
        <v>20670.240000000002</v>
      </c>
      <c r="F639" t="str">
        <f>IF(ISERROR(IF(OR(C639="#",C639=0),"",VLOOKUP(C639,'AOP25'!M:M,1,0))),"Not Found",VLOOKUP(C639,'AOP25'!M:M,1,0))</f>
        <v>Not Found</v>
      </c>
      <c r="G639" t="e">
        <f t="shared" si="10"/>
        <v>#N/A</v>
      </c>
    </row>
    <row r="640" spans="1:7" hidden="1" x14ac:dyDescent="0.25">
      <c r="A640" t="str">
        <f>BIdetails!G643</f>
        <v>187516</v>
      </c>
      <c r="B640" t="str">
        <f>BIdetails!H643</f>
        <v>Accenture B.V.</v>
      </c>
      <c r="C640" t="str">
        <f>BIdetails!J643</f>
        <v>5401088459</v>
      </c>
      <c r="D640" t="str">
        <f>BIdetails!K643</f>
        <v>200</v>
      </c>
      <c r="E640" s="158">
        <f>BIdetails!M643</f>
        <v>30542.38</v>
      </c>
      <c r="F640" t="str">
        <f>IF(ISERROR(IF(OR(C640="#",C640=0),"",VLOOKUP(C640,'AOP25'!M:M,1,0))),"Not Found",VLOOKUP(C640,'AOP25'!M:M,1,0))</f>
        <v>Not Found</v>
      </c>
      <c r="G640" t="e">
        <f t="shared" si="10"/>
        <v>#N/A</v>
      </c>
    </row>
    <row r="641" spans="1:7" x14ac:dyDescent="0.25">
      <c r="A641" t="str">
        <f>BIdetails!G644</f>
        <v>187516</v>
      </c>
      <c r="B641" t="str">
        <f>BIdetails!H644</f>
        <v>Accenture B.V.</v>
      </c>
      <c r="C641" t="str">
        <f>BIdetails!J644</f>
        <v>5401088459</v>
      </c>
      <c r="D641" t="str">
        <f>BIdetails!K644</f>
        <v>210</v>
      </c>
      <c r="E641" s="158">
        <f>BIdetails!M644</f>
        <v>27403.14</v>
      </c>
      <c r="F641" t="str">
        <f>IF(ISERROR(IF(OR(C641="#",C641=0),"",VLOOKUP(C641,'AOP25'!M:M,1,0))),"Not Found",VLOOKUP(C641,'AOP25'!M:M,1,0))</f>
        <v>Not Found</v>
      </c>
      <c r="G641" t="e">
        <f t="shared" si="10"/>
        <v>#N/A</v>
      </c>
    </row>
    <row r="642" spans="1:7" x14ac:dyDescent="0.25">
      <c r="A642" t="str">
        <f>BIdetails!G645</f>
        <v>187516</v>
      </c>
      <c r="B642" t="str">
        <f>BIdetails!H645</f>
        <v>Accenture B.V.</v>
      </c>
      <c r="C642" t="str">
        <f>BIdetails!J645</f>
        <v>5401088459</v>
      </c>
      <c r="D642" t="str">
        <f>BIdetails!K645</f>
        <v>220</v>
      </c>
      <c r="E642" s="158">
        <f>BIdetails!M645</f>
        <v>5923.44</v>
      </c>
      <c r="F642" t="str">
        <f>IF(ISERROR(IF(OR(C642="#",C642=0),"",VLOOKUP(C642,'AOP25'!M:M,1,0))),"Not Found",VLOOKUP(C642,'AOP25'!M:M,1,0))</f>
        <v>Not Found</v>
      </c>
      <c r="G642" t="e">
        <f t="shared" si="10"/>
        <v>#N/A</v>
      </c>
    </row>
    <row r="643" spans="1:7" x14ac:dyDescent="0.25">
      <c r="A643" t="str">
        <f>BIdetails!G646</f>
        <v>187516</v>
      </c>
      <c r="B643" t="str">
        <f>BIdetails!H646</f>
        <v>Accenture B.V.</v>
      </c>
      <c r="C643" t="str">
        <f>BIdetails!J646</f>
        <v>5401088459</v>
      </c>
      <c r="D643" t="str">
        <f>BIdetails!K646</f>
        <v>230</v>
      </c>
      <c r="E643" s="158">
        <f>BIdetails!M646</f>
        <v>3166.2</v>
      </c>
      <c r="F643" t="str">
        <f>IF(ISERROR(IF(OR(C643="#",C643=0),"",VLOOKUP(C643,'AOP25'!M:M,1,0))),"Not Found",VLOOKUP(C643,'AOP25'!M:M,1,0))</f>
        <v>Not Found</v>
      </c>
      <c r="G643" t="e">
        <f t="shared" si="10"/>
        <v>#N/A</v>
      </c>
    </row>
    <row r="644" spans="1:7" hidden="1" x14ac:dyDescent="0.25">
      <c r="A644" t="str">
        <f>BIdetails!G647</f>
        <v>187516</v>
      </c>
      <c r="B644" t="str">
        <f>BIdetails!H647</f>
        <v>Accenture B.V.</v>
      </c>
      <c r="C644" t="str">
        <f>BIdetails!J647</f>
        <v>5401088459</v>
      </c>
      <c r="D644" t="str">
        <f>BIdetails!K647</f>
        <v>240</v>
      </c>
      <c r="E644" s="158">
        <f>BIdetails!M647</f>
        <v>4870.8</v>
      </c>
      <c r="F644" t="str">
        <f>IF(ISERROR(IF(OR(C644="#",C644=0),"",VLOOKUP(C644,'AOP25'!M:M,1,0))),"Not Found",VLOOKUP(C644,'AOP25'!M:M,1,0))</f>
        <v>Not Found</v>
      </c>
      <c r="G644" t="e">
        <f t="shared" si="10"/>
        <v>#N/A</v>
      </c>
    </row>
    <row r="645" spans="1:7" x14ac:dyDescent="0.25">
      <c r="A645" t="str">
        <f>BIdetails!G648</f>
        <v>187516</v>
      </c>
      <c r="B645" t="str">
        <f>BIdetails!H648</f>
        <v>Accenture B.V.</v>
      </c>
      <c r="C645" t="str">
        <f>BIdetails!J648</f>
        <v>5401088459</v>
      </c>
      <c r="D645" t="str">
        <f>BIdetails!K648</f>
        <v>260</v>
      </c>
      <c r="E645" s="158">
        <f>BIdetails!M648</f>
        <v>10000</v>
      </c>
      <c r="F645" t="str">
        <f>IF(ISERROR(IF(OR(C645="#",C645=0),"",VLOOKUP(C645,'AOP25'!M:M,1,0))),"Not Found",VLOOKUP(C645,'AOP25'!M:M,1,0))</f>
        <v>Not Found</v>
      </c>
      <c r="G645" t="e">
        <f t="shared" si="10"/>
        <v>#N/A</v>
      </c>
    </row>
    <row r="646" spans="1:7" hidden="1" x14ac:dyDescent="0.25">
      <c r="A646" t="str">
        <f>BIdetails!G649</f>
        <v>187516</v>
      </c>
      <c r="B646" t="str">
        <f>BIdetails!H649</f>
        <v>Accenture B.V.</v>
      </c>
      <c r="C646" t="str">
        <f>BIdetails!J649</f>
        <v>5401088459</v>
      </c>
      <c r="D646" t="str">
        <f>BIdetails!K649</f>
        <v>270</v>
      </c>
      <c r="E646" s="158">
        <f>BIdetails!M649</f>
        <v>36120</v>
      </c>
      <c r="F646" t="str">
        <f>IF(ISERROR(IF(OR(C646="#",C646=0),"",VLOOKUP(C646,'AOP25'!M:M,1,0))),"Not Found",VLOOKUP(C646,'AOP25'!M:M,1,0))</f>
        <v>Not Found</v>
      </c>
      <c r="G646" t="e">
        <f t="shared" si="10"/>
        <v>#N/A</v>
      </c>
    </row>
    <row r="647" spans="1:7" hidden="1" x14ac:dyDescent="0.25">
      <c r="A647" t="str">
        <f>BIdetails!G650</f>
        <v>187516</v>
      </c>
      <c r="B647" t="str">
        <f>BIdetails!H650</f>
        <v>Accenture B.V.</v>
      </c>
      <c r="C647" t="str">
        <f>BIdetails!J650</f>
        <v>5400877269</v>
      </c>
      <c r="D647" t="str">
        <f>BIdetails!K650</f>
        <v>40</v>
      </c>
      <c r="E647" s="158">
        <f>BIdetails!M650</f>
        <v>2898.93</v>
      </c>
      <c r="F647" t="str">
        <f>IF(ISERROR(IF(OR(C647="#",C647=0),"",VLOOKUP(C647,'AOP25'!M:M,1,0))),"Not Found",VLOOKUP(C647,'AOP25'!M:M,1,0))</f>
        <v>Not Found</v>
      </c>
      <c r="G647" t="e">
        <f t="shared" si="10"/>
        <v>#N/A</v>
      </c>
    </row>
    <row r="648" spans="1:7" hidden="1" x14ac:dyDescent="0.25">
      <c r="A648" t="str">
        <f>BIdetails!G651</f>
        <v>187516</v>
      </c>
      <c r="B648" t="str">
        <f>BIdetails!H651</f>
        <v>Accenture B.V.</v>
      </c>
      <c r="C648" t="str">
        <f>BIdetails!J651</f>
        <v>5401099794</v>
      </c>
      <c r="D648" t="str">
        <f>BIdetails!K651</f>
        <v>10</v>
      </c>
      <c r="E648" s="158">
        <f>BIdetails!M651</f>
        <v>15000</v>
      </c>
      <c r="F648" t="str">
        <f>IF(ISERROR(IF(OR(C648="#",C648=0),"",VLOOKUP(C648,'AOP25'!M:M,1,0))),"Not Found",VLOOKUP(C648,'AOP25'!M:M,1,0))</f>
        <v>Not Found</v>
      </c>
      <c r="G648" t="e">
        <f t="shared" si="10"/>
        <v>#N/A</v>
      </c>
    </row>
    <row r="649" spans="1:7" hidden="1" x14ac:dyDescent="0.25">
      <c r="A649" t="str">
        <f>BIdetails!G652</f>
        <v>187516</v>
      </c>
      <c r="B649" t="str">
        <f>BIdetails!H652</f>
        <v>Accenture B.V.</v>
      </c>
      <c r="C649" t="str">
        <f>BIdetails!J652</f>
        <v>5401102219</v>
      </c>
      <c r="D649" t="str">
        <f>BIdetails!K652</f>
        <v>10</v>
      </c>
      <c r="E649" s="158">
        <f>BIdetails!M652</f>
        <v>16358.9</v>
      </c>
      <c r="F649" t="str">
        <f>IF(ISERROR(IF(OR(C649="#",C649=0),"",VLOOKUP(C649,'AOP25'!M:M,1,0))),"Not Found",VLOOKUP(C649,'AOP25'!M:M,1,0))</f>
        <v>Not Found</v>
      </c>
      <c r="G649" t="e">
        <f t="shared" si="10"/>
        <v>#N/A</v>
      </c>
    </row>
    <row r="650" spans="1:7" x14ac:dyDescent="0.25">
      <c r="A650" t="str">
        <f>BIdetails!G653</f>
        <v>187516</v>
      </c>
      <c r="B650" t="str">
        <f>BIdetails!H653</f>
        <v>Accenture B.V.</v>
      </c>
      <c r="C650" t="str">
        <f>BIdetails!J653</f>
        <v>5401100854</v>
      </c>
      <c r="D650" t="str">
        <f>BIdetails!K653</f>
        <v>10</v>
      </c>
      <c r="E650" s="158">
        <f>BIdetails!M653</f>
        <v>18285</v>
      </c>
      <c r="F650" t="str">
        <f>IF(ISERROR(IF(OR(C650="#",C650=0),"",VLOOKUP(C650,'AOP25'!M:M,1,0))),"Not Found",VLOOKUP(C650,'AOP25'!M:M,1,0))</f>
        <v>Not Found</v>
      </c>
      <c r="G650" t="e">
        <f t="shared" si="10"/>
        <v>#N/A</v>
      </c>
    </row>
    <row r="651" spans="1:7" x14ac:dyDescent="0.25">
      <c r="A651" t="str">
        <f>BIdetails!G654</f>
        <v>187516</v>
      </c>
      <c r="B651" t="str">
        <f>BIdetails!H654</f>
        <v>Accenture B.V.</v>
      </c>
      <c r="C651" t="str">
        <f>BIdetails!J654</f>
        <v>5400836551</v>
      </c>
      <c r="D651" t="str">
        <f>BIdetails!K654</f>
        <v>20</v>
      </c>
      <c r="E651" s="158">
        <f>BIdetails!M654</f>
        <v>1875</v>
      </c>
      <c r="F651" t="str">
        <f>IF(ISERROR(IF(OR(C651="#",C651=0),"",VLOOKUP(C651,'AOP25'!M:M,1,0))),"Not Found",VLOOKUP(C651,'AOP25'!M:M,1,0))</f>
        <v>Not Found</v>
      </c>
      <c r="G651" t="e">
        <f t="shared" si="10"/>
        <v>#N/A</v>
      </c>
    </row>
    <row r="652" spans="1:7" hidden="1" x14ac:dyDescent="0.25">
      <c r="A652" t="str">
        <f>BIdetails!G655</f>
        <v>187516</v>
      </c>
      <c r="B652" t="str">
        <f>BIdetails!H655</f>
        <v>Accenture B.V.</v>
      </c>
      <c r="C652" t="str">
        <f>BIdetails!J655</f>
        <v>5400853128</v>
      </c>
      <c r="D652" t="str">
        <f>BIdetails!K655</f>
        <v>10</v>
      </c>
      <c r="E652" s="158">
        <f>BIdetails!M655</f>
        <v>45333</v>
      </c>
      <c r="F652" t="str">
        <f>IF(ISERROR(IF(OR(C652="#",C652=0),"",VLOOKUP(C652,'AOP25'!M:M,1,0))),"Not Found",VLOOKUP(C652,'AOP25'!M:M,1,0))</f>
        <v>Not Found</v>
      </c>
      <c r="G652" t="e">
        <f t="shared" si="10"/>
        <v>#N/A</v>
      </c>
    </row>
    <row r="653" spans="1:7" x14ac:dyDescent="0.25">
      <c r="A653" t="str">
        <f>BIdetails!G656</f>
        <v>187516</v>
      </c>
      <c r="B653" t="str">
        <f>BIdetails!H656</f>
        <v>Accenture B.V.</v>
      </c>
      <c r="C653" t="str">
        <f>BIdetails!J656</f>
        <v>5400877269</v>
      </c>
      <c r="D653" t="str">
        <f>BIdetails!K656</f>
        <v>40</v>
      </c>
      <c r="E653" s="158">
        <f>BIdetails!M656</f>
        <v>2898.93</v>
      </c>
      <c r="F653" t="str">
        <f>IF(ISERROR(IF(OR(C653="#",C653=0),"",VLOOKUP(C653,'AOP25'!M:M,1,0))),"Not Found",VLOOKUP(C653,'AOP25'!M:M,1,0))</f>
        <v>Not Found</v>
      </c>
      <c r="G653" t="e">
        <f t="shared" si="10"/>
        <v>#N/A</v>
      </c>
    </row>
    <row r="654" spans="1:7" hidden="1" x14ac:dyDescent="0.25">
      <c r="A654" t="str">
        <f>BIdetails!G657</f>
        <v>187516</v>
      </c>
      <c r="B654" t="str">
        <f>BIdetails!H657</f>
        <v>Accenture B.V.</v>
      </c>
      <c r="C654" t="str">
        <f>BIdetails!J657</f>
        <v>5400877269</v>
      </c>
      <c r="D654" t="str">
        <f>BIdetails!K657</f>
        <v>40</v>
      </c>
      <c r="E654" s="158">
        <f>BIdetails!M657</f>
        <v>669</v>
      </c>
      <c r="F654" t="str">
        <f>IF(ISERROR(IF(OR(C654="#",C654=0),"",VLOOKUP(C654,'AOP25'!M:M,1,0))),"Not Found",VLOOKUP(C654,'AOP25'!M:M,1,0))</f>
        <v>Not Found</v>
      </c>
      <c r="G654" t="e">
        <f t="shared" si="10"/>
        <v>#N/A</v>
      </c>
    </row>
    <row r="655" spans="1:7" x14ac:dyDescent="0.25">
      <c r="A655" t="str">
        <f>BIdetails!G658</f>
        <v>187516</v>
      </c>
      <c r="B655" t="str">
        <f>BIdetails!H658</f>
        <v>Accenture B.V.</v>
      </c>
      <c r="C655" t="str">
        <f>BIdetails!J658</f>
        <v>5400877269</v>
      </c>
      <c r="D655" t="str">
        <f>BIdetails!K658</f>
        <v>40</v>
      </c>
      <c r="E655" s="158">
        <f>BIdetails!M658</f>
        <v>111.5</v>
      </c>
      <c r="F655" t="str">
        <f>IF(ISERROR(IF(OR(C655="#",C655=0),"",VLOOKUP(C655,'AOP25'!M:M,1,0))),"Not Found",VLOOKUP(C655,'AOP25'!M:M,1,0))</f>
        <v>Not Found</v>
      </c>
      <c r="G655" t="e">
        <f t="shared" si="10"/>
        <v>#N/A</v>
      </c>
    </row>
    <row r="656" spans="1:7" x14ac:dyDescent="0.25">
      <c r="A656" t="str">
        <f>BIdetails!G659</f>
        <v>187516</v>
      </c>
      <c r="B656" t="str">
        <f>BIdetails!H659</f>
        <v>Accenture B.V.</v>
      </c>
      <c r="C656" t="str">
        <f>BIdetails!J659</f>
        <v>5400877269</v>
      </c>
      <c r="D656" t="str">
        <f>BIdetails!K659</f>
        <v>40</v>
      </c>
      <c r="E656" s="158">
        <f>BIdetails!M659</f>
        <v>111.5</v>
      </c>
      <c r="F656" t="str">
        <f>IF(ISERROR(IF(OR(C656="#",C656=0),"",VLOOKUP(C656,'AOP25'!M:M,1,0))),"Not Found",VLOOKUP(C656,'AOP25'!M:M,1,0))</f>
        <v>Not Found</v>
      </c>
      <c r="G656" t="e">
        <f t="shared" si="10"/>
        <v>#N/A</v>
      </c>
    </row>
    <row r="657" spans="1:7" hidden="1" x14ac:dyDescent="0.25">
      <c r="A657" t="str">
        <f>BIdetails!G660</f>
        <v>187516</v>
      </c>
      <c r="B657" t="str">
        <f>BIdetails!H660</f>
        <v>Accenture B.V.</v>
      </c>
      <c r="C657" t="str">
        <f>BIdetails!J660</f>
        <v>5401001779</v>
      </c>
      <c r="D657" t="str">
        <f>BIdetails!K660</f>
        <v>40</v>
      </c>
      <c r="E657" s="158">
        <f>BIdetails!M660</f>
        <v>16100</v>
      </c>
      <c r="F657" t="str">
        <f>IF(ISERROR(IF(OR(C657="#",C657=0),"",VLOOKUP(C657,'AOP25'!M:M,1,0))),"Not Found",VLOOKUP(C657,'AOP25'!M:M,1,0))</f>
        <v>Not Found</v>
      </c>
      <c r="G657" t="e">
        <f t="shared" si="10"/>
        <v>#N/A</v>
      </c>
    </row>
    <row r="658" spans="1:7" x14ac:dyDescent="0.25">
      <c r="A658" t="str">
        <f>BIdetails!G661</f>
        <v>187516</v>
      </c>
      <c r="B658" t="str">
        <f>BIdetails!H661</f>
        <v>Accenture B.V.</v>
      </c>
      <c r="C658" t="str">
        <f>BIdetails!J661</f>
        <v>5401094857</v>
      </c>
      <c r="D658" t="str">
        <f>BIdetails!K661</f>
        <v>10</v>
      </c>
      <c r="E658" s="158">
        <f>BIdetails!M661</f>
        <v>6953.31</v>
      </c>
      <c r="F658" t="str">
        <f>IF(ISERROR(IF(OR(C658="#",C658=0),"",VLOOKUP(C658,'AOP25'!M:M,1,0))),"Not Found",VLOOKUP(C658,'AOP25'!M:M,1,0))</f>
        <v>Not Found</v>
      </c>
      <c r="G658" t="e">
        <f t="shared" si="10"/>
        <v>#N/A</v>
      </c>
    </row>
    <row r="659" spans="1:7" hidden="1" x14ac:dyDescent="0.25">
      <c r="A659" t="str">
        <f>BIdetails!G662</f>
        <v>187516</v>
      </c>
      <c r="B659" t="str">
        <f>BIdetails!H662</f>
        <v>Accenture B.V.</v>
      </c>
      <c r="C659" t="str">
        <f>BIdetails!J662</f>
        <v>5400980360</v>
      </c>
      <c r="D659" t="str">
        <f>BIdetails!K662</f>
        <v>10</v>
      </c>
      <c r="E659" s="158">
        <f>BIdetails!M662</f>
        <v>10000</v>
      </c>
      <c r="F659" t="str">
        <f>IF(ISERROR(IF(OR(C659="#",C659=0),"",VLOOKUP(C659,'AOP25'!M:M,1,0))),"Not Found",VLOOKUP(C659,'AOP25'!M:M,1,0))</f>
        <v>Not Found</v>
      </c>
      <c r="G659" t="e">
        <f t="shared" si="10"/>
        <v>#N/A</v>
      </c>
    </row>
    <row r="660" spans="1:7" x14ac:dyDescent="0.25">
      <c r="A660" t="str">
        <f>BIdetails!G663</f>
        <v>187516</v>
      </c>
      <c r="B660" t="str">
        <f>BIdetails!H663</f>
        <v>Accenture B.V.</v>
      </c>
      <c r="C660" t="str">
        <f>BIdetails!J663</f>
        <v>5401103107</v>
      </c>
      <c r="D660" t="str">
        <f>BIdetails!K663</f>
        <v>10</v>
      </c>
      <c r="E660" s="158">
        <f>BIdetails!M663</f>
        <v>28676.38</v>
      </c>
      <c r="F660" t="str">
        <f>IF(ISERROR(IF(OR(C660="#",C660=0),"",VLOOKUP(C660,'AOP25'!M:M,1,0))),"Not Found",VLOOKUP(C660,'AOP25'!M:M,1,0))</f>
        <v>Not Found</v>
      </c>
      <c r="G660" t="e">
        <f t="shared" si="10"/>
        <v>#N/A</v>
      </c>
    </row>
    <row r="661" spans="1:7" hidden="1" x14ac:dyDescent="0.25">
      <c r="A661" t="str">
        <f>BIdetails!G664</f>
        <v>187516</v>
      </c>
      <c r="B661" t="str">
        <f>BIdetails!H664</f>
        <v>Accenture B.V.</v>
      </c>
      <c r="C661" t="str">
        <f>BIdetails!J664</f>
        <v>5401088459</v>
      </c>
      <c r="D661" t="str">
        <f>BIdetails!K664</f>
        <v>10</v>
      </c>
      <c r="E661" s="158">
        <f>BIdetails!M664</f>
        <v>28177.5</v>
      </c>
      <c r="F661" t="str">
        <f>IF(ISERROR(IF(OR(C661="#",C661=0),"",VLOOKUP(C661,'AOP25'!M:M,1,0))),"Not Found",VLOOKUP(C661,'AOP25'!M:M,1,0))</f>
        <v>Not Found</v>
      </c>
      <c r="G661" t="e">
        <f t="shared" si="10"/>
        <v>#N/A</v>
      </c>
    </row>
    <row r="662" spans="1:7" hidden="1" x14ac:dyDescent="0.25">
      <c r="A662" t="str">
        <f>BIdetails!G665</f>
        <v>187516</v>
      </c>
      <c r="B662" t="str">
        <f>BIdetails!H665</f>
        <v>Accenture B.V.</v>
      </c>
      <c r="C662" t="str">
        <f>BIdetails!J665</f>
        <v>5401088459</v>
      </c>
      <c r="D662" t="str">
        <f>BIdetails!K665</f>
        <v>20</v>
      </c>
      <c r="E662" s="158">
        <f>BIdetails!M665</f>
        <v>3892</v>
      </c>
      <c r="F662" t="str">
        <f>IF(ISERROR(IF(OR(C662="#",C662=0),"",VLOOKUP(C662,'AOP25'!M:M,1,0))),"Not Found",VLOOKUP(C662,'AOP25'!M:M,1,0))</f>
        <v>Not Found</v>
      </c>
      <c r="G662" t="e">
        <f t="shared" si="10"/>
        <v>#N/A</v>
      </c>
    </row>
    <row r="663" spans="1:7" hidden="1" x14ac:dyDescent="0.25">
      <c r="A663" t="str">
        <f>BIdetails!G666</f>
        <v>187516</v>
      </c>
      <c r="B663" t="str">
        <f>BIdetails!H666</f>
        <v>Accenture B.V.</v>
      </c>
      <c r="C663" t="str">
        <f>BIdetails!J666</f>
        <v>5401088459</v>
      </c>
      <c r="D663" t="str">
        <f>BIdetails!K666</f>
        <v>30</v>
      </c>
      <c r="E663" s="158">
        <f>BIdetails!M666</f>
        <v>33330.92</v>
      </c>
      <c r="F663" t="str">
        <f>IF(ISERROR(IF(OR(C663="#",C663=0),"",VLOOKUP(C663,'AOP25'!M:M,1,0))),"Not Found",VLOOKUP(C663,'AOP25'!M:M,1,0))</f>
        <v>Not Found</v>
      </c>
      <c r="G663" t="e">
        <f t="shared" si="10"/>
        <v>#N/A</v>
      </c>
    </row>
    <row r="664" spans="1:7" x14ac:dyDescent="0.25">
      <c r="A664" t="str">
        <f>BIdetails!G667</f>
        <v>187516</v>
      </c>
      <c r="B664" t="str">
        <f>BIdetails!H667</f>
        <v>Accenture B.V.</v>
      </c>
      <c r="C664" t="str">
        <f>BIdetails!J667</f>
        <v>5401088459</v>
      </c>
      <c r="D664" t="str">
        <f>BIdetails!K667</f>
        <v>40</v>
      </c>
      <c r="E664" s="158">
        <f>BIdetails!M667</f>
        <v>4726.33</v>
      </c>
      <c r="F664" t="str">
        <f>IF(ISERROR(IF(OR(C664="#",C664=0),"",VLOOKUP(C664,'AOP25'!M:M,1,0))),"Not Found",VLOOKUP(C664,'AOP25'!M:M,1,0))</f>
        <v>Not Found</v>
      </c>
      <c r="G664" t="e">
        <f t="shared" si="10"/>
        <v>#N/A</v>
      </c>
    </row>
    <row r="665" spans="1:7" x14ac:dyDescent="0.25">
      <c r="A665" t="str">
        <f>BIdetails!G668</f>
        <v>187516</v>
      </c>
      <c r="B665" t="str">
        <f>BIdetails!H668</f>
        <v>Accenture B.V.</v>
      </c>
      <c r="C665" t="str">
        <f>BIdetails!J668</f>
        <v>5401088459</v>
      </c>
      <c r="D665" t="str">
        <f>BIdetails!K668</f>
        <v>50</v>
      </c>
      <c r="E665" s="158">
        <f>BIdetails!M668</f>
        <v>64683.17</v>
      </c>
      <c r="F665" t="str">
        <f>IF(ISERROR(IF(OR(C665="#",C665=0),"",VLOOKUP(C665,'AOP25'!M:M,1,0))),"Not Found",VLOOKUP(C665,'AOP25'!M:M,1,0))</f>
        <v>Not Found</v>
      </c>
      <c r="G665" t="e">
        <f t="shared" si="10"/>
        <v>#N/A</v>
      </c>
    </row>
    <row r="666" spans="1:7" x14ac:dyDescent="0.25">
      <c r="A666" t="str">
        <f>BIdetails!G669</f>
        <v>187516</v>
      </c>
      <c r="B666" t="str">
        <f>BIdetails!H669</f>
        <v>Accenture B.V.</v>
      </c>
      <c r="C666" t="str">
        <f>BIdetails!J669</f>
        <v>5401088459</v>
      </c>
      <c r="D666" t="str">
        <f>BIdetails!K669</f>
        <v>60</v>
      </c>
      <c r="E666" s="158">
        <f>BIdetails!M669</f>
        <v>6131</v>
      </c>
      <c r="F666" t="str">
        <f>IF(ISERROR(IF(OR(C666="#",C666=0),"",VLOOKUP(C666,'AOP25'!M:M,1,0))),"Not Found",VLOOKUP(C666,'AOP25'!M:M,1,0))</f>
        <v>Not Found</v>
      </c>
      <c r="G666" t="e">
        <f t="shared" si="10"/>
        <v>#N/A</v>
      </c>
    </row>
    <row r="667" spans="1:7" x14ac:dyDescent="0.25">
      <c r="A667" t="str">
        <f>BIdetails!G670</f>
        <v>187516</v>
      </c>
      <c r="B667" t="str">
        <f>BIdetails!H670</f>
        <v>Accenture B.V.</v>
      </c>
      <c r="C667" t="str">
        <f>BIdetails!J670</f>
        <v>5401088459</v>
      </c>
      <c r="D667" t="str">
        <f>BIdetails!K670</f>
        <v>70</v>
      </c>
      <c r="E667" s="158">
        <f>BIdetails!M670</f>
        <v>12262</v>
      </c>
      <c r="F667" t="str">
        <f>IF(ISERROR(IF(OR(C667="#",C667=0),"",VLOOKUP(C667,'AOP25'!M:M,1,0))),"Not Found",VLOOKUP(C667,'AOP25'!M:M,1,0))</f>
        <v>Not Found</v>
      </c>
      <c r="G667" t="e">
        <f t="shared" si="10"/>
        <v>#N/A</v>
      </c>
    </row>
    <row r="668" spans="1:7" hidden="1" x14ac:dyDescent="0.25">
      <c r="A668" t="str">
        <f>BIdetails!G671</f>
        <v>187516</v>
      </c>
      <c r="B668" t="str">
        <f>BIdetails!H671</f>
        <v>Accenture B.V.</v>
      </c>
      <c r="C668" t="str">
        <f>BIdetails!J671</f>
        <v>5401088459</v>
      </c>
      <c r="D668" t="str">
        <f>BIdetails!K671</f>
        <v>80</v>
      </c>
      <c r="E668" s="158">
        <f>BIdetails!M671</f>
        <v>62652.69</v>
      </c>
      <c r="F668" t="str">
        <f>IF(ISERROR(IF(OR(C668="#",C668=0),"",VLOOKUP(C668,'AOP25'!M:M,1,0))),"Not Found",VLOOKUP(C668,'AOP25'!M:M,1,0))</f>
        <v>Not Found</v>
      </c>
      <c r="G668" t="e">
        <f t="shared" si="10"/>
        <v>#N/A</v>
      </c>
    </row>
    <row r="669" spans="1:7" hidden="1" x14ac:dyDescent="0.25">
      <c r="A669" t="str">
        <f>BIdetails!G672</f>
        <v>187516</v>
      </c>
      <c r="B669" t="str">
        <f>BIdetails!H672</f>
        <v>Accenture B.V.</v>
      </c>
      <c r="C669" t="str">
        <f>BIdetails!J672</f>
        <v>5401088459</v>
      </c>
      <c r="D669" t="str">
        <f>BIdetails!K672</f>
        <v>90</v>
      </c>
      <c r="E669" s="158">
        <f>BIdetails!M672</f>
        <v>37055.82</v>
      </c>
      <c r="F669" t="str">
        <f>IF(ISERROR(IF(OR(C669="#",C669=0),"",VLOOKUP(C669,'AOP25'!M:M,1,0))),"Not Found",VLOOKUP(C669,'AOP25'!M:M,1,0))</f>
        <v>Not Found</v>
      </c>
      <c r="G669" t="e">
        <f t="shared" si="10"/>
        <v>#N/A</v>
      </c>
    </row>
    <row r="670" spans="1:7" x14ac:dyDescent="0.25">
      <c r="A670" t="str">
        <f>BIdetails!G673</f>
        <v>187516</v>
      </c>
      <c r="B670" t="str">
        <f>BIdetails!H673</f>
        <v>Accenture B.V.</v>
      </c>
      <c r="C670" t="str">
        <f>BIdetails!J673</f>
        <v>5401088459</v>
      </c>
      <c r="D670" t="str">
        <f>BIdetails!K673</f>
        <v>110</v>
      </c>
      <c r="E670" s="158">
        <f>BIdetails!M673</f>
        <v>5833.33</v>
      </c>
      <c r="F670" t="str">
        <f>IF(ISERROR(IF(OR(C670="#",C670=0),"",VLOOKUP(C670,'AOP25'!M:M,1,0))),"Not Found",VLOOKUP(C670,'AOP25'!M:M,1,0))</f>
        <v>Not Found</v>
      </c>
      <c r="G670" t="e">
        <f t="shared" si="10"/>
        <v>#N/A</v>
      </c>
    </row>
    <row r="671" spans="1:7" x14ac:dyDescent="0.25">
      <c r="A671" t="str">
        <f>BIdetails!G674</f>
        <v>187516</v>
      </c>
      <c r="B671" t="str">
        <f>BIdetails!H674</f>
        <v>Accenture B.V.</v>
      </c>
      <c r="C671" t="str">
        <f>BIdetails!J674</f>
        <v>5401088459</v>
      </c>
      <c r="D671" t="str">
        <f>BIdetails!K674</f>
        <v>120</v>
      </c>
      <c r="E671" s="158">
        <f>BIdetails!M674</f>
        <v>5250</v>
      </c>
      <c r="F671" t="str">
        <f>IF(ISERROR(IF(OR(C671="#",C671=0),"",VLOOKUP(C671,'AOP25'!M:M,1,0))),"Not Found",VLOOKUP(C671,'AOP25'!M:M,1,0))</f>
        <v>Not Found</v>
      </c>
      <c r="G671" t="e">
        <f t="shared" si="10"/>
        <v>#N/A</v>
      </c>
    </row>
    <row r="672" spans="1:7" x14ac:dyDescent="0.25">
      <c r="A672" t="str">
        <f>BIdetails!G675</f>
        <v>187516</v>
      </c>
      <c r="B672" t="str">
        <f>BIdetails!H675</f>
        <v>Accenture B.V.</v>
      </c>
      <c r="C672" t="str">
        <f>BIdetails!J675</f>
        <v>5401088459</v>
      </c>
      <c r="D672" t="str">
        <f>BIdetails!K675</f>
        <v>130</v>
      </c>
      <c r="E672" s="158">
        <f>BIdetails!M675</f>
        <v>14839.58</v>
      </c>
      <c r="F672" t="str">
        <f>IF(ISERROR(IF(OR(C672="#",C672=0),"",VLOOKUP(C672,'AOP25'!M:M,1,0))),"Not Found",VLOOKUP(C672,'AOP25'!M:M,1,0))</f>
        <v>Not Found</v>
      </c>
      <c r="G672" t="e">
        <f t="shared" si="10"/>
        <v>#N/A</v>
      </c>
    </row>
    <row r="673" spans="1:7" x14ac:dyDescent="0.25">
      <c r="A673" t="str">
        <f>BIdetails!G676</f>
        <v>187516</v>
      </c>
      <c r="B673" t="str">
        <f>BIdetails!H676</f>
        <v>Accenture B.V.</v>
      </c>
      <c r="C673" t="str">
        <f>BIdetails!J676</f>
        <v>5401088459</v>
      </c>
      <c r="D673" t="str">
        <f>BIdetails!K676</f>
        <v>150</v>
      </c>
      <c r="E673" s="158">
        <f>BIdetails!M676</f>
        <v>7071.33</v>
      </c>
      <c r="F673" t="str">
        <f>IF(ISERROR(IF(OR(C673="#",C673=0),"",VLOOKUP(C673,'AOP25'!M:M,1,0))),"Not Found",VLOOKUP(C673,'AOP25'!M:M,1,0))</f>
        <v>Not Found</v>
      </c>
      <c r="G673" t="e">
        <f t="shared" si="10"/>
        <v>#N/A</v>
      </c>
    </row>
    <row r="674" spans="1:7" x14ac:dyDescent="0.25">
      <c r="A674" t="str">
        <f>BIdetails!G677</f>
        <v>187516</v>
      </c>
      <c r="B674" t="str">
        <f>BIdetails!H677</f>
        <v>Accenture B.V.</v>
      </c>
      <c r="C674" t="str">
        <f>BIdetails!J677</f>
        <v>5401088459</v>
      </c>
      <c r="D674" t="str">
        <f>BIdetails!K677</f>
        <v>160</v>
      </c>
      <c r="E674" s="158">
        <f>BIdetails!M677</f>
        <v>9979.5</v>
      </c>
      <c r="F674" t="str">
        <f>IF(ISERROR(IF(OR(C674="#",C674=0),"",VLOOKUP(C674,'AOP25'!M:M,1,0))),"Not Found",VLOOKUP(C674,'AOP25'!M:M,1,0))</f>
        <v>Not Found</v>
      </c>
      <c r="G674" t="e">
        <f t="shared" si="10"/>
        <v>#N/A</v>
      </c>
    </row>
    <row r="675" spans="1:7" hidden="1" x14ac:dyDescent="0.25">
      <c r="A675" t="str">
        <f>BIdetails!G678</f>
        <v>187516</v>
      </c>
      <c r="B675" t="str">
        <f>BIdetails!H678</f>
        <v>Accenture B.V.</v>
      </c>
      <c r="C675" t="str">
        <f>BIdetails!J678</f>
        <v>5401088459</v>
      </c>
      <c r="D675" t="str">
        <f>BIdetails!K678</f>
        <v>170</v>
      </c>
      <c r="E675" s="158">
        <f>BIdetails!M678</f>
        <v>1319.25</v>
      </c>
      <c r="F675" t="str">
        <f>IF(ISERROR(IF(OR(C675="#",C675=0),"",VLOOKUP(C675,'AOP25'!M:M,1,0))),"Not Found",VLOOKUP(C675,'AOP25'!M:M,1,0))</f>
        <v>Not Found</v>
      </c>
      <c r="G675" t="e">
        <f t="shared" si="10"/>
        <v>#N/A</v>
      </c>
    </row>
    <row r="676" spans="1:7" hidden="1" x14ac:dyDescent="0.25">
      <c r="A676" t="str">
        <f>BIdetails!G679</f>
        <v>187516</v>
      </c>
      <c r="B676" t="str">
        <f>BIdetails!H679</f>
        <v>Accenture B.V.</v>
      </c>
      <c r="C676" t="str">
        <f>BIdetails!J679</f>
        <v>5401088459</v>
      </c>
      <c r="D676" t="str">
        <f>BIdetails!K679</f>
        <v>180</v>
      </c>
      <c r="E676" s="158">
        <f>BIdetails!M679</f>
        <v>6365.08</v>
      </c>
      <c r="F676" t="str">
        <f>IF(ISERROR(IF(OR(C676="#",C676=0),"",VLOOKUP(C676,'AOP25'!M:M,1,0))),"Not Found",VLOOKUP(C676,'AOP25'!M:M,1,0))</f>
        <v>Not Found</v>
      </c>
      <c r="G676" t="e">
        <f t="shared" si="10"/>
        <v>#N/A</v>
      </c>
    </row>
    <row r="677" spans="1:7" hidden="1" x14ac:dyDescent="0.25">
      <c r="A677" t="str">
        <f>BIdetails!G680</f>
        <v>187516</v>
      </c>
      <c r="B677" t="str">
        <f>BIdetails!H680</f>
        <v>Accenture B.V.</v>
      </c>
      <c r="C677" t="str">
        <f>BIdetails!J680</f>
        <v>5401088459</v>
      </c>
      <c r="D677" t="str">
        <f>BIdetails!K680</f>
        <v>190</v>
      </c>
      <c r="E677" s="158">
        <f>BIdetails!M680</f>
        <v>20670.240000000002</v>
      </c>
      <c r="F677" t="str">
        <f>IF(ISERROR(IF(OR(C677="#",C677=0),"",VLOOKUP(C677,'AOP25'!M:M,1,0))),"Not Found",VLOOKUP(C677,'AOP25'!M:M,1,0))</f>
        <v>Not Found</v>
      </c>
      <c r="G677" t="e">
        <f t="shared" si="10"/>
        <v>#N/A</v>
      </c>
    </row>
    <row r="678" spans="1:7" hidden="1" x14ac:dyDescent="0.25">
      <c r="A678" t="str">
        <f>BIdetails!G681</f>
        <v>187516</v>
      </c>
      <c r="B678" t="str">
        <f>BIdetails!H681</f>
        <v>Accenture B.V.</v>
      </c>
      <c r="C678" t="str">
        <f>BIdetails!J681</f>
        <v>5401088459</v>
      </c>
      <c r="D678" t="str">
        <f>BIdetails!K681</f>
        <v>200</v>
      </c>
      <c r="E678" s="158">
        <f>BIdetails!M681</f>
        <v>30542.38</v>
      </c>
      <c r="F678" t="str">
        <f>IF(ISERROR(IF(OR(C678="#",C678=0),"",VLOOKUP(C678,'AOP25'!M:M,1,0))),"Not Found",VLOOKUP(C678,'AOP25'!M:M,1,0))</f>
        <v>Not Found</v>
      </c>
      <c r="G678" t="e">
        <f t="shared" si="10"/>
        <v>#N/A</v>
      </c>
    </row>
    <row r="679" spans="1:7" hidden="1" x14ac:dyDescent="0.25">
      <c r="A679" t="str">
        <f>BIdetails!G682</f>
        <v>187516</v>
      </c>
      <c r="B679" t="str">
        <f>BIdetails!H682</f>
        <v>Accenture B.V.</v>
      </c>
      <c r="C679" t="str">
        <f>BIdetails!J682</f>
        <v>5401088459</v>
      </c>
      <c r="D679" t="str">
        <f>BIdetails!K682</f>
        <v>210</v>
      </c>
      <c r="E679" s="158">
        <f>BIdetails!M682</f>
        <v>27403.14</v>
      </c>
      <c r="F679" t="str">
        <f>IF(ISERROR(IF(OR(C679="#",C679=0),"",VLOOKUP(C679,'AOP25'!M:M,1,0))),"Not Found",VLOOKUP(C679,'AOP25'!M:M,1,0))</f>
        <v>Not Found</v>
      </c>
      <c r="G679" t="e">
        <f t="shared" si="10"/>
        <v>#N/A</v>
      </c>
    </row>
    <row r="680" spans="1:7" hidden="1" x14ac:dyDescent="0.25">
      <c r="A680" t="str">
        <f>BIdetails!G683</f>
        <v>187516</v>
      </c>
      <c r="B680" t="str">
        <f>BIdetails!H683</f>
        <v>Accenture B.V.</v>
      </c>
      <c r="C680" t="str">
        <f>BIdetails!J683</f>
        <v>5401088459</v>
      </c>
      <c r="D680" t="str">
        <f>BIdetails!K683</f>
        <v>220</v>
      </c>
      <c r="E680" s="158">
        <f>BIdetails!M683</f>
        <v>5923.44</v>
      </c>
      <c r="F680" t="str">
        <f>IF(ISERROR(IF(OR(C680="#",C680=0),"",VLOOKUP(C680,'AOP25'!M:M,1,0))),"Not Found",VLOOKUP(C680,'AOP25'!M:M,1,0))</f>
        <v>Not Found</v>
      </c>
      <c r="G680" t="e">
        <f t="shared" si="10"/>
        <v>#N/A</v>
      </c>
    </row>
    <row r="681" spans="1:7" hidden="1" x14ac:dyDescent="0.25">
      <c r="A681" t="str">
        <f>BIdetails!G684</f>
        <v>187516</v>
      </c>
      <c r="B681" t="str">
        <f>BIdetails!H684</f>
        <v>Accenture B.V.</v>
      </c>
      <c r="C681" t="str">
        <f>BIdetails!J684</f>
        <v>5401088459</v>
      </c>
      <c r="D681" t="str">
        <f>BIdetails!K684</f>
        <v>230</v>
      </c>
      <c r="E681" s="158">
        <f>BIdetails!M684</f>
        <v>3166.2</v>
      </c>
      <c r="F681" t="str">
        <f>IF(ISERROR(IF(OR(C681="#",C681=0),"",VLOOKUP(C681,'AOP25'!M:M,1,0))),"Not Found",VLOOKUP(C681,'AOP25'!M:M,1,0))</f>
        <v>Not Found</v>
      </c>
      <c r="G681" t="e">
        <f t="shared" si="10"/>
        <v>#N/A</v>
      </c>
    </row>
    <row r="682" spans="1:7" hidden="1" x14ac:dyDescent="0.25">
      <c r="A682" t="str">
        <f>BIdetails!G685</f>
        <v>187516</v>
      </c>
      <c r="B682" t="str">
        <f>BIdetails!H685</f>
        <v>Accenture B.V.</v>
      </c>
      <c r="C682" t="str">
        <f>BIdetails!J685</f>
        <v>5401088459</v>
      </c>
      <c r="D682" t="str">
        <f>BIdetails!K685</f>
        <v>240</v>
      </c>
      <c r="E682" s="158">
        <f>BIdetails!M685</f>
        <v>4870.8</v>
      </c>
      <c r="F682" t="str">
        <f>IF(ISERROR(IF(OR(C682="#",C682=0),"",VLOOKUP(C682,'AOP25'!M:M,1,0))),"Not Found",VLOOKUP(C682,'AOP25'!M:M,1,0))</f>
        <v>Not Found</v>
      </c>
      <c r="G682" t="e">
        <f t="shared" si="10"/>
        <v>#N/A</v>
      </c>
    </row>
    <row r="683" spans="1:7" x14ac:dyDescent="0.25">
      <c r="A683" t="str">
        <f>BIdetails!G686</f>
        <v>187516</v>
      </c>
      <c r="B683" t="str">
        <f>BIdetails!H686</f>
        <v>Accenture B.V.</v>
      </c>
      <c r="C683" t="str">
        <f>BIdetails!J686</f>
        <v>5401088459</v>
      </c>
      <c r="D683" t="str">
        <f>BIdetails!K686</f>
        <v>260</v>
      </c>
      <c r="E683" s="158">
        <f>BIdetails!M686</f>
        <v>10000</v>
      </c>
      <c r="F683" t="str">
        <f>IF(ISERROR(IF(OR(C683="#",C683=0),"",VLOOKUP(C683,'AOP25'!M:M,1,0))),"Not Found",VLOOKUP(C683,'AOP25'!M:M,1,0))</f>
        <v>Not Found</v>
      </c>
      <c r="G683" t="e">
        <f t="shared" si="10"/>
        <v>#N/A</v>
      </c>
    </row>
    <row r="684" spans="1:7" x14ac:dyDescent="0.25">
      <c r="A684" t="str">
        <f>BIdetails!G687</f>
        <v>187516</v>
      </c>
      <c r="B684" t="str">
        <f>BIdetails!H687</f>
        <v>Accenture B.V.</v>
      </c>
      <c r="C684" t="str">
        <f>BIdetails!J687</f>
        <v>5401088459</v>
      </c>
      <c r="D684" t="str">
        <f>BIdetails!K687</f>
        <v>270</v>
      </c>
      <c r="E684" s="158">
        <f>BIdetails!M687</f>
        <v>30809.5</v>
      </c>
      <c r="F684" t="str">
        <f>IF(ISERROR(IF(OR(C684="#",C684=0),"",VLOOKUP(C684,'AOP25'!M:M,1,0))),"Not Found",VLOOKUP(C684,'AOP25'!M:M,1,0))</f>
        <v>Not Found</v>
      </c>
      <c r="G684" t="e">
        <f t="shared" si="10"/>
        <v>#N/A</v>
      </c>
    </row>
    <row r="685" spans="1:7" x14ac:dyDescent="0.25">
      <c r="A685" t="str">
        <f>BIdetails!G688</f>
        <v>187516</v>
      </c>
      <c r="B685" t="str">
        <f>BIdetails!H688</f>
        <v>Accenture B.V.</v>
      </c>
      <c r="C685" t="str">
        <f>BIdetails!J688</f>
        <v>5401023508</v>
      </c>
      <c r="D685" t="str">
        <f>BIdetails!K688</f>
        <v>30</v>
      </c>
      <c r="E685" s="158">
        <f>BIdetails!M688</f>
        <v>-15000</v>
      </c>
      <c r="F685" t="str">
        <f>IF(ISERROR(IF(OR(C685="#",C685=0),"",VLOOKUP(C685,'AOP25'!M:M,1,0))),"Not Found",VLOOKUP(C685,'AOP25'!M:M,1,0))</f>
        <v>Not Found</v>
      </c>
      <c r="G685" t="e">
        <f t="shared" si="10"/>
        <v>#N/A</v>
      </c>
    </row>
    <row r="686" spans="1:7" hidden="1" x14ac:dyDescent="0.25">
      <c r="A686" t="str">
        <f>BIdetails!G689</f>
        <v>187516</v>
      </c>
      <c r="B686" t="str">
        <f>BIdetails!H689</f>
        <v>Accenture B.V.</v>
      </c>
      <c r="C686" t="str">
        <f>BIdetails!J689</f>
        <v>5401099794</v>
      </c>
      <c r="D686" t="str">
        <f>BIdetails!K689</f>
        <v>10</v>
      </c>
      <c r="E686" s="158">
        <f>BIdetails!M689</f>
        <v>60654</v>
      </c>
      <c r="F686" t="str">
        <f>IF(ISERROR(IF(OR(C686="#",C686=0),"",VLOOKUP(C686,'AOP25'!M:M,1,0))),"Not Found",VLOOKUP(C686,'AOP25'!M:M,1,0))</f>
        <v>Not Found</v>
      </c>
      <c r="G686" t="e">
        <f t="shared" si="10"/>
        <v>#N/A</v>
      </c>
    </row>
    <row r="687" spans="1:7" hidden="1" x14ac:dyDescent="0.25">
      <c r="A687" t="str">
        <f>BIdetails!G690</f>
        <v>187516</v>
      </c>
      <c r="B687" t="str">
        <f>BIdetails!H690</f>
        <v>Accenture B.V.</v>
      </c>
      <c r="C687" t="str">
        <f>BIdetails!J690</f>
        <v>5401088459</v>
      </c>
      <c r="D687" t="str">
        <f>BIdetails!K690</f>
        <v>300</v>
      </c>
      <c r="E687" s="158">
        <f>BIdetails!M690</f>
        <v>15276.24</v>
      </c>
      <c r="F687" t="str">
        <f>IF(ISERROR(IF(OR(C687="#",C687=0),"",VLOOKUP(C687,'AOP25'!M:M,1,0))),"Not Found",VLOOKUP(C687,'AOP25'!M:M,1,0))</f>
        <v>Not Found</v>
      </c>
      <c r="G687" t="e">
        <f t="shared" si="10"/>
        <v>#N/A</v>
      </c>
    </row>
    <row r="688" spans="1:7" hidden="1" x14ac:dyDescent="0.25">
      <c r="A688" t="str">
        <f>BIdetails!G691</f>
        <v>187516</v>
      </c>
      <c r="B688" t="str">
        <f>BIdetails!H691</f>
        <v>Accenture B.V.</v>
      </c>
      <c r="C688" t="str">
        <f>BIdetails!J691</f>
        <v>5400836551</v>
      </c>
      <c r="D688" t="str">
        <f>BIdetails!K691</f>
        <v>20</v>
      </c>
      <c r="E688" s="158">
        <f>BIdetails!M691</f>
        <v>1875</v>
      </c>
      <c r="F688" t="str">
        <f>IF(ISERROR(IF(OR(C688="#",C688=0),"",VLOOKUP(C688,'AOP25'!M:M,1,0))),"Not Found",VLOOKUP(C688,'AOP25'!M:M,1,0))</f>
        <v>Not Found</v>
      </c>
      <c r="G688" t="e">
        <f t="shared" si="10"/>
        <v>#N/A</v>
      </c>
    </row>
    <row r="689" spans="1:7" hidden="1" x14ac:dyDescent="0.25">
      <c r="A689" t="str">
        <f>BIdetails!G692</f>
        <v>187516</v>
      </c>
      <c r="B689" t="str">
        <f>BIdetails!H692</f>
        <v>Accenture B.V.</v>
      </c>
      <c r="C689" t="str">
        <f>BIdetails!J692</f>
        <v>5400853128</v>
      </c>
      <c r="D689" t="str">
        <f>BIdetails!K692</f>
        <v>10</v>
      </c>
      <c r="E689" s="158">
        <f>BIdetails!M692</f>
        <v>27766</v>
      </c>
      <c r="F689" t="str">
        <f>IF(ISERROR(IF(OR(C689="#",C689=0),"",VLOOKUP(C689,'AOP25'!M:M,1,0))),"Not Found",VLOOKUP(C689,'AOP25'!M:M,1,0))</f>
        <v>Not Found</v>
      </c>
      <c r="G689" t="e">
        <f t="shared" si="10"/>
        <v>#N/A</v>
      </c>
    </row>
    <row r="690" spans="1:7" hidden="1" x14ac:dyDescent="0.25">
      <c r="A690" t="str">
        <f>BIdetails!G693</f>
        <v>187516</v>
      </c>
      <c r="B690" t="str">
        <f>BIdetails!H693</f>
        <v>Accenture B.V.</v>
      </c>
      <c r="C690" t="str">
        <f>BIdetails!J693</f>
        <v>5400980360</v>
      </c>
      <c r="D690" t="str">
        <f>BIdetails!K693</f>
        <v>10</v>
      </c>
      <c r="E690" s="158">
        <f>BIdetails!M693</f>
        <v>10000</v>
      </c>
      <c r="F690" t="str">
        <f>IF(ISERROR(IF(OR(C690="#",C690=0),"",VLOOKUP(C690,'AOP25'!M:M,1,0))),"Not Found",VLOOKUP(C690,'AOP25'!M:M,1,0))</f>
        <v>Not Found</v>
      </c>
      <c r="G690" t="e">
        <f t="shared" si="10"/>
        <v>#N/A</v>
      </c>
    </row>
    <row r="691" spans="1:7" hidden="1" x14ac:dyDescent="0.25">
      <c r="A691" t="str">
        <f>BIdetails!G694</f>
        <v>187516</v>
      </c>
      <c r="B691" t="str">
        <f>BIdetails!H694</f>
        <v>Accenture B.V.</v>
      </c>
      <c r="C691" t="str">
        <f>BIdetails!J694</f>
        <v>5401082177</v>
      </c>
      <c r="D691" t="str">
        <f>BIdetails!K694</f>
        <v>10</v>
      </c>
      <c r="E691" s="158">
        <f>BIdetails!M694</f>
        <v>2680</v>
      </c>
      <c r="F691" t="str">
        <f>IF(ISERROR(IF(OR(C691="#",C691=0),"",VLOOKUP(C691,'AOP25'!M:M,1,0))),"Not Found",VLOOKUP(C691,'AOP25'!M:M,1,0))</f>
        <v>Not Found</v>
      </c>
      <c r="G691" t="e">
        <f t="shared" si="10"/>
        <v>#N/A</v>
      </c>
    </row>
    <row r="692" spans="1:7" hidden="1" x14ac:dyDescent="0.25">
      <c r="A692" t="str">
        <f>BIdetails!G695</f>
        <v>187516</v>
      </c>
      <c r="B692" t="str">
        <f>BIdetails!H695</f>
        <v>Accenture B.V.</v>
      </c>
      <c r="C692" t="str">
        <f>BIdetails!J695</f>
        <v>5401082177</v>
      </c>
      <c r="D692" t="str">
        <f>BIdetails!K695</f>
        <v>10</v>
      </c>
      <c r="E692" s="158">
        <f>BIdetails!M695</f>
        <v>17680</v>
      </c>
      <c r="F692" t="str">
        <f>IF(ISERROR(IF(OR(C692="#",C692=0),"",VLOOKUP(C692,'AOP25'!M:M,1,0))),"Not Found",VLOOKUP(C692,'AOP25'!M:M,1,0))</f>
        <v>Not Found</v>
      </c>
      <c r="G692" t="e">
        <f t="shared" si="10"/>
        <v>#N/A</v>
      </c>
    </row>
    <row r="693" spans="1:7" hidden="1" x14ac:dyDescent="0.25">
      <c r="A693" t="str">
        <f>BIdetails!G696</f>
        <v>187516</v>
      </c>
      <c r="B693" t="str">
        <f>BIdetails!H696</f>
        <v>Accenture B.V.</v>
      </c>
      <c r="C693" t="str">
        <f>BIdetails!J696</f>
        <v>5401082177</v>
      </c>
      <c r="D693" t="str">
        <f>BIdetails!K696</f>
        <v>10</v>
      </c>
      <c r="E693" s="158">
        <f>BIdetails!M696</f>
        <v>17680</v>
      </c>
      <c r="F693" t="str">
        <f>IF(ISERROR(IF(OR(C693="#",C693=0),"",VLOOKUP(C693,'AOP25'!M:M,1,0))),"Not Found",VLOOKUP(C693,'AOP25'!M:M,1,0))</f>
        <v>Not Found</v>
      </c>
      <c r="G693" t="e">
        <f t="shared" si="10"/>
        <v>#N/A</v>
      </c>
    </row>
    <row r="694" spans="1:7" hidden="1" x14ac:dyDescent="0.25">
      <c r="A694" t="str">
        <f>BIdetails!G697</f>
        <v>187516</v>
      </c>
      <c r="B694" t="str">
        <f>BIdetails!H697</f>
        <v>Accenture B.V.</v>
      </c>
      <c r="C694" t="str">
        <f>BIdetails!J697</f>
        <v>5401088459</v>
      </c>
      <c r="D694" t="str">
        <f>BIdetails!K697</f>
        <v>10</v>
      </c>
      <c r="E694" s="158">
        <f>BIdetails!M697</f>
        <v>28177.5</v>
      </c>
      <c r="F694" t="str">
        <f>IF(ISERROR(IF(OR(C694="#",C694=0),"",VLOOKUP(C694,'AOP25'!M:M,1,0))),"Not Found",VLOOKUP(C694,'AOP25'!M:M,1,0))</f>
        <v>Not Found</v>
      </c>
      <c r="G694" t="e">
        <f t="shared" si="10"/>
        <v>#N/A</v>
      </c>
    </row>
    <row r="695" spans="1:7" hidden="1" x14ac:dyDescent="0.25">
      <c r="A695" t="str">
        <f>BIdetails!G698</f>
        <v>187516</v>
      </c>
      <c r="B695" t="str">
        <f>BIdetails!H698</f>
        <v>Accenture B.V.</v>
      </c>
      <c r="C695" t="str">
        <f>BIdetails!J698</f>
        <v>5401088459</v>
      </c>
      <c r="D695" t="str">
        <f>BIdetails!K698</f>
        <v>20</v>
      </c>
      <c r="E695" s="158">
        <f>BIdetails!M698</f>
        <v>3892</v>
      </c>
      <c r="F695" t="str">
        <f>IF(ISERROR(IF(OR(C695="#",C695=0),"",VLOOKUP(C695,'AOP25'!M:M,1,0))),"Not Found",VLOOKUP(C695,'AOP25'!M:M,1,0))</f>
        <v>Not Found</v>
      </c>
      <c r="G695" t="e">
        <f t="shared" si="10"/>
        <v>#N/A</v>
      </c>
    </row>
    <row r="696" spans="1:7" hidden="1" x14ac:dyDescent="0.25">
      <c r="A696" t="str">
        <f>BIdetails!G699</f>
        <v>187516</v>
      </c>
      <c r="B696" t="str">
        <f>BIdetails!H699</f>
        <v>Accenture B.V.</v>
      </c>
      <c r="C696" t="str">
        <f>BIdetails!J699</f>
        <v>5401088459</v>
      </c>
      <c r="D696" t="str">
        <f>BIdetails!K699</f>
        <v>30</v>
      </c>
      <c r="E696" s="158">
        <f>BIdetails!M699</f>
        <v>33330.92</v>
      </c>
      <c r="F696" t="str">
        <f>IF(ISERROR(IF(OR(C696="#",C696=0),"",VLOOKUP(C696,'AOP25'!M:M,1,0))),"Not Found",VLOOKUP(C696,'AOP25'!M:M,1,0))</f>
        <v>Not Found</v>
      </c>
      <c r="G696" t="e">
        <f t="shared" si="10"/>
        <v>#N/A</v>
      </c>
    </row>
    <row r="697" spans="1:7" hidden="1" x14ac:dyDescent="0.25">
      <c r="A697" t="str">
        <f>BIdetails!G700</f>
        <v>187516</v>
      </c>
      <c r="B697" t="str">
        <f>BIdetails!H700</f>
        <v>Accenture B.V.</v>
      </c>
      <c r="C697" t="str">
        <f>BIdetails!J700</f>
        <v>5401088459</v>
      </c>
      <c r="D697" t="str">
        <f>BIdetails!K700</f>
        <v>40</v>
      </c>
      <c r="E697" s="158">
        <f>BIdetails!M700</f>
        <v>4726.33</v>
      </c>
      <c r="F697" t="str">
        <f>IF(ISERROR(IF(OR(C697="#",C697=0),"",VLOOKUP(C697,'AOP25'!M:M,1,0))),"Not Found",VLOOKUP(C697,'AOP25'!M:M,1,0))</f>
        <v>Not Found</v>
      </c>
      <c r="G697" t="e">
        <f t="shared" si="10"/>
        <v>#N/A</v>
      </c>
    </row>
    <row r="698" spans="1:7" x14ac:dyDescent="0.25">
      <c r="A698" t="str">
        <f>BIdetails!G701</f>
        <v>187516</v>
      </c>
      <c r="B698" t="str">
        <f>BIdetails!H701</f>
        <v>Accenture B.V.</v>
      </c>
      <c r="C698" t="str">
        <f>BIdetails!J701</f>
        <v>5401088459</v>
      </c>
      <c r="D698" t="str">
        <f>BIdetails!K701</f>
        <v>50</v>
      </c>
      <c r="E698" s="158">
        <f>BIdetails!M701</f>
        <v>64683.17</v>
      </c>
      <c r="F698" t="str">
        <f>IF(ISERROR(IF(OR(C698="#",C698=0),"",VLOOKUP(C698,'AOP25'!M:M,1,0))),"Not Found",VLOOKUP(C698,'AOP25'!M:M,1,0))</f>
        <v>Not Found</v>
      </c>
      <c r="G698" t="e">
        <f t="shared" ref="G698:G761" si="11">IF(NOT(ISERROR(VLOOKUP(C698,$K$2:$K$50,1,0))),"Y",VLOOKUP(C698,$K$2:$K$50,1,0))</f>
        <v>#N/A</v>
      </c>
    </row>
    <row r="699" spans="1:7" x14ac:dyDescent="0.25">
      <c r="A699" t="str">
        <f>BIdetails!G702</f>
        <v>187516</v>
      </c>
      <c r="B699" t="str">
        <f>BIdetails!H702</f>
        <v>Accenture B.V.</v>
      </c>
      <c r="C699" t="str">
        <f>BIdetails!J702</f>
        <v>5401088459</v>
      </c>
      <c r="D699" t="str">
        <f>BIdetails!K702</f>
        <v>60</v>
      </c>
      <c r="E699" s="158">
        <f>BIdetails!M702</f>
        <v>6131</v>
      </c>
      <c r="F699" t="str">
        <f>IF(ISERROR(IF(OR(C699="#",C699=0),"",VLOOKUP(C699,'AOP25'!M:M,1,0))),"Not Found",VLOOKUP(C699,'AOP25'!M:M,1,0))</f>
        <v>Not Found</v>
      </c>
      <c r="G699" t="e">
        <f t="shared" si="11"/>
        <v>#N/A</v>
      </c>
    </row>
    <row r="700" spans="1:7" hidden="1" x14ac:dyDescent="0.25">
      <c r="A700" t="str">
        <f>BIdetails!G703</f>
        <v>187516</v>
      </c>
      <c r="B700" t="str">
        <f>BIdetails!H703</f>
        <v>Accenture B.V.</v>
      </c>
      <c r="C700" t="str">
        <f>BIdetails!J703</f>
        <v>5401088459</v>
      </c>
      <c r="D700" t="str">
        <f>BIdetails!K703</f>
        <v>70</v>
      </c>
      <c r="E700" s="158">
        <f>BIdetails!M703</f>
        <v>12262</v>
      </c>
      <c r="F700" t="str">
        <f>IF(ISERROR(IF(OR(C700="#",C700=0),"",VLOOKUP(C700,'AOP25'!M:M,1,0))),"Not Found",VLOOKUP(C700,'AOP25'!M:M,1,0))</f>
        <v>Not Found</v>
      </c>
      <c r="G700" t="e">
        <f t="shared" si="11"/>
        <v>#N/A</v>
      </c>
    </row>
    <row r="701" spans="1:7" hidden="1" x14ac:dyDescent="0.25">
      <c r="A701" t="str">
        <f>BIdetails!G704</f>
        <v>187516</v>
      </c>
      <c r="B701" t="str">
        <f>BIdetails!H704</f>
        <v>Accenture B.V.</v>
      </c>
      <c r="C701" t="str">
        <f>BIdetails!J704</f>
        <v>5401088459</v>
      </c>
      <c r="D701" t="str">
        <f>BIdetails!K704</f>
        <v>80</v>
      </c>
      <c r="E701" s="158">
        <f>BIdetails!M704</f>
        <v>62652.69</v>
      </c>
      <c r="F701" t="str">
        <f>IF(ISERROR(IF(OR(C701="#",C701=0),"",VLOOKUP(C701,'AOP25'!M:M,1,0))),"Not Found",VLOOKUP(C701,'AOP25'!M:M,1,0))</f>
        <v>Not Found</v>
      </c>
      <c r="G701" t="e">
        <f t="shared" si="11"/>
        <v>#N/A</v>
      </c>
    </row>
    <row r="702" spans="1:7" hidden="1" x14ac:dyDescent="0.25">
      <c r="A702" t="str">
        <f>BIdetails!G705</f>
        <v>187516</v>
      </c>
      <c r="B702" t="str">
        <f>BIdetails!H705</f>
        <v>Accenture B.V.</v>
      </c>
      <c r="C702" t="str">
        <f>BIdetails!J705</f>
        <v>5401088459</v>
      </c>
      <c r="D702" t="str">
        <f>BIdetails!K705</f>
        <v>90</v>
      </c>
      <c r="E702" s="158">
        <f>BIdetails!M705</f>
        <v>37055.82</v>
      </c>
      <c r="F702" t="str">
        <f>IF(ISERROR(IF(OR(C702="#",C702=0),"",VLOOKUP(C702,'AOP25'!M:M,1,0))),"Not Found",VLOOKUP(C702,'AOP25'!M:M,1,0))</f>
        <v>Not Found</v>
      </c>
      <c r="G702" t="e">
        <f t="shared" si="11"/>
        <v>#N/A</v>
      </c>
    </row>
    <row r="703" spans="1:7" x14ac:dyDescent="0.25">
      <c r="A703" t="str">
        <f>BIdetails!G706</f>
        <v>187516</v>
      </c>
      <c r="B703" t="str">
        <f>BIdetails!H706</f>
        <v>Accenture B.V.</v>
      </c>
      <c r="C703" t="str">
        <f>BIdetails!J706</f>
        <v>5401088459</v>
      </c>
      <c r="D703" t="str">
        <f>BIdetails!K706</f>
        <v>110</v>
      </c>
      <c r="E703" s="158">
        <f>BIdetails!M706</f>
        <v>5833.33</v>
      </c>
      <c r="F703" t="str">
        <f>IF(ISERROR(IF(OR(C703="#",C703=0),"",VLOOKUP(C703,'AOP25'!M:M,1,0))),"Not Found",VLOOKUP(C703,'AOP25'!M:M,1,0))</f>
        <v>Not Found</v>
      </c>
      <c r="G703" t="e">
        <f t="shared" si="11"/>
        <v>#N/A</v>
      </c>
    </row>
    <row r="704" spans="1:7" hidden="1" x14ac:dyDescent="0.25">
      <c r="A704" t="str">
        <f>BIdetails!G707</f>
        <v>187516</v>
      </c>
      <c r="B704" t="str">
        <f>BIdetails!H707</f>
        <v>Accenture B.V.</v>
      </c>
      <c r="C704" t="str">
        <f>BIdetails!J707</f>
        <v>5401088459</v>
      </c>
      <c r="D704" t="str">
        <f>BIdetails!K707</f>
        <v>120</v>
      </c>
      <c r="E704" s="158">
        <f>BIdetails!M707</f>
        <v>5250</v>
      </c>
      <c r="F704" t="str">
        <f>IF(ISERROR(IF(OR(C704="#",C704=0),"",VLOOKUP(C704,'AOP25'!M:M,1,0))),"Not Found",VLOOKUP(C704,'AOP25'!M:M,1,0))</f>
        <v>Not Found</v>
      </c>
      <c r="G704" t="e">
        <f t="shared" si="11"/>
        <v>#N/A</v>
      </c>
    </row>
    <row r="705" spans="1:7" x14ac:dyDescent="0.25">
      <c r="A705" t="str">
        <f>BIdetails!G708</f>
        <v>187516</v>
      </c>
      <c r="B705" t="str">
        <f>BIdetails!H708</f>
        <v>Accenture B.V.</v>
      </c>
      <c r="C705" t="str">
        <f>BIdetails!J708</f>
        <v>5401088459</v>
      </c>
      <c r="D705" t="str">
        <f>BIdetails!K708</f>
        <v>130</v>
      </c>
      <c r="E705" s="158">
        <f>BIdetails!M708</f>
        <v>14839.58</v>
      </c>
      <c r="F705" t="str">
        <f>IF(ISERROR(IF(OR(C705="#",C705=0),"",VLOOKUP(C705,'AOP25'!M:M,1,0))),"Not Found",VLOOKUP(C705,'AOP25'!M:M,1,0))</f>
        <v>Not Found</v>
      </c>
      <c r="G705" t="e">
        <f t="shared" si="11"/>
        <v>#N/A</v>
      </c>
    </row>
    <row r="706" spans="1:7" x14ac:dyDescent="0.25">
      <c r="A706" t="str">
        <f>BIdetails!G709</f>
        <v>187516</v>
      </c>
      <c r="B706" t="str">
        <f>BIdetails!H709</f>
        <v>Accenture B.V.</v>
      </c>
      <c r="C706" t="str">
        <f>BIdetails!J709</f>
        <v>5401088459</v>
      </c>
      <c r="D706" t="str">
        <f>BIdetails!K709</f>
        <v>150</v>
      </c>
      <c r="E706" s="158">
        <f>BIdetails!M709</f>
        <v>7071.33</v>
      </c>
      <c r="F706" t="str">
        <f>IF(ISERROR(IF(OR(C706="#",C706=0),"",VLOOKUP(C706,'AOP25'!M:M,1,0))),"Not Found",VLOOKUP(C706,'AOP25'!M:M,1,0))</f>
        <v>Not Found</v>
      </c>
      <c r="G706" t="e">
        <f t="shared" si="11"/>
        <v>#N/A</v>
      </c>
    </row>
    <row r="707" spans="1:7" x14ac:dyDescent="0.25">
      <c r="A707" t="str">
        <f>BIdetails!G710</f>
        <v>187516</v>
      </c>
      <c r="B707" t="str">
        <f>BIdetails!H710</f>
        <v>Accenture B.V.</v>
      </c>
      <c r="C707" t="str">
        <f>BIdetails!J710</f>
        <v>5401088459</v>
      </c>
      <c r="D707" t="str">
        <f>BIdetails!K710</f>
        <v>160</v>
      </c>
      <c r="E707" s="158">
        <f>BIdetails!M710</f>
        <v>9979.5</v>
      </c>
      <c r="F707" t="str">
        <f>IF(ISERROR(IF(OR(C707="#",C707=0),"",VLOOKUP(C707,'AOP25'!M:M,1,0))),"Not Found",VLOOKUP(C707,'AOP25'!M:M,1,0))</f>
        <v>Not Found</v>
      </c>
      <c r="G707" t="e">
        <f t="shared" si="11"/>
        <v>#N/A</v>
      </c>
    </row>
    <row r="708" spans="1:7" hidden="1" x14ac:dyDescent="0.25">
      <c r="A708" t="str">
        <f>BIdetails!G711</f>
        <v>187516</v>
      </c>
      <c r="B708" t="str">
        <f>BIdetails!H711</f>
        <v>Accenture B.V.</v>
      </c>
      <c r="C708" t="str">
        <f>BIdetails!J711</f>
        <v>5401088459</v>
      </c>
      <c r="D708" t="str">
        <f>BIdetails!K711</f>
        <v>170</v>
      </c>
      <c r="E708" s="158">
        <f>BIdetails!M711</f>
        <v>1319.25</v>
      </c>
      <c r="F708" t="str">
        <f>IF(ISERROR(IF(OR(C708="#",C708=0),"",VLOOKUP(C708,'AOP25'!M:M,1,0))),"Not Found",VLOOKUP(C708,'AOP25'!M:M,1,0))</f>
        <v>Not Found</v>
      </c>
      <c r="G708" t="e">
        <f t="shared" si="11"/>
        <v>#N/A</v>
      </c>
    </row>
    <row r="709" spans="1:7" hidden="1" x14ac:dyDescent="0.25">
      <c r="A709" t="str">
        <f>BIdetails!G712</f>
        <v>187516</v>
      </c>
      <c r="B709" t="str">
        <f>BIdetails!H712</f>
        <v>Accenture B.V.</v>
      </c>
      <c r="C709" t="str">
        <f>BIdetails!J712</f>
        <v>5401088459</v>
      </c>
      <c r="D709" t="str">
        <f>BIdetails!K712</f>
        <v>180</v>
      </c>
      <c r="E709" s="158">
        <f>BIdetails!M712</f>
        <v>6365.08</v>
      </c>
      <c r="F709" t="str">
        <f>IF(ISERROR(IF(OR(C709="#",C709=0),"",VLOOKUP(C709,'AOP25'!M:M,1,0))),"Not Found",VLOOKUP(C709,'AOP25'!M:M,1,0))</f>
        <v>Not Found</v>
      </c>
      <c r="G709" t="e">
        <f t="shared" si="11"/>
        <v>#N/A</v>
      </c>
    </row>
    <row r="710" spans="1:7" hidden="1" x14ac:dyDescent="0.25">
      <c r="A710" t="str">
        <f>BIdetails!G713</f>
        <v>187516</v>
      </c>
      <c r="B710" t="str">
        <f>BIdetails!H713</f>
        <v>Accenture B.V.</v>
      </c>
      <c r="C710" t="str">
        <f>BIdetails!J713</f>
        <v>5401088459</v>
      </c>
      <c r="D710" t="str">
        <f>BIdetails!K713</f>
        <v>190</v>
      </c>
      <c r="E710" s="158">
        <f>BIdetails!M713</f>
        <v>20670.240000000002</v>
      </c>
      <c r="F710" t="str">
        <f>IF(ISERROR(IF(OR(C710="#",C710=0),"",VLOOKUP(C710,'AOP25'!M:M,1,0))),"Not Found",VLOOKUP(C710,'AOP25'!M:M,1,0))</f>
        <v>Not Found</v>
      </c>
      <c r="G710" t="e">
        <f t="shared" si="11"/>
        <v>#N/A</v>
      </c>
    </row>
    <row r="711" spans="1:7" hidden="1" x14ac:dyDescent="0.25">
      <c r="A711" t="str">
        <f>BIdetails!G714</f>
        <v>187516</v>
      </c>
      <c r="B711" t="str">
        <f>BIdetails!H714</f>
        <v>Accenture B.V.</v>
      </c>
      <c r="C711" t="str">
        <f>BIdetails!J714</f>
        <v>5401088459</v>
      </c>
      <c r="D711" t="str">
        <f>BIdetails!K714</f>
        <v>200</v>
      </c>
      <c r="E711" s="158">
        <f>BIdetails!M714</f>
        <v>30542.38</v>
      </c>
      <c r="F711" t="str">
        <f>IF(ISERROR(IF(OR(C711="#",C711=0),"",VLOOKUP(C711,'AOP25'!M:M,1,0))),"Not Found",VLOOKUP(C711,'AOP25'!M:M,1,0))</f>
        <v>Not Found</v>
      </c>
      <c r="G711" t="e">
        <f t="shared" si="11"/>
        <v>#N/A</v>
      </c>
    </row>
    <row r="712" spans="1:7" hidden="1" x14ac:dyDescent="0.25">
      <c r="A712" t="str">
        <f>BIdetails!G715</f>
        <v>187516</v>
      </c>
      <c r="B712" t="str">
        <f>BIdetails!H715</f>
        <v>Accenture B.V.</v>
      </c>
      <c r="C712" t="str">
        <f>BIdetails!J715</f>
        <v>5401088459</v>
      </c>
      <c r="D712" t="str">
        <f>BIdetails!K715</f>
        <v>210</v>
      </c>
      <c r="E712" s="158">
        <f>BIdetails!M715</f>
        <v>27403.14</v>
      </c>
      <c r="F712" t="str">
        <f>IF(ISERROR(IF(OR(C712="#",C712=0),"",VLOOKUP(C712,'AOP25'!M:M,1,0))),"Not Found",VLOOKUP(C712,'AOP25'!M:M,1,0))</f>
        <v>Not Found</v>
      </c>
      <c r="G712" t="e">
        <f t="shared" si="11"/>
        <v>#N/A</v>
      </c>
    </row>
    <row r="713" spans="1:7" hidden="1" x14ac:dyDescent="0.25">
      <c r="A713" t="str">
        <f>BIdetails!G716</f>
        <v>187516</v>
      </c>
      <c r="B713" t="str">
        <f>BIdetails!H716</f>
        <v>Accenture B.V.</v>
      </c>
      <c r="C713" t="str">
        <f>BIdetails!J716</f>
        <v>5401088459</v>
      </c>
      <c r="D713" t="str">
        <f>BIdetails!K716</f>
        <v>220</v>
      </c>
      <c r="E713" s="158">
        <f>BIdetails!M716</f>
        <v>5923.44</v>
      </c>
      <c r="F713" t="str">
        <f>IF(ISERROR(IF(OR(C713="#",C713=0),"",VLOOKUP(C713,'AOP25'!M:M,1,0))),"Not Found",VLOOKUP(C713,'AOP25'!M:M,1,0))</f>
        <v>Not Found</v>
      </c>
      <c r="G713" t="e">
        <f t="shared" si="11"/>
        <v>#N/A</v>
      </c>
    </row>
    <row r="714" spans="1:7" hidden="1" x14ac:dyDescent="0.25">
      <c r="A714" t="str">
        <f>BIdetails!G717</f>
        <v>187516</v>
      </c>
      <c r="B714" t="str">
        <f>BIdetails!H717</f>
        <v>Accenture B.V.</v>
      </c>
      <c r="C714" t="str">
        <f>BIdetails!J717</f>
        <v>5401088459</v>
      </c>
      <c r="D714" t="str">
        <f>BIdetails!K717</f>
        <v>230</v>
      </c>
      <c r="E714" s="158">
        <f>BIdetails!M717</f>
        <v>3166.2</v>
      </c>
      <c r="F714" t="str">
        <f>IF(ISERROR(IF(OR(C714="#",C714=0),"",VLOOKUP(C714,'AOP25'!M:M,1,0))),"Not Found",VLOOKUP(C714,'AOP25'!M:M,1,0))</f>
        <v>Not Found</v>
      </c>
      <c r="G714" t="e">
        <f t="shared" si="11"/>
        <v>#N/A</v>
      </c>
    </row>
    <row r="715" spans="1:7" hidden="1" x14ac:dyDescent="0.25">
      <c r="A715" t="str">
        <f>BIdetails!G718</f>
        <v>187516</v>
      </c>
      <c r="B715" t="str">
        <f>BIdetails!H718</f>
        <v>Accenture B.V.</v>
      </c>
      <c r="C715" t="str">
        <f>BIdetails!J718</f>
        <v>5401088459</v>
      </c>
      <c r="D715" t="str">
        <f>BIdetails!K718</f>
        <v>240</v>
      </c>
      <c r="E715" s="158">
        <f>BIdetails!M718</f>
        <v>4870.8</v>
      </c>
      <c r="F715" t="str">
        <f>IF(ISERROR(IF(OR(C715="#",C715=0),"",VLOOKUP(C715,'AOP25'!M:M,1,0))),"Not Found",VLOOKUP(C715,'AOP25'!M:M,1,0))</f>
        <v>Not Found</v>
      </c>
      <c r="G715" t="e">
        <f t="shared" si="11"/>
        <v>#N/A</v>
      </c>
    </row>
    <row r="716" spans="1:7" hidden="1" x14ac:dyDescent="0.25">
      <c r="A716" t="str">
        <f>BIdetails!G719</f>
        <v>187516</v>
      </c>
      <c r="B716" t="str">
        <f>BIdetails!H719</f>
        <v>Accenture B.V.</v>
      </c>
      <c r="C716" t="str">
        <f>BIdetails!J719</f>
        <v>5401088459</v>
      </c>
      <c r="D716" t="str">
        <f>BIdetails!K719</f>
        <v>260</v>
      </c>
      <c r="E716" s="158">
        <f>BIdetails!M719</f>
        <v>10000</v>
      </c>
      <c r="F716" t="str">
        <f>IF(ISERROR(IF(OR(C716="#",C716=0),"",VLOOKUP(C716,'AOP25'!M:M,1,0))),"Not Found",VLOOKUP(C716,'AOP25'!M:M,1,0))</f>
        <v>Not Found</v>
      </c>
      <c r="G716" t="e">
        <f t="shared" si="11"/>
        <v>#N/A</v>
      </c>
    </row>
    <row r="717" spans="1:7" hidden="1" x14ac:dyDescent="0.25">
      <c r="A717" t="str">
        <f>BIdetails!G720</f>
        <v>187516</v>
      </c>
      <c r="B717" t="str">
        <f>BIdetails!H720</f>
        <v>Accenture B.V.</v>
      </c>
      <c r="C717" t="str">
        <f>BIdetails!J720</f>
        <v>5401088459</v>
      </c>
      <c r="D717" t="str">
        <f>BIdetails!K720</f>
        <v>270</v>
      </c>
      <c r="E717" s="158">
        <f>BIdetails!M720</f>
        <v>22907.33</v>
      </c>
      <c r="F717" t="str">
        <f>IF(ISERROR(IF(OR(C717="#",C717=0),"",VLOOKUP(C717,'AOP25'!M:M,1,0))),"Not Found",VLOOKUP(C717,'AOP25'!M:M,1,0))</f>
        <v>Not Found</v>
      </c>
      <c r="G717" t="e">
        <f t="shared" si="11"/>
        <v>#N/A</v>
      </c>
    </row>
    <row r="718" spans="1:7" hidden="1" x14ac:dyDescent="0.25">
      <c r="A718" t="str">
        <f>BIdetails!G721</f>
        <v>187516</v>
      </c>
      <c r="B718" t="str">
        <f>BIdetails!H721</f>
        <v>Accenture B.V.</v>
      </c>
      <c r="C718" t="str">
        <f>BIdetails!J721</f>
        <v>5401088459</v>
      </c>
      <c r="D718" t="str">
        <f>BIdetails!K721</f>
        <v>290</v>
      </c>
      <c r="E718" s="158">
        <f>BIdetails!M721</f>
        <v>15000</v>
      </c>
      <c r="F718" t="str">
        <f>IF(ISERROR(IF(OR(C718="#",C718=0),"",VLOOKUP(C718,'AOP25'!M:M,1,0))),"Not Found",VLOOKUP(C718,'AOP25'!M:M,1,0))</f>
        <v>Not Found</v>
      </c>
      <c r="G718" t="e">
        <f t="shared" si="11"/>
        <v>#N/A</v>
      </c>
    </row>
    <row r="719" spans="1:7" hidden="1" x14ac:dyDescent="0.25">
      <c r="A719" t="str">
        <f>BIdetails!G722</f>
        <v>187516</v>
      </c>
      <c r="B719" t="str">
        <f>BIdetails!H722</f>
        <v>Accenture B.V.</v>
      </c>
      <c r="C719" t="str">
        <f>BIdetails!J722</f>
        <v>5401088459</v>
      </c>
      <c r="D719" t="str">
        <f>BIdetails!K722</f>
        <v>300</v>
      </c>
      <c r="E719" s="158">
        <f>BIdetails!M722</f>
        <v>15000</v>
      </c>
      <c r="F719" t="str">
        <f>IF(ISERROR(IF(OR(C719="#",C719=0),"",VLOOKUP(C719,'AOP25'!M:M,1,0))),"Not Found",VLOOKUP(C719,'AOP25'!M:M,1,0))</f>
        <v>Not Found</v>
      </c>
      <c r="G719" t="e">
        <f t="shared" si="11"/>
        <v>#N/A</v>
      </c>
    </row>
    <row r="720" spans="1:7" hidden="1" x14ac:dyDescent="0.25">
      <c r="A720" t="str">
        <f>BIdetails!G723</f>
        <v>187516</v>
      </c>
      <c r="B720" t="str">
        <f>BIdetails!H723</f>
        <v>Accenture B.V.</v>
      </c>
      <c r="C720" t="str">
        <f>BIdetails!J723</f>
        <v>5401088459</v>
      </c>
      <c r="D720" t="str">
        <f>BIdetails!K723</f>
        <v>280</v>
      </c>
      <c r="E720" s="158">
        <f>BIdetails!M723</f>
        <v>10000</v>
      </c>
      <c r="F720" t="str">
        <f>IF(ISERROR(IF(OR(C720="#",C720=0),"",VLOOKUP(C720,'AOP25'!M:M,1,0))),"Not Found",VLOOKUP(C720,'AOP25'!M:M,1,0))</f>
        <v>Not Found</v>
      </c>
      <c r="G720" t="e">
        <f t="shared" si="11"/>
        <v>#N/A</v>
      </c>
    </row>
    <row r="721" spans="1:7" hidden="1" x14ac:dyDescent="0.25">
      <c r="A721" t="str">
        <f>BIdetails!G724</f>
        <v>187516</v>
      </c>
      <c r="B721" t="str">
        <f>BIdetails!H724</f>
        <v>Accenture B.V.</v>
      </c>
      <c r="C721" t="str">
        <f>BIdetails!J724</f>
        <v>5401099794</v>
      </c>
      <c r="D721" t="str">
        <f>BIdetails!K724</f>
        <v>10</v>
      </c>
      <c r="E721" s="158">
        <f>BIdetails!M724</f>
        <v>75981</v>
      </c>
      <c r="F721" t="str">
        <f>IF(ISERROR(IF(OR(C721="#",C721=0),"",VLOOKUP(C721,'AOP25'!M:M,1,0))),"Not Found",VLOOKUP(C721,'AOP25'!M:M,1,0))</f>
        <v>Not Found</v>
      </c>
      <c r="G721" t="e">
        <f t="shared" si="11"/>
        <v>#N/A</v>
      </c>
    </row>
    <row r="722" spans="1:7" hidden="1" x14ac:dyDescent="0.25">
      <c r="A722" t="str">
        <f>BIdetails!G725</f>
        <v>187516</v>
      </c>
      <c r="B722" t="str">
        <f>BIdetails!H725</f>
        <v>Accenture B.V.</v>
      </c>
      <c r="C722" t="str">
        <f>BIdetails!J725</f>
        <v>5401001779</v>
      </c>
      <c r="D722" t="str">
        <f>BIdetails!K725</f>
        <v>40</v>
      </c>
      <c r="E722" s="158">
        <f>BIdetails!M725</f>
        <v>16100</v>
      </c>
      <c r="F722" t="str">
        <f>IF(ISERROR(IF(OR(C722="#",C722=0),"",VLOOKUP(C722,'AOP25'!M:M,1,0))),"Not Found",VLOOKUP(C722,'AOP25'!M:M,1,0))</f>
        <v>Not Found</v>
      </c>
      <c r="G722" t="e">
        <f t="shared" si="11"/>
        <v>#N/A</v>
      </c>
    </row>
    <row r="723" spans="1:7" hidden="1" x14ac:dyDescent="0.25">
      <c r="A723" t="str">
        <f>BIdetails!G726</f>
        <v>187516</v>
      </c>
      <c r="B723" t="str">
        <f>BIdetails!H726</f>
        <v>Accenture B.V.</v>
      </c>
      <c r="C723" t="str">
        <f>BIdetails!J726</f>
        <v>5400877269</v>
      </c>
      <c r="D723" t="str">
        <f>BIdetails!K726</f>
        <v>40</v>
      </c>
      <c r="E723" s="158">
        <f>BIdetails!M726</f>
        <v>2898.93</v>
      </c>
      <c r="F723" t="str">
        <f>IF(ISERROR(IF(OR(C723="#",C723=0),"",VLOOKUP(C723,'AOP25'!M:M,1,0))),"Not Found",VLOOKUP(C723,'AOP25'!M:M,1,0))</f>
        <v>Not Found</v>
      </c>
      <c r="G723" t="e">
        <f t="shared" si="11"/>
        <v>#N/A</v>
      </c>
    </row>
    <row r="724" spans="1:7" hidden="1" x14ac:dyDescent="0.25">
      <c r="A724" t="str">
        <f>BIdetails!G727</f>
        <v>187516</v>
      </c>
      <c r="B724" t="str">
        <f>BIdetails!H727</f>
        <v>Accenture B.V.</v>
      </c>
      <c r="C724" t="str">
        <f>BIdetails!J727</f>
        <v>5400853128</v>
      </c>
      <c r="D724" t="str">
        <f>BIdetails!K727</f>
        <v>10</v>
      </c>
      <c r="E724" s="158">
        <f>BIdetails!M727</f>
        <v>39348</v>
      </c>
      <c r="F724" t="str">
        <f>IF(ISERROR(IF(OR(C724="#",C724=0),"",VLOOKUP(C724,'AOP25'!M:M,1,0))),"Not Found",VLOOKUP(C724,'AOP25'!M:M,1,0))</f>
        <v>Not Found</v>
      </c>
      <c r="G724" t="e">
        <f t="shared" si="11"/>
        <v>#N/A</v>
      </c>
    </row>
    <row r="725" spans="1:7" hidden="1" x14ac:dyDescent="0.25">
      <c r="A725" t="str">
        <f>BIdetails!G728</f>
        <v>187516</v>
      </c>
      <c r="B725" t="str">
        <f>BIdetails!H728</f>
        <v>Accenture B.V.</v>
      </c>
      <c r="C725" t="str">
        <f>BIdetails!J728</f>
        <v>5401023508</v>
      </c>
      <c r="D725" t="str">
        <f>BIdetails!K728</f>
        <v>250</v>
      </c>
      <c r="E725" s="158">
        <f>BIdetails!M728</f>
        <v>-3366.11</v>
      </c>
      <c r="F725" t="str">
        <f>IF(ISERROR(IF(OR(C725="#",C725=0),"",VLOOKUP(C725,'AOP25'!M:M,1,0))),"Not Found",VLOOKUP(C725,'AOP25'!M:M,1,0))</f>
        <v>Not Found</v>
      </c>
      <c r="G725" t="e">
        <f t="shared" si="11"/>
        <v>#N/A</v>
      </c>
    </row>
    <row r="726" spans="1:7" hidden="1" x14ac:dyDescent="0.25">
      <c r="A726" t="str">
        <f>BIdetails!G729</f>
        <v>187516</v>
      </c>
      <c r="B726" t="str">
        <f>BIdetails!H729</f>
        <v>Accenture B.V.</v>
      </c>
      <c r="C726" t="str">
        <f>BIdetails!J729</f>
        <v>5401046469</v>
      </c>
      <c r="D726" t="str">
        <f>BIdetails!K729</f>
        <v>10</v>
      </c>
      <c r="E726" s="158">
        <f>BIdetails!M729</f>
        <v>-6150</v>
      </c>
      <c r="F726" t="str">
        <f>IF(ISERROR(IF(OR(C726="#",C726=0),"",VLOOKUP(C726,'AOP25'!M:M,1,0))),"Not Found",VLOOKUP(C726,'AOP25'!M:M,1,0))</f>
        <v>Not Found</v>
      </c>
      <c r="G726" t="e">
        <f t="shared" si="11"/>
        <v>#N/A</v>
      </c>
    </row>
    <row r="727" spans="1:7" x14ac:dyDescent="0.25">
      <c r="A727" t="str">
        <f>BIdetails!G730</f>
        <v>187516</v>
      </c>
      <c r="B727" t="str">
        <f>BIdetails!H730</f>
        <v>Accenture B.V.</v>
      </c>
      <c r="C727" t="str">
        <f>BIdetails!J730</f>
        <v>5401046469</v>
      </c>
      <c r="D727" t="str">
        <f>BIdetails!K730</f>
        <v>10</v>
      </c>
      <c r="E727" s="158">
        <f>BIdetails!M730</f>
        <v>6150</v>
      </c>
      <c r="F727" t="str">
        <f>IF(ISERROR(IF(OR(C727="#",C727=0),"",VLOOKUP(C727,'AOP25'!M:M,1,0))),"Not Found",VLOOKUP(C727,'AOP25'!M:M,1,0))</f>
        <v>Not Found</v>
      </c>
      <c r="G727" t="e">
        <f t="shared" si="11"/>
        <v>#N/A</v>
      </c>
    </row>
    <row r="728" spans="1:7" hidden="1" x14ac:dyDescent="0.25">
      <c r="A728" t="str">
        <f>BIdetails!G731</f>
        <v>187516</v>
      </c>
      <c r="B728" t="str">
        <f>BIdetails!H731</f>
        <v>Accenture B.V.</v>
      </c>
      <c r="C728" t="str">
        <f>BIdetails!J731</f>
        <v>5401023508</v>
      </c>
      <c r="D728" t="str">
        <f>BIdetails!K731</f>
        <v>250</v>
      </c>
      <c r="E728" s="158">
        <f>BIdetails!M731</f>
        <v>3366.11</v>
      </c>
      <c r="F728" t="str">
        <f>IF(ISERROR(IF(OR(C728="#",C728=0),"",VLOOKUP(C728,'AOP25'!M:M,1,0))),"Not Found",VLOOKUP(C728,'AOP25'!M:M,1,0))</f>
        <v>Not Found</v>
      </c>
      <c r="G728" t="e">
        <f t="shared" si="11"/>
        <v>#N/A</v>
      </c>
    </row>
    <row r="729" spans="1:7" hidden="1" x14ac:dyDescent="0.25">
      <c r="A729" t="str">
        <f>BIdetails!G732</f>
        <v>187516</v>
      </c>
      <c r="B729" t="str">
        <f>BIdetails!H732</f>
        <v>Accenture B.V.</v>
      </c>
      <c r="C729" t="str">
        <f>BIdetails!J732</f>
        <v>5401088459</v>
      </c>
      <c r="D729" t="str">
        <f>BIdetails!K732</f>
        <v>10</v>
      </c>
      <c r="E729" s="158">
        <f>BIdetails!M732</f>
        <v>-0.2</v>
      </c>
      <c r="F729" t="str">
        <f>IF(ISERROR(IF(OR(C729="#",C729=0),"",VLOOKUP(C729,'AOP25'!M:M,1,0))),"Not Found",VLOOKUP(C729,'AOP25'!M:M,1,0))</f>
        <v>Not Found</v>
      </c>
      <c r="G729" t="e">
        <f t="shared" si="11"/>
        <v>#N/A</v>
      </c>
    </row>
    <row r="730" spans="1:7" hidden="1" x14ac:dyDescent="0.25">
      <c r="A730" t="str">
        <f>BIdetails!G733</f>
        <v>187516</v>
      </c>
      <c r="B730" t="str">
        <f>BIdetails!H733</f>
        <v>Accenture B.V.</v>
      </c>
      <c r="C730" t="str">
        <f>BIdetails!J733</f>
        <v>5401045581</v>
      </c>
      <c r="D730" t="str">
        <f>BIdetails!K733</f>
        <v>10</v>
      </c>
      <c r="E730" s="158">
        <f>BIdetails!M733</f>
        <v>1130</v>
      </c>
      <c r="F730" t="str">
        <f>IF(ISERROR(IF(OR(C730="#",C730=0),"",VLOOKUP(C730,'AOP25'!M:M,1,0))),"Not Found",VLOOKUP(C730,'AOP25'!M:M,1,0))</f>
        <v>Not Found</v>
      </c>
      <c r="G730" t="e">
        <f t="shared" si="11"/>
        <v>#N/A</v>
      </c>
    </row>
    <row r="731" spans="1:7" hidden="1" x14ac:dyDescent="0.25">
      <c r="A731" t="str">
        <f>BIdetails!G734</f>
        <v>187516</v>
      </c>
      <c r="B731" t="str">
        <f>BIdetails!H734</f>
        <v>Accenture B.V.</v>
      </c>
      <c r="C731" t="str">
        <f>BIdetails!J734</f>
        <v>5401082177</v>
      </c>
      <c r="D731" t="str">
        <f>BIdetails!K734</f>
        <v>10</v>
      </c>
      <c r="E731" s="158">
        <f>BIdetails!M734</f>
        <v>-1204</v>
      </c>
      <c r="F731" t="str">
        <f>IF(ISERROR(IF(OR(C731="#",C731=0),"",VLOOKUP(C731,'AOP25'!M:M,1,0))),"Not Found",VLOOKUP(C731,'AOP25'!M:M,1,0))</f>
        <v>Not Found</v>
      </c>
      <c r="G731" t="e">
        <f t="shared" si="11"/>
        <v>#N/A</v>
      </c>
    </row>
    <row r="732" spans="1:7" x14ac:dyDescent="0.25">
      <c r="A732" t="str">
        <f>BIdetails!G735</f>
        <v>187516</v>
      </c>
      <c r="B732" t="str">
        <f>BIdetails!H735</f>
        <v>Accenture B.V.</v>
      </c>
      <c r="C732" t="str">
        <f>BIdetails!J735</f>
        <v>5401045581</v>
      </c>
      <c r="D732" t="str">
        <f>BIdetails!K735</f>
        <v>10</v>
      </c>
      <c r="E732" s="158">
        <f>BIdetails!M735</f>
        <v>-1130</v>
      </c>
      <c r="F732" t="str">
        <f>IF(ISERROR(IF(OR(C732="#",C732=0),"",VLOOKUP(C732,'AOP25'!M:M,1,0))),"Not Found",VLOOKUP(C732,'AOP25'!M:M,1,0))</f>
        <v>Not Found</v>
      </c>
      <c r="G732" t="e">
        <f t="shared" si="11"/>
        <v>#N/A</v>
      </c>
    </row>
    <row r="733" spans="1:7" x14ac:dyDescent="0.25">
      <c r="A733" t="str">
        <f>BIdetails!G736</f>
        <v>187516</v>
      </c>
      <c r="B733" t="str">
        <f>BIdetails!H736</f>
        <v>Accenture B.V.</v>
      </c>
      <c r="C733" t="str">
        <f>BIdetails!J736</f>
        <v>5401088459</v>
      </c>
      <c r="D733" t="str">
        <f>BIdetails!K736</f>
        <v>150</v>
      </c>
      <c r="E733" s="158">
        <f>BIdetails!M736</f>
        <v>-12.66</v>
      </c>
      <c r="F733" t="str">
        <f>IF(ISERROR(IF(OR(C733="#",C733=0),"",VLOOKUP(C733,'AOP25'!M:M,1,0))),"Not Found",VLOOKUP(C733,'AOP25'!M:M,1,0))</f>
        <v>Not Found</v>
      </c>
      <c r="G733" t="e">
        <f t="shared" si="11"/>
        <v>#N/A</v>
      </c>
    </row>
    <row r="734" spans="1:7" x14ac:dyDescent="0.25">
      <c r="A734" t="str">
        <f>BIdetails!G737</f>
        <v>187516</v>
      </c>
      <c r="B734" t="str">
        <f>BIdetails!H737</f>
        <v>Accenture B.V.</v>
      </c>
      <c r="C734" t="str">
        <f>BIdetails!J737</f>
        <v>5401103107</v>
      </c>
      <c r="D734" t="str">
        <f>BIdetails!K737</f>
        <v>10</v>
      </c>
      <c r="E734" s="158">
        <f>BIdetails!M737</f>
        <v>-2461.25</v>
      </c>
      <c r="F734" t="str">
        <f>IF(ISERROR(IF(OR(C734="#",C734=0),"",VLOOKUP(C734,'AOP25'!M:M,1,0))),"Not Found",VLOOKUP(C734,'AOP25'!M:M,1,0))</f>
        <v>Not Found</v>
      </c>
      <c r="G734" t="e">
        <f t="shared" si="11"/>
        <v>#N/A</v>
      </c>
    </row>
    <row r="735" spans="1:7" x14ac:dyDescent="0.25">
      <c r="A735" t="str">
        <f>BIdetails!G738</f>
        <v>187516</v>
      </c>
      <c r="B735" t="str">
        <f>BIdetails!H738</f>
        <v>Accenture B.V.</v>
      </c>
      <c r="C735" t="str">
        <f>BIdetails!J738</f>
        <v>5401102219</v>
      </c>
      <c r="D735" t="str">
        <f>BIdetails!K738</f>
        <v>10</v>
      </c>
      <c r="E735" s="158">
        <f>BIdetails!M738</f>
        <v>-1241</v>
      </c>
      <c r="F735" t="str">
        <f>IF(ISERROR(IF(OR(C735="#",C735=0),"",VLOOKUP(C735,'AOP25'!M:M,1,0))),"Not Found",VLOOKUP(C735,'AOP25'!M:M,1,0))</f>
        <v>Not Found</v>
      </c>
      <c r="G735" t="e">
        <f t="shared" si="11"/>
        <v>#N/A</v>
      </c>
    </row>
    <row r="736" spans="1:7" x14ac:dyDescent="0.25">
      <c r="A736" t="str">
        <f>BIdetails!G739</f>
        <v>187516</v>
      </c>
      <c r="B736" t="str">
        <f>BIdetails!H739</f>
        <v>Accenture B.V.</v>
      </c>
      <c r="C736" t="str">
        <f>BIdetails!J739</f>
        <v>5401023508</v>
      </c>
      <c r="D736" t="str">
        <f>BIdetails!K739</f>
        <v>110</v>
      </c>
      <c r="E736" s="158">
        <f>BIdetails!M739</f>
        <v>-101124.39</v>
      </c>
      <c r="F736" t="str">
        <f>IF(ISERROR(IF(OR(C736="#",C736=0),"",VLOOKUP(C736,'AOP25'!M:M,1,0))),"Not Found",VLOOKUP(C736,'AOP25'!M:M,1,0))</f>
        <v>Not Found</v>
      </c>
      <c r="G736" t="e">
        <f t="shared" si="11"/>
        <v>#N/A</v>
      </c>
    </row>
    <row r="737" spans="1:7" x14ac:dyDescent="0.25">
      <c r="A737" t="str">
        <f>BIdetails!G740</f>
        <v>187516</v>
      </c>
      <c r="B737" t="str">
        <f>BIdetails!H740</f>
        <v>Accenture B.V.</v>
      </c>
      <c r="C737" t="str">
        <f>BIdetails!J740</f>
        <v>5401023508</v>
      </c>
      <c r="D737" t="str">
        <f>BIdetails!K740</f>
        <v>110</v>
      </c>
      <c r="E737" s="158">
        <f>BIdetails!M740</f>
        <v>-101124.38</v>
      </c>
      <c r="F737" t="str">
        <f>IF(ISERROR(IF(OR(C737="#",C737=0),"",VLOOKUP(C737,'AOP25'!M:M,1,0))),"Not Found",VLOOKUP(C737,'AOP25'!M:M,1,0))</f>
        <v>Not Found</v>
      </c>
      <c r="G737" t="e">
        <f t="shared" si="11"/>
        <v>#N/A</v>
      </c>
    </row>
    <row r="738" spans="1:7" x14ac:dyDescent="0.25">
      <c r="A738" t="str">
        <f>BIdetails!G741</f>
        <v>#</v>
      </c>
      <c r="B738" t="str">
        <f>BIdetails!H741</f>
        <v>Not assigned</v>
      </c>
      <c r="C738" t="str">
        <f>BIdetails!J741</f>
        <v>#</v>
      </c>
      <c r="D738" t="str">
        <f>BIdetails!K741</f>
        <v>#</v>
      </c>
      <c r="E738" s="158">
        <f>BIdetails!M741</f>
        <v>7982.96</v>
      </c>
      <c r="F738" t="e">
        <f>IF(ISERROR(IF(OR(C738="#",C738=0),"",VLOOKUP(C738,'AOP25'!M:M,1,0))),"Not Found",VLOOKUP(C738,'AOP25'!M:M,1,0))</f>
        <v>#N/A</v>
      </c>
      <c r="G738" t="e">
        <f t="shared" si="11"/>
        <v>#N/A</v>
      </c>
    </row>
    <row r="739" spans="1:7" x14ac:dyDescent="0.25">
      <c r="A739" t="str">
        <f>BIdetails!G742</f>
        <v>#</v>
      </c>
      <c r="B739" t="str">
        <f>BIdetails!H742</f>
        <v>Not assigned</v>
      </c>
      <c r="C739" t="str">
        <f>BIdetails!J742</f>
        <v>#</v>
      </c>
      <c r="D739" t="str">
        <f>BIdetails!K742</f>
        <v>#</v>
      </c>
      <c r="E739" s="158">
        <f>BIdetails!M742</f>
        <v>-15965.92</v>
      </c>
      <c r="F739" t="e">
        <f>IF(ISERROR(IF(OR(C739="#",C739=0),"",VLOOKUP(C739,'AOP25'!M:M,1,0))),"Not Found",VLOOKUP(C739,'AOP25'!M:M,1,0))</f>
        <v>#N/A</v>
      </c>
      <c r="G739" t="e">
        <f t="shared" si="11"/>
        <v>#N/A</v>
      </c>
    </row>
    <row r="740" spans="1:7" x14ac:dyDescent="0.25">
      <c r="A740" t="str">
        <f>BIdetails!G743</f>
        <v>#</v>
      </c>
      <c r="B740" t="str">
        <f>BIdetails!H743</f>
        <v>Not assigned</v>
      </c>
      <c r="C740" t="str">
        <f>BIdetails!J743</f>
        <v>#</v>
      </c>
      <c r="D740" t="str">
        <f>BIdetails!K743</f>
        <v>#</v>
      </c>
      <c r="E740" s="158">
        <f>BIdetails!M743</f>
        <v>-53040</v>
      </c>
      <c r="F740" t="e">
        <f>IF(ISERROR(IF(OR(C740="#",C740=0),"",VLOOKUP(C740,'AOP25'!M:M,1,0))),"Not Found",VLOOKUP(C740,'AOP25'!M:M,1,0))</f>
        <v>#N/A</v>
      </c>
      <c r="G740" t="e">
        <f t="shared" si="11"/>
        <v>#N/A</v>
      </c>
    </row>
    <row r="741" spans="1:7" x14ac:dyDescent="0.25">
      <c r="A741" t="str">
        <f>BIdetails!G744</f>
        <v>#</v>
      </c>
      <c r="B741" t="str">
        <f>BIdetails!H744</f>
        <v>Not assigned</v>
      </c>
      <c r="C741" t="str">
        <f>BIdetails!J744</f>
        <v>#</v>
      </c>
      <c r="D741" t="str">
        <f>BIdetails!K744</f>
        <v>#</v>
      </c>
      <c r="E741" s="158">
        <f>BIdetails!M744</f>
        <v>-28676.38</v>
      </c>
      <c r="F741" t="e">
        <f>IF(ISERROR(IF(OR(C741="#",C741=0),"",VLOOKUP(C741,'AOP25'!M:M,1,0))),"Not Found",VLOOKUP(C741,'AOP25'!M:M,1,0))</f>
        <v>#N/A</v>
      </c>
      <c r="G741" t="e">
        <f t="shared" si="11"/>
        <v>#N/A</v>
      </c>
    </row>
    <row r="742" spans="1:7" x14ac:dyDescent="0.25">
      <c r="A742" t="str">
        <f>BIdetails!G745</f>
        <v>#</v>
      </c>
      <c r="B742" t="str">
        <f>BIdetails!H745</f>
        <v>Not assigned</v>
      </c>
      <c r="C742" t="str">
        <f>BIdetails!J745</f>
        <v>#</v>
      </c>
      <c r="D742" t="str">
        <f>BIdetails!K745</f>
        <v>#</v>
      </c>
      <c r="E742" s="158">
        <f>BIdetails!M745</f>
        <v>0</v>
      </c>
      <c r="F742" t="e">
        <f>IF(ISERROR(IF(OR(C742="#",C742=0),"",VLOOKUP(C742,'AOP25'!M:M,1,0))),"Not Found",VLOOKUP(C742,'AOP25'!M:M,1,0))</f>
        <v>#N/A</v>
      </c>
      <c r="G742" t="e">
        <f t="shared" si="11"/>
        <v>#N/A</v>
      </c>
    </row>
    <row r="743" spans="1:7" x14ac:dyDescent="0.25">
      <c r="A743" t="str">
        <f>BIdetails!G746</f>
        <v>115995</v>
      </c>
      <c r="B743" t="str">
        <f>BIdetails!H746</f>
        <v>Methec B.V.</v>
      </c>
      <c r="C743" t="str">
        <f>BIdetails!J746</f>
        <v>5401062201</v>
      </c>
      <c r="D743" t="str">
        <f>BIdetails!K746</f>
        <v>10</v>
      </c>
      <c r="E743" s="158">
        <f>BIdetails!M746</f>
        <v>1695</v>
      </c>
      <c r="F743" t="str">
        <f>IF(ISERROR(IF(OR(C743="#",C743=0),"",VLOOKUP(C743,'AOP25'!M:M,1,0))),"Not Found",VLOOKUP(C743,'AOP25'!M:M,1,0))</f>
        <v>Not Found</v>
      </c>
      <c r="G743" t="e">
        <f t="shared" si="11"/>
        <v>#N/A</v>
      </c>
    </row>
    <row r="744" spans="1:7" x14ac:dyDescent="0.25">
      <c r="A744" t="str">
        <f>BIdetails!G747</f>
        <v>115995</v>
      </c>
      <c r="B744" t="str">
        <f>BIdetails!H747</f>
        <v>Methec B.V.</v>
      </c>
      <c r="C744" t="str">
        <f>BIdetails!J747</f>
        <v>5401062201</v>
      </c>
      <c r="D744" t="str">
        <f>BIdetails!K747</f>
        <v>10</v>
      </c>
      <c r="E744" s="158">
        <f>BIdetails!M747</f>
        <v>2002.5</v>
      </c>
      <c r="F744" t="str">
        <f>IF(ISERROR(IF(OR(C744="#",C744=0),"",VLOOKUP(C744,'AOP25'!M:M,1,0))),"Not Found",VLOOKUP(C744,'AOP25'!M:M,1,0))</f>
        <v>Not Found</v>
      </c>
      <c r="G744" t="e">
        <f t="shared" si="11"/>
        <v>#N/A</v>
      </c>
    </row>
    <row r="745" spans="1:7" x14ac:dyDescent="0.25">
      <c r="A745" t="str">
        <f>BIdetails!G748</f>
        <v>115995</v>
      </c>
      <c r="B745" t="str">
        <f>BIdetails!H748</f>
        <v>Methec B.V.</v>
      </c>
      <c r="C745" t="str">
        <f>BIdetails!J748</f>
        <v>5401093290</v>
      </c>
      <c r="D745" t="str">
        <f>BIdetails!K748</f>
        <v>10</v>
      </c>
      <c r="E745" s="158">
        <f>BIdetails!M748</f>
        <v>1610</v>
      </c>
      <c r="F745" t="str">
        <f>IF(ISERROR(IF(OR(C745="#",C745=0),"",VLOOKUP(C745,'AOP25'!M:M,1,0))),"Not Found",VLOOKUP(C745,'AOP25'!M:M,1,0))</f>
        <v>Not Found</v>
      </c>
      <c r="G745" t="e">
        <f t="shared" si="11"/>
        <v>#N/A</v>
      </c>
    </row>
    <row r="746" spans="1:7" x14ac:dyDescent="0.25">
      <c r="A746" t="str">
        <f>BIdetails!G749</f>
        <v>115995</v>
      </c>
      <c r="B746" t="str">
        <f>BIdetails!H749</f>
        <v>Methec B.V.</v>
      </c>
      <c r="C746" t="str">
        <f>BIdetails!J749</f>
        <v>5401093290</v>
      </c>
      <c r="D746" t="str">
        <f>BIdetails!K749</f>
        <v>10</v>
      </c>
      <c r="E746" s="158">
        <f>BIdetails!M749</f>
        <v>3124.5</v>
      </c>
      <c r="F746" t="str">
        <f>IF(ISERROR(IF(OR(C746="#",C746=0),"",VLOOKUP(C746,'AOP25'!M:M,1,0))),"Not Found",VLOOKUP(C746,'AOP25'!M:M,1,0))</f>
        <v>Not Found</v>
      </c>
      <c r="G746" t="e">
        <f t="shared" si="11"/>
        <v>#N/A</v>
      </c>
    </row>
    <row r="747" spans="1:7" x14ac:dyDescent="0.25">
      <c r="A747" t="str">
        <f>BIdetails!G750</f>
        <v>115995</v>
      </c>
      <c r="B747" t="str">
        <f>BIdetails!H750</f>
        <v>Methec B.V.</v>
      </c>
      <c r="C747" t="str">
        <f>BIdetails!J750</f>
        <v>5401093290</v>
      </c>
      <c r="D747" t="str">
        <f>BIdetails!K750</f>
        <v>10</v>
      </c>
      <c r="E747" s="158">
        <f>BIdetails!M750</f>
        <v>5973</v>
      </c>
      <c r="F747" t="str">
        <f>IF(ISERROR(IF(OR(C747="#",C747=0),"",VLOOKUP(C747,'AOP25'!M:M,1,0))),"Not Found",VLOOKUP(C747,'AOP25'!M:M,1,0))</f>
        <v>Not Found</v>
      </c>
      <c r="G747" t="e">
        <f t="shared" si="11"/>
        <v>#N/A</v>
      </c>
    </row>
    <row r="748" spans="1:7" x14ac:dyDescent="0.25">
      <c r="A748" t="str">
        <f>BIdetails!G751</f>
        <v>115995</v>
      </c>
      <c r="B748" t="str">
        <f>BIdetails!H751</f>
        <v>Methec B.V.</v>
      </c>
      <c r="C748" t="str">
        <f>BIdetails!J751</f>
        <v>5401093290</v>
      </c>
      <c r="D748" t="str">
        <f>BIdetails!K751</f>
        <v>10</v>
      </c>
      <c r="E748" s="158">
        <f>BIdetails!M751</f>
        <v>3971.5</v>
      </c>
      <c r="F748" t="str">
        <f>IF(ISERROR(IF(OR(C748="#",C748=0),"",VLOOKUP(C748,'AOP25'!M:M,1,0))),"Not Found",VLOOKUP(C748,'AOP25'!M:M,1,0))</f>
        <v>Not Found</v>
      </c>
      <c r="G748" t="e">
        <f t="shared" si="11"/>
        <v>#N/A</v>
      </c>
    </row>
    <row r="749" spans="1:7" x14ac:dyDescent="0.25">
      <c r="A749" t="str">
        <f>BIdetails!G752</f>
        <v>115995</v>
      </c>
      <c r="B749" t="str">
        <f>BIdetails!H752</f>
        <v>Methec B.V.</v>
      </c>
      <c r="C749" t="str">
        <f>BIdetails!J752</f>
        <v>5401093290</v>
      </c>
      <c r="D749" t="str">
        <f>BIdetails!K752</f>
        <v>10</v>
      </c>
      <c r="E749" s="158">
        <f>BIdetails!M752</f>
        <v>0.5</v>
      </c>
      <c r="F749" t="str">
        <f>IF(ISERROR(IF(OR(C749="#",C749=0),"",VLOOKUP(C749,'AOP25'!M:M,1,0))),"Not Found",VLOOKUP(C749,'AOP25'!M:M,1,0))</f>
        <v>Not Found</v>
      </c>
      <c r="G749" t="e">
        <f t="shared" si="11"/>
        <v>#N/A</v>
      </c>
    </row>
    <row r="750" spans="1:7" hidden="1" x14ac:dyDescent="0.25">
      <c r="A750" t="str">
        <f>BIdetails!G753</f>
        <v>120252</v>
      </c>
      <c r="B750" t="str">
        <f>BIdetails!H753</f>
        <v>Eviden Netherlands B.V.</v>
      </c>
      <c r="C750" t="str">
        <f>BIdetails!J753</f>
        <v>5401023593</v>
      </c>
      <c r="D750" t="str">
        <f>BIdetails!K753</f>
        <v>10</v>
      </c>
      <c r="E750" s="158">
        <f>BIdetails!M753</f>
        <v>-296.95999999999998</v>
      </c>
      <c r="F750" t="str">
        <f>IF(ISERROR(IF(OR(C750="#",C750=0),"",VLOOKUP(C750,'AOP25'!M:M,1,0))),"Not Found",VLOOKUP(C750,'AOP25'!M:M,1,0))</f>
        <v>Not Found</v>
      </c>
      <c r="G750" t="e">
        <f t="shared" si="11"/>
        <v>#N/A</v>
      </c>
    </row>
    <row r="751" spans="1:7" hidden="1" x14ac:dyDescent="0.25">
      <c r="A751" t="str">
        <f>BIdetails!G754</f>
        <v>120252</v>
      </c>
      <c r="B751" t="str">
        <f>BIdetails!H754</f>
        <v>Eviden Netherlands B.V.</v>
      </c>
      <c r="C751" t="str">
        <f>BIdetails!J754</f>
        <v>5401023593</v>
      </c>
      <c r="D751" t="str">
        <f>BIdetails!K754</f>
        <v>10</v>
      </c>
      <c r="E751" s="158">
        <f>BIdetails!M754</f>
        <v>328.84</v>
      </c>
      <c r="F751" t="str">
        <f>IF(ISERROR(IF(OR(C751="#",C751=0),"",VLOOKUP(C751,'AOP25'!M:M,1,0))),"Not Found",VLOOKUP(C751,'AOP25'!M:M,1,0))</f>
        <v>Not Found</v>
      </c>
      <c r="G751" t="e">
        <f t="shared" si="11"/>
        <v>#N/A</v>
      </c>
    </row>
    <row r="752" spans="1:7" hidden="1" x14ac:dyDescent="0.25">
      <c r="A752" t="str">
        <f>BIdetails!G755</f>
        <v>120252</v>
      </c>
      <c r="B752" t="str">
        <f>BIdetails!H755</f>
        <v>Eviden Netherlands B.V.</v>
      </c>
      <c r="C752" t="str">
        <f>BIdetails!J755</f>
        <v>5401023593</v>
      </c>
      <c r="D752" t="str">
        <f>BIdetails!K755</f>
        <v>10</v>
      </c>
      <c r="E752" s="158">
        <f>BIdetails!M755</f>
        <v>340.19</v>
      </c>
      <c r="F752" t="str">
        <f>IF(ISERROR(IF(OR(C752="#",C752=0),"",VLOOKUP(C752,'AOP25'!M:M,1,0))),"Not Found",VLOOKUP(C752,'AOP25'!M:M,1,0))</f>
        <v>Not Found</v>
      </c>
      <c r="G752" t="e">
        <f t="shared" si="11"/>
        <v>#N/A</v>
      </c>
    </row>
    <row r="753" spans="1:7" hidden="1" x14ac:dyDescent="0.25">
      <c r="A753" t="str">
        <f>BIdetails!G756</f>
        <v>120252</v>
      </c>
      <c r="B753" t="str">
        <f>BIdetails!H756</f>
        <v>Eviden Netherlands B.V.</v>
      </c>
      <c r="C753" t="str">
        <f>BIdetails!J756</f>
        <v>5401087893</v>
      </c>
      <c r="D753" t="str">
        <f>BIdetails!K756</f>
        <v>10</v>
      </c>
      <c r="E753" s="158">
        <f>BIdetails!M756</f>
        <v>250</v>
      </c>
      <c r="F753" t="str">
        <f>IF(ISERROR(IF(OR(C753="#",C753=0),"",VLOOKUP(C753,'AOP25'!M:M,1,0))),"Not Found",VLOOKUP(C753,'AOP25'!M:M,1,0))</f>
        <v>Not Found</v>
      </c>
      <c r="G753" t="e">
        <f t="shared" si="11"/>
        <v>#N/A</v>
      </c>
    </row>
    <row r="754" spans="1:7" hidden="1" x14ac:dyDescent="0.25">
      <c r="A754" t="str">
        <f>BIdetails!G757</f>
        <v>120252</v>
      </c>
      <c r="B754" t="str">
        <f>BIdetails!H757</f>
        <v>Eviden Netherlands B.V.</v>
      </c>
      <c r="C754" t="str">
        <f>BIdetails!J757</f>
        <v>5401087893</v>
      </c>
      <c r="D754" t="str">
        <f>BIdetails!K757</f>
        <v>10</v>
      </c>
      <c r="E754" s="158">
        <f>BIdetails!M757</f>
        <v>250</v>
      </c>
      <c r="F754" t="str">
        <f>IF(ISERROR(IF(OR(C754="#",C754=0),"",VLOOKUP(C754,'AOP25'!M:M,1,0))),"Not Found",VLOOKUP(C754,'AOP25'!M:M,1,0))</f>
        <v>Not Found</v>
      </c>
      <c r="G754" t="e">
        <f t="shared" si="11"/>
        <v>#N/A</v>
      </c>
    </row>
    <row r="755" spans="1:7" hidden="1" x14ac:dyDescent="0.25">
      <c r="A755" t="str">
        <f>BIdetails!G758</f>
        <v>120252</v>
      </c>
      <c r="B755" t="str">
        <f>BIdetails!H758</f>
        <v>Eviden Netherlands B.V.</v>
      </c>
      <c r="C755" t="str">
        <f>BIdetails!J758</f>
        <v>5401087893</v>
      </c>
      <c r="D755" t="str">
        <f>BIdetails!K758</f>
        <v>10</v>
      </c>
      <c r="E755" s="158">
        <f>BIdetails!M758</f>
        <v>17.53</v>
      </c>
      <c r="F755" t="str">
        <f>IF(ISERROR(IF(OR(C755="#",C755=0),"",VLOOKUP(C755,'AOP25'!M:M,1,0))),"Not Found",VLOOKUP(C755,'AOP25'!M:M,1,0))</f>
        <v>Not Found</v>
      </c>
      <c r="G755" t="e">
        <f t="shared" si="11"/>
        <v>#N/A</v>
      </c>
    </row>
    <row r="756" spans="1:7" hidden="1" x14ac:dyDescent="0.25">
      <c r="A756" t="str">
        <f>BIdetails!G759</f>
        <v>120252</v>
      </c>
      <c r="B756" t="str">
        <f>BIdetails!H759</f>
        <v>Eviden Netherlands B.V.</v>
      </c>
      <c r="C756" t="str">
        <f>BIdetails!J759</f>
        <v>5401087893</v>
      </c>
      <c r="D756" t="str">
        <f>BIdetails!K759</f>
        <v>10</v>
      </c>
      <c r="E756" s="158">
        <f>BIdetails!M759</f>
        <v>-250</v>
      </c>
      <c r="F756" t="str">
        <f>IF(ISERROR(IF(OR(C756="#",C756=0),"",VLOOKUP(C756,'AOP25'!M:M,1,0))),"Not Found",VLOOKUP(C756,'AOP25'!M:M,1,0))</f>
        <v>Not Found</v>
      </c>
      <c r="G756" t="e">
        <f t="shared" si="11"/>
        <v>#N/A</v>
      </c>
    </row>
    <row r="757" spans="1:7" hidden="1" x14ac:dyDescent="0.25">
      <c r="A757" t="str">
        <f>BIdetails!G760</f>
        <v>120252</v>
      </c>
      <c r="B757" t="str">
        <f>BIdetails!H760</f>
        <v>Eviden Netherlands B.V.</v>
      </c>
      <c r="C757" t="str">
        <f>BIdetails!J760</f>
        <v>5401087893</v>
      </c>
      <c r="D757" t="str">
        <f>BIdetails!K760</f>
        <v>10</v>
      </c>
      <c r="E757" s="158">
        <f>BIdetails!M760</f>
        <v>103.49</v>
      </c>
      <c r="F757" t="str">
        <f>IF(ISERROR(IF(OR(C757="#",C757=0),"",VLOOKUP(C757,'AOP25'!M:M,1,0))),"Not Found",VLOOKUP(C757,'AOP25'!M:M,1,0))</f>
        <v>Not Found</v>
      </c>
      <c r="G757" t="e">
        <f t="shared" si="11"/>
        <v>#N/A</v>
      </c>
    </row>
    <row r="758" spans="1:7" hidden="1" x14ac:dyDescent="0.25">
      <c r="A758" t="str">
        <f>BIdetails!G761</f>
        <v>120252</v>
      </c>
      <c r="B758" t="str">
        <f>BIdetails!H761</f>
        <v>Eviden Netherlands B.V.</v>
      </c>
      <c r="C758" t="str">
        <f>BIdetails!J761</f>
        <v>5401087893</v>
      </c>
      <c r="D758" t="str">
        <f>BIdetails!K761</f>
        <v>10</v>
      </c>
      <c r="E758" s="158">
        <f>BIdetails!M761</f>
        <v>97.55</v>
      </c>
      <c r="F758" t="str">
        <f>IF(ISERROR(IF(OR(C758="#",C758=0),"",VLOOKUP(C758,'AOP25'!M:M,1,0))),"Not Found",VLOOKUP(C758,'AOP25'!M:M,1,0))</f>
        <v>Not Found</v>
      </c>
      <c r="G758" t="e">
        <f t="shared" si="11"/>
        <v>#N/A</v>
      </c>
    </row>
    <row r="759" spans="1:7" hidden="1" x14ac:dyDescent="0.25">
      <c r="A759" t="str">
        <f>BIdetails!G762</f>
        <v>120252</v>
      </c>
      <c r="B759" t="str">
        <f>BIdetails!H762</f>
        <v>Eviden Netherlands B.V.</v>
      </c>
      <c r="C759" t="str">
        <f>BIdetails!J762</f>
        <v>5401087893</v>
      </c>
      <c r="D759" t="str">
        <f>BIdetails!K762</f>
        <v>10</v>
      </c>
      <c r="E759" s="158">
        <f>BIdetails!M762</f>
        <v>145.59</v>
      </c>
      <c r="F759" t="str">
        <f>IF(ISERROR(IF(OR(C759="#",C759=0),"",VLOOKUP(C759,'AOP25'!M:M,1,0))),"Not Found",VLOOKUP(C759,'AOP25'!M:M,1,0))</f>
        <v>Not Found</v>
      </c>
      <c r="G759" t="e">
        <f t="shared" si="11"/>
        <v>#N/A</v>
      </c>
    </row>
    <row r="760" spans="1:7" hidden="1" x14ac:dyDescent="0.25">
      <c r="A760" t="str">
        <f>BIdetails!G763</f>
        <v>120252</v>
      </c>
      <c r="B760" t="str">
        <f>BIdetails!H763</f>
        <v>Eviden Netherlands B.V.</v>
      </c>
      <c r="C760" t="str">
        <f>BIdetails!J763</f>
        <v>5401087893</v>
      </c>
      <c r="D760" t="str">
        <f>BIdetails!K763</f>
        <v>10</v>
      </c>
      <c r="E760" s="158">
        <f>BIdetails!M763</f>
        <v>79.47</v>
      </c>
      <c r="F760" t="str">
        <f>IF(ISERROR(IF(OR(C760="#",C760=0),"",VLOOKUP(C760,'AOP25'!M:M,1,0))),"Not Found",VLOOKUP(C760,'AOP25'!M:M,1,0))</f>
        <v>Not Found</v>
      </c>
      <c r="G760" t="e">
        <f t="shared" si="11"/>
        <v>#N/A</v>
      </c>
    </row>
    <row r="761" spans="1:7" hidden="1" x14ac:dyDescent="0.25">
      <c r="A761" t="str">
        <f>BIdetails!G764</f>
        <v>121208</v>
      </c>
      <c r="B761" t="str">
        <f>BIdetails!H764</f>
        <v>KPMG Advisory N.V.</v>
      </c>
      <c r="C761" t="str">
        <f>BIdetails!J764</f>
        <v>5401081739</v>
      </c>
      <c r="D761" t="str">
        <f>BIdetails!K764</f>
        <v>10</v>
      </c>
      <c r="E761" s="158">
        <f>BIdetails!M764</f>
        <v>4000</v>
      </c>
      <c r="F761" t="str">
        <f>IF(ISERROR(IF(OR(C761="#",C761=0),"",VLOOKUP(C761,'AOP25'!M:M,1,0))),"Not Found",VLOOKUP(C761,'AOP25'!M:M,1,0))</f>
        <v>Not Found</v>
      </c>
      <c r="G761" t="e">
        <f t="shared" si="11"/>
        <v>#N/A</v>
      </c>
    </row>
    <row r="762" spans="1:7" hidden="1" x14ac:dyDescent="0.25">
      <c r="A762" t="str">
        <f>BIdetails!G765</f>
        <v>121208</v>
      </c>
      <c r="B762" t="str">
        <f>BIdetails!H765</f>
        <v>KPMG Advisory N.V.</v>
      </c>
      <c r="C762" t="str">
        <f>BIdetails!J765</f>
        <v>5401081739</v>
      </c>
      <c r="D762" t="str">
        <f>BIdetails!K765</f>
        <v>10</v>
      </c>
      <c r="E762" s="158">
        <f>BIdetails!M765</f>
        <v>4000</v>
      </c>
      <c r="F762" t="str">
        <f>IF(ISERROR(IF(OR(C762="#",C762=0),"",VLOOKUP(C762,'AOP25'!M:M,1,0))),"Not Found",VLOOKUP(C762,'AOP25'!M:M,1,0))</f>
        <v>Not Found</v>
      </c>
      <c r="G762" t="e">
        <f t="shared" ref="G762:G825" si="12">IF(NOT(ISERROR(VLOOKUP(C762,$K$2:$K$50,1,0))),"Y",VLOOKUP(C762,$K$2:$K$50,1,0))</f>
        <v>#N/A</v>
      </c>
    </row>
    <row r="763" spans="1:7" x14ac:dyDescent="0.25">
      <c r="A763" t="str">
        <f>BIdetails!G766</f>
        <v>121208</v>
      </c>
      <c r="B763" t="str">
        <f>BIdetails!H766</f>
        <v>KPMG Advisory N.V.</v>
      </c>
      <c r="C763" t="str">
        <f>BIdetails!J766</f>
        <v>5401081739</v>
      </c>
      <c r="D763" t="str">
        <f>BIdetails!K766</f>
        <v>10</v>
      </c>
      <c r="E763" s="158">
        <f>BIdetails!M766</f>
        <v>-4000</v>
      </c>
      <c r="F763" t="str">
        <f>IF(ISERROR(IF(OR(C763="#",C763=0),"",VLOOKUP(C763,'AOP25'!M:M,1,0))),"Not Found",VLOOKUP(C763,'AOP25'!M:M,1,0))</f>
        <v>Not Found</v>
      </c>
      <c r="G763" t="e">
        <f t="shared" si="12"/>
        <v>#N/A</v>
      </c>
    </row>
    <row r="764" spans="1:7" x14ac:dyDescent="0.25">
      <c r="A764" t="str">
        <f>BIdetails!G767</f>
        <v>121208</v>
      </c>
      <c r="B764" t="str">
        <f>BIdetails!H767</f>
        <v>KPMG Advisory N.V.</v>
      </c>
      <c r="C764" t="str">
        <f>BIdetails!J767</f>
        <v>5401081739</v>
      </c>
      <c r="D764" t="str">
        <f>BIdetails!K767</f>
        <v>10</v>
      </c>
      <c r="E764" s="158">
        <f>BIdetails!M767</f>
        <v>2600</v>
      </c>
      <c r="F764" t="str">
        <f>IF(ISERROR(IF(OR(C764="#",C764=0),"",VLOOKUP(C764,'AOP25'!M:M,1,0))),"Not Found",VLOOKUP(C764,'AOP25'!M:M,1,0))</f>
        <v>Not Found</v>
      </c>
      <c r="G764" t="e">
        <f t="shared" si="12"/>
        <v>#N/A</v>
      </c>
    </row>
    <row r="765" spans="1:7" hidden="1" x14ac:dyDescent="0.25">
      <c r="A765" t="str">
        <f>BIdetails!G768</f>
        <v>142582</v>
      </c>
      <c r="B765" t="str">
        <f>BIdetails!H768</f>
        <v>Just BI B.V.</v>
      </c>
      <c r="C765" t="str">
        <f>BIdetails!J768</f>
        <v>5401023799</v>
      </c>
      <c r="D765" t="str">
        <f>BIdetails!K768</f>
        <v>10</v>
      </c>
      <c r="E765" s="158">
        <f>BIdetails!M768</f>
        <v>-174966.67</v>
      </c>
      <c r="F765" t="str">
        <f>IF(ISERROR(IF(OR(C765="#",C765=0),"",VLOOKUP(C765,'AOP25'!M:M,1,0))),"Not Found",VLOOKUP(C765,'AOP25'!M:M,1,0))</f>
        <v>Not Found</v>
      </c>
      <c r="G765" t="e">
        <f t="shared" si="12"/>
        <v>#N/A</v>
      </c>
    </row>
    <row r="766" spans="1:7" x14ac:dyDescent="0.25">
      <c r="A766" t="str">
        <f>BIdetails!G769</f>
        <v>142582</v>
      </c>
      <c r="B766" t="str">
        <f>BIdetails!H769</f>
        <v>Just BI B.V.</v>
      </c>
      <c r="C766" t="str">
        <f>BIdetails!J769</f>
        <v>5401046694</v>
      </c>
      <c r="D766" t="str">
        <f>BIdetails!K769</f>
        <v>40</v>
      </c>
      <c r="E766" s="158">
        <f>BIdetails!M769</f>
        <v>-39608</v>
      </c>
      <c r="F766" t="str">
        <f>IF(ISERROR(IF(OR(C766="#",C766=0),"",VLOOKUP(C766,'AOP25'!M:M,1,0))),"Not Found",VLOOKUP(C766,'AOP25'!M:M,1,0))</f>
        <v>Not Found</v>
      </c>
      <c r="G766" t="e">
        <f t="shared" si="12"/>
        <v>#N/A</v>
      </c>
    </row>
    <row r="767" spans="1:7" hidden="1" x14ac:dyDescent="0.25">
      <c r="A767" t="str">
        <f>BIdetails!G770</f>
        <v>165589</v>
      </c>
      <c r="B767" t="str">
        <f>BIdetails!H770</f>
        <v>X-Center Benelux B.V.</v>
      </c>
      <c r="C767" t="str">
        <f>BIdetails!J770</f>
        <v>5401070323</v>
      </c>
      <c r="D767" t="str">
        <f>BIdetails!K770</f>
        <v>10</v>
      </c>
      <c r="E767" s="158">
        <f>BIdetails!M770</f>
        <v>69752</v>
      </c>
      <c r="F767" t="str">
        <f>IF(ISERROR(IF(OR(C767="#",C767=0),"",VLOOKUP(C767,'AOP25'!M:M,1,0))),"Not Found",VLOOKUP(C767,'AOP25'!M:M,1,0))</f>
        <v>Not Found</v>
      </c>
      <c r="G767" t="e">
        <f t="shared" si="12"/>
        <v>#N/A</v>
      </c>
    </row>
    <row r="768" spans="1:7" hidden="1" x14ac:dyDescent="0.25">
      <c r="A768" t="str">
        <f>BIdetails!G771</f>
        <v>167557</v>
      </c>
      <c r="B768" t="str">
        <f>BIdetails!H771</f>
        <v>Swap Support B.V.</v>
      </c>
      <c r="C768" t="str">
        <f>BIdetails!J771</f>
        <v>5401024330</v>
      </c>
      <c r="D768" t="str">
        <f>BIdetails!K771</f>
        <v>10</v>
      </c>
      <c r="E768" s="158">
        <f>BIdetails!M771</f>
        <v>1054</v>
      </c>
      <c r="F768" t="str">
        <f>IF(ISERROR(IF(OR(C768="#",C768=0),"",VLOOKUP(C768,'AOP25'!M:M,1,0))),"Not Found",VLOOKUP(C768,'AOP25'!M:M,1,0))</f>
        <v>Not Found</v>
      </c>
      <c r="G768" t="e">
        <f t="shared" si="12"/>
        <v>#N/A</v>
      </c>
    </row>
    <row r="769" spans="1:7" hidden="1" x14ac:dyDescent="0.25">
      <c r="A769" t="str">
        <f>BIdetails!G772</f>
        <v>167557</v>
      </c>
      <c r="B769" t="str">
        <f>BIdetails!H772</f>
        <v>Swap Support B.V.</v>
      </c>
      <c r="C769" t="str">
        <f>BIdetails!J772</f>
        <v>5401024330</v>
      </c>
      <c r="D769" t="str">
        <f>BIdetails!K772</f>
        <v>10</v>
      </c>
      <c r="E769" s="158">
        <f>BIdetails!M772</f>
        <v>85.5</v>
      </c>
      <c r="F769" t="str">
        <f>IF(ISERROR(IF(OR(C769="#",C769=0),"",VLOOKUP(C769,'AOP25'!M:M,1,0))),"Not Found",VLOOKUP(C769,'AOP25'!M:M,1,0))</f>
        <v>Not Found</v>
      </c>
      <c r="G769" t="e">
        <f t="shared" si="12"/>
        <v>#N/A</v>
      </c>
    </row>
    <row r="770" spans="1:7" hidden="1" x14ac:dyDescent="0.25">
      <c r="A770" t="str">
        <f>BIdetails!G773</f>
        <v>167557</v>
      </c>
      <c r="B770" t="str">
        <f>BIdetails!H773</f>
        <v>Swap Support B.V.</v>
      </c>
      <c r="C770" t="str">
        <f>BIdetails!J773</f>
        <v>5401024330</v>
      </c>
      <c r="D770" t="str">
        <f>BIdetails!K773</f>
        <v>10</v>
      </c>
      <c r="E770" s="158">
        <f>BIdetails!M773</f>
        <v>4914.5</v>
      </c>
      <c r="F770" t="str">
        <f>IF(ISERROR(IF(OR(C770="#",C770=0),"",VLOOKUP(C770,'AOP25'!M:M,1,0))),"Not Found",VLOOKUP(C770,'AOP25'!M:M,1,0))</f>
        <v>Not Found</v>
      </c>
      <c r="G770" t="e">
        <f t="shared" si="12"/>
        <v>#N/A</v>
      </c>
    </row>
    <row r="771" spans="1:7" hidden="1" x14ac:dyDescent="0.25">
      <c r="A771" t="str">
        <f>BIdetails!G774</f>
        <v>168933</v>
      </c>
      <c r="B771" t="str">
        <f>BIdetails!H774</f>
        <v>Open Text Coöperatief U.A.</v>
      </c>
      <c r="C771" t="str">
        <f>BIdetails!J774</f>
        <v>5400963483</v>
      </c>
      <c r="D771" t="str">
        <f>BIdetails!K774</f>
        <v>30</v>
      </c>
      <c r="E771" s="158">
        <f>BIdetails!M774</f>
        <v>23175.25</v>
      </c>
      <c r="F771" t="str">
        <f>IF(ISERROR(IF(OR(C771="#",C771=0),"",VLOOKUP(C771,'AOP25'!M:M,1,0))),"Not Found",VLOOKUP(C771,'AOP25'!M:M,1,0))</f>
        <v>Not Found</v>
      </c>
      <c r="G771" t="e">
        <f t="shared" si="12"/>
        <v>#N/A</v>
      </c>
    </row>
    <row r="772" spans="1:7" hidden="1" x14ac:dyDescent="0.25">
      <c r="A772" t="str">
        <f>BIdetails!G775</f>
        <v>168933</v>
      </c>
      <c r="B772" t="str">
        <f>BIdetails!H775</f>
        <v>Open Text Coöperatief U.A.</v>
      </c>
      <c r="C772" t="str">
        <f>BIdetails!J775</f>
        <v>5400963483</v>
      </c>
      <c r="D772" t="str">
        <f>BIdetails!K775</f>
        <v>30</v>
      </c>
      <c r="E772" s="158">
        <f>BIdetails!M775</f>
        <v>3040</v>
      </c>
      <c r="F772" t="str">
        <f>IF(ISERROR(IF(OR(C772="#",C772=0),"",VLOOKUP(C772,'AOP25'!M:M,1,0))),"Not Found",VLOOKUP(C772,'AOP25'!M:M,1,0))</f>
        <v>Not Found</v>
      </c>
      <c r="G772" t="e">
        <f t="shared" si="12"/>
        <v>#N/A</v>
      </c>
    </row>
    <row r="773" spans="1:7" hidden="1" x14ac:dyDescent="0.25">
      <c r="A773" t="str">
        <f>BIdetails!G776</f>
        <v>168933</v>
      </c>
      <c r="B773" t="str">
        <f>BIdetails!H776</f>
        <v>Open Text Coöperatief U.A.</v>
      </c>
      <c r="C773" t="str">
        <f>BIdetails!J776</f>
        <v>5401032940</v>
      </c>
      <c r="D773" t="str">
        <f>BIdetails!K776</f>
        <v>20</v>
      </c>
      <c r="E773" s="158">
        <f>BIdetails!M776</f>
        <v>5000</v>
      </c>
      <c r="F773" t="str">
        <f>IF(ISERROR(IF(OR(C773="#",C773=0),"",VLOOKUP(C773,'AOP25'!M:M,1,0))),"Not Found",VLOOKUP(C773,'AOP25'!M:M,1,0))</f>
        <v>Not Found</v>
      </c>
      <c r="G773" t="e">
        <f t="shared" si="12"/>
        <v>#N/A</v>
      </c>
    </row>
    <row r="774" spans="1:7" hidden="1" x14ac:dyDescent="0.25">
      <c r="A774" t="str">
        <f>BIdetails!G777</f>
        <v>168933</v>
      </c>
      <c r="B774" t="str">
        <f>BIdetails!H777</f>
        <v>Open Text Coöperatief U.A.</v>
      </c>
      <c r="C774" t="str">
        <f>BIdetails!J777</f>
        <v>5400963483</v>
      </c>
      <c r="D774" t="str">
        <f>BIdetails!K777</f>
        <v>30</v>
      </c>
      <c r="E774" s="158">
        <f>BIdetails!M777</f>
        <v>23175.25</v>
      </c>
      <c r="F774" t="str">
        <f>IF(ISERROR(IF(OR(C774="#",C774=0),"",VLOOKUP(C774,'AOP25'!M:M,1,0))),"Not Found",VLOOKUP(C774,'AOP25'!M:M,1,0))</f>
        <v>Not Found</v>
      </c>
      <c r="G774" t="e">
        <f t="shared" si="12"/>
        <v>#N/A</v>
      </c>
    </row>
    <row r="775" spans="1:7" hidden="1" x14ac:dyDescent="0.25">
      <c r="A775" t="str">
        <f>BIdetails!G778</f>
        <v>168933</v>
      </c>
      <c r="B775" t="str">
        <f>BIdetails!H778</f>
        <v>Open Text Coöperatief U.A.</v>
      </c>
      <c r="C775" t="str">
        <f>BIdetails!J778</f>
        <v>5401032940</v>
      </c>
      <c r="D775" t="str">
        <f>BIdetails!K778</f>
        <v>20</v>
      </c>
      <c r="E775" s="158">
        <f>BIdetails!M778</f>
        <v>5000</v>
      </c>
      <c r="F775" t="str">
        <f>IF(ISERROR(IF(OR(C775="#",C775=0),"",VLOOKUP(C775,'AOP25'!M:M,1,0))),"Not Found",VLOOKUP(C775,'AOP25'!M:M,1,0))</f>
        <v>Not Found</v>
      </c>
      <c r="G775" t="e">
        <f t="shared" si="12"/>
        <v>#N/A</v>
      </c>
    </row>
    <row r="776" spans="1:7" hidden="1" x14ac:dyDescent="0.25">
      <c r="A776" t="str">
        <f>BIdetails!G779</f>
        <v>168933</v>
      </c>
      <c r="B776" t="str">
        <f>BIdetails!H779</f>
        <v>Open Text Coöperatief U.A.</v>
      </c>
      <c r="C776" t="str">
        <f>BIdetails!J779</f>
        <v>5400963483</v>
      </c>
      <c r="D776" t="str">
        <f>BIdetails!K779</f>
        <v>30</v>
      </c>
      <c r="E776" s="158">
        <f>BIdetails!M779</f>
        <v>695.26</v>
      </c>
      <c r="F776" t="str">
        <f>IF(ISERROR(IF(OR(C776="#",C776=0),"",VLOOKUP(C776,'AOP25'!M:M,1,0))),"Not Found",VLOOKUP(C776,'AOP25'!M:M,1,0))</f>
        <v>Not Found</v>
      </c>
      <c r="G776" t="e">
        <f t="shared" si="12"/>
        <v>#N/A</v>
      </c>
    </row>
    <row r="777" spans="1:7" hidden="1" x14ac:dyDescent="0.25">
      <c r="A777" t="str">
        <f>BIdetails!G780</f>
        <v>168933</v>
      </c>
      <c r="B777" t="str">
        <f>BIdetails!H780</f>
        <v>Open Text Coöperatief U.A.</v>
      </c>
      <c r="C777" t="str">
        <f>BIdetails!J780</f>
        <v>5400963483</v>
      </c>
      <c r="D777" t="str">
        <f>BIdetails!K780</f>
        <v>30</v>
      </c>
      <c r="E777" s="158">
        <f>BIdetails!M780</f>
        <v>23870.51</v>
      </c>
      <c r="F777" t="str">
        <f>IF(ISERROR(IF(OR(C777="#",C777=0),"",VLOOKUP(C777,'AOP25'!M:M,1,0))),"Not Found",VLOOKUP(C777,'AOP25'!M:M,1,0))</f>
        <v>Not Found</v>
      </c>
      <c r="G777" t="e">
        <f t="shared" si="12"/>
        <v>#N/A</v>
      </c>
    </row>
    <row r="778" spans="1:7" hidden="1" x14ac:dyDescent="0.25">
      <c r="A778" t="str">
        <f>BIdetails!G781</f>
        <v>168933</v>
      </c>
      <c r="B778" t="str">
        <f>BIdetails!H781</f>
        <v>Open Text Coöperatief U.A.</v>
      </c>
      <c r="C778" t="str">
        <f>BIdetails!J781</f>
        <v>5401032940</v>
      </c>
      <c r="D778" t="str">
        <f>BIdetails!K781</f>
        <v>20</v>
      </c>
      <c r="E778" s="158">
        <f>BIdetails!M781</f>
        <v>5000</v>
      </c>
      <c r="F778" t="str">
        <f>IF(ISERROR(IF(OR(C778="#",C778=0),"",VLOOKUP(C778,'AOP25'!M:M,1,0))),"Not Found",VLOOKUP(C778,'AOP25'!M:M,1,0))</f>
        <v>Not Found</v>
      </c>
      <c r="G778" t="e">
        <f t="shared" si="12"/>
        <v>#N/A</v>
      </c>
    </row>
    <row r="779" spans="1:7" x14ac:dyDescent="0.25">
      <c r="A779" t="str">
        <f>BIdetails!G782</f>
        <v>168933</v>
      </c>
      <c r="B779" t="str">
        <f>BIdetails!H782</f>
        <v>Open Text Coöperatief U.A.</v>
      </c>
      <c r="C779" t="str">
        <f>BIdetails!J782</f>
        <v>5401032940</v>
      </c>
      <c r="D779" t="str">
        <f>BIdetails!K782</f>
        <v>20</v>
      </c>
      <c r="E779" s="158">
        <f>BIdetails!M782</f>
        <v>150</v>
      </c>
      <c r="F779" t="str">
        <f>IF(ISERROR(IF(OR(C779="#",C779=0),"",VLOOKUP(C779,'AOP25'!M:M,1,0))),"Not Found",VLOOKUP(C779,'AOP25'!M:M,1,0))</f>
        <v>Not Found</v>
      </c>
      <c r="G779" t="e">
        <f t="shared" si="12"/>
        <v>#N/A</v>
      </c>
    </row>
    <row r="780" spans="1:7" x14ac:dyDescent="0.25">
      <c r="A780" t="str">
        <f>BIdetails!G783</f>
        <v>168933</v>
      </c>
      <c r="B780" t="str">
        <f>BIdetails!H783</f>
        <v>Open Text Coöperatief U.A.</v>
      </c>
      <c r="C780" t="str">
        <f>BIdetails!J783</f>
        <v>5400963483</v>
      </c>
      <c r="D780" t="str">
        <f>BIdetails!K783</f>
        <v>30</v>
      </c>
      <c r="E780" s="158">
        <f>BIdetails!M783</f>
        <v>760</v>
      </c>
      <c r="F780" t="str">
        <f>IF(ISERROR(IF(OR(C780="#",C780=0),"",VLOOKUP(C780,'AOP25'!M:M,1,0))),"Not Found",VLOOKUP(C780,'AOP25'!M:M,1,0))</f>
        <v>Not Found</v>
      </c>
      <c r="G780" t="e">
        <f t="shared" si="12"/>
        <v>#N/A</v>
      </c>
    </row>
    <row r="781" spans="1:7" x14ac:dyDescent="0.25">
      <c r="A781" t="str">
        <f>BIdetails!G784</f>
        <v>168933</v>
      </c>
      <c r="B781" t="str">
        <f>BIdetails!H784</f>
        <v>Open Text Coöperatief U.A.</v>
      </c>
      <c r="C781" t="str">
        <f>BIdetails!J784</f>
        <v>5400963483</v>
      </c>
      <c r="D781" t="str">
        <f>BIdetails!K784</f>
        <v>30</v>
      </c>
      <c r="E781" s="158">
        <f>BIdetails!M784</f>
        <v>23870.51</v>
      </c>
      <c r="F781" t="str">
        <f>IF(ISERROR(IF(OR(C781="#",C781=0),"",VLOOKUP(C781,'AOP25'!M:M,1,0))),"Not Found",VLOOKUP(C781,'AOP25'!M:M,1,0))</f>
        <v>Not Found</v>
      </c>
      <c r="G781" t="e">
        <f t="shared" si="12"/>
        <v>#N/A</v>
      </c>
    </row>
    <row r="782" spans="1:7" x14ac:dyDescent="0.25">
      <c r="A782" t="str">
        <f>BIdetails!G785</f>
        <v>168933</v>
      </c>
      <c r="B782" t="str">
        <f>BIdetails!H785</f>
        <v>Open Text Coöperatief U.A.</v>
      </c>
      <c r="C782" t="str">
        <f>BIdetails!J785</f>
        <v>5401032940</v>
      </c>
      <c r="D782" t="str">
        <f>BIdetails!K785</f>
        <v>20</v>
      </c>
      <c r="E782" s="158">
        <f>BIdetails!M785</f>
        <v>5150</v>
      </c>
      <c r="F782" t="str">
        <f>IF(ISERROR(IF(OR(C782="#",C782=0),"",VLOOKUP(C782,'AOP25'!M:M,1,0))),"Not Found",VLOOKUP(C782,'AOP25'!M:M,1,0))</f>
        <v>Not Found</v>
      </c>
      <c r="G782" t="e">
        <f t="shared" si="12"/>
        <v>#N/A</v>
      </c>
    </row>
    <row r="783" spans="1:7" hidden="1" x14ac:dyDescent="0.25">
      <c r="A783" t="str">
        <f>BIdetails!G786</f>
        <v>168933</v>
      </c>
      <c r="B783" t="str">
        <f>BIdetails!H786</f>
        <v>Open Text Coöperatief U.A.</v>
      </c>
      <c r="C783" t="str">
        <f>BIdetails!J786</f>
        <v>5400963483</v>
      </c>
      <c r="D783" t="str">
        <f>BIdetails!K786</f>
        <v>30</v>
      </c>
      <c r="E783" s="158">
        <f>BIdetails!M786</f>
        <v>23870.51</v>
      </c>
      <c r="F783" t="str">
        <f>IF(ISERROR(IF(OR(C783="#",C783=0),"",VLOOKUP(C783,'AOP25'!M:M,1,0))),"Not Found",VLOOKUP(C783,'AOP25'!M:M,1,0))</f>
        <v>Not Found</v>
      </c>
      <c r="G783" t="e">
        <f t="shared" si="12"/>
        <v>#N/A</v>
      </c>
    </row>
    <row r="784" spans="1:7" x14ac:dyDescent="0.25">
      <c r="A784" t="str">
        <f>BIdetails!G787</f>
        <v>168933</v>
      </c>
      <c r="B784" t="str">
        <f>BIdetails!H787</f>
        <v>Open Text Coöperatief U.A.</v>
      </c>
      <c r="C784" t="str">
        <f>BIdetails!J787</f>
        <v>5401032940</v>
      </c>
      <c r="D784" t="str">
        <f>BIdetails!K787</f>
        <v>20</v>
      </c>
      <c r="E784" s="158">
        <f>BIdetails!M787</f>
        <v>5150</v>
      </c>
      <c r="F784" t="str">
        <f>IF(ISERROR(IF(OR(C784="#",C784=0),"",VLOOKUP(C784,'AOP25'!M:M,1,0))),"Not Found",VLOOKUP(C784,'AOP25'!M:M,1,0))</f>
        <v>Not Found</v>
      </c>
      <c r="G784" t="e">
        <f t="shared" si="12"/>
        <v>#N/A</v>
      </c>
    </row>
    <row r="785" spans="1:7" hidden="1" x14ac:dyDescent="0.25">
      <c r="A785" t="str">
        <f>BIdetails!G788</f>
        <v>168933</v>
      </c>
      <c r="B785" t="str">
        <f>BIdetails!H788</f>
        <v>Open Text Coöperatief U.A.</v>
      </c>
      <c r="C785" t="str">
        <f>BIdetails!J788</f>
        <v>5400963483</v>
      </c>
      <c r="D785" t="str">
        <f>BIdetails!K788</f>
        <v>30</v>
      </c>
      <c r="E785" s="158">
        <f>BIdetails!M788</f>
        <v>23870.51</v>
      </c>
      <c r="F785" t="str">
        <f>IF(ISERROR(IF(OR(C785="#",C785=0),"",VLOOKUP(C785,'AOP25'!M:M,1,0))),"Not Found",VLOOKUP(C785,'AOP25'!M:M,1,0))</f>
        <v>Not Found</v>
      </c>
      <c r="G785" t="e">
        <f t="shared" si="12"/>
        <v>#N/A</v>
      </c>
    </row>
    <row r="786" spans="1:7" hidden="1" x14ac:dyDescent="0.25">
      <c r="A786" t="str">
        <f>BIdetails!G789</f>
        <v>168933</v>
      </c>
      <c r="B786" t="str">
        <f>BIdetails!H789</f>
        <v>Open Text Coöperatief U.A.</v>
      </c>
      <c r="C786" t="str">
        <f>BIdetails!J789</f>
        <v>5401032940</v>
      </c>
      <c r="D786" t="str">
        <f>BIdetails!K789</f>
        <v>20</v>
      </c>
      <c r="E786" s="158">
        <f>BIdetails!M789</f>
        <v>150</v>
      </c>
      <c r="F786" t="str">
        <f>IF(ISERROR(IF(OR(C786="#",C786=0),"",VLOOKUP(C786,'AOP25'!M:M,1,0))),"Not Found",VLOOKUP(C786,'AOP25'!M:M,1,0))</f>
        <v>Not Found</v>
      </c>
      <c r="G786" t="e">
        <f t="shared" si="12"/>
        <v>#N/A</v>
      </c>
    </row>
    <row r="787" spans="1:7" x14ac:dyDescent="0.25">
      <c r="A787" t="str">
        <f>BIdetails!G790</f>
        <v>168933</v>
      </c>
      <c r="B787" t="str">
        <f>BIdetails!H790</f>
        <v>Open Text Coöperatief U.A.</v>
      </c>
      <c r="C787" t="str">
        <f>BIdetails!J790</f>
        <v>5401032940</v>
      </c>
      <c r="D787" t="str">
        <f>BIdetails!K790</f>
        <v>20</v>
      </c>
      <c r="E787" s="158">
        <f>BIdetails!M790</f>
        <v>5150</v>
      </c>
      <c r="F787" t="str">
        <f>IF(ISERROR(IF(OR(C787="#",C787=0),"",VLOOKUP(C787,'AOP25'!M:M,1,0))),"Not Found",VLOOKUP(C787,'AOP25'!M:M,1,0))</f>
        <v>Not Found</v>
      </c>
      <c r="G787" t="e">
        <f t="shared" si="12"/>
        <v>#N/A</v>
      </c>
    </row>
    <row r="788" spans="1:7" hidden="1" x14ac:dyDescent="0.25">
      <c r="A788" t="str">
        <f>BIdetails!G791</f>
        <v>168933</v>
      </c>
      <c r="B788" t="str">
        <f>BIdetails!H791</f>
        <v>Open Text Coöperatief U.A.</v>
      </c>
      <c r="C788" t="str">
        <f>BIdetails!J791</f>
        <v>5400963483</v>
      </c>
      <c r="D788" t="str">
        <f>BIdetails!K791</f>
        <v>30</v>
      </c>
      <c r="E788" s="158">
        <f>BIdetails!M791</f>
        <v>-0.01</v>
      </c>
      <c r="F788" t="str">
        <f>IF(ISERROR(IF(OR(C788="#",C788=0),"",VLOOKUP(C788,'AOP25'!M:M,1,0))),"Not Found",VLOOKUP(C788,'AOP25'!M:M,1,0))</f>
        <v>Not Found</v>
      </c>
      <c r="G788" t="e">
        <f t="shared" si="12"/>
        <v>#N/A</v>
      </c>
    </row>
    <row r="789" spans="1:7" hidden="1" x14ac:dyDescent="0.25">
      <c r="A789" t="str">
        <f>BIdetails!G792</f>
        <v>168933</v>
      </c>
      <c r="B789" t="str">
        <f>BIdetails!H792</f>
        <v>Open Text Coöperatief U.A.</v>
      </c>
      <c r="C789" t="str">
        <f>BIdetails!J792</f>
        <v>5400963483</v>
      </c>
      <c r="D789" t="str">
        <f>BIdetails!K792</f>
        <v>30</v>
      </c>
      <c r="E789" s="158">
        <f>BIdetails!M792</f>
        <v>-0.01</v>
      </c>
      <c r="F789" t="str">
        <f>IF(ISERROR(IF(OR(C789="#",C789=0),"",VLOOKUP(C789,'AOP25'!M:M,1,0))),"Not Found",VLOOKUP(C789,'AOP25'!M:M,1,0))</f>
        <v>Not Found</v>
      </c>
      <c r="G789" t="e">
        <f t="shared" si="12"/>
        <v>#N/A</v>
      </c>
    </row>
    <row r="790" spans="1:7" hidden="1" x14ac:dyDescent="0.25">
      <c r="A790" t="str">
        <f>BIdetails!G793</f>
        <v>168933</v>
      </c>
      <c r="B790" t="str">
        <f>BIdetails!H793</f>
        <v>Open Text Coöperatief U.A.</v>
      </c>
      <c r="C790" t="str">
        <f>BIdetails!J793</f>
        <v>5400963483</v>
      </c>
      <c r="D790" t="str">
        <f>BIdetails!K793</f>
        <v>30</v>
      </c>
      <c r="E790" s="158">
        <f>BIdetails!M793</f>
        <v>-0.01</v>
      </c>
      <c r="F790" t="str">
        <f>IF(ISERROR(IF(OR(C790="#",C790=0),"",VLOOKUP(C790,'AOP25'!M:M,1,0))),"Not Found",VLOOKUP(C790,'AOP25'!M:M,1,0))</f>
        <v>Not Found</v>
      </c>
      <c r="G790" t="e">
        <f t="shared" si="12"/>
        <v>#N/A</v>
      </c>
    </row>
    <row r="791" spans="1:7" hidden="1" x14ac:dyDescent="0.25">
      <c r="A791" t="str">
        <f>BIdetails!G794</f>
        <v>168933</v>
      </c>
      <c r="B791" t="str">
        <f>BIdetails!H794</f>
        <v>Open Text Coöperatief U.A.</v>
      </c>
      <c r="C791" t="str">
        <f>BIdetails!J794</f>
        <v>5400963483</v>
      </c>
      <c r="D791" t="str">
        <f>BIdetails!K794</f>
        <v>30</v>
      </c>
      <c r="E791" s="158">
        <f>BIdetails!M794</f>
        <v>-0.01</v>
      </c>
      <c r="F791" t="str">
        <f>IF(ISERROR(IF(OR(C791="#",C791=0),"",VLOOKUP(C791,'AOP25'!M:M,1,0))),"Not Found",VLOOKUP(C791,'AOP25'!M:M,1,0))</f>
        <v>Not Found</v>
      </c>
      <c r="G791" t="e">
        <f t="shared" si="12"/>
        <v>#N/A</v>
      </c>
    </row>
    <row r="792" spans="1:7" hidden="1" x14ac:dyDescent="0.25">
      <c r="A792" t="str">
        <f>BIdetails!G795</f>
        <v>169089</v>
      </c>
      <c r="B792" t="str">
        <f>BIdetails!H795</f>
        <v>Novexx Solutions B.V.</v>
      </c>
      <c r="C792" t="str">
        <f>BIdetails!J795</f>
        <v>5401112877</v>
      </c>
      <c r="D792" t="str">
        <f>BIdetails!K795</f>
        <v>10</v>
      </c>
      <c r="E792" s="158">
        <f>BIdetails!M795</f>
        <v>47000</v>
      </c>
      <c r="F792" t="str">
        <f>IF(ISERROR(IF(OR(C792="#",C792=0),"",VLOOKUP(C792,'AOP25'!M:M,1,0))),"Not Found",VLOOKUP(C792,'AOP25'!M:M,1,0))</f>
        <v>Not Found</v>
      </c>
      <c r="G792" t="e">
        <f t="shared" si="12"/>
        <v>#N/A</v>
      </c>
    </row>
    <row r="793" spans="1:7" hidden="1" x14ac:dyDescent="0.25">
      <c r="A793" t="str">
        <f>BIdetails!G796</f>
        <v>187516</v>
      </c>
      <c r="B793" t="str">
        <f>BIdetails!H796</f>
        <v>Accenture B.V.</v>
      </c>
      <c r="C793" t="str">
        <f>BIdetails!J796</f>
        <v>5400948074</v>
      </c>
      <c r="D793" t="str">
        <f>BIdetails!K796</f>
        <v>40</v>
      </c>
      <c r="E793" s="158">
        <f>BIdetails!M796</f>
        <v>10492.74</v>
      </c>
      <c r="F793" t="str">
        <f>IF(ISERROR(IF(OR(C793="#",C793=0),"",VLOOKUP(C793,'AOP25'!M:M,1,0))),"Not Found",VLOOKUP(C793,'AOP25'!M:M,1,0))</f>
        <v>Not Found</v>
      </c>
      <c r="G793" t="e">
        <f t="shared" si="12"/>
        <v>#N/A</v>
      </c>
    </row>
    <row r="794" spans="1:7" hidden="1" x14ac:dyDescent="0.25">
      <c r="A794" t="str">
        <f>BIdetails!G797</f>
        <v>187516</v>
      </c>
      <c r="B794" t="str">
        <f>BIdetails!H797</f>
        <v>Accenture B.V.</v>
      </c>
      <c r="C794" t="str">
        <f>BIdetails!J797</f>
        <v>5400948074</v>
      </c>
      <c r="D794" t="str">
        <f>BIdetails!K797</f>
        <v>40</v>
      </c>
      <c r="E794" s="158">
        <f>BIdetails!M797</f>
        <v>10492.74</v>
      </c>
      <c r="F794" t="str">
        <f>IF(ISERROR(IF(OR(C794="#",C794=0),"",VLOOKUP(C794,'AOP25'!M:M,1,0))),"Not Found",VLOOKUP(C794,'AOP25'!M:M,1,0))</f>
        <v>Not Found</v>
      </c>
      <c r="G794" t="e">
        <f t="shared" si="12"/>
        <v>#N/A</v>
      </c>
    </row>
    <row r="795" spans="1:7" hidden="1" x14ac:dyDescent="0.25">
      <c r="A795" t="str">
        <f>BIdetails!G798</f>
        <v>187516</v>
      </c>
      <c r="B795" t="str">
        <f>BIdetails!H798</f>
        <v>Accenture B.V.</v>
      </c>
      <c r="C795" t="str">
        <f>BIdetails!J798</f>
        <v>5400948074</v>
      </c>
      <c r="D795" t="str">
        <f>BIdetails!K798</f>
        <v>40</v>
      </c>
      <c r="E795" s="158">
        <f>BIdetails!M798</f>
        <v>10492.74</v>
      </c>
      <c r="F795" t="str">
        <f>IF(ISERROR(IF(OR(C795="#",C795=0),"",VLOOKUP(C795,'AOP25'!M:M,1,0))),"Not Found",VLOOKUP(C795,'AOP25'!M:M,1,0))</f>
        <v>Not Found</v>
      </c>
      <c r="G795" t="e">
        <f t="shared" si="12"/>
        <v>#N/A</v>
      </c>
    </row>
    <row r="796" spans="1:7" hidden="1" x14ac:dyDescent="0.25">
      <c r="A796" t="str">
        <f>BIdetails!G799</f>
        <v>187516</v>
      </c>
      <c r="B796" t="str">
        <f>BIdetails!H799</f>
        <v>Accenture B.V.</v>
      </c>
      <c r="C796" t="str">
        <f>BIdetails!J799</f>
        <v>5400948074</v>
      </c>
      <c r="D796" t="str">
        <f>BIdetails!K799</f>
        <v>40</v>
      </c>
      <c r="E796" s="158">
        <f>BIdetails!M799</f>
        <v>10492.74</v>
      </c>
      <c r="F796" t="str">
        <f>IF(ISERROR(IF(OR(C796="#",C796=0),"",VLOOKUP(C796,'AOP25'!M:M,1,0))),"Not Found",VLOOKUP(C796,'AOP25'!M:M,1,0))</f>
        <v>Not Found</v>
      </c>
      <c r="G796" t="e">
        <f t="shared" si="12"/>
        <v>#N/A</v>
      </c>
    </row>
    <row r="797" spans="1:7" hidden="1" x14ac:dyDescent="0.25">
      <c r="A797" t="str">
        <f>BIdetails!G800</f>
        <v>187516</v>
      </c>
      <c r="B797" t="str">
        <f>BIdetails!H800</f>
        <v>Accenture B.V.</v>
      </c>
      <c r="C797" t="str">
        <f>BIdetails!J800</f>
        <v>5400948074</v>
      </c>
      <c r="D797" t="str">
        <f>BIdetails!K800</f>
        <v>40</v>
      </c>
      <c r="E797" s="158">
        <f>BIdetails!M800</f>
        <v>10492.74</v>
      </c>
      <c r="F797" t="str">
        <f>IF(ISERROR(IF(OR(C797="#",C797=0),"",VLOOKUP(C797,'AOP25'!M:M,1,0))),"Not Found",VLOOKUP(C797,'AOP25'!M:M,1,0))</f>
        <v>Not Found</v>
      </c>
      <c r="G797" t="e">
        <f t="shared" si="12"/>
        <v>#N/A</v>
      </c>
    </row>
    <row r="798" spans="1:7" hidden="1" x14ac:dyDescent="0.25">
      <c r="A798" t="str">
        <f>BIdetails!G801</f>
        <v>187516</v>
      </c>
      <c r="B798" t="str">
        <f>BIdetails!H801</f>
        <v>Accenture B.V.</v>
      </c>
      <c r="C798" t="str">
        <f>BIdetails!J801</f>
        <v>5400948074</v>
      </c>
      <c r="D798" t="str">
        <f>BIdetails!K801</f>
        <v>40</v>
      </c>
      <c r="E798" s="158">
        <f>BIdetails!M801</f>
        <v>10492.74</v>
      </c>
      <c r="F798" t="str">
        <f>IF(ISERROR(IF(OR(C798="#",C798=0),"",VLOOKUP(C798,'AOP25'!M:M,1,0))),"Not Found",VLOOKUP(C798,'AOP25'!M:M,1,0))</f>
        <v>Not Found</v>
      </c>
      <c r="G798" t="e">
        <f t="shared" si="12"/>
        <v>#N/A</v>
      </c>
    </row>
    <row r="799" spans="1:7" hidden="1" x14ac:dyDescent="0.25">
      <c r="A799" t="str">
        <f>BIdetails!G802</f>
        <v>188831</v>
      </c>
      <c r="B799" t="str">
        <f>BIdetails!H802</f>
        <v>iRely, LLC</v>
      </c>
      <c r="C799" t="str">
        <f>BIdetails!J802</f>
        <v>5401087948</v>
      </c>
      <c r="D799" t="str">
        <f>BIdetails!K802</f>
        <v>10</v>
      </c>
      <c r="E799" s="158">
        <f>BIdetails!M802</f>
        <v>16000</v>
      </c>
      <c r="F799" t="str">
        <f>IF(ISERROR(IF(OR(C799="#",C799=0),"",VLOOKUP(C799,'AOP25'!M:M,1,0))),"Not Found",VLOOKUP(C799,'AOP25'!M:M,1,0))</f>
        <v>Not Found</v>
      </c>
      <c r="G799" t="e">
        <f t="shared" si="12"/>
        <v>#N/A</v>
      </c>
    </row>
    <row r="800" spans="1:7" hidden="1" x14ac:dyDescent="0.25">
      <c r="A800" t="str">
        <f>BIdetails!G803</f>
        <v>188831</v>
      </c>
      <c r="B800" t="str">
        <f>BIdetails!H803</f>
        <v>iRely, LLC</v>
      </c>
      <c r="C800" t="str">
        <f>BIdetails!J803</f>
        <v>5401087948</v>
      </c>
      <c r="D800" t="str">
        <f>BIdetails!K803</f>
        <v>10</v>
      </c>
      <c r="E800" s="158">
        <f>BIdetails!M803</f>
        <v>146475</v>
      </c>
      <c r="F800" t="str">
        <f>IF(ISERROR(IF(OR(C800="#",C800=0),"",VLOOKUP(C800,'AOP25'!M:M,1,0))),"Not Found",VLOOKUP(C800,'AOP25'!M:M,1,0))</f>
        <v>Not Found</v>
      </c>
      <c r="G800" t="e">
        <f t="shared" si="12"/>
        <v>#N/A</v>
      </c>
    </row>
    <row r="801" spans="1:7" hidden="1" x14ac:dyDescent="0.25">
      <c r="A801" t="str">
        <f>BIdetails!G804</f>
        <v>189203</v>
      </c>
      <c r="B801" t="str">
        <f>BIdetails!H804</f>
        <v>Van Sambeek Org Adviesbureau B.V.</v>
      </c>
      <c r="C801" t="str">
        <f>BIdetails!J804</f>
        <v>5400904915</v>
      </c>
      <c r="D801" t="str">
        <f>BIdetails!K804</f>
        <v>40</v>
      </c>
      <c r="E801" s="158">
        <f>BIdetails!M804</f>
        <v>-80000</v>
      </c>
      <c r="F801" t="str">
        <f>IF(ISERROR(IF(OR(C801="#",C801=0),"",VLOOKUP(C801,'AOP25'!M:M,1,0))),"Not Found",VLOOKUP(C801,'AOP25'!M:M,1,0))</f>
        <v>Not Found</v>
      </c>
      <c r="G801" t="e">
        <f t="shared" si="12"/>
        <v>#N/A</v>
      </c>
    </row>
    <row r="802" spans="1:7" hidden="1" x14ac:dyDescent="0.25">
      <c r="A802" t="str">
        <f>BIdetails!G805</f>
        <v>189203</v>
      </c>
      <c r="B802" t="str">
        <f>BIdetails!H805</f>
        <v>Van Sambeek Org Adviesbureau B.V.</v>
      </c>
      <c r="C802" t="str">
        <f>BIdetails!J805</f>
        <v>5400904915</v>
      </c>
      <c r="D802" t="str">
        <f>BIdetails!K805</f>
        <v>40</v>
      </c>
      <c r="E802" s="158">
        <f>BIdetails!M805</f>
        <v>29148.16</v>
      </c>
      <c r="F802" t="str">
        <f>IF(ISERROR(IF(OR(C802="#",C802=0),"",VLOOKUP(C802,'AOP25'!M:M,1,0))),"Not Found",VLOOKUP(C802,'AOP25'!M:M,1,0))</f>
        <v>Not Found</v>
      </c>
      <c r="G802" t="e">
        <f t="shared" si="12"/>
        <v>#N/A</v>
      </c>
    </row>
    <row r="803" spans="1:7" hidden="1" x14ac:dyDescent="0.25">
      <c r="A803" t="str">
        <f>BIdetails!G806</f>
        <v>189205</v>
      </c>
      <c r="B803" t="str">
        <f>BIdetails!H806</f>
        <v>Ctac B.V.</v>
      </c>
      <c r="C803" t="str">
        <f>BIdetails!J806</f>
        <v>5401065401</v>
      </c>
      <c r="D803" t="str">
        <f>BIdetails!K806</f>
        <v>10</v>
      </c>
      <c r="E803" s="158">
        <f>BIdetails!M806</f>
        <v>45725.46</v>
      </c>
      <c r="F803" t="str">
        <f>IF(ISERROR(IF(OR(C803="#",C803=0),"",VLOOKUP(C803,'AOP25'!M:M,1,0))),"Not Found",VLOOKUP(C803,'AOP25'!M:M,1,0))</f>
        <v>Not Found</v>
      </c>
      <c r="G803" t="e">
        <f t="shared" si="12"/>
        <v>#N/A</v>
      </c>
    </row>
    <row r="804" spans="1:7" hidden="1" x14ac:dyDescent="0.25">
      <c r="A804" t="str">
        <f>BIdetails!G807</f>
        <v>189205</v>
      </c>
      <c r="B804" t="str">
        <f>BIdetails!H807</f>
        <v>Ctac B.V.</v>
      </c>
      <c r="C804" t="str">
        <f>BIdetails!J807</f>
        <v>5401065401</v>
      </c>
      <c r="D804" t="str">
        <f>BIdetails!K807</f>
        <v>10</v>
      </c>
      <c r="E804" s="158">
        <f>BIdetails!M807</f>
        <v>2032.72</v>
      </c>
      <c r="F804" t="str">
        <f>IF(ISERROR(IF(OR(C804="#",C804=0),"",VLOOKUP(C804,'AOP25'!M:M,1,0))),"Not Found",VLOOKUP(C804,'AOP25'!M:M,1,0))</f>
        <v>Not Found</v>
      </c>
      <c r="G804" t="e">
        <f t="shared" si="12"/>
        <v>#N/A</v>
      </c>
    </row>
    <row r="805" spans="1:7" hidden="1" x14ac:dyDescent="0.25">
      <c r="A805" t="str">
        <f>BIdetails!G808</f>
        <v>191793</v>
      </c>
      <c r="B805" t="str">
        <f>BIdetails!H808</f>
        <v>XTEL SRL</v>
      </c>
      <c r="C805" t="str">
        <f>BIdetails!J808</f>
        <v>5401023517</v>
      </c>
      <c r="D805" t="str">
        <f>BIdetails!K808</f>
        <v>10</v>
      </c>
      <c r="E805" s="158">
        <f>BIdetails!M808</f>
        <v>109500</v>
      </c>
      <c r="F805" t="str">
        <f>IF(ISERROR(IF(OR(C805="#",C805=0),"",VLOOKUP(C805,'AOP25'!M:M,1,0))),"Not Found",VLOOKUP(C805,'AOP25'!M:M,1,0))</f>
        <v>Not Found</v>
      </c>
      <c r="G805" t="e">
        <f t="shared" si="12"/>
        <v>#N/A</v>
      </c>
    </row>
    <row r="806" spans="1:7" hidden="1" x14ac:dyDescent="0.25">
      <c r="A806" t="str">
        <f>BIdetails!G809</f>
        <v>191793</v>
      </c>
      <c r="B806" t="str">
        <f>BIdetails!H809</f>
        <v>XTEL SRL</v>
      </c>
      <c r="C806" t="str">
        <f>BIdetails!J809</f>
        <v>5401087935</v>
      </c>
      <c r="D806" t="str">
        <f>BIdetails!K809</f>
        <v>10</v>
      </c>
      <c r="E806" s="158">
        <f>BIdetails!M809</f>
        <v>152100</v>
      </c>
      <c r="F806" t="str">
        <f>IF(ISERROR(IF(OR(C806="#",C806=0),"",VLOOKUP(C806,'AOP25'!M:M,1,0))),"Not Found",VLOOKUP(C806,'AOP25'!M:M,1,0))</f>
        <v>Not Found</v>
      </c>
      <c r="G806" t="e">
        <f t="shared" si="12"/>
        <v>#N/A</v>
      </c>
    </row>
    <row r="807" spans="1:7" x14ac:dyDescent="0.25">
      <c r="A807" t="str">
        <f>BIdetails!G810</f>
        <v>191793</v>
      </c>
      <c r="B807" t="str">
        <f>BIdetails!H810</f>
        <v>XTEL SRL</v>
      </c>
      <c r="C807" t="str">
        <f>BIdetails!J810</f>
        <v>5401023517</v>
      </c>
      <c r="D807" t="str">
        <f>BIdetails!K810</f>
        <v>10</v>
      </c>
      <c r="E807" s="158">
        <f>BIdetails!M810</f>
        <v>39900</v>
      </c>
      <c r="F807" t="str">
        <f>IF(ISERROR(IF(OR(C807="#",C807=0),"",VLOOKUP(C807,'AOP25'!M:M,1,0))),"Not Found",VLOOKUP(C807,'AOP25'!M:M,1,0))</f>
        <v>Not Found</v>
      </c>
      <c r="G807" t="e">
        <f t="shared" si="12"/>
        <v>#N/A</v>
      </c>
    </row>
    <row r="808" spans="1:7" x14ac:dyDescent="0.25">
      <c r="A808" t="str">
        <f>BIdetails!G811</f>
        <v>191793</v>
      </c>
      <c r="B808" t="str">
        <f>BIdetails!H811</f>
        <v>XTEL SRL</v>
      </c>
      <c r="C808" t="str">
        <f>BIdetails!J811</f>
        <v>5401023517</v>
      </c>
      <c r="D808" t="str">
        <f>BIdetails!K811</f>
        <v>10</v>
      </c>
      <c r="E808" s="158">
        <f>BIdetails!M811</f>
        <v>109500</v>
      </c>
      <c r="F808" t="str">
        <f>IF(ISERROR(IF(OR(C808="#",C808=0),"",VLOOKUP(C808,'AOP25'!M:M,1,0))),"Not Found",VLOOKUP(C808,'AOP25'!M:M,1,0))</f>
        <v>Not Found</v>
      </c>
      <c r="G808" t="e">
        <f t="shared" si="12"/>
        <v>#N/A</v>
      </c>
    </row>
    <row r="809" spans="1:7" x14ac:dyDescent="0.25">
      <c r="A809" t="str">
        <f>BIdetails!G812</f>
        <v>192202</v>
      </c>
      <c r="B809" t="str">
        <f>BIdetails!H812</f>
        <v>SyncForce B.V.</v>
      </c>
      <c r="C809" t="str">
        <f>BIdetails!J812</f>
        <v>5401107545</v>
      </c>
      <c r="D809" t="str">
        <f>BIdetails!K812</f>
        <v>10</v>
      </c>
      <c r="E809" s="158">
        <f>BIdetails!M812</f>
        <v>174886.8</v>
      </c>
      <c r="F809" t="str">
        <f>IF(ISERROR(IF(OR(C809="#",C809=0),"",VLOOKUP(C809,'AOP25'!M:M,1,0))),"Not Found",VLOOKUP(C809,'AOP25'!M:M,1,0))</f>
        <v>Not Found</v>
      </c>
      <c r="G809" t="e">
        <f t="shared" si="12"/>
        <v>#N/A</v>
      </c>
    </row>
    <row r="810" spans="1:7" x14ac:dyDescent="0.25">
      <c r="A810" t="str">
        <f>BIdetails!G813</f>
        <v>192202</v>
      </c>
      <c r="B810" t="str">
        <f>BIdetails!H813</f>
        <v>SyncForce B.V.</v>
      </c>
      <c r="C810" t="str">
        <f>BIdetails!J813</f>
        <v>5401107545</v>
      </c>
      <c r="D810" t="str">
        <f>BIdetails!K813</f>
        <v>10</v>
      </c>
      <c r="E810" s="158">
        <f>BIdetails!M813</f>
        <v>693.2</v>
      </c>
      <c r="F810" t="str">
        <f>IF(ISERROR(IF(OR(C810="#",C810=0),"",VLOOKUP(C810,'AOP25'!M:M,1,0))),"Not Found",VLOOKUP(C810,'AOP25'!M:M,1,0))</f>
        <v>Not Found</v>
      </c>
      <c r="G810" t="e">
        <f t="shared" si="12"/>
        <v>#N/A</v>
      </c>
    </row>
    <row r="811" spans="1:7" x14ac:dyDescent="0.25">
      <c r="A811" t="str">
        <f>BIdetails!G814</f>
        <v>193317</v>
      </c>
      <c r="B811" t="str">
        <f>BIdetails!H814</f>
        <v>AVEVA Software Netherlands B.V.</v>
      </c>
      <c r="C811" t="str">
        <f>BIdetails!J814</f>
        <v>5401091700</v>
      </c>
      <c r="D811" t="str">
        <f>BIdetails!K814</f>
        <v>10</v>
      </c>
      <c r="E811" s="158">
        <f>BIdetails!M814</f>
        <v>8613</v>
      </c>
      <c r="F811" t="str">
        <f>IF(ISERROR(IF(OR(C811="#",C811=0),"",VLOOKUP(C811,'AOP25'!M:M,1,0))),"Not Found",VLOOKUP(C811,'AOP25'!M:M,1,0))</f>
        <v>Not Found</v>
      </c>
      <c r="G811" t="e">
        <f t="shared" si="12"/>
        <v>#N/A</v>
      </c>
    </row>
    <row r="812" spans="1:7" x14ac:dyDescent="0.25">
      <c r="A812" t="str">
        <f>BIdetails!G815</f>
        <v>193317</v>
      </c>
      <c r="B812" t="str">
        <f>BIdetails!H815</f>
        <v>AVEVA Software Netherlands B.V.</v>
      </c>
      <c r="C812" t="str">
        <f>BIdetails!J815</f>
        <v>5401091700</v>
      </c>
      <c r="D812" t="str">
        <f>BIdetails!K815</f>
        <v>10</v>
      </c>
      <c r="E812" s="158">
        <f>BIdetails!M815</f>
        <v>8613</v>
      </c>
      <c r="F812" t="str">
        <f>IF(ISERROR(IF(OR(C812="#",C812=0),"",VLOOKUP(C812,'AOP25'!M:M,1,0))),"Not Found",VLOOKUP(C812,'AOP25'!M:M,1,0))</f>
        <v>Not Found</v>
      </c>
      <c r="G812" t="e">
        <f t="shared" si="12"/>
        <v>#N/A</v>
      </c>
    </row>
    <row r="813" spans="1:7" hidden="1" x14ac:dyDescent="0.25">
      <c r="A813" t="str">
        <f>BIdetails!G816</f>
        <v>193317</v>
      </c>
      <c r="B813" t="str">
        <f>BIdetails!H816</f>
        <v>AVEVA Software Netherlands B.V.</v>
      </c>
      <c r="C813" t="str">
        <f>BIdetails!J816</f>
        <v>5401091700</v>
      </c>
      <c r="D813" t="str">
        <f>BIdetails!K816</f>
        <v>10</v>
      </c>
      <c r="E813" s="158">
        <f>BIdetails!M816</f>
        <v>86133</v>
      </c>
      <c r="F813" t="str">
        <f>IF(ISERROR(IF(OR(C813="#",C813=0),"",VLOOKUP(C813,'AOP25'!M:M,1,0))),"Not Found",VLOOKUP(C813,'AOP25'!M:M,1,0))</f>
        <v>Not Found</v>
      </c>
      <c r="G813" t="e">
        <f t="shared" si="12"/>
        <v>#N/A</v>
      </c>
    </row>
    <row r="814" spans="1:7" hidden="1" x14ac:dyDescent="0.25">
      <c r="A814" t="str">
        <f>BIdetails!G817</f>
        <v>196055</v>
      </c>
      <c r="B814" t="str">
        <f>BIdetails!H817</f>
        <v>Cognizant Worldwide Limited</v>
      </c>
      <c r="C814" t="str">
        <f>BIdetails!J817</f>
        <v>5401035617</v>
      </c>
      <c r="D814" t="str">
        <f>BIdetails!K817</f>
        <v>20</v>
      </c>
      <c r="E814" s="158">
        <f>BIdetails!M817</f>
        <v>-15000</v>
      </c>
      <c r="F814" t="str">
        <f>IF(ISERROR(IF(OR(C814="#",C814=0),"",VLOOKUP(C814,'AOP25'!M:M,1,0))),"Not Found",VLOOKUP(C814,'AOP25'!M:M,1,0))</f>
        <v>Not Found</v>
      </c>
      <c r="G814" t="e">
        <f t="shared" si="12"/>
        <v>#N/A</v>
      </c>
    </row>
    <row r="815" spans="1:7" hidden="1" x14ac:dyDescent="0.25">
      <c r="A815" t="str">
        <f>BIdetails!G818</f>
        <v>196055</v>
      </c>
      <c r="B815" t="str">
        <f>BIdetails!H818</f>
        <v>Cognizant Worldwide Limited</v>
      </c>
      <c r="C815" t="str">
        <f>BIdetails!J818</f>
        <v>5401035617</v>
      </c>
      <c r="D815" t="str">
        <f>BIdetails!K818</f>
        <v>20</v>
      </c>
      <c r="E815" s="158">
        <f>BIdetails!M818</f>
        <v>28652.560000000001</v>
      </c>
      <c r="F815" t="str">
        <f>IF(ISERROR(IF(OR(C815="#",C815=0),"",VLOOKUP(C815,'AOP25'!M:M,1,0))),"Not Found",VLOOKUP(C815,'AOP25'!M:M,1,0))</f>
        <v>Not Found</v>
      </c>
      <c r="G815" t="e">
        <f t="shared" si="12"/>
        <v>#N/A</v>
      </c>
    </row>
    <row r="816" spans="1:7" hidden="1" x14ac:dyDescent="0.25">
      <c r="A816" t="str">
        <f>BIdetails!G819</f>
        <v>196055</v>
      </c>
      <c r="B816" t="str">
        <f>BIdetails!H819</f>
        <v>Cognizant Worldwide Limited</v>
      </c>
      <c r="C816" t="str">
        <f>BIdetails!J819</f>
        <v>5401035617</v>
      </c>
      <c r="D816" t="str">
        <f>BIdetails!K819</f>
        <v>20</v>
      </c>
      <c r="E816" s="158">
        <f>BIdetails!M819</f>
        <v>7982.96</v>
      </c>
      <c r="F816" t="str">
        <f>IF(ISERROR(IF(OR(C816="#",C816=0),"",VLOOKUP(C816,'AOP25'!M:M,1,0))),"Not Found",VLOOKUP(C816,'AOP25'!M:M,1,0))</f>
        <v>Not Found</v>
      </c>
      <c r="G816" t="e">
        <f t="shared" si="12"/>
        <v>#N/A</v>
      </c>
    </row>
    <row r="817" spans="1:7" hidden="1" x14ac:dyDescent="0.25">
      <c r="A817" t="str">
        <f>BIdetails!G820</f>
        <v>196055</v>
      </c>
      <c r="B817" t="str">
        <f>BIdetails!H820</f>
        <v>Cognizant Worldwide Limited</v>
      </c>
      <c r="C817" t="str">
        <f>BIdetails!J820</f>
        <v>5401035617</v>
      </c>
      <c r="D817" t="str">
        <f>BIdetails!K820</f>
        <v>30</v>
      </c>
      <c r="E817" s="158">
        <f>BIdetails!M820</f>
        <v>15000</v>
      </c>
      <c r="F817" t="str">
        <f>IF(ISERROR(IF(OR(C817="#",C817=0),"",VLOOKUP(C817,'AOP25'!M:M,1,0))),"Not Found",VLOOKUP(C817,'AOP25'!M:M,1,0))</f>
        <v>Not Found</v>
      </c>
      <c r="G817" t="e">
        <f t="shared" si="12"/>
        <v>#N/A</v>
      </c>
    </row>
    <row r="818" spans="1:7" hidden="1" x14ac:dyDescent="0.25">
      <c r="A818" t="str">
        <f>BIdetails!G821</f>
        <v>196055</v>
      </c>
      <c r="B818" t="str">
        <f>BIdetails!H821</f>
        <v>Cognizant Worldwide Limited</v>
      </c>
      <c r="C818" t="str">
        <f>BIdetails!J821</f>
        <v>5401035617</v>
      </c>
      <c r="D818" t="str">
        <f>BIdetails!K821</f>
        <v>30</v>
      </c>
      <c r="E818" s="158">
        <f>BIdetails!M821</f>
        <v>15830</v>
      </c>
      <c r="F818" t="str">
        <f>IF(ISERROR(IF(OR(C818="#",C818=0),"",VLOOKUP(C818,'AOP25'!M:M,1,0))),"Not Found",VLOOKUP(C818,'AOP25'!M:M,1,0))</f>
        <v>Not Found</v>
      </c>
      <c r="G818" t="e">
        <f t="shared" si="12"/>
        <v>#N/A</v>
      </c>
    </row>
    <row r="819" spans="1:7" hidden="1" x14ac:dyDescent="0.25">
      <c r="A819" t="str">
        <f>BIdetails!G822</f>
        <v>196055</v>
      </c>
      <c r="B819" t="str">
        <f>BIdetails!H822</f>
        <v>Cognizant Worldwide Limited</v>
      </c>
      <c r="C819" t="str">
        <f>BIdetails!J822</f>
        <v>5401035617</v>
      </c>
      <c r="D819" t="str">
        <f>BIdetails!K822</f>
        <v>30</v>
      </c>
      <c r="E819" s="158">
        <f>BIdetails!M822</f>
        <v>20000</v>
      </c>
      <c r="F819" t="str">
        <f>IF(ISERROR(IF(OR(C819="#",C819=0),"",VLOOKUP(C819,'AOP25'!M:M,1,0))),"Not Found",VLOOKUP(C819,'AOP25'!M:M,1,0))</f>
        <v>Not Found</v>
      </c>
      <c r="G819" t="e">
        <f t="shared" si="12"/>
        <v>#N/A</v>
      </c>
    </row>
    <row r="820" spans="1:7" hidden="1" x14ac:dyDescent="0.25">
      <c r="A820" t="str">
        <f>BIdetails!G823</f>
        <v>196055</v>
      </c>
      <c r="B820" t="str">
        <f>BIdetails!H823</f>
        <v>Cognizant Worldwide Limited</v>
      </c>
      <c r="C820" t="str">
        <f>BIdetails!J823</f>
        <v>5401035617</v>
      </c>
      <c r="D820" t="str">
        <f>BIdetails!K823</f>
        <v>30</v>
      </c>
      <c r="E820" s="158">
        <f>BIdetails!M823</f>
        <v>10675.4</v>
      </c>
      <c r="F820" t="str">
        <f>IF(ISERROR(IF(OR(C820="#",C820=0),"",VLOOKUP(C820,'AOP25'!M:M,1,0))),"Not Found",VLOOKUP(C820,'AOP25'!M:M,1,0))</f>
        <v>Not Found</v>
      </c>
      <c r="G820" t="e">
        <f t="shared" si="12"/>
        <v>#N/A</v>
      </c>
    </row>
    <row r="821" spans="1:7" hidden="1" x14ac:dyDescent="0.25">
      <c r="A821" t="str">
        <f>BIdetails!G824</f>
        <v>196055</v>
      </c>
      <c r="B821" t="str">
        <f>BIdetails!H824</f>
        <v>Cognizant Worldwide Limited</v>
      </c>
      <c r="C821" t="str">
        <f>BIdetails!J824</f>
        <v>5401035617</v>
      </c>
      <c r="D821" t="str">
        <f>BIdetails!K824</f>
        <v>30</v>
      </c>
      <c r="E821" s="158">
        <f>BIdetails!M824</f>
        <v>20000</v>
      </c>
      <c r="F821" t="str">
        <f>IF(ISERROR(IF(OR(C821="#",C821=0),"",VLOOKUP(C821,'AOP25'!M:M,1,0))),"Not Found",VLOOKUP(C821,'AOP25'!M:M,1,0))</f>
        <v>Not Found</v>
      </c>
      <c r="G821" t="e">
        <f t="shared" si="12"/>
        <v>#N/A</v>
      </c>
    </row>
    <row r="822" spans="1:7" hidden="1" x14ac:dyDescent="0.25">
      <c r="A822" t="str">
        <f>BIdetails!G825</f>
        <v>196055</v>
      </c>
      <c r="B822" t="str">
        <f>BIdetails!H825</f>
        <v>Cognizant Worldwide Limited</v>
      </c>
      <c r="C822" t="str">
        <f>BIdetails!J825</f>
        <v>5401035617</v>
      </c>
      <c r="D822" t="str">
        <f>BIdetails!K825</f>
        <v>30</v>
      </c>
      <c r="E822" s="158">
        <f>BIdetails!M825</f>
        <v>7225.02</v>
      </c>
      <c r="F822" t="str">
        <f>IF(ISERROR(IF(OR(C822="#",C822=0),"",VLOOKUP(C822,'AOP25'!M:M,1,0))),"Not Found",VLOOKUP(C822,'AOP25'!M:M,1,0))</f>
        <v>Not Found</v>
      </c>
      <c r="G822" t="e">
        <f t="shared" si="12"/>
        <v>#N/A</v>
      </c>
    </row>
    <row r="823" spans="1:7" hidden="1" x14ac:dyDescent="0.25">
      <c r="A823" t="str">
        <f>BIdetails!G826</f>
        <v>196055</v>
      </c>
      <c r="B823" t="str">
        <f>BIdetails!H826</f>
        <v>Cognizant Worldwide Limited</v>
      </c>
      <c r="C823" t="str">
        <f>BIdetails!J826</f>
        <v>5401035617</v>
      </c>
      <c r="D823" t="str">
        <f>BIdetails!K826</f>
        <v>30</v>
      </c>
      <c r="E823" s="158">
        <f>BIdetails!M826</f>
        <v>20000</v>
      </c>
      <c r="F823" t="str">
        <f>IF(ISERROR(IF(OR(C823="#",C823=0),"",VLOOKUP(C823,'AOP25'!M:M,1,0))),"Not Found",VLOOKUP(C823,'AOP25'!M:M,1,0))</f>
        <v>Not Found</v>
      </c>
      <c r="G823" t="e">
        <f t="shared" si="12"/>
        <v>#N/A</v>
      </c>
    </row>
    <row r="824" spans="1:7" hidden="1" x14ac:dyDescent="0.25">
      <c r="A824" t="str">
        <f>BIdetails!G827</f>
        <v>196055</v>
      </c>
      <c r="B824" t="str">
        <f>BIdetails!H827</f>
        <v>Cognizant Worldwide Limited</v>
      </c>
      <c r="C824" t="str">
        <f>BIdetails!J827</f>
        <v>5401035617</v>
      </c>
      <c r="D824" t="str">
        <f>BIdetails!K827</f>
        <v>30</v>
      </c>
      <c r="E824" s="158">
        <f>BIdetails!M827</f>
        <v>8143.63</v>
      </c>
      <c r="F824" t="str">
        <f>IF(ISERROR(IF(OR(C824="#",C824=0),"",VLOOKUP(C824,'AOP25'!M:M,1,0))),"Not Found",VLOOKUP(C824,'AOP25'!M:M,1,0))</f>
        <v>Not Found</v>
      </c>
      <c r="G824" t="e">
        <f t="shared" si="12"/>
        <v>#N/A</v>
      </c>
    </row>
    <row r="825" spans="1:7" hidden="1" x14ac:dyDescent="0.25">
      <c r="A825" t="str">
        <f>BIdetails!G828</f>
        <v>196055</v>
      </c>
      <c r="B825" t="str">
        <f>BIdetails!H828</f>
        <v>Cognizant Worldwide Limited</v>
      </c>
      <c r="C825" t="str">
        <f>BIdetails!J828</f>
        <v>5401035617</v>
      </c>
      <c r="D825" t="str">
        <f>BIdetails!K828</f>
        <v>30</v>
      </c>
      <c r="E825" s="158">
        <f>BIdetails!M828</f>
        <v>20000</v>
      </c>
      <c r="F825" t="str">
        <f>IF(ISERROR(IF(OR(C825="#",C825=0),"",VLOOKUP(C825,'AOP25'!M:M,1,0))),"Not Found",VLOOKUP(C825,'AOP25'!M:M,1,0))</f>
        <v>Not Found</v>
      </c>
      <c r="G825" t="e">
        <f t="shared" si="12"/>
        <v>#N/A</v>
      </c>
    </row>
    <row r="826" spans="1:7" hidden="1" x14ac:dyDescent="0.25">
      <c r="A826" t="str">
        <f>BIdetails!G829</f>
        <v>196055</v>
      </c>
      <c r="B826" t="str">
        <f>BIdetails!H829</f>
        <v>Cognizant Worldwide Limited</v>
      </c>
      <c r="C826" t="str">
        <f>BIdetails!J829</f>
        <v>5401035617</v>
      </c>
      <c r="D826" t="str">
        <f>BIdetails!K829</f>
        <v>30</v>
      </c>
      <c r="E826" s="158">
        <f>BIdetails!M829</f>
        <v>8473.5400000000009</v>
      </c>
      <c r="F826" t="str">
        <f>IF(ISERROR(IF(OR(C826="#",C826=0),"",VLOOKUP(C826,'AOP25'!M:M,1,0))),"Not Found",VLOOKUP(C826,'AOP25'!M:M,1,0))</f>
        <v>Not Found</v>
      </c>
      <c r="G826" t="e">
        <f t="shared" ref="G826:G889" si="13">IF(NOT(ISERROR(VLOOKUP(C826,$K$2:$K$50,1,0))),"Y",VLOOKUP(C826,$K$2:$K$50,1,0))</f>
        <v>#N/A</v>
      </c>
    </row>
    <row r="827" spans="1:7" hidden="1" x14ac:dyDescent="0.25">
      <c r="A827" t="str">
        <f>BIdetails!G830</f>
        <v>196055</v>
      </c>
      <c r="B827" t="str">
        <f>BIdetails!H830</f>
        <v>Cognizant Worldwide Limited</v>
      </c>
      <c r="C827" t="str">
        <f>BIdetails!J830</f>
        <v>5401035617</v>
      </c>
      <c r="D827" t="str">
        <f>BIdetails!K830</f>
        <v>30</v>
      </c>
      <c r="E827" s="158">
        <f>BIdetails!M830</f>
        <v>20000</v>
      </c>
      <c r="F827" t="str">
        <f>IF(ISERROR(IF(OR(C827="#",C827=0),"",VLOOKUP(C827,'AOP25'!M:M,1,0))),"Not Found",VLOOKUP(C827,'AOP25'!M:M,1,0))</f>
        <v>Not Found</v>
      </c>
      <c r="G827" t="e">
        <f t="shared" si="13"/>
        <v>#N/A</v>
      </c>
    </row>
    <row r="828" spans="1:7" hidden="1" x14ac:dyDescent="0.25">
      <c r="A828" t="str">
        <f>BIdetails!G831</f>
        <v>196055</v>
      </c>
      <c r="B828" t="str">
        <f>BIdetails!H831</f>
        <v>Cognizant Worldwide Limited</v>
      </c>
      <c r="C828" t="str">
        <f>BIdetails!J831</f>
        <v>5401035617</v>
      </c>
      <c r="D828" t="str">
        <f>BIdetails!K831</f>
        <v>30</v>
      </c>
      <c r="E828" s="158">
        <f>BIdetails!M831</f>
        <v>0.8</v>
      </c>
      <c r="F828" t="str">
        <f>IF(ISERROR(IF(OR(C828="#",C828=0),"",VLOOKUP(C828,'AOP25'!M:M,1,0))),"Not Found",VLOOKUP(C828,'AOP25'!M:M,1,0))</f>
        <v>Not Found</v>
      </c>
      <c r="G828" t="e">
        <f t="shared" si="13"/>
        <v>#N/A</v>
      </c>
    </row>
    <row r="829" spans="1:7" hidden="1" x14ac:dyDescent="0.25">
      <c r="A829" t="str">
        <f>BIdetails!G832</f>
        <v>196653</v>
      </c>
      <c r="B829" t="str">
        <f>BIdetails!H832</f>
        <v>Orange Business Netherlands B.V.</v>
      </c>
      <c r="C829" t="str">
        <f>BIdetails!J832</f>
        <v>5401046672</v>
      </c>
      <c r="D829" t="str">
        <f>BIdetails!K832</f>
        <v>20</v>
      </c>
      <c r="E829" s="158">
        <f>BIdetails!M832</f>
        <v>33468.639999999999</v>
      </c>
      <c r="F829" t="str">
        <f>IF(ISERROR(IF(OR(C829="#",C829=0),"",VLOOKUP(C829,'AOP25'!M:M,1,0))),"Not Found",VLOOKUP(C829,'AOP25'!M:M,1,0))</f>
        <v>Not Found</v>
      </c>
      <c r="G829" t="e">
        <f t="shared" si="13"/>
        <v>#N/A</v>
      </c>
    </row>
    <row r="830" spans="1:7" hidden="1" x14ac:dyDescent="0.25">
      <c r="A830" t="str">
        <f>BIdetails!G833</f>
        <v>196653</v>
      </c>
      <c r="B830" t="str">
        <f>BIdetails!H833</f>
        <v>Orange Business Netherlands B.V.</v>
      </c>
      <c r="C830" t="str">
        <f>BIdetails!J833</f>
        <v>5401058449</v>
      </c>
      <c r="D830" t="str">
        <f>BIdetails!K833</f>
        <v>20</v>
      </c>
      <c r="E830" s="158">
        <f>BIdetails!M833</f>
        <v>-35979</v>
      </c>
      <c r="F830" t="str">
        <f>IF(ISERROR(IF(OR(C830="#",C830=0),"",VLOOKUP(C830,'AOP25'!M:M,1,0))),"Not Found",VLOOKUP(C830,'AOP25'!M:M,1,0))</f>
        <v>Not Found</v>
      </c>
      <c r="G830" t="e">
        <f t="shared" si="13"/>
        <v>#N/A</v>
      </c>
    </row>
    <row r="831" spans="1:7" hidden="1" x14ac:dyDescent="0.25">
      <c r="A831" t="str">
        <f>BIdetails!G834</f>
        <v>196653</v>
      </c>
      <c r="B831" t="str">
        <f>BIdetails!H834</f>
        <v>Orange Business Netherlands B.V.</v>
      </c>
      <c r="C831" t="str">
        <f>BIdetails!J834</f>
        <v>5401058449</v>
      </c>
      <c r="D831" t="str">
        <f>BIdetails!K834</f>
        <v>20</v>
      </c>
      <c r="E831" s="158">
        <f>BIdetails!M834</f>
        <v>23639.78</v>
      </c>
      <c r="F831" t="str">
        <f>IF(ISERROR(IF(OR(C831="#",C831=0),"",VLOOKUP(C831,'AOP25'!M:M,1,0))),"Not Found",VLOOKUP(C831,'AOP25'!M:M,1,0))</f>
        <v>Not Found</v>
      </c>
      <c r="G831" t="e">
        <f t="shared" si="13"/>
        <v>#N/A</v>
      </c>
    </row>
    <row r="832" spans="1:7" hidden="1" x14ac:dyDescent="0.25">
      <c r="A832" t="str">
        <f>BIdetails!G835</f>
        <v>196653</v>
      </c>
      <c r="B832" t="str">
        <f>BIdetails!H835</f>
        <v>Orange Business Netherlands B.V.</v>
      </c>
      <c r="C832" t="str">
        <f>BIdetails!J835</f>
        <v>5401058449</v>
      </c>
      <c r="D832" t="str">
        <f>BIdetails!K835</f>
        <v>20</v>
      </c>
      <c r="E832" s="158">
        <f>BIdetails!M835</f>
        <v>216</v>
      </c>
      <c r="F832" t="str">
        <f>IF(ISERROR(IF(OR(C832="#",C832=0),"",VLOOKUP(C832,'AOP25'!M:M,1,0))),"Not Found",VLOOKUP(C832,'AOP25'!M:M,1,0))</f>
        <v>Not Found</v>
      </c>
      <c r="G832" t="e">
        <f t="shared" si="13"/>
        <v>#N/A</v>
      </c>
    </row>
    <row r="833" spans="1:7" hidden="1" x14ac:dyDescent="0.25">
      <c r="A833" t="str">
        <f>BIdetails!G836</f>
        <v>196653</v>
      </c>
      <c r="B833" t="str">
        <f>BIdetails!H836</f>
        <v>Orange Business Netherlands B.V.</v>
      </c>
      <c r="C833" t="str">
        <f>BIdetails!J836</f>
        <v>5401046672</v>
      </c>
      <c r="D833" t="str">
        <f>BIdetails!K836</f>
        <v>20</v>
      </c>
      <c r="E833" s="158">
        <f>BIdetails!M836</f>
        <v>306</v>
      </c>
      <c r="F833" t="str">
        <f>IF(ISERROR(IF(OR(C833="#",C833=0),"",VLOOKUP(C833,'AOP25'!M:M,1,0))),"Not Found",VLOOKUP(C833,'AOP25'!M:M,1,0))</f>
        <v>Not Found</v>
      </c>
      <c r="G833" t="e">
        <f t="shared" si="13"/>
        <v>#N/A</v>
      </c>
    </row>
    <row r="834" spans="1:7" hidden="1" x14ac:dyDescent="0.25">
      <c r="A834" t="str">
        <f>BIdetails!G837</f>
        <v>196653</v>
      </c>
      <c r="B834" t="str">
        <f>BIdetails!H837</f>
        <v>Orange Business Netherlands B.V.</v>
      </c>
      <c r="C834" t="str">
        <f>BIdetails!J837</f>
        <v>5401105571</v>
      </c>
      <c r="D834" t="str">
        <f>BIdetails!K837</f>
        <v>10</v>
      </c>
      <c r="E834" s="158">
        <f>BIdetails!M837</f>
        <v>21349</v>
      </c>
      <c r="F834" t="str">
        <f>IF(ISERROR(IF(OR(C834="#",C834=0),"",VLOOKUP(C834,'AOP25'!M:M,1,0))),"Not Found",VLOOKUP(C834,'AOP25'!M:M,1,0))</f>
        <v>Not Found</v>
      </c>
      <c r="G834" t="e">
        <f t="shared" si="13"/>
        <v>#N/A</v>
      </c>
    </row>
    <row r="835" spans="1:7" hidden="1" x14ac:dyDescent="0.25">
      <c r="A835" t="str">
        <f>BIdetails!G838</f>
        <v>196742</v>
      </c>
      <c r="B835" t="str">
        <f>BIdetails!H838</f>
        <v>Vaimo Benelux</v>
      </c>
      <c r="C835" t="str">
        <f>BIdetails!J838</f>
        <v>5401076975</v>
      </c>
      <c r="D835" t="str">
        <f>BIdetails!K838</f>
        <v>10</v>
      </c>
      <c r="E835" s="158">
        <f>BIdetails!M838</f>
        <v>600</v>
      </c>
      <c r="F835" t="str">
        <f>IF(ISERROR(IF(OR(C835="#",C835=0),"",VLOOKUP(C835,'AOP25'!M:M,1,0))),"Not Found",VLOOKUP(C835,'AOP25'!M:M,1,0))</f>
        <v>Not Found</v>
      </c>
      <c r="G835" t="e">
        <f t="shared" si="13"/>
        <v>#N/A</v>
      </c>
    </row>
    <row r="836" spans="1:7" hidden="1" x14ac:dyDescent="0.25">
      <c r="A836" t="str">
        <f>BIdetails!G839</f>
        <v>196742</v>
      </c>
      <c r="B836" t="str">
        <f>BIdetails!H839</f>
        <v>Vaimo Benelux</v>
      </c>
      <c r="C836" t="str">
        <f>BIdetails!J839</f>
        <v>5401076975</v>
      </c>
      <c r="D836" t="str">
        <f>BIdetails!K839</f>
        <v>20</v>
      </c>
      <c r="E836" s="158">
        <f>BIdetails!M839</f>
        <v>790</v>
      </c>
      <c r="F836" t="str">
        <f>IF(ISERROR(IF(OR(C836="#",C836=0),"",VLOOKUP(C836,'AOP25'!M:M,1,0))),"Not Found",VLOOKUP(C836,'AOP25'!M:M,1,0))</f>
        <v>Not Found</v>
      </c>
      <c r="G836" t="e">
        <f t="shared" si="13"/>
        <v>#N/A</v>
      </c>
    </row>
    <row r="837" spans="1:7" hidden="1" x14ac:dyDescent="0.25">
      <c r="A837" t="str">
        <f>BIdetails!G840</f>
        <v>196742</v>
      </c>
      <c r="B837" t="str">
        <f>BIdetails!H840</f>
        <v>Vaimo Benelux</v>
      </c>
      <c r="C837" t="str">
        <f>BIdetails!J840</f>
        <v>5401076975</v>
      </c>
      <c r="D837" t="str">
        <f>BIdetails!K840</f>
        <v>60</v>
      </c>
      <c r="E837" s="158">
        <f>BIdetails!M840</f>
        <v>300</v>
      </c>
      <c r="F837" t="str">
        <f>IF(ISERROR(IF(OR(C837="#",C837=0),"",VLOOKUP(C837,'AOP25'!M:M,1,0))),"Not Found",VLOOKUP(C837,'AOP25'!M:M,1,0))</f>
        <v>Not Found</v>
      </c>
      <c r="G837" t="e">
        <f t="shared" si="13"/>
        <v>#N/A</v>
      </c>
    </row>
    <row r="838" spans="1:7" hidden="1" x14ac:dyDescent="0.25">
      <c r="A838" t="str">
        <f>BIdetails!G841</f>
        <v>196742</v>
      </c>
      <c r="B838" t="str">
        <f>BIdetails!H841</f>
        <v>Vaimo Benelux</v>
      </c>
      <c r="C838" t="str">
        <f>BIdetails!J841</f>
        <v>5401076975</v>
      </c>
      <c r="D838" t="str">
        <f>BIdetails!K841</f>
        <v>40</v>
      </c>
      <c r="E838" s="158">
        <f>BIdetails!M841</f>
        <v>500</v>
      </c>
      <c r="F838" t="str">
        <f>IF(ISERROR(IF(OR(C838="#",C838=0),"",VLOOKUP(C838,'AOP25'!M:M,1,0))),"Not Found",VLOOKUP(C838,'AOP25'!M:M,1,0))</f>
        <v>Not Found</v>
      </c>
      <c r="G838" t="e">
        <f t="shared" si="13"/>
        <v>#N/A</v>
      </c>
    </row>
    <row r="839" spans="1:7" hidden="1" x14ac:dyDescent="0.25">
      <c r="A839" t="str">
        <f>BIdetails!G842</f>
        <v>196742</v>
      </c>
      <c r="B839" t="str">
        <f>BIdetails!H842</f>
        <v>Vaimo Benelux</v>
      </c>
      <c r="C839" t="str">
        <f>BIdetails!J842</f>
        <v>5401076975</v>
      </c>
      <c r="D839" t="str">
        <f>BIdetails!K842</f>
        <v>10</v>
      </c>
      <c r="E839" s="158">
        <f>BIdetails!M842</f>
        <v>600</v>
      </c>
      <c r="F839" t="str">
        <f>IF(ISERROR(IF(OR(C839="#",C839=0),"",VLOOKUP(C839,'AOP25'!M:M,1,0))),"Not Found",VLOOKUP(C839,'AOP25'!M:M,1,0))</f>
        <v>Not Found</v>
      </c>
      <c r="G839" t="e">
        <f t="shared" si="13"/>
        <v>#N/A</v>
      </c>
    </row>
    <row r="840" spans="1:7" hidden="1" x14ac:dyDescent="0.25">
      <c r="A840" t="str">
        <f>BIdetails!G843</f>
        <v>196742</v>
      </c>
      <c r="B840" t="str">
        <f>BIdetails!H843</f>
        <v>Vaimo Benelux</v>
      </c>
      <c r="C840" t="str">
        <f>BIdetails!J843</f>
        <v>5401076975</v>
      </c>
      <c r="D840" t="str">
        <f>BIdetails!K843</f>
        <v>20</v>
      </c>
      <c r="E840" s="158">
        <f>BIdetails!M843</f>
        <v>790</v>
      </c>
      <c r="F840" t="str">
        <f>IF(ISERROR(IF(OR(C840="#",C840=0),"",VLOOKUP(C840,'AOP25'!M:M,1,0))),"Not Found",VLOOKUP(C840,'AOP25'!M:M,1,0))</f>
        <v>Not Found</v>
      </c>
      <c r="G840" t="e">
        <f t="shared" si="13"/>
        <v>#N/A</v>
      </c>
    </row>
    <row r="841" spans="1:7" hidden="1" x14ac:dyDescent="0.25">
      <c r="A841" t="str">
        <f>BIdetails!G844</f>
        <v>196742</v>
      </c>
      <c r="B841" t="str">
        <f>BIdetails!H844</f>
        <v>Vaimo Benelux</v>
      </c>
      <c r="C841" t="str">
        <f>BIdetails!J844</f>
        <v>5401076975</v>
      </c>
      <c r="D841" t="str">
        <f>BIdetails!K844</f>
        <v>40</v>
      </c>
      <c r="E841" s="158">
        <f>BIdetails!M844</f>
        <v>500</v>
      </c>
      <c r="F841" t="str">
        <f>IF(ISERROR(IF(OR(C841="#",C841=0),"",VLOOKUP(C841,'AOP25'!M:M,1,0))),"Not Found",VLOOKUP(C841,'AOP25'!M:M,1,0))</f>
        <v>Not Found</v>
      </c>
      <c r="G841" t="e">
        <f t="shared" si="13"/>
        <v>#N/A</v>
      </c>
    </row>
    <row r="842" spans="1:7" hidden="1" x14ac:dyDescent="0.25">
      <c r="A842" t="str">
        <f>BIdetails!G845</f>
        <v>196742</v>
      </c>
      <c r="B842" t="str">
        <f>BIdetails!H845</f>
        <v>Vaimo Benelux</v>
      </c>
      <c r="C842" t="str">
        <f>BIdetails!J845</f>
        <v>5401076975</v>
      </c>
      <c r="D842" t="str">
        <f>BIdetails!K845</f>
        <v>60</v>
      </c>
      <c r="E842" s="158">
        <f>BIdetails!M845</f>
        <v>300</v>
      </c>
      <c r="F842" t="str">
        <f>IF(ISERROR(IF(OR(C842="#",C842=0),"",VLOOKUP(C842,'AOP25'!M:M,1,0))),"Not Found",VLOOKUP(C842,'AOP25'!M:M,1,0))</f>
        <v>Not Found</v>
      </c>
      <c r="G842" t="e">
        <f t="shared" si="13"/>
        <v>#N/A</v>
      </c>
    </row>
    <row r="843" spans="1:7" hidden="1" x14ac:dyDescent="0.25">
      <c r="A843" t="str">
        <f>BIdetails!G846</f>
        <v>196742</v>
      </c>
      <c r="B843" t="str">
        <f>BIdetails!H846</f>
        <v>Vaimo Benelux</v>
      </c>
      <c r="C843" t="str">
        <f>BIdetails!J846</f>
        <v>5401076975</v>
      </c>
      <c r="D843" t="str">
        <f>BIdetails!K846</f>
        <v>10</v>
      </c>
      <c r="E843" s="158">
        <f>BIdetails!M846</f>
        <v>600</v>
      </c>
      <c r="F843" t="str">
        <f>IF(ISERROR(IF(OR(C843="#",C843=0),"",VLOOKUP(C843,'AOP25'!M:M,1,0))),"Not Found",VLOOKUP(C843,'AOP25'!M:M,1,0))</f>
        <v>Not Found</v>
      </c>
      <c r="G843" t="e">
        <f t="shared" si="13"/>
        <v>#N/A</v>
      </c>
    </row>
    <row r="844" spans="1:7" hidden="1" x14ac:dyDescent="0.25">
      <c r="A844" t="str">
        <f>BIdetails!G847</f>
        <v>196742</v>
      </c>
      <c r="B844" t="str">
        <f>BIdetails!H847</f>
        <v>Vaimo Benelux</v>
      </c>
      <c r="C844" t="str">
        <f>BIdetails!J847</f>
        <v>5401076975</v>
      </c>
      <c r="D844" t="str">
        <f>BIdetails!K847</f>
        <v>20</v>
      </c>
      <c r="E844" s="158">
        <f>BIdetails!M847</f>
        <v>790</v>
      </c>
      <c r="F844" t="str">
        <f>IF(ISERROR(IF(OR(C844="#",C844=0),"",VLOOKUP(C844,'AOP25'!M:M,1,0))),"Not Found",VLOOKUP(C844,'AOP25'!M:M,1,0))</f>
        <v>Not Found</v>
      </c>
      <c r="G844" t="e">
        <f t="shared" si="13"/>
        <v>#N/A</v>
      </c>
    </row>
    <row r="845" spans="1:7" hidden="1" x14ac:dyDescent="0.25">
      <c r="A845" t="str">
        <f>BIdetails!G848</f>
        <v>196742</v>
      </c>
      <c r="B845" t="str">
        <f>BIdetails!H848</f>
        <v>Vaimo Benelux</v>
      </c>
      <c r="C845" t="str">
        <f>BIdetails!J848</f>
        <v>5401076975</v>
      </c>
      <c r="D845" t="str">
        <f>BIdetails!K848</f>
        <v>40</v>
      </c>
      <c r="E845" s="158">
        <f>BIdetails!M848</f>
        <v>500</v>
      </c>
      <c r="F845" t="str">
        <f>IF(ISERROR(IF(OR(C845="#",C845=0),"",VLOOKUP(C845,'AOP25'!M:M,1,0))),"Not Found",VLOOKUP(C845,'AOP25'!M:M,1,0))</f>
        <v>Not Found</v>
      </c>
      <c r="G845" t="e">
        <f t="shared" si="13"/>
        <v>#N/A</v>
      </c>
    </row>
    <row r="846" spans="1:7" hidden="1" x14ac:dyDescent="0.25">
      <c r="A846" t="str">
        <f>BIdetails!G849</f>
        <v>196742</v>
      </c>
      <c r="B846" t="str">
        <f>BIdetails!H849</f>
        <v>Vaimo Benelux</v>
      </c>
      <c r="C846" t="str">
        <f>BIdetails!J849</f>
        <v>5401076975</v>
      </c>
      <c r="D846" t="str">
        <f>BIdetails!K849</f>
        <v>60</v>
      </c>
      <c r="E846" s="158">
        <f>BIdetails!M849</f>
        <v>300</v>
      </c>
      <c r="F846" t="str">
        <f>IF(ISERROR(IF(OR(C846="#",C846=0),"",VLOOKUP(C846,'AOP25'!M:M,1,0))),"Not Found",VLOOKUP(C846,'AOP25'!M:M,1,0))</f>
        <v>Not Found</v>
      </c>
      <c r="G846" t="e">
        <f t="shared" si="13"/>
        <v>#N/A</v>
      </c>
    </row>
    <row r="847" spans="1:7" hidden="1" x14ac:dyDescent="0.25">
      <c r="A847" t="str">
        <f>BIdetails!G850</f>
        <v>196742</v>
      </c>
      <c r="B847" t="str">
        <f>BIdetails!H850</f>
        <v>Vaimo Benelux</v>
      </c>
      <c r="C847" t="str">
        <f>BIdetails!J850</f>
        <v>5401076975</v>
      </c>
      <c r="D847" t="str">
        <f>BIdetails!K850</f>
        <v>10</v>
      </c>
      <c r="E847" s="158">
        <f>BIdetails!M850</f>
        <v>600</v>
      </c>
      <c r="F847" t="str">
        <f>IF(ISERROR(IF(OR(C847="#",C847=0),"",VLOOKUP(C847,'AOP25'!M:M,1,0))),"Not Found",VLOOKUP(C847,'AOP25'!M:M,1,0))</f>
        <v>Not Found</v>
      </c>
      <c r="G847" t="e">
        <f t="shared" si="13"/>
        <v>#N/A</v>
      </c>
    </row>
    <row r="848" spans="1:7" hidden="1" x14ac:dyDescent="0.25">
      <c r="A848" t="str">
        <f>BIdetails!G851</f>
        <v>196742</v>
      </c>
      <c r="B848" t="str">
        <f>BIdetails!H851</f>
        <v>Vaimo Benelux</v>
      </c>
      <c r="C848" t="str">
        <f>BIdetails!J851</f>
        <v>5401076975</v>
      </c>
      <c r="D848" t="str">
        <f>BIdetails!K851</f>
        <v>20</v>
      </c>
      <c r="E848" s="158">
        <f>BIdetails!M851</f>
        <v>790</v>
      </c>
      <c r="F848" t="str">
        <f>IF(ISERROR(IF(OR(C848="#",C848=0),"",VLOOKUP(C848,'AOP25'!M:M,1,0))),"Not Found",VLOOKUP(C848,'AOP25'!M:M,1,0))</f>
        <v>Not Found</v>
      </c>
      <c r="G848" t="e">
        <f t="shared" si="13"/>
        <v>#N/A</v>
      </c>
    </row>
    <row r="849" spans="1:7" hidden="1" x14ac:dyDescent="0.25">
      <c r="A849" t="str">
        <f>BIdetails!G852</f>
        <v>196742</v>
      </c>
      <c r="B849" t="str">
        <f>BIdetails!H852</f>
        <v>Vaimo Benelux</v>
      </c>
      <c r="C849" t="str">
        <f>BIdetails!J852</f>
        <v>5401076975</v>
      </c>
      <c r="D849" t="str">
        <f>BIdetails!K852</f>
        <v>60</v>
      </c>
      <c r="E849" s="158">
        <f>BIdetails!M852</f>
        <v>300</v>
      </c>
      <c r="F849" t="str">
        <f>IF(ISERROR(IF(OR(C849="#",C849=0),"",VLOOKUP(C849,'AOP25'!M:M,1,0))),"Not Found",VLOOKUP(C849,'AOP25'!M:M,1,0))</f>
        <v>Not Found</v>
      </c>
      <c r="G849" t="e">
        <f t="shared" si="13"/>
        <v>#N/A</v>
      </c>
    </row>
    <row r="850" spans="1:7" hidden="1" x14ac:dyDescent="0.25">
      <c r="A850" t="str">
        <f>BIdetails!G853</f>
        <v>196742</v>
      </c>
      <c r="B850" t="str">
        <f>BIdetails!H853</f>
        <v>Vaimo Benelux</v>
      </c>
      <c r="C850" t="str">
        <f>BIdetails!J853</f>
        <v>5401076975</v>
      </c>
      <c r="D850" t="str">
        <f>BIdetails!K853</f>
        <v>70</v>
      </c>
      <c r="E850" s="158">
        <f>BIdetails!M853</f>
        <v>1688</v>
      </c>
      <c r="F850" t="str">
        <f>IF(ISERROR(IF(OR(C850="#",C850=0),"",VLOOKUP(C850,'AOP25'!M:M,1,0))),"Not Found",VLOOKUP(C850,'AOP25'!M:M,1,0))</f>
        <v>Not Found</v>
      </c>
      <c r="G850" t="e">
        <f t="shared" si="13"/>
        <v>#N/A</v>
      </c>
    </row>
    <row r="851" spans="1:7" hidden="1" x14ac:dyDescent="0.25">
      <c r="A851" t="str">
        <f>BIdetails!G854</f>
        <v>196742</v>
      </c>
      <c r="B851" t="str">
        <f>BIdetails!H854</f>
        <v>Vaimo Benelux</v>
      </c>
      <c r="C851" t="str">
        <f>BIdetails!J854</f>
        <v>5401076975</v>
      </c>
      <c r="D851" t="str">
        <f>BIdetails!K854</f>
        <v>10</v>
      </c>
      <c r="E851" s="158">
        <f>BIdetails!M854</f>
        <v>600</v>
      </c>
      <c r="F851" t="str">
        <f>IF(ISERROR(IF(OR(C851="#",C851=0),"",VLOOKUP(C851,'AOP25'!M:M,1,0))),"Not Found",VLOOKUP(C851,'AOP25'!M:M,1,0))</f>
        <v>Not Found</v>
      </c>
      <c r="G851" t="e">
        <f t="shared" si="13"/>
        <v>#N/A</v>
      </c>
    </row>
    <row r="852" spans="1:7" hidden="1" x14ac:dyDescent="0.25">
      <c r="A852" t="str">
        <f>BIdetails!G855</f>
        <v>196742</v>
      </c>
      <c r="B852" t="str">
        <f>BIdetails!H855</f>
        <v>Vaimo Benelux</v>
      </c>
      <c r="C852" t="str">
        <f>BIdetails!J855</f>
        <v>5401076975</v>
      </c>
      <c r="D852" t="str">
        <f>BIdetails!K855</f>
        <v>20</v>
      </c>
      <c r="E852" s="158">
        <f>BIdetails!M855</f>
        <v>790</v>
      </c>
      <c r="F852" t="str">
        <f>IF(ISERROR(IF(OR(C852="#",C852=0),"",VLOOKUP(C852,'AOP25'!M:M,1,0))),"Not Found",VLOOKUP(C852,'AOP25'!M:M,1,0))</f>
        <v>Not Found</v>
      </c>
      <c r="G852" t="e">
        <f t="shared" si="13"/>
        <v>#N/A</v>
      </c>
    </row>
    <row r="853" spans="1:7" hidden="1" x14ac:dyDescent="0.25">
      <c r="A853" t="str">
        <f>BIdetails!G856</f>
        <v>196742</v>
      </c>
      <c r="B853" t="str">
        <f>BIdetails!H856</f>
        <v>Vaimo Benelux</v>
      </c>
      <c r="C853" t="str">
        <f>BIdetails!J856</f>
        <v>5401076975</v>
      </c>
      <c r="D853" t="str">
        <f>BIdetails!K856</f>
        <v>60</v>
      </c>
      <c r="E853" s="158">
        <f>BIdetails!M856</f>
        <v>300</v>
      </c>
      <c r="F853" t="str">
        <f>IF(ISERROR(IF(OR(C853="#",C853=0),"",VLOOKUP(C853,'AOP25'!M:M,1,0))),"Not Found",VLOOKUP(C853,'AOP25'!M:M,1,0))</f>
        <v>Not Found</v>
      </c>
      <c r="G853" t="e">
        <f t="shared" si="13"/>
        <v>#N/A</v>
      </c>
    </row>
    <row r="854" spans="1:7" hidden="1" x14ac:dyDescent="0.25">
      <c r="A854" t="str">
        <f>BIdetails!G857</f>
        <v>196742</v>
      </c>
      <c r="B854" t="str">
        <f>BIdetails!H857</f>
        <v>Vaimo Benelux</v>
      </c>
      <c r="C854" t="str">
        <f>BIdetails!J857</f>
        <v>5401076975</v>
      </c>
      <c r="D854" t="str">
        <f>BIdetails!K857</f>
        <v>70</v>
      </c>
      <c r="E854" s="158">
        <f>BIdetails!M857</f>
        <v>422</v>
      </c>
      <c r="F854" t="str">
        <f>IF(ISERROR(IF(OR(C854="#",C854=0),"",VLOOKUP(C854,'AOP25'!M:M,1,0))),"Not Found",VLOOKUP(C854,'AOP25'!M:M,1,0))</f>
        <v>Not Found</v>
      </c>
      <c r="G854" t="e">
        <f t="shared" si="13"/>
        <v>#N/A</v>
      </c>
    </row>
    <row r="855" spans="1:7" hidden="1" x14ac:dyDescent="0.25">
      <c r="A855" t="str">
        <f>BIdetails!G858</f>
        <v>196742</v>
      </c>
      <c r="B855" t="str">
        <f>BIdetails!H858</f>
        <v>Vaimo Benelux</v>
      </c>
      <c r="C855" t="str">
        <f>BIdetails!J858</f>
        <v>5401076975</v>
      </c>
      <c r="D855" t="str">
        <f>BIdetails!K858</f>
        <v>10</v>
      </c>
      <c r="E855" s="158">
        <f>BIdetails!M858</f>
        <v>600</v>
      </c>
      <c r="F855" t="str">
        <f>IF(ISERROR(IF(OR(C855="#",C855=0),"",VLOOKUP(C855,'AOP25'!M:M,1,0))),"Not Found",VLOOKUP(C855,'AOP25'!M:M,1,0))</f>
        <v>Not Found</v>
      </c>
      <c r="G855" t="e">
        <f t="shared" si="13"/>
        <v>#N/A</v>
      </c>
    </row>
    <row r="856" spans="1:7" hidden="1" x14ac:dyDescent="0.25">
      <c r="A856" t="str">
        <f>BIdetails!G859</f>
        <v>196742</v>
      </c>
      <c r="B856" t="str">
        <f>BIdetails!H859</f>
        <v>Vaimo Benelux</v>
      </c>
      <c r="C856" t="str">
        <f>BIdetails!J859</f>
        <v>5401076975</v>
      </c>
      <c r="D856" t="str">
        <f>BIdetails!K859</f>
        <v>20</v>
      </c>
      <c r="E856" s="158">
        <f>BIdetails!M859</f>
        <v>790</v>
      </c>
      <c r="F856" t="str">
        <f>IF(ISERROR(IF(OR(C856="#",C856=0),"",VLOOKUP(C856,'AOP25'!M:M,1,0))),"Not Found",VLOOKUP(C856,'AOP25'!M:M,1,0))</f>
        <v>Not Found</v>
      </c>
      <c r="G856" t="e">
        <f t="shared" si="13"/>
        <v>#N/A</v>
      </c>
    </row>
    <row r="857" spans="1:7" hidden="1" x14ac:dyDescent="0.25">
      <c r="A857" t="str">
        <f>BIdetails!G860</f>
        <v>196742</v>
      </c>
      <c r="B857" t="str">
        <f>BIdetails!H860</f>
        <v>Vaimo Benelux</v>
      </c>
      <c r="C857" t="str">
        <f>BIdetails!J860</f>
        <v>5401076975</v>
      </c>
      <c r="D857" t="str">
        <f>BIdetails!K860</f>
        <v>60</v>
      </c>
      <c r="E857" s="158">
        <f>BIdetails!M860</f>
        <v>300</v>
      </c>
      <c r="F857" t="str">
        <f>IF(ISERROR(IF(OR(C857="#",C857=0),"",VLOOKUP(C857,'AOP25'!M:M,1,0))),"Not Found",VLOOKUP(C857,'AOP25'!M:M,1,0))</f>
        <v>Not Found</v>
      </c>
      <c r="G857" t="e">
        <f t="shared" si="13"/>
        <v>#N/A</v>
      </c>
    </row>
    <row r="858" spans="1:7" hidden="1" x14ac:dyDescent="0.25">
      <c r="A858" t="str">
        <f>BIdetails!G861</f>
        <v>197254</v>
      </c>
      <c r="B858" t="str">
        <f>BIdetails!H861</f>
        <v>Internet Advantage Nederland B.V.</v>
      </c>
      <c r="C858" t="str">
        <f>BIdetails!J861</f>
        <v>5401084795</v>
      </c>
      <c r="D858" t="str">
        <f>BIdetails!K861</f>
        <v>10</v>
      </c>
      <c r="E858" s="158">
        <f>BIdetails!M861</f>
        <v>50000</v>
      </c>
      <c r="F858" t="str">
        <f>IF(ISERROR(IF(OR(C858="#",C858=0),"",VLOOKUP(C858,'AOP25'!M:M,1,0))),"Not Found",VLOOKUP(C858,'AOP25'!M:M,1,0))</f>
        <v>Not Found</v>
      </c>
      <c r="G858" t="e">
        <f t="shared" si="13"/>
        <v>#N/A</v>
      </c>
    </row>
    <row r="859" spans="1:7" hidden="1" x14ac:dyDescent="0.25">
      <c r="A859" t="str">
        <f>BIdetails!G862</f>
        <v>197254</v>
      </c>
      <c r="B859" t="str">
        <f>BIdetails!H862</f>
        <v>Internet Advantage Nederland B.V.</v>
      </c>
      <c r="C859" t="str">
        <f>BIdetails!J862</f>
        <v>5401084795</v>
      </c>
      <c r="D859" t="str">
        <f>BIdetails!K862</f>
        <v>10</v>
      </c>
      <c r="E859" s="158">
        <f>BIdetails!M862</f>
        <v>50000</v>
      </c>
      <c r="F859" t="str">
        <f>IF(ISERROR(IF(OR(C859="#",C859=0),"",VLOOKUP(C859,'AOP25'!M:M,1,0))),"Not Found",VLOOKUP(C859,'AOP25'!M:M,1,0))</f>
        <v>Not Found</v>
      </c>
      <c r="G859" t="e">
        <f t="shared" si="13"/>
        <v>#N/A</v>
      </c>
    </row>
    <row r="860" spans="1:7" hidden="1" x14ac:dyDescent="0.25">
      <c r="A860" t="str">
        <f>BIdetails!G863</f>
        <v>199582</v>
      </c>
      <c r="B860" t="str">
        <f>BIdetails!H863</f>
        <v>Plat4mation B.V.</v>
      </c>
      <c r="C860" t="str">
        <f>BIdetails!J863</f>
        <v>5401105561</v>
      </c>
      <c r="D860" t="str">
        <f>BIdetails!K863</f>
        <v>10</v>
      </c>
      <c r="E860" s="158">
        <f>BIdetails!M863</f>
        <v>61130</v>
      </c>
      <c r="F860" t="str">
        <f>IF(ISERROR(IF(OR(C860="#",C860=0),"",VLOOKUP(C860,'AOP25'!M:M,1,0))),"Not Found",VLOOKUP(C860,'AOP25'!M:M,1,0))</f>
        <v>Not Found</v>
      </c>
      <c r="G860" t="e">
        <f t="shared" si="13"/>
        <v>#N/A</v>
      </c>
    </row>
    <row r="861" spans="1:7" hidden="1" x14ac:dyDescent="0.25">
      <c r="A861" t="str">
        <f>BIdetails!G864</f>
        <v>199582</v>
      </c>
      <c r="B861" t="str">
        <f>BIdetails!H864</f>
        <v>Plat4mation B.V.</v>
      </c>
      <c r="C861" t="str">
        <f>BIdetails!J864</f>
        <v>5401105561</v>
      </c>
      <c r="D861" t="str">
        <f>BIdetails!K864</f>
        <v>10</v>
      </c>
      <c r="E861" s="158">
        <f>BIdetails!M864</f>
        <v>25000</v>
      </c>
      <c r="F861" t="str">
        <f>IF(ISERROR(IF(OR(C861="#",C861=0),"",VLOOKUP(C861,'AOP25'!M:M,1,0))),"Not Found",VLOOKUP(C861,'AOP25'!M:M,1,0))</f>
        <v>Not Found</v>
      </c>
      <c r="G861" t="e">
        <f t="shared" si="13"/>
        <v>#N/A</v>
      </c>
    </row>
    <row r="862" spans="1:7" hidden="1" x14ac:dyDescent="0.25">
      <c r="A862" t="str">
        <f>BIdetails!G865</f>
        <v>199582</v>
      </c>
      <c r="B862" t="str">
        <f>BIdetails!H865</f>
        <v>Plat4mation B.V.</v>
      </c>
      <c r="C862" t="str">
        <f>BIdetails!J865</f>
        <v>5401105561</v>
      </c>
      <c r="D862" t="str">
        <f>BIdetails!K865</f>
        <v>10</v>
      </c>
      <c r="E862" s="158">
        <f>BIdetails!M865</f>
        <v>25000</v>
      </c>
      <c r="F862" t="str">
        <f>IF(ISERROR(IF(OR(C862="#",C862=0),"",VLOOKUP(C862,'AOP25'!M:M,1,0))),"Not Found",VLOOKUP(C862,'AOP25'!M:M,1,0))</f>
        <v>Not Found</v>
      </c>
      <c r="G862" t="e">
        <f t="shared" si="13"/>
        <v>#N/A</v>
      </c>
    </row>
    <row r="863" spans="1:7" hidden="1" x14ac:dyDescent="0.25">
      <c r="A863" t="str">
        <f>BIdetails!G866</f>
        <v>199582</v>
      </c>
      <c r="B863" t="str">
        <f>BIdetails!H866</f>
        <v>Plat4mation B.V.</v>
      </c>
      <c r="C863" t="str">
        <f>BIdetails!J866</f>
        <v>5401105561</v>
      </c>
      <c r="D863" t="str">
        <f>BIdetails!K866</f>
        <v>10</v>
      </c>
      <c r="E863" s="158">
        <f>BIdetails!M866</f>
        <v>-25000</v>
      </c>
      <c r="F863" t="str">
        <f>IF(ISERROR(IF(OR(C863="#",C863=0),"",VLOOKUP(C863,'AOP25'!M:M,1,0))),"Not Found",VLOOKUP(C863,'AOP25'!M:M,1,0))</f>
        <v>Not Found</v>
      </c>
      <c r="G863" t="e">
        <f t="shared" si="13"/>
        <v>#N/A</v>
      </c>
    </row>
    <row r="864" spans="1:7" hidden="1" x14ac:dyDescent="0.25">
      <c r="A864" t="str">
        <f>BIdetails!G867</f>
        <v>199582</v>
      </c>
      <c r="B864" t="str">
        <f>BIdetails!H867</f>
        <v>Plat4mation B.V.</v>
      </c>
      <c r="C864" t="str">
        <f>BIdetails!J867</f>
        <v>5401105561</v>
      </c>
      <c r="D864" t="str">
        <f>BIdetails!K867</f>
        <v>10</v>
      </c>
      <c r="E864" s="158">
        <f>BIdetails!M867</f>
        <v>61130</v>
      </c>
      <c r="F864" t="str">
        <f>IF(ISERROR(IF(OR(C864="#",C864=0),"",VLOOKUP(C864,'AOP25'!M:M,1,0))),"Not Found",VLOOKUP(C864,'AOP25'!M:M,1,0))</f>
        <v>Not Found</v>
      </c>
      <c r="G864" t="e">
        <f t="shared" si="13"/>
        <v>#N/A</v>
      </c>
    </row>
    <row r="865" spans="1:7" hidden="1" x14ac:dyDescent="0.25">
      <c r="A865" t="str">
        <f>BIdetails!G868</f>
        <v>199582</v>
      </c>
      <c r="B865" t="str">
        <f>BIdetails!H868</f>
        <v>Plat4mation B.V.</v>
      </c>
      <c r="C865" t="str">
        <f>BIdetails!J868</f>
        <v>5401105561</v>
      </c>
      <c r="D865" t="str">
        <f>BIdetails!K868</f>
        <v>10</v>
      </c>
      <c r="E865" s="158">
        <f>BIdetails!M868</f>
        <v>61130</v>
      </c>
      <c r="F865" t="str">
        <f>IF(ISERROR(IF(OR(C865="#",C865=0),"",VLOOKUP(C865,'AOP25'!M:M,1,0))),"Not Found",VLOOKUP(C865,'AOP25'!M:M,1,0))</f>
        <v>Not Found</v>
      </c>
      <c r="G865" t="e">
        <f t="shared" si="13"/>
        <v>#N/A</v>
      </c>
    </row>
    <row r="866" spans="1:7" hidden="1" x14ac:dyDescent="0.25">
      <c r="A866" t="str">
        <f>BIdetails!G869</f>
        <v>199582</v>
      </c>
      <c r="B866" t="str">
        <f>BIdetails!H869</f>
        <v>Plat4mation B.V.</v>
      </c>
      <c r="C866" t="str">
        <f>BIdetails!J869</f>
        <v>5401116335</v>
      </c>
      <c r="D866" t="str">
        <f>BIdetails!K869</f>
        <v>10</v>
      </c>
      <c r="E866" s="158">
        <f>BIdetails!M869</f>
        <v>35000</v>
      </c>
      <c r="F866" t="str">
        <f>IF(ISERROR(IF(OR(C866="#",C866=0),"",VLOOKUP(C866,'AOP25'!M:M,1,0))),"Not Found",VLOOKUP(C866,'AOP25'!M:M,1,0))</f>
        <v>Not Found</v>
      </c>
      <c r="G866" t="e">
        <f t="shared" si="13"/>
        <v>#N/A</v>
      </c>
    </row>
    <row r="867" spans="1:7" hidden="1" x14ac:dyDescent="0.25">
      <c r="A867" t="str">
        <f>BIdetails!G870</f>
        <v>204075</v>
      </c>
      <c r="B867" t="str">
        <f>BIdetails!H870</f>
        <v>Qualtrics LLC</v>
      </c>
      <c r="C867" t="str">
        <f>BIdetails!J870</f>
        <v>5401084790</v>
      </c>
      <c r="D867" t="str">
        <f>BIdetails!K870</f>
        <v>10</v>
      </c>
      <c r="E867" s="158">
        <f>BIdetails!M870</f>
        <v>12500</v>
      </c>
      <c r="F867" t="str">
        <f>IF(ISERROR(IF(OR(C867="#",C867=0),"",VLOOKUP(C867,'AOP25'!M:M,1,0))),"Not Found",VLOOKUP(C867,'AOP25'!M:M,1,0))</f>
        <v>Not Found</v>
      </c>
      <c r="G867" t="e">
        <f t="shared" si="13"/>
        <v>#N/A</v>
      </c>
    </row>
    <row r="868" spans="1:7" hidden="1" x14ac:dyDescent="0.25">
      <c r="A868" t="str">
        <f>BIdetails!G871</f>
        <v>204075</v>
      </c>
      <c r="B868" t="str">
        <f>BIdetails!H871</f>
        <v>Qualtrics LLC</v>
      </c>
      <c r="C868" t="str">
        <f>BIdetails!J871</f>
        <v>5401084790</v>
      </c>
      <c r="D868" t="str">
        <f>BIdetails!K871</f>
        <v>10</v>
      </c>
      <c r="E868" s="158">
        <f>BIdetails!M871</f>
        <v>0.01</v>
      </c>
      <c r="F868" t="str">
        <f>IF(ISERROR(IF(OR(C868="#",C868=0),"",VLOOKUP(C868,'AOP25'!M:M,1,0))),"Not Found",VLOOKUP(C868,'AOP25'!M:M,1,0))</f>
        <v>Not Found</v>
      </c>
      <c r="G868" t="e">
        <f t="shared" si="13"/>
        <v>#N/A</v>
      </c>
    </row>
    <row r="869" spans="1:7" hidden="1" x14ac:dyDescent="0.25">
      <c r="A869" t="str">
        <f>BIdetails!G872</f>
        <v>208262</v>
      </c>
      <c r="B869" t="str">
        <f>BIdetails!H872</f>
        <v>Versuni Netherlands B.V.</v>
      </c>
      <c r="C869" t="str">
        <f>BIdetails!J872</f>
        <v>5401035816</v>
      </c>
      <c r="D869" t="str">
        <f>BIdetails!K872</f>
        <v>20</v>
      </c>
      <c r="E869" s="158">
        <f>BIdetails!M872</f>
        <v>617.59</v>
      </c>
      <c r="F869" t="str">
        <f>IF(ISERROR(IF(OR(C869="#",C869=0),"",VLOOKUP(C869,'AOP25'!M:M,1,0))),"Not Found",VLOOKUP(C869,'AOP25'!M:M,1,0))</f>
        <v>Not Found</v>
      </c>
      <c r="G869" t="e">
        <f t="shared" si="13"/>
        <v>#N/A</v>
      </c>
    </row>
    <row r="870" spans="1:7" hidden="1" x14ac:dyDescent="0.25">
      <c r="A870" t="str">
        <f>BIdetails!G873</f>
        <v>210231</v>
      </c>
      <c r="B870" t="str">
        <f>BIdetails!H873</f>
        <v>Consensus Cloud Solutions Int. Ltd</v>
      </c>
      <c r="C870" t="str">
        <f>BIdetails!J873</f>
        <v>5401024377</v>
      </c>
      <c r="D870" t="str">
        <f>BIdetails!K873</f>
        <v>10</v>
      </c>
      <c r="E870" s="158">
        <f>BIdetails!M873</f>
        <v>-320</v>
      </c>
      <c r="F870" t="str">
        <f>IF(ISERROR(IF(OR(C870="#",C870=0),"",VLOOKUP(C870,'AOP25'!M:M,1,0))),"Not Found",VLOOKUP(C870,'AOP25'!M:M,1,0))</f>
        <v>Not Found</v>
      </c>
      <c r="G870" t="e">
        <f t="shared" si="13"/>
        <v>#N/A</v>
      </c>
    </row>
    <row r="871" spans="1:7" hidden="1" x14ac:dyDescent="0.25">
      <c r="A871" t="str">
        <f>BIdetails!G874</f>
        <v>210231</v>
      </c>
      <c r="B871" t="str">
        <f>BIdetails!H874</f>
        <v>Consensus Cloud Solutions Int. Ltd</v>
      </c>
      <c r="C871" t="str">
        <f>BIdetails!J874</f>
        <v>5401024377</v>
      </c>
      <c r="D871" t="str">
        <f>BIdetails!K874</f>
        <v>10</v>
      </c>
      <c r="E871" s="158">
        <f>BIdetails!M874</f>
        <v>303.14999999999998</v>
      </c>
      <c r="F871" t="str">
        <f>IF(ISERROR(IF(OR(C871="#",C871=0),"",VLOOKUP(C871,'AOP25'!M:M,1,0))),"Not Found",VLOOKUP(C871,'AOP25'!M:M,1,0))</f>
        <v>Not Found</v>
      </c>
      <c r="G871" t="e">
        <f t="shared" si="13"/>
        <v>#N/A</v>
      </c>
    </row>
    <row r="872" spans="1:7" hidden="1" x14ac:dyDescent="0.25">
      <c r="A872" t="str">
        <f>BIdetails!G875</f>
        <v>210231</v>
      </c>
      <c r="B872" t="str">
        <f>BIdetails!H875</f>
        <v>Consensus Cloud Solutions Int. Ltd</v>
      </c>
      <c r="C872" t="str">
        <f>BIdetails!J875</f>
        <v>5401069879</v>
      </c>
      <c r="D872" t="str">
        <f>BIdetails!K875</f>
        <v>10</v>
      </c>
      <c r="E872" s="158">
        <f>BIdetails!M875</f>
        <v>310</v>
      </c>
      <c r="F872" t="str">
        <f>IF(ISERROR(IF(OR(C872="#",C872=0),"",VLOOKUP(C872,'AOP25'!M:M,1,0))),"Not Found",VLOOKUP(C872,'AOP25'!M:M,1,0))</f>
        <v>Not Found</v>
      </c>
      <c r="G872" t="e">
        <f t="shared" si="13"/>
        <v>#N/A</v>
      </c>
    </row>
    <row r="873" spans="1:7" hidden="1" x14ac:dyDescent="0.25">
      <c r="A873" t="str">
        <f>BIdetails!G876</f>
        <v>210231</v>
      </c>
      <c r="B873" t="str">
        <f>BIdetails!H876</f>
        <v>Consensus Cloud Solutions Int. Ltd</v>
      </c>
      <c r="C873" t="str">
        <f>BIdetails!J876</f>
        <v>5401069879</v>
      </c>
      <c r="D873" t="str">
        <f>BIdetails!K876</f>
        <v>10</v>
      </c>
      <c r="E873" s="158">
        <f>BIdetails!M876</f>
        <v>-310</v>
      </c>
      <c r="F873" t="str">
        <f>IF(ISERROR(IF(OR(C873="#",C873=0),"",VLOOKUP(C873,'AOP25'!M:M,1,0))),"Not Found",VLOOKUP(C873,'AOP25'!M:M,1,0))</f>
        <v>Not Found</v>
      </c>
      <c r="G873" t="e">
        <f t="shared" si="13"/>
        <v>#N/A</v>
      </c>
    </row>
    <row r="874" spans="1:7" hidden="1" x14ac:dyDescent="0.25">
      <c r="A874" t="str">
        <f>BIdetails!G877</f>
        <v>210231</v>
      </c>
      <c r="B874" t="str">
        <f>BIdetails!H877</f>
        <v>Consensus Cloud Solutions Int. Ltd</v>
      </c>
      <c r="C874" t="str">
        <f>BIdetails!J877</f>
        <v>5401069879</v>
      </c>
      <c r="D874" t="str">
        <f>BIdetails!K877</f>
        <v>10</v>
      </c>
      <c r="E874" s="158">
        <f>BIdetails!M877</f>
        <v>325.61</v>
      </c>
      <c r="F874" t="str">
        <f>IF(ISERROR(IF(OR(C874="#",C874=0),"",VLOOKUP(C874,'AOP25'!M:M,1,0))),"Not Found",VLOOKUP(C874,'AOP25'!M:M,1,0))</f>
        <v>Not Found</v>
      </c>
      <c r="G874" t="e">
        <f t="shared" si="13"/>
        <v>#N/A</v>
      </c>
    </row>
    <row r="875" spans="1:7" hidden="1" x14ac:dyDescent="0.25">
      <c r="A875" t="str">
        <f>BIdetails!G878</f>
        <v>210231</v>
      </c>
      <c r="B875" t="str">
        <f>BIdetails!H878</f>
        <v>Consensus Cloud Solutions Int. Ltd</v>
      </c>
      <c r="C875" t="str">
        <f>BIdetails!J878</f>
        <v>5401069879</v>
      </c>
      <c r="D875" t="str">
        <f>BIdetails!K878</f>
        <v>10</v>
      </c>
      <c r="E875" s="158">
        <f>BIdetails!M878</f>
        <v>320</v>
      </c>
      <c r="F875" t="str">
        <f>IF(ISERROR(IF(OR(C875="#",C875=0),"",VLOOKUP(C875,'AOP25'!M:M,1,0))),"Not Found",VLOOKUP(C875,'AOP25'!M:M,1,0))</f>
        <v>Not Found</v>
      </c>
      <c r="G875" t="e">
        <f t="shared" si="13"/>
        <v>#N/A</v>
      </c>
    </row>
    <row r="876" spans="1:7" hidden="1" x14ac:dyDescent="0.25">
      <c r="A876" t="str">
        <f>BIdetails!G879</f>
        <v>210231</v>
      </c>
      <c r="B876" t="str">
        <f>BIdetails!H879</f>
        <v>Consensus Cloud Solutions Int. Ltd</v>
      </c>
      <c r="C876" t="str">
        <f>BIdetails!J879</f>
        <v>5401069879</v>
      </c>
      <c r="D876" t="str">
        <f>BIdetails!K879</f>
        <v>10</v>
      </c>
      <c r="E876" s="158">
        <f>BIdetails!M879</f>
        <v>-320</v>
      </c>
      <c r="F876" t="str">
        <f>IF(ISERROR(IF(OR(C876="#",C876=0),"",VLOOKUP(C876,'AOP25'!M:M,1,0))),"Not Found",VLOOKUP(C876,'AOP25'!M:M,1,0))</f>
        <v>Not Found</v>
      </c>
      <c r="G876" t="e">
        <f t="shared" si="13"/>
        <v>#N/A</v>
      </c>
    </row>
    <row r="877" spans="1:7" hidden="1" x14ac:dyDescent="0.25">
      <c r="A877" t="str">
        <f>BIdetails!G880</f>
        <v>210231</v>
      </c>
      <c r="B877" t="str">
        <f>BIdetails!H880</f>
        <v>Consensus Cloud Solutions Int. Ltd</v>
      </c>
      <c r="C877" t="str">
        <f>BIdetails!J880</f>
        <v>5401069879</v>
      </c>
      <c r="D877" t="str">
        <f>BIdetails!K880</f>
        <v>10</v>
      </c>
      <c r="E877" s="158">
        <f>BIdetails!M880</f>
        <v>304.18</v>
      </c>
      <c r="F877" t="str">
        <f>IF(ISERROR(IF(OR(C877="#",C877=0),"",VLOOKUP(C877,'AOP25'!M:M,1,0))),"Not Found",VLOOKUP(C877,'AOP25'!M:M,1,0))</f>
        <v>Not Found</v>
      </c>
      <c r="G877" t="e">
        <f t="shared" si="13"/>
        <v>#N/A</v>
      </c>
    </row>
    <row r="878" spans="1:7" hidden="1" x14ac:dyDescent="0.25">
      <c r="A878" t="str">
        <f>BIdetails!G881</f>
        <v>210231</v>
      </c>
      <c r="B878" t="str">
        <f>BIdetails!H881</f>
        <v>Consensus Cloud Solutions Int. Ltd</v>
      </c>
      <c r="C878" t="str">
        <f>BIdetails!J881</f>
        <v>5401069879</v>
      </c>
      <c r="D878" t="str">
        <f>BIdetails!K881</f>
        <v>10</v>
      </c>
      <c r="E878" s="158">
        <f>BIdetails!M881</f>
        <v>310</v>
      </c>
      <c r="F878" t="str">
        <f>IF(ISERROR(IF(OR(C878="#",C878=0),"",VLOOKUP(C878,'AOP25'!M:M,1,0))),"Not Found",VLOOKUP(C878,'AOP25'!M:M,1,0))</f>
        <v>Not Found</v>
      </c>
      <c r="G878" t="e">
        <f t="shared" si="13"/>
        <v>#N/A</v>
      </c>
    </row>
    <row r="879" spans="1:7" hidden="1" x14ac:dyDescent="0.25">
      <c r="A879" t="str">
        <f>BIdetails!G882</f>
        <v>210231</v>
      </c>
      <c r="B879" t="str">
        <f>BIdetails!H882</f>
        <v>Consensus Cloud Solutions Int. Ltd</v>
      </c>
      <c r="C879" t="str">
        <f>BIdetails!J882</f>
        <v>5401069879</v>
      </c>
      <c r="D879" t="str">
        <f>BIdetails!K882</f>
        <v>10</v>
      </c>
      <c r="E879" s="158">
        <f>BIdetails!M882</f>
        <v>-310</v>
      </c>
      <c r="F879" t="str">
        <f>IF(ISERROR(IF(OR(C879="#",C879=0),"",VLOOKUP(C879,'AOP25'!M:M,1,0))),"Not Found",VLOOKUP(C879,'AOP25'!M:M,1,0))</f>
        <v>Not Found</v>
      </c>
      <c r="G879" t="e">
        <f t="shared" si="13"/>
        <v>#N/A</v>
      </c>
    </row>
    <row r="880" spans="1:7" hidden="1" x14ac:dyDescent="0.25">
      <c r="A880" t="str">
        <f>BIdetails!G883</f>
        <v>210231</v>
      </c>
      <c r="B880" t="str">
        <f>BIdetails!H883</f>
        <v>Consensus Cloud Solutions Int. Ltd</v>
      </c>
      <c r="C880" t="str">
        <f>BIdetails!J883</f>
        <v>5401069879</v>
      </c>
      <c r="D880" t="str">
        <f>BIdetails!K883</f>
        <v>10</v>
      </c>
      <c r="E880" s="158">
        <f>BIdetails!M883</f>
        <v>304.44</v>
      </c>
      <c r="F880" t="str">
        <f>IF(ISERROR(IF(OR(C880="#",C880=0),"",VLOOKUP(C880,'AOP25'!M:M,1,0))),"Not Found",VLOOKUP(C880,'AOP25'!M:M,1,0))</f>
        <v>Not Found</v>
      </c>
      <c r="G880" t="e">
        <f t="shared" si="13"/>
        <v>#N/A</v>
      </c>
    </row>
    <row r="881" spans="1:7" hidden="1" x14ac:dyDescent="0.25">
      <c r="A881" t="str">
        <f>BIdetails!G884</f>
        <v>210231</v>
      </c>
      <c r="B881" t="str">
        <f>BIdetails!H884</f>
        <v>Consensus Cloud Solutions Int. Ltd</v>
      </c>
      <c r="C881" t="str">
        <f>BIdetails!J884</f>
        <v>5401069879</v>
      </c>
      <c r="D881" t="str">
        <f>BIdetails!K884</f>
        <v>10</v>
      </c>
      <c r="E881" s="158">
        <f>BIdetails!M884</f>
        <v>310</v>
      </c>
      <c r="F881" t="str">
        <f>IF(ISERROR(IF(OR(C881="#",C881=0),"",VLOOKUP(C881,'AOP25'!M:M,1,0))),"Not Found",VLOOKUP(C881,'AOP25'!M:M,1,0))</f>
        <v>Not Found</v>
      </c>
      <c r="G881" t="e">
        <f t="shared" si="13"/>
        <v>#N/A</v>
      </c>
    </row>
    <row r="882" spans="1:7" hidden="1" x14ac:dyDescent="0.25">
      <c r="A882" t="str">
        <f>BIdetails!G885</f>
        <v>210231</v>
      </c>
      <c r="B882" t="str">
        <f>BIdetails!H885</f>
        <v>Consensus Cloud Solutions Int. Ltd</v>
      </c>
      <c r="C882" t="str">
        <f>BIdetails!J885</f>
        <v>5401069879</v>
      </c>
      <c r="D882" t="str">
        <f>BIdetails!K885</f>
        <v>10</v>
      </c>
      <c r="E882" s="158">
        <f>BIdetails!M885</f>
        <v>-310</v>
      </c>
      <c r="F882" t="str">
        <f>IF(ISERROR(IF(OR(C882="#",C882=0),"",VLOOKUP(C882,'AOP25'!M:M,1,0))),"Not Found",VLOOKUP(C882,'AOP25'!M:M,1,0))</f>
        <v>Not Found</v>
      </c>
      <c r="G882" t="e">
        <f t="shared" si="13"/>
        <v>#N/A</v>
      </c>
    </row>
    <row r="883" spans="1:7" hidden="1" x14ac:dyDescent="0.25">
      <c r="A883" t="str">
        <f>BIdetails!G886</f>
        <v>210231</v>
      </c>
      <c r="B883" t="str">
        <f>BIdetails!H886</f>
        <v>Consensus Cloud Solutions Int. Ltd</v>
      </c>
      <c r="C883" t="str">
        <f>BIdetails!J886</f>
        <v>5401069879</v>
      </c>
      <c r="D883" t="str">
        <f>BIdetails!K886</f>
        <v>10</v>
      </c>
      <c r="E883" s="158">
        <f>BIdetails!M886</f>
        <v>306.89999999999998</v>
      </c>
      <c r="F883" t="str">
        <f>IF(ISERROR(IF(OR(C883="#",C883=0),"",VLOOKUP(C883,'AOP25'!M:M,1,0))),"Not Found",VLOOKUP(C883,'AOP25'!M:M,1,0))</f>
        <v>Not Found</v>
      </c>
      <c r="G883" t="e">
        <f t="shared" si="13"/>
        <v>#N/A</v>
      </c>
    </row>
    <row r="884" spans="1:7" hidden="1" x14ac:dyDescent="0.25">
      <c r="A884" t="str">
        <f>BIdetails!G887</f>
        <v>210231</v>
      </c>
      <c r="B884" t="str">
        <f>BIdetails!H887</f>
        <v>Consensus Cloud Solutions Int. Ltd</v>
      </c>
      <c r="C884" t="str">
        <f>BIdetails!J887</f>
        <v>5401069879</v>
      </c>
      <c r="D884" t="str">
        <f>BIdetails!K887</f>
        <v>10</v>
      </c>
      <c r="E884" s="158">
        <f>BIdetails!M887</f>
        <v>310</v>
      </c>
      <c r="F884" t="str">
        <f>IF(ISERROR(IF(OR(C884="#",C884=0),"",VLOOKUP(C884,'AOP25'!M:M,1,0))),"Not Found",VLOOKUP(C884,'AOP25'!M:M,1,0))</f>
        <v>Not Found</v>
      </c>
      <c r="G884" t="e">
        <f t="shared" si="13"/>
        <v>#N/A</v>
      </c>
    </row>
    <row r="885" spans="1:7" x14ac:dyDescent="0.25">
      <c r="A885" t="str">
        <f>BIdetails!G888</f>
        <v>210231</v>
      </c>
      <c r="B885" t="str">
        <f>BIdetails!H888</f>
        <v>Consensus Cloud Solutions Int. Ltd</v>
      </c>
      <c r="C885" t="str">
        <f>BIdetails!J888</f>
        <v>5401069879</v>
      </c>
      <c r="D885" t="str">
        <f>BIdetails!K888</f>
        <v>10</v>
      </c>
      <c r="E885" s="158">
        <f>BIdetails!M888</f>
        <v>-310</v>
      </c>
      <c r="F885" t="str">
        <f>IF(ISERROR(IF(OR(C885="#",C885=0),"",VLOOKUP(C885,'AOP25'!M:M,1,0))),"Not Found",VLOOKUP(C885,'AOP25'!M:M,1,0))</f>
        <v>Not Found</v>
      </c>
      <c r="G885" t="e">
        <f t="shared" si="13"/>
        <v>#N/A</v>
      </c>
    </row>
    <row r="886" spans="1:7" x14ac:dyDescent="0.25">
      <c r="A886" t="str">
        <f>BIdetails!G889</f>
        <v>210231</v>
      </c>
      <c r="B886" t="str">
        <f>BIdetails!H889</f>
        <v>Consensus Cloud Solutions Int. Ltd</v>
      </c>
      <c r="C886" t="str">
        <f>BIdetails!J889</f>
        <v>5401069879</v>
      </c>
      <c r="D886" t="str">
        <f>BIdetails!K889</f>
        <v>10</v>
      </c>
      <c r="E886" s="158">
        <f>BIdetails!M889</f>
        <v>303.76</v>
      </c>
      <c r="F886" t="str">
        <f>IF(ISERROR(IF(OR(C886="#",C886=0),"",VLOOKUP(C886,'AOP25'!M:M,1,0))),"Not Found",VLOOKUP(C886,'AOP25'!M:M,1,0))</f>
        <v>Not Found</v>
      </c>
      <c r="G886" t="e">
        <f t="shared" si="13"/>
        <v>#N/A</v>
      </c>
    </row>
    <row r="887" spans="1:7" hidden="1" x14ac:dyDescent="0.25">
      <c r="A887" t="str">
        <f>BIdetails!G890</f>
        <v>210231</v>
      </c>
      <c r="B887" t="str">
        <f>BIdetails!H890</f>
        <v>Consensus Cloud Solutions Int. Ltd</v>
      </c>
      <c r="C887" t="str">
        <f>BIdetails!J890</f>
        <v>5401069879</v>
      </c>
      <c r="D887" t="str">
        <f>BIdetails!K890</f>
        <v>10</v>
      </c>
      <c r="E887" s="158">
        <f>BIdetails!M890</f>
        <v>310</v>
      </c>
      <c r="F887" t="str">
        <f>IF(ISERROR(IF(OR(C887="#",C887=0),"",VLOOKUP(C887,'AOP25'!M:M,1,0))),"Not Found",VLOOKUP(C887,'AOP25'!M:M,1,0))</f>
        <v>Not Found</v>
      </c>
      <c r="G887" t="e">
        <f t="shared" si="13"/>
        <v>#N/A</v>
      </c>
    </row>
    <row r="888" spans="1:7" hidden="1" x14ac:dyDescent="0.25">
      <c r="A888" t="str">
        <f>BIdetails!G891</f>
        <v>210807</v>
      </c>
      <c r="B888" t="str">
        <f>BIdetails!H891</f>
        <v>Atvance Intellect B.V.</v>
      </c>
      <c r="C888" t="str">
        <f>BIdetails!J891</f>
        <v>5401099954</v>
      </c>
      <c r="D888" t="str">
        <f>BIdetails!K891</f>
        <v>10</v>
      </c>
      <c r="E888" s="158">
        <f>BIdetails!M891</f>
        <v>7000</v>
      </c>
      <c r="F888" t="str">
        <f>IF(ISERROR(IF(OR(C888="#",C888=0),"",VLOOKUP(C888,'AOP25'!M:M,1,0))),"Not Found",VLOOKUP(C888,'AOP25'!M:M,1,0))</f>
        <v>Not Found</v>
      </c>
      <c r="G888" t="e">
        <f t="shared" si="13"/>
        <v>#N/A</v>
      </c>
    </row>
    <row r="889" spans="1:7" hidden="1" x14ac:dyDescent="0.25">
      <c r="A889" t="str">
        <f>BIdetails!G892</f>
        <v>210807</v>
      </c>
      <c r="B889" t="str">
        <f>BIdetails!H892</f>
        <v>Atvance Intellect B.V.</v>
      </c>
      <c r="C889" t="str">
        <f>BIdetails!J892</f>
        <v>5401099954</v>
      </c>
      <c r="D889" t="str">
        <f>BIdetails!K892</f>
        <v>10</v>
      </c>
      <c r="E889" s="158">
        <f>BIdetails!M892</f>
        <v>13000</v>
      </c>
      <c r="F889" t="str">
        <f>IF(ISERROR(IF(OR(C889="#",C889=0),"",VLOOKUP(C889,'AOP25'!M:M,1,0))),"Not Found",VLOOKUP(C889,'AOP25'!M:M,1,0))</f>
        <v>Not Found</v>
      </c>
      <c r="G889" t="e">
        <f t="shared" si="13"/>
        <v>#N/A</v>
      </c>
    </row>
    <row r="890" spans="1:7" hidden="1" x14ac:dyDescent="0.25">
      <c r="A890" t="str">
        <f>BIdetails!G893</f>
        <v>210807</v>
      </c>
      <c r="B890" t="str">
        <f>BIdetails!H893</f>
        <v>Atvance Intellect B.V.</v>
      </c>
      <c r="C890" t="str">
        <f>BIdetails!J893</f>
        <v>5401099954</v>
      </c>
      <c r="D890" t="str">
        <f>BIdetails!K893</f>
        <v>10</v>
      </c>
      <c r="E890" s="158">
        <f>BIdetails!M893</f>
        <v>13000</v>
      </c>
      <c r="F890" t="str">
        <f>IF(ISERROR(IF(OR(C890="#",C890=0),"",VLOOKUP(C890,'AOP25'!M:M,1,0))),"Not Found",VLOOKUP(C890,'AOP25'!M:M,1,0))</f>
        <v>Not Found</v>
      </c>
      <c r="G890" t="e">
        <f t="shared" ref="G890:G953" si="14">IF(NOT(ISERROR(VLOOKUP(C890,$K$2:$K$50,1,0))),"Y",VLOOKUP(C890,$K$2:$K$50,1,0))</f>
        <v>#N/A</v>
      </c>
    </row>
    <row r="891" spans="1:7" hidden="1" x14ac:dyDescent="0.25">
      <c r="A891" t="str">
        <f>BIdetails!G894</f>
        <v>210807</v>
      </c>
      <c r="B891" t="str">
        <f>BIdetails!H894</f>
        <v>Atvance Intellect B.V.</v>
      </c>
      <c r="C891" t="str">
        <f>BIdetails!J894</f>
        <v>5401099954</v>
      </c>
      <c r="D891" t="str">
        <f>BIdetails!K894</f>
        <v>10</v>
      </c>
      <c r="E891" s="158">
        <f>BIdetails!M894</f>
        <v>-13000</v>
      </c>
      <c r="F891" t="str">
        <f>IF(ISERROR(IF(OR(C891="#",C891=0),"",VLOOKUP(C891,'AOP25'!M:M,1,0))),"Not Found",VLOOKUP(C891,'AOP25'!M:M,1,0))</f>
        <v>Not Found</v>
      </c>
      <c r="G891" t="e">
        <f t="shared" si="14"/>
        <v>#N/A</v>
      </c>
    </row>
    <row r="892" spans="1:7" hidden="1" x14ac:dyDescent="0.25">
      <c r="A892" t="str">
        <f>BIdetails!G895</f>
        <v>210807</v>
      </c>
      <c r="B892" t="str">
        <f>BIdetails!H895</f>
        <v>Atvance Intellect B.V.</v>
      </c>
      <c r="C892" t="str">
        <f>BIdetails!J895</f>
        <v>5401099954</v>
      </c>
      <c r="D892" t="str">
        <f>BIdetails!K895</f>
        <v>10</v>
      </c>
      <c r="E892" s="158">
        <f>BIdetails!M895</f>
        <v>13000</v>
      </c>
      <c r="F892" t="str">
        <f>IF(ISERROR(IF(OR(C892="#",C892=0),"",VLOOKUP(C892,'AOP25'!M:M,1,0))),"Not Found",VLOOKUP(C892,'AOP25'!M:M,1,0))</f>
        <v>Not Found</v>
      </c>
      <c r="G892" t="e">
        <f t="shared" si="14"/>
        <v>#N/A</v>
      </c>
    </row>
    <row r="893" spans="1:7" hidden="1" x14ac:dyDescent="0.25">
      <c r="A893" t="str">
        <f>BIdetails!G896</f>
        <v>210807</v>
      </c>
      <c r="B893" t="str">
        <f>BIdetails!H896</f>
        <v>Atvance Intellect B.V.</v>
      </c>
      <c r="C893" t="str">
        <f>BIdetails!J896</f>
        <v>5401099954</v>
      </c>
      <c r="D893" t="str">
        <f>BIdetails!K896</f>
        <v>10</v>
      </c>
      <c r="E893" s="158">
        <f>BIdetails!M896</f>
        <v>-13000</v>
      </c>
      <c r="F893" t="str">
        <f>IF(ISERROR(IF(OR(C893="#",C893=0),"",VLOOKUP(C893,'AOP25'!M:M,1,0))),"Not Found",VLOOKUP(C893,'AOP25'!M:M,1,0))</f>
        <v>Not Found</v>
      </c>
      <c r="G893" t="e">
        <f t="shared" si="14"/>
        <v>#N/A</v>
      </c>
    </row>
    <row r="894" spans="1:7" x14ac:dyDescent="0.25">
      <c r="A894" t="str">
        <f>BIdetails!G897</f>
        <v>212189</v>
      </c>
      <c r="B894" t="str">
        <f>BIdetails!H897</f>
        <v>Ciphix B.V.</v>
      </c>
      <c r="C894" t="str">
        <f>BIdetails!J897</f>
        <v>5401094853</v>
      </c>
      <c r="D894" t="str">
        <f>BIdetails!K897</f>
        <v>10</v>
      </c>
      <c r="E894" s="158">
        <f>BIdetails!M897</f>
        <v>7000</v>
      </c>
      <c r="F894" t="str">
        <f>IF(ISERROR(IF(OR(C894="#",C894=0),"",VLOOKUP(C894,'AOP25'!M:M,1,0))),"Not Found",VLOOKUP(C894,'AOP25'!M:M,1,0))</f>
        <v>Not Found</v>
      </c>
      <c r="G894" t="e">
        <f t="shared" si="14"/>
        <v>#N/A</v>
      </c>
    </row>
    <row r="895" spans="1:7" hidden="1" x14ac:dyDescent="0.25">
      <c r="A895" t="str">
        <f>BIdetails!G898</f>
        <v>212289</v>
      </c>
      <c r="B895" t="str">
        <f>BIdetails!H898</f>
        <v>Comarch Ag - Belgian Branch</v>
      </c>
      <c r="C895" t="str">
        <f>BIdetails!J898</f>
        <v>5401024578</v>
      </c>
      <c r="D895" t="str">
        <f>BIdetails!K898</f>
        <v>10</v>
      </c>
      <c r="E895" s="158">
        <f>BIdetails!M898</f>
        <v>251</v>
      </c>
      <c r="F895" t="str">
        <f>IF(ISERROR(IF(OR(C895="#",C895=0),"",VLOOKUP(C895,'AOP25'!M:M,1,0))),"Not Found",VLOOKUP(C895,'AOP25'!M:M,1,0))</f>
        <v>Not Found</v>
      </c>
      <c r="G895" t="e">
        <f t="shared" si="14"/>
        <v>#N/A</v>
      </c>
    </row>
    <row r="896" spans="1:7" hidden="1" x14ac:dyDescent="0.25">
      <c r="A896" t="str">
        <f>BIdetails!G899</f>
        <v>212289</v>
      </c>
      <c r="B896" t="str">
        <f>BIdetails!H899</f>
        <v>Comarch Ag - Belgian Branch</v>
      </c>
      <c r="C896" t="str">
        <f>BIdetails!J899</f>
        <v>5401024578</v>
      </c>
      <c r="D896" t="str">
        <f>BIdetails!K899</f>
        <v>10</v>
      </c>
      <c r="E896" s="158">
        <f>BIdetails!M899</f>
        <v>251</v>
      </c>
      <c r="F896" t="str">
        <f>IF(ISERROR(IF(OR(C896="#",C896=0),"",VLOOKUP(C896,'AOP25'!M:M,1,0))),"Not Found",VLOOKUP(C896,'AOP25'!M:M,1,0))</f>
        <v>Not Found</v>
      </c>
      <c r="G896" t="e">
        <f t="shared" si="14"/>
        <v>#N/A</v>
      </c>
    </row>
    <row r="897" spans="1:7" hidden="1" x14ac:dyDescent="0.25">
      <c r="A897" t="str">
        <f>BIdetails!G900</f>
        <v>212289</v>
      </c>
      <c r="B897" t="str">
        <f>BIdetails!H900</f>
        <v>Comarch Ag - Belgian Branch</v>
      </c>
      <c r="C897" t="str">
        <f>BIdetails!J900</f>
        <v>5401024578</v>
      </c>
      <c r="D897" t="str">
        <f>BIdetails!K900</f>
        <v>10</v>
      </c>
      <c r="E897" s="158">
        <f>BIdetails!M900</f>
        <v>-251</v>
      </c>
      <c r="F897" t="str">
        <f>IF(ISERROR(IF(OR(C897="#",C897=0),"",VLOOKUP(C897,'AOP25'!M:M,1,0))),"Not Found",VLOOKUP(C897,'AOP25'!M:M,1,0))</f>
        <v>Not Found</v>
      </c>
      <c r="G897" t="e">
        <f t="shared" si="14"/>
        <v>#N/A</v>
      </c>
    </row>
    <row r="898" spans="1:7" hidden="1" x14ac:dyDescent="0.25">
      <c r="A898" t="str">
        <f>BIdetails!G901</f>
        <v>212289</v>
      </c>
      <c r="B898" t="str">
        <f>BIdetails!H901</f>
        <v>Comarch Ag - Belgian Branch</v>
      </c>
      <c r="C898" t="str">
        <f>BIdetails!J901</f>
        <v>5401024578</v>
      </c>
      <c r="D898" t="str">
        <f>BIdetails!K901</f>
        <v>10</v>
      </c>
      <c r="E898" s="158">
        <f>BIdetails!M901</f>
        <v>38</v>
      </c>
      <c r="F898" t="str">
        <f>IF(ISERROR(IF(OR(C898="#",C898=0),"",VLOOKUP(C898,'AOP25'!M:M,1,0))),"Not Found",VLOOKUP(C898,'AOP25'!M:M,1,0))</f>
        <v>Not Found</v>
      </c>
      <c r="G898" t="e">
        <f t="shared" si="14"/>
        <v>#N/A</v>
      </c>
    </row>
    <row r="899" spans="1:7" hidden="1" x14ac:dyDescent="0.25">
      <c r="A899" t="str">
        <f>BIdetails!G902</f>
        <v>212289</v>
      </c>
      <c r="B899" t="str">
        <f>BIdetails!H902</f>
        <v>Comarch Ag - Belgian Branch</v>
      </c>
      <c r="C899" t="str">
        <f>BIdetails!J902</f>
        <v>5401024578</v>
      </c>
      <c r="D899" t="str">
        <f>BIdetails!K902</f>
        <v>10</v>
      </c>
      <c r="E899" s="158">
        <f>BIdetails!M902</f>
        <v>38</v>
      </c>
      <c r="F899" t="str">
        <f>IF(ISERROR(IF(OR(C899="#",C899=0),"",VLOOKUP(C899,'AOP25'!M:M,1,0))),"Not Found",VLOOKUP(C899,'AOP25'!M:M,1,0))</f>
        <v>Not Found</v>
      </c>
      <c r="G899" t="e">
        <f t="shared" si="14"/>
        <v>#N/A</v>
      </c>
    </row>
    <row r="900" spans="1:7" hidden="1" x14ac:dyDescent="0.25">
      <c r="A900" t="str">
        <f>BIdetails!G903</f>
        <v>212289</v>
      </c>
      <c r="B900" t="str">
        <f>BIdetails!H903</f>
        <v>Comarch Ag - Belgian Branch</v>
      </c>
      <c r="C900" t="str">
        <f>BIdetails!J903</f>
        <v>5401024578</v>
      </c>
      <c r="D900" t="str">
        <f>BIdetails!K903</f>
        <v>10</v>
      </c>
      <c r="E900" s="158">
        <f>BIdetails!M903</f>
        <v>38</v>
      </c>
      <c r="F900" t="str">
        <f>IF(ISERROR(IF(OR(C900="#",C900=0),"",VLOOKUP(C900,'AOP25'!M:M,1,0))),"Not Found",VLOOKUP(C900,'AOP25'!M:M,1,0))</f>
        <v>Not Found</v>
      </c>
      <c r="G900" t="e">
        <f t="shared" si="14"/>
        <v>#N/A</v>
      </c>
    </row>
    <row r="901" spans="1:7" hidden="1" x14ac:dyDescent="0.25">
      <c r="A901" t="str">
        <f>BIdetails!G904</f>
        <v>212289</v>
      </c>
      <c r="B901" t="str">
        <f>BIdetails!H904</f>
        <v>Comarch Ag - Belgian Branch</v>
      </c>
      <c r="C901" t="str">
        <f>BIdetails!J904</f>
        <v>5401024578</v>
      </c>
      <c r="D901" t="str">
        <f>BIdetails!K904</f>
        <v>10</v>
      </c>
      <c r="E901" s="158">
        <f>BIdetails!M904</f>
        <v>47</v>
      </c>
      <c r="F901" t="str">
        <f>IF(ISERROR(IF(OR(C901="#",C901=0),"",VLOOKUP(C901,'AOP25'!M:M,1,0))),"Not Found",VLOOKUP(C901,'AOP25'!M:M,1,0))</f>
        <v>Not Found</v>
      </c>
      <c r="G901" t="e">
        <f t="shared" si="14"/>
        <v>#N/A</v>
      </c>
    </row>
    <row r="902" spans="1:7" hidden="1" x14ac:dyDescent="0.25">
      <c r="A902" t="str">
        <f>BIdetails!G905</f>
        <v>212289</v>
      </c>
      <c r="B902" t="str">
        <f>BIdetails!H905</f>
        <v>Comarch Ag - Belgian Branch</v>
      </c>
      <c r="C902" t="str">
        <f>BIdetails!J905</f>
        <v>5401024578</v>
      </c>
      <c r="D902" t="str">
        <f>BIdetails!K905</f>
        <v>10</v>
      </c>
      <c r="E902" s="158">
        <f>BIdetails!M905</f>
        <v>251</v>
      </c>
      <c r="F902" t="str">
        <f>IF(ISERROR(IF(OR(C902="#",C902=0),"",VLOOKUP(C902,'AOP25'!M:M,1,0))),"Not Found",VLOOKUP(C902,'AOP25'!M:M,1,0))</f>
        <v>Not Found</v>
      </c>
      <c r="G902" t="e">
        <f t="shared" si="14"/>
        <v>#N/A</v>
      </c>
    </row>
    <row r="903" spans="1:7" hidden="1" x14ac:dyDescent="0.25">
      <c r="A903" t="str">
        <f>BIdetails!G906</f>
        <v>212289</v>
      </c>
      <c r="B903" t="str">
        <f>BIdetails!H906</f>
        <v>Comarch Ag - Belgian Branch</v>
      </c>
      <c r="C903" t="str">
        <f>BIdetails!J906</f>
        <v>5401102205</v>
      </c>
      <c r="D903" t="str">
        <f>BIdetails!K906</f>
        <v>10</v>
      </c>
      <c r="E903" s="158">
        <f>BIdetails!M906</f>
        <v>251</v>
      </c>
      <c r="F903" t="str">
        <f>IF(ISERROR(IF(OR(C903="#",C903=0),"",VLOOKUP(C903,'AOP25'!M:M,1,0))),"Not Found",VLOOKUP(C903,'AOP25'!M:M,1,0))</f>
        <v>Not Found</v>
      </c>
      <c r="G903" t="e">
        <f t="shared" si="14"/>
        <v>#N/A</v>
      </c>
    </row>
    <row r="904" spans="1:7" hidden="1" x14ac:dyDescent="0.25">
      <c r="A904" t="str">
        <f>BIdetails!G907</f>
        <v>3001456</v>
      </c>
      <c r="B904" t="str">
        <f>BIdetails!H907</f>
        <v>Gartner Nederland B.V.</v>
      </c>
      <c r="C904" t="str">
        <f>BIdetails!J907</f>
        <v>5401106540</v>
      </c>
      <c r="D904" t="str">
        <f>BIdetails!K907</f>
        <v>10</v>
      </c>
      <c r="E904" s="158">
        <f>BIdetails!M907</f>
        <v>3175</v>
      </c>
      <c r="F904" t="str">
        <f>IF(ISERROR(IF(OR(C904="#",C904=0),"",VLOOKUP(C904,'AOP25'!M:M,1,0))),"Not Found",VLOOKUP(C904,'AOP25'!M:M,1,0))</f>
        <v>Not Found</v>
      </c>
      <c r="G904" t="e">
        <f t="shared" si="14"/>
        <v>#N/A</v>
      </c>
    </row>
    <row r="905" spans="1:7" hidden="1" x14ac:dyDescent="0.25">
      <c r="A905" t="str">
        <f>BIdetails!G908</f>
        <v>3001946</v>
      </c>
      <c r="B905" t="str">
        <f>BIdetails!H908</f>
        <v>Epam Systems Netherlands B.V.</v>
      </c>
      <c r="C905" t="str">
        <f>BIdetails!J908</f>
        <v>5401088267</v>
      </c>
      <c r="D905" t="str">
        <f>BIdetails!K908</f>
        <v>10</v>
      </c>
      <c r="E905" s="158">
        <f>BIdetails!M908</f>
        <v>174966.67</v>
      </c>
      <c r="F905" t="str">
        <f>IF(ISERROR(IF(OR(C905="#",C905=0),"",VLOOKUP(C905,'AOP25'!M:M,1,0))),"Not Found",VLOOKUP(C905,'AOP25'!M:M,1,0))</f>
        <v>Not Found</v>
      </c>
      <c r="G905" t="e">
        <f t="shared" si="14"/>
        <v>#N/A</v>
      </c>
    </row>
    <row r="906" spans="1:7" hidden="1" x14ac:dyDescent="0.25">
      <c r="A906" t="str">
        <f>BIdetails!G909</f>
        <v>3001946</v>
      </c>
      <c r="B906" t="str">
        <f>BIdetails!H909</f>
        <v>Epam Systems Netherlands B.V.</v>
      </c>
      <c r="C906" t="str">
        <f>BIdetails!J909</f>
        <v>5401088267</v>
      </c>
      <c r="D906" t="str">
        <f>BIdetails!K909</f>
        <v>20</v>
      </c>
      <c r="E906" s="158">
        <f>BIdetails!M909</f>
        <v>63573</v>
      </c>
      <c r="F906" t="str">
        <f>IF(ISERROR(IF(OR(C906="#",C906=0),"",VLOOKUP(C906,'AOP25'!M:M,1,0))),"Not Found",VLOOKUP(C906,'AOP25'!M:M,1,0))</f>
        <v>Not Found</v>
      </c>
      <c r="G906" t="e">
        <f t="shared" si="14"/>
        <v>#N/A</v>
      </c>
    </row>
    <row r="907" spans="1:7" hidden="1" x14ac:dyDescent="0.25">
      <c r="A907" t="str">
        <f>BIdetails!G910</f>
        <v>3001946</v>
      </c>
      <c r="B907" t="str">
        <f>BIdetails!H910</f>
        <v>Epam Systems Netherlands B.V.</v>
      </c>
      <c r="C907" t="str">
        <f>BIdetails!J910</f>
        <v>5401088267</v>
      </c>
      <c r="D907" t="str">
        <f>BIdetails!K910</f>
        <v>10</v>
      </c>
      <c r="E907" s="158">
        <f>BIdetails!M910</f>
        <v>180310.33</v>
      </c>
      <c r="F907" t="str">
        <f>IF(ISERROR(IF(OR(C907="#",C907=0),"",VLOOKUP(C907,'AOP25'!M:M,1,0))),"Not Found",VLOOKUP(C907,'AOP25'!M:M,1,0))</f>
        <v>Not Found</v>
      </c>
      <c r="G907" t="e">
        <f t="shared" si="14"/>
        <v>#N/A</v>
      </c>
    </row>
    <row r="908" spans="1:7" hidden="1" x14ac:dyDescent="0.25">
      <c r="A908" t="str">
        <f>BIdetails!G911</f>
        <v>3001946</v>
      </c>
      <c r="B908" t="str">
        <f>BIdetails!H911</f>
        <v>Epam Systems Netherlands B.V.</v>
      </c>
      <c r="C908" t="str">
        <f>BIdetails!J911</f>
        <v>5401088267</v>
      </c>
      <c r="D908" t="str">
        <f>BIdetails!K911</f>
        <v>10</v>
      </c>
      <c r="E908" s="158">
        <f>BIdetails!M911</f>
        <v>180310.33</v>
      </c>
      <c r="F908" t="str">
        <f>IF(ISERROR(IF(OR(C908="#",C908=0),"",VLOOKUP(C908,'AOP25'!M:M,1,0))),"Not Found",VLOOKUP(C908,'AOP25'!M:M,1,0))</f>
        <v>Not Found</v>
      </c>
      <c r="G908" t="e">
        <f t="shared" si="14"/>
        <v>#N/A</v>
      </c>
    </row>
    <row r="909" spans="1:7" hidden="1" x14ac:dyDescent="0.25">
      <c r="A909" t="str">
        <f>BIdetails!G912</f>
        <v>3001946</v>
      </c>
      <c r="B909" t="str">
        <f>BIdetails!H912</f>
        <v>Epam Systems Netherlands B.V.</v>
      </c>
      <c r="C909" t="str">
        <f>BIdetails!J912</f>
        <v>5401088277</v>
      </c>
      <c r="D909" t="str">
        <f>BIdetails!K912</f>
        <v>10</v>
      </c>
      <c r="E909" s="158">
        <f>BIdetails!M912</f>
        <v>5400</v>
      </c>
      <c r="F909" t="str">
        <f>IF(ISERROR(IF(OR(C909="#",C909=0),"",VLOOKUP(C909,'AOP25'!M:M,1,0))),"Not Found",VLOOKUP(C909,'AOP25'!M:M,1,0))</f>
        <v>Not Found</v>
      </c>
      <c r="G909" t="e">
        <f t="shared" si="14"/>
        <v>#N/A</v>
      </c>
    </row>
    <row r="910" spans="1:7" hidden="1" x14ac:dyDescent="0.25">
      <c r="A910" t="str">
        <f>BIdetails!G913</f>
        <v>3001946</v>
      </c>
      <c r="B910" t="str">
        <f>BIdetails!H913</f>
        <v>Epam Systems Netherlands B.V.</v>
      </c>
      <c r="C910" t="str">
        <f>BIdetails!J913</f>
        <v>5401097345</v>
      </c>
      <c r="D910" t="str">
        <f>BIdetails!K913</f>
        <v>10</v>
      </c>
      <c r="E910" s="158">
        <f>BIdetails!M913</f>
        <v>43914.61</v>
      </c>
      <c r="F910" t="str">
        <f>IF(ISERROR(IF(OR(C910="#",C910=0),"",VLOOKUP(C910,'AOP25'!M:M,1,0))),"Not Found",VLOOKUP(C910,'AOP25'!M:M,1,0))</f>
        <v>Not Found</v>
      </c>
      <c r="G910" t="e">
        <f t="shared" si="14"/>
        <v>#N/A</v>
      </c>
    </row>
    <row r="911" spans="1:7" hidden="1" x14ac:dyDescent="0.25">
      <c r="A911" t="str">
        <f>BIdetails!G914</f>
        <v>3001946</v>
      </c>
      <c r="B911" t="str">
        <f>BIdetails!H914</f>
        <v>Epam Systems Netherlands B.V.</v>
      </c>
      <c r="C911" t="str">
        <f>BIdetails!J914</f>
        <v>5401088267</v>
      </c>
      <c r="D911" t="str">
        <f>BIdetails!K914</f>
        <v>10</v>
      </c>
      <c r="E911" s="158">
        <f>BIdetails!M914</f>
        <v>180310.33</v>
      </c>
      <c r="F911" t="str">
        <f>IF(ISERROR(IF(OR(C911="#",C911=0),"",VLOOKUP(C911,'AOP25'!M:M,1,0))),"Not Found",VLOOKUP(C911,'AOP25'!M:M,1,0))</f>
        <v>Not Found</v>
      </c>
      <c r="G911" t="e">
        <f t="shared" si="14"/>
        <v>#N/A</v>
      </c>
    </row>
    <row r="912" spans="1:7" hidden="1" x14ac:dyDescent="0.25">
      <c r="A912" t="str">
        <f>BIdetails!G915</f>
        <v>3001946</v>
      </c>
      <c r="B912" t="str">
        <f>BIdetails!H915</f>
        <v>Epam Systems Netherlands B.V.</v>
      </c>
      <c r="C912" t="str">
        <f>BIdetails!J915</f>
        <v>5401088267</v>
      </c>
      <c r="D912" t="str">
        <f>BIdetails!K915</f>
        <v>10</v>
      </c>
      <c r="E912" s="158">
        <f>BIdetails!M915</f>
        <v>180310.33</v>
      </c>
      <c r="F912" t="str">
        <f>IF(ISERROR(IF(OR(C912="#",C912=0),"",VLOOKUP(C912,'AOP25'!M:M,1,0))),"Not Found",VLOOKUP(C912,'AOP25'!M:M,1,0))</f>
        <v>Not Found</v>
      </c>
      <c r="G912" t="e">
        <f t="shared" si="14"/>
        <v>#N/A</v>
      </c>
    </row>
    <row r="913" spans="1:7" hidden="1" x14ac:dyDescent="0.25">
      <c r="A913" t="str">
        <f>BIdetails!G916</f>
        <v>3001946</v>
      </c>
      <c r="B913" t="str">
        <f>BIdetails!H916</f>
        <v>Epam Systems Netherlands B.V.</v>
      </c>
      <c r="C913" t="str">
        <f>BIdetails!J916</f>
        <v>5401105569</v>
      </c>
      <c r="D913" t="str">
        <f>BIdetails!K916</f>
        <v>10</v>
      </c>
      <c r="E913" s="158">
        <f>BIdetails!M916</f>
        <v>27543.1</v>
      </c>
      <c r="F913" t="str">
        <f>IF(ISERROR(IF(OR(C913="#",C913=0),"",VLOOKUP(C913,'AOP25'!M:M,1,0))),"Not Found",VLOOKUP(C913,'AOP25'!M:M,1,0))</f>
        <v>Not Found</v>
      </c>
      <c r="G913" t="e">
        <f t="shared" si="14"/>
        <v>#N/A</v>
      </c>
    </row>
    <row r="914" spans="1:7" hidden="1" x14ac:dyDescent="0.25">
      <c r="A914" t="str">
        <f>BIdetails!G917</f>
        <v>3001946</v>
      </c>
      <c r="B914" t="str">
        <f>BIdetails!H917</f>
        <v>Epam Systems Netherlands B.V.</v>
      </c>
      <c r="C914" t="str">
        <f>BIdetails!J917</f>
        <v>5401088267</v>
      </c>
      <c r="D914" t="str">
        <f>BIdetails!K917</f>
        <v>10</v>
      </c>
      <c r="E914" s="158">
        <f>BIdetails!M917</f>
        <v>180310.33</v>
      </c>
      <c r="F914" t="str">
        <f>IF(ISERROR(IF(OR(C914="#",C914=0),"",VLOOKUP(C914,'AOP25'!M:M,1,0))),"Not Found",VLOOKUP(C914,'AOP25'!M:M,1,0))</f>
        <v>Not Found</v>
      </c>
      <c r="G914" t="e">
        <f t="shared" si="14"/>
        <v>#N/A</v>
      </c>
    </row>
    <row r="915" spans="1:7" hidden="1" x14ac:dyDescent="0.25">
      <c r="A915" t="str">
        <f>BIdetails!G918</f>
        <v>3001946</v>
      </c>
      <c r="B915" t="str">
        <f>BIdetails!H918</f>
        <v>Epam Systems Netherlands B.V.</v>
      </c>
      <c r="C915" t="str">
        <f>BIdetails!J918</f>
        <v>5401088267</v>
      </c>
      <c r="D915" t="str">
        <f>BIdetails!K918</f>
        <v>10</v>
      </c>
      <c r="E915" s="158">
        <f>BIdetails!M918</f>
        <v>180310.33</v>
      </c>
      <c r="F915" t="str">
        <f>IF(ISERROR(IF(OR(C915="#",C915=0),"",VLOOKUP(C915,'AOP25'!M:M,1,0))),"Not Found",VLOOKUP(C915,'AOP25'!M:M,1,0))</f>
        <v>Not Found</v>
      </c>
      <c r="G915" t="e">
        <f t="shared" si="14"/>
        <v>#N/A</v>
      </c>
    </row>
    <row r="916" spans="1:7" hidden="1" x14ac:dyDescent="0.25">
      <c r="A916" t="str">
        <f>BIdetails!G919</f>
        <v>#</v>
      </c>
      <c r="B916" t="str">
        <f>BIdetails!H919</f>
        <v>Not assigned</v>
      </c>
      <c r="C916" t="str">
        <f>BIdetails!J919</f>
        <v>#</v>
      </c>
      <c r="D916" t="str">
        <f>BIdetails!K919</f>
        <v>#</v>
      </c>
      <c r="E916" s="158">
        <f>BIdetails!M919</f>
        <v>-27965.08</v>
      </c>
      <c r="F916" t="e">
        <f>IF(ISERROR(IF(OR(C916="#",C916=0),"",VLOOKUP(C916,'AOP25'!M:M,1,0))),"Not Found",VLOOKUP(C916,'AOP25'!M:M,1,0))</f>
        <v>#N/A</v>
      </c>
      <c r="G916" t="e">
        <f t="shared" si="14"/>
        <v>#N/A</v>
      </c>
    </row>
    <row r="917" spans="1:7" hidden="1" x14ac:dyDescent="0.25">
      <c r="A917" t="str">
        <f>BIdetails!G920</f>
        <v>#</v>
      </c>
      <c r="B917" t="str">
        <f>BIdetails!H920</f>
        <v>Not assigned</v>
      </c>
      <c r="C917" t="str">
        <f>BIdetails!J920</f>
        <v>#</v>
      </c>
      <c r="D917" t="str">
        <f>BIdetails!K920</f>
        <v>#</v>
      </c>
      <c r="E917" s="158">
        <f>BIdetails!M920</f>
        <v>-20590.91</v>
      </c>
      <c r="F917" t="e">
        <f>IF(ISERROR(IF(OR(C917="#",C917=0),"",VLOOKUP(C917,'AOP25'!M:M,1,0))),"Not Found",VLOOKUP(C917,'AOP25'!M:M,1,0))</f>
        <v>#N/A</v>
      </c>
      <c r="G917" t="e">
        <f t="shared" si="14"/>
        <v>#N/A</v>
      </c>
    </row>
    <row r="918" spans="1:7" hidden="1" x14ac:dyDescent="0.25">
      <c r="A918" t="str">
        <f>BIdetails!G921</f>
        <v>#</v>
      </c>
      <c r="B918" t="str">
        <f>BIdetails!H921</f>
        <v>Not assigned</v>
      </c>
      <c r="C918" t="str">
        <f>BIdetails!J921</f>
        <v>#</v>
      </c>
      <c r="D918" t="str">
        <f>BIdetails!K921</f>
        <v>#</v>
      </c>
      <c r="E918" s="158">
        <f>BIdetails!M921</f>
        <v>-19545.45</v>
      </c>
      <c r="F918" t="e">
        <f>IF(ISERROR(IF(OR(C918="#",C918=0),"",VLOOKUP(C918,'AOP25'!M:M,1,0))),"Not Found",VLOOKUP(C918,'AOP25'!M:M,1,0))</f>
        <v>#N/A</v>
      </c>
      <c r="G918" t="e">
        <f t="shared" si="14"/>
        <v>#N/A</v>
      </c>
    </row>
    <row r="919" spans="1:7" hidden="1" x14ac:dyDescent="0.25">
      <c r="A919" t="str">
        <f>BIdetails!G922</f>
        <v>#</v>
      </c>
      <c r="B919" t="str">
        <f>BIdetails!H922</f>
        <v>Not assigned</v>
      </c>
      <c r="C919" t="str">
        <f>BIdetails!J922</f>
        <v>#</v>
      </c>
      <c r="D919" t="str">
        <f>BIdetails!K922</f>
        <v>#</v>
      </c>
      <c r="E919" s="158">
        <f>BIdetails!M922</f>
        <v>-20590.91</v>
      </c>
      <c r="F919" t="e">
        <f>IF(ISERROR(IF(OR(C919="#",C919=0),"",VLOOKUP(C919,'AOP25'!M:M,1,0))),"Not Found",VLOOKUP(C919,'AOP25'!M:M,1,0))</f>
        <v>#N/A</v>
      </c>
      <c r="G919" t="e">
        <f t="shared" si="14"/>
        <v>#N/A</v>
      </c>
    </row>
    <row r="920" spans="1:7" hidden="1" x14ac:dyDescent="0.25">
      <c r="A920" t="str">
        <f>BIdetails!G923</f>
        <v>#</v>
      </c>
      <c r="B920" t="str">
        <f>BIdetails!H923</f>
        <v>Not assigned</v>
      </c>
      <c r="C920" t="str">
        <f>BIdetails!J923</f>
        <v>#</v>
      </c>
      <c r="D920" t="str">
        <f>BIdetails!K923</f>
        <v>#</v>
      </c>
      <c r="E920" s="158">
        <f>BIdetails!M923</f>
        <v>-19545.45</v>
      </c>
      <c r="F920" t="e">
        <f>IF(ISERROR(IF(OR(C920="#",C920=0),"",VLOOKUP(C920,'AOP25'!M:M,1,0))),"Not Found",VLOOKUP(C920,'AOP25'!M:M,1,0))</f>
        <v>#N/A</v>
      </c>
      <c r="G920" t="e">
        <f t="shared" si="14"/>
        <v>#N/A</v>
      </c>
    </row>
    <row r="921" spans="1:7" hidden="1" x14ac:dyDescent="0.25">
      <c r="A921" t="str">
        <f>BIdetails!G924</f>
        <v>#</v>
      </c>
      <c r="B921" t="str">
        <f>BIdetails!H924</f>
        <v>Not assigned</v>
      </c>
      <c r="C921" t="str">
        <f>BIdetails!J924</f>
        <v>#</v>
      </c>
      <c r="D921" t="str">
        <f>BIdetails!K924</f>
        <v>#</v>
      </c>
      <c r="E921" s="158">
        <f>BIdetails!M924</f>
        <v>-20590.91</v>
      </c>
      <c r="F921" t="e">
        <f>IF(ISERROR(IF(OR(C921="#",C921=0),"",VLOOKUP(C921,'AOP25'!M:M,1,0))),"Not Found",VLOOKUP(C921,'AOP25'!M:M,1,0))</f>
        <v>#N/A</v>
      </c>
      <c r="G921" t="e">
        <f t="shared" si="14"/>
        <v>#N/A</v>
      </c>
    </row>
    <row r="922" spans="1:7" hidden="1" x14ac:dyDescent="0.25">
      <c r="A922" t="str">
        <f>BIdetails!G925</f>
        <v>#</v>
      </c>
      <c r="B922" t="str">
        <f>BIdetails!H925</f>
        <v>Not assigned</v>
      </c>
      <c r="C922" t="str">
        <f>BIdetails!J925</f>
        <v>#</v>
      </c>
      <c r="D922" t="str">
        <f>BIdetails!K925</f>
        <v>#</v>
      </c>
      <c r="E922" s="158">
        <f>BIdetails!M925</f>
        <v>-19545.45</v>
      </c>
      <c r="F922" t="e">
        <f>IF(ISERROR(IF(OR(C922="#",C922=0),"",VLOOKUP(C922,'AOP25'!M:M,1,0))),"Not Found",VLOOKUP(C922,'AOP25'!M:M,1,0))</f>
        <v>#N/A</v>
      </c>
      <c r="G922" t="e">
        <f t="shared" si="14"/>
        <v>#N/A</v>
      </c>
    </row>
    <row r="923" spans="1:7" hidden="1" x14ac:dyDescent="0.25">
      <c r="A923" t="str">
        <f>BIdetails!G926</f>
        <v>#</v>
      </c>
      <c r="B923" t="str">
        <f>BIdetails!H926</f>
        <v>Not assigned</v>
      </c>
      <c r="C923" t="str">
        <f>BIdetails!J926</f>
        <v>#</v>
      </c>
      <c r="D923" t="str">
        <f>BIdetails!K926</f>
        <v>#</v>
      </c>
      <c r="E923" s="158">
        <f>BIdetails!M926</f>
        <v>-20590.91</v>
      </c>
      <c r="F923" t="e">
        <f>IF(ISERROR(IF(OR(C923="#",C923=0),"",VLOOKUP(C923,'AOP25'!M:M,1,0))),"Not Found",VLOOKUP(C923,'AOP25'!M:M,1,0))</f>
        <v>#N/A</v>
      </c>
      <c r="G923" t="e">
        <f t="shared" si="14"/>
        <v>#N/A</v>
      </c>
    </row>
    <row r="924" spans="1:7" hidden="1" x14ac:dyDescent="0.25">
      <c r="A924" t="str">
        <f>BIdetails!G927</f>
        <v>#</v>
      </c>
      <c r="B924" t="str">
        <f>BIdetails!H927</f>
        <v>Not assigned</v>
      </c>
      <c r="C924" t="str">
        <f>BIdetails!J927</f>
        <v>#</v>
      </c>
      <c r="D924" t="str">
        <f>BIdetails!K927</f>
        <v>#</v>
      </c>
      <c r="E924" s="158">
        <f>BIdetails!M927</f>
        <v>-19545.45</v>
      </c>
      <c r="F924" t="e">
        <f>IF(ISERROR(IF(OR(C924="#",C924=0),"",VLOOKUP(C924,'AOP25'!M:M,1,0))),"Not Found",VLOOKUP(C924,'AOP25'!M:M,1,0))</f>
        <v>#N/A</v>
      </c>
      <c r="G924" t="e">
        <f t="shared" si="14"/>
        <v>#N/A</v>
      </c>
    </row>
    <row r="925" spans="1:7" hidden="1" x14ac:dyDescent="0.25">
      <c r="A925" t="str">
        <f>BIdetails!G928</f>
        <v>#</v>
      </c>
      <c r="B925" t="str">
        <f>BIdetails!H928</f>
        <v>Not assigned</v>
      </c>
      <c r="C925" t="str">
        <f>BIdetails!J928</f>
        <v>#</v>
      </c>
      <c r="D925" t="str">
        <f>BIdetails!K928</f>
        <v>#</v>
      </c>
      <c r="E925" s="158">
        <f>BIdetails!M928</f>
        <v>-20590.91</v>
      </c>
      <c r="F925" t="e">
        <f>IF(ISERROR(IF(OR(C925="#",C925=0),"",VLOOKUP(C925,'AOP25'!M:M,1,0))),"Not Found",VLOOKUP(C925,'AOP25'!M:M,1,0))</f>
        <v>#N/A</v>
      </c>
      <c r="G925" t="e">
        <f t="shared" si="14"/>
        <v>#N/A</v>
      </c>
    </row>
    <row r="926" spans="1:7" hidden="1" x14ac:dyDescent="0.25">
      <c r="A926" t="str">
        <f>BIdetails!G929</f>
        <v>#</v>
      </c>
      <c r="B926" t="str">
        <f>BIdetails!H929</f>
        <v>Not assigned</v>
      </c>
      <c r="C926" t="str">
        <f>BIdetails!J929</f>
        <v>#</v>
      </c>
      <c r="D926" t="str">
        <f>BIdetails!K929</f>
        <v>#</v>
      </c>
      <c r="E926" s="158">
        <f>BIdetails!M929</f>
        <v>-19545.45</v>
      </c>
      <c r="F926" t="e">
        <f>IF(ISERROR(IF(OR(C926="#",C926=0),"",VLOOKUP(C926,'AOP25'!M:M,1,0))),"Not Found",VLOOKUP(C926,'AOP25'!M:M,1,0))</f>
        <v>#N/A</v>
      </c>
      <c r="G926" t="e">
        <f t="shared" si="14"/>
        <v>#N/A</v>
      </c>
    </row>
    <row r="927" spans="1:7" x14ac:dyDescent="0.25">
      <c r="A927" t="str">
        <f>BIdetails!G930</f>
        <v>#</v>
      </c>
      <c r="B927" t="str">
        <f>BIdetails!H930</f>
        <v>Not assigned</v>
      </c>
      <c r="C927" t="str">
        <f>BIdetails!J930</f>
        <v>#</v>
      </c>
      <c r="D927" t="str">
        <f>BIdetails!K930</f>
        <v>#</v>
      </c>
      <c r="E927" s="158">
        <f>BIdetails!M930</f>
        <v>56432</v>
      </c>
      <c r="F927" t="e">
        <f>IF(ISERROR(IF(OR(C927="#",C927=0),"",VLOOKUP(C927,'AOP25'!M:M,1,0))),"Not Found",VLOOKUP(C927,'AOP25'!M:M,1,0))</f>
        <v>#N/A</v>
      </c>
      <c r="G927" t="e">
        <f t="shared" si="14"/>
        <v>#N/A</v>
      </c>
    </row>
    <row r="928" spans="1:7" hidden="1" x14ac:dyDescent="0.25">
      <c r="A928" t="str">
        <f>BIdetails!G931</f>
        <v>#</v>
      </c>
      <c r="B928" t="str">
        <f>BIdetails!H931</f>
        <v>Not assigned</v>
      </c>
      <c r="C928" t="str">
        <f>BIdetails!J931</f>
        <v>#</v>
      </c>
      <c r="D928" t="str">
        <f>BIdetails!K931</f>
        <v>#</v>
      </c>
      <c r="E928" s="158">
        <f>BIdetails!M931</f>
        <v>70482</v>
      </c>
      <c r="F928" t="e">
        <f>IF(ISERROR(IF(OR(C928="#",C928=0),"",VLOOKUP(C928,'AOP25'!M:M,1,0))),"Not Found",VLOOKUP(C928,'AOP25'!M:M,1,0))</f>
        <v>#N/A</v>
      </c>
      <c r="G928" t="e">
        <f t="shared" si="14"/>
        <v>#N/A</v>
      </c>
    </row>
    <row r="929" spans="1:7" hidden="1" x14ac:dyDescent="0.25">
      <c r="A929" t="str">
        <f>BIdetails!G932</f>
        <v>#</v>
      </c>
      <c r="B929" t="str">
        <f>BIdetails!H932</f>
        <v>Not assigned</v>
      </c>
      <c r="C929" t="str">
        <f>BIdetails!J932</f>
        <v>#</v>
      </c>
      <c r="D929" t="str">
        <f>BIdetails!K932</f>
        <v>#</v>
      </c>
      <c r="E929" s="158">
        <f>BIdetails!M932</f>
        <v>95796.66</v>
      </c>
      <c r="F929" t="e">
        <f>IF(ISERROR(IF(OR(C929="#",C929=0),"",VLOOKUP(C929,'AOP25'!M:M,1,0))),"Not Found",VLOOKUP(C929,'AOP25'!M:M,1,0))</f>
        <v>#N/A</v>
      </c>
      <c r="G929" t="e">
        <f t="shared" si="14"/>
        <v>#N/A</v>
      </c>
    </row>
    <row r="930" spans="1:7" hidden="1" x14ac:dyDescent="0.25">
      <c r="A930" t="str">
        <f>BIdetails!G933</f>
        <v>#</v>
      </c>
      <c r="B930" t="str">
        <f>BIdetails!H933</f>
        <v>Not assigned</v>
      </c>
      <c r="C930" t="str">
        <f>BIdetails!J933</f>
        <v>#</v>
      </c>
      <c r="D930" t="str">
        <f>BIdetails!K933</f>
        <v>#</v>
      </c>
      <c r="E930" s="158">
        <f>BIdetails!M933</f>
        <v>-39900</v>
      </c>
      <c r="F930" t="e">
        <f>IF(ISERROR(IF(OR(C930="#",C930=0),"",VLOOKUP(C930,'AOP25'!M:M,1,0))),"Not Found",VLOOKUP(C930,'AOP25'!M:M,1,0))</f>
        <v>#N/A</v>
      </c>
      <c r="G930" t="e">
        <f t="shared" si="14"/>
        <v>#N/A</v>
      </c>
    </row>
    <row r="931" spans="1:7" hidden="1" x14ac:dyDescent="0.25">
      <c r="A931" t="str">
        <f>BIdetails!G934</f>
        <v>#</v>
      </c>
      <c r="B931" t="str">
        <f>BIdetails!H934</f>
        <v>Not assigned</v>
      </c>
      <c r="C931" t="str">
        <f>BIdetails!J934</f>
        <v>#</v>
      </c>
      <c r="D931" t="str">
        <f>BIdetails!K934</f>
        <v>#</v>
      </c>
      <c r="E931" s="158">
        <f>BIdetails!M934</f>
        <v>83895.24</v>
      </c>
      <c r="F931" t="e">
        <f>IF(ISERROR(IF(OR(C931="#",C931=0),"",VLOOKUP(C931,'AOP25'!M:M,1,0))),"Not Found",VLOOKUP(C931,'AOP25'!M:M,1,0))</f>
        <v>#N/A</v>
      </c>
      <c r="G931" t="e">
        <f t="shared" si="14"/>
        <v>#N/A</v>
      </c>
    </row>
    <row r="932" spans="1:7" x14ac:dyDescent="0.25">
      <c r="A932" t="str">
        <f>BIdetails!G935</f>
        <v>#</v>
      </c>
      <c r="B932" t="str">
        <f>BIdetails!H935</f>
        <v>Not assigned</v>
      </c>
      <c r="C932" t="str">
        <f>BIdetails!J935</f>
        <v>#</v>
      </c>
      <c r="D932" t="str">
        <f>BIdetails!K935</f>
        <v>#</v>
      </c>
      <c r="E932" s="158">
        <f>BIdetails!M935</f>
        <v>0</v>
      </c>
      <c r="F932" t="e">
        <f>IF(ISERROR(IF(OR(C932="#",C932=0),"",VLOOKUP(C932,'AOP25'!M:M,1,0))),"Not Found",VLOOKUP(C932,'AOP25'!M:M,1,0))</f>
        <v>#N/A</v>
      </c>
      <c r="G932" t="e">
        <f t="shared" si="14"/>
        <v>#N/A</v>
      </c>
    </row>
    <row r="933" spans="1:7" x14ac:dyDescent="0.25">
      <c r="A933" t="str">
        <f>BIdetails!G936</f>
        <v>#</v>
      </c>
      <c r="B933" t="str">
        <f>BIdetails!H936</f>
        <v>Not assigned</v>
      </c>
      <c r="C933" t="str">
        <f>BIdetails!J936</f>
        <v>#</v>
      </c>
      <c r="D933" t="str">
        <f>BIdetails!K936</f>
        <v>#</v>
      </c>
      <c r="E933" s="158">
        <f>BIdetails!M936</f>
        <v>-79895.45</v>
      </c>
      <c r="F933" t="e">
        <f>IF(ISERROR(IF(OR(C933="#",C933=0),"",VLOOKUP(C933,'AOP25'!M:M,1,0))),"Not Found",VLOOKUP(C933,'AOP25'!M:M,1,0))</f>
        <v>#N/A</v>
      </c>
      <c r="G933" t="e">
        <f t="shared" si="14"/>
        <v>#N/A</v>
      </c>
    </row>
    <row r="934" spans="1:7" hidden="1" x14ac:dyDescent="0.25">
      <c r="A934" t="str">
        <f>BIdetails!G937</f>
        <v>#</v>
      </c>
      <c r="B934" t="str">
        <f>BIdetails!H937</f>
        <v>Not assigned</v>
      </c>
      <c r="C934" t="str">
        <f>BIdetails!J937</f>
        <v>#</v>
      </c>
      <c r="D934" t="str">
        <f>BIdetails!K937</f>
        <v>#</v>
      </c>
      <c r="E934" s="158">
        <f>BIdetails!M937</f>
        <v>0</v>
      </c>
      <c r="F934" t="e">
        <f>IF(ISERROR(IF(OR(C934="#",C934=0),"",VLOOKUP(C934,'AOP25'!M:M,1,0))),"Not Found",VLOOKUP(C934,'AOP25'!M:M,1,0))</f>
        <v>#N/A</v>
      </c>
      <c r="G934" t="e">
        <f t="shared" si="14"/>
        <v>#N/A</v>
      </c>
    </row>
    <row r="935" spans="1:7" hidden="1" x14ac:dyDescent="0.25">
      <c r="A935" t="str">
        <f>BIdetails!G938</f>
        <v>#</v>
      </c>
      <c r="B935" t="str">
        <f>BIdetails!H938</f>
        <v>Not assigned</v>
      </c>
      <c r="C935" t="str">
        <f>BIdetails!J938</f>
        <v>#</v>
      </c>
      <c r="D935" t="str">
        <f>BIdetails!K938</f>
        <v>#</v>
      </c>
      <c r="E935" s="158">
        <f>BIdetails!M938</f>
        <v>-86133</v>
      </c>
      <c r="F935" t="e">
        <f>IF(ISERROR(IF(OR(C935="#",C935=0),"",VLOOKUP(C935,'AOP25'!M:M,1,0))),"Not Found",VLOOKUP(C935,'AOP25'!M:M,1,0))</f>
        <v>#N/A</v>
      </c>
      <c r="G935" t="e">
        <f t="shared" si="14"/>
        <v>#N/A</v>
      </c>
    </row>
    <row r="936" spans="1:7" hidden="1" x14ac:dyDescent="0.25">
      <c r="A936" t="str">
        <f>BIdetails!G939</f>
        <v>#</v>
      </c>
      <c r="B936" t="str">
        <f>BIdetails!H939</f>
        <v>Not assigned</v>
      </c>
      <c r="C936" t="str">
        <f>BIdetails!J939</f>
        <v>#</v>
      </c>
      <c r="D936" t="str">
        <f>BIdetails!K939</f>
        <v>#</v>
      </c>
      <c r="E936" s="158">
        <f>BIdetails!M939</f>
        <v>34453.199999999997</v>
      </c>
      <c r="F936" t="e">
        <f>IF(ISERROR(IF(OR(C936="#",C936=0),"",VLOOKUP(C936,'AOP25'!M:M,1,0))),"Not Found",VLOOKUP(C936,'AOP25'!M:M,1,0))</f>
        <v>#N/A</v>
      </c>
      <c r="G936" t="e">
        <f t="shared" si="14"/>
        <v>#N/A</v>
      </c>
    </row>
    <row r="937" spans="1:7" hidden="1" x14ac:dyDescent="0.25">
      <c r="A937" t="str">
        <f>BIdetails!G940</f>
        <v>#</v>
      </c>
      <c r="B937" t="str">
        <f>BIdetails!H940</f>
        <v>Not assigned</v>
      </c>
      <c r="C937" t="str">
        <f>BIdetails!J940</f>
        <v>#</v>
      </c>
      <c r="D937" t="str">
        <f>BIdetails!K940</f>
        <v>#</v>
      </c>
      <c r="E937" s="158">
        <f>BIdetails!M940</f>
        <v>0</v>
      </c>
      <c r="F937" t="e">
        <f>IF(ISERROR(IF(OR(C937="#",C937=0),"",VLOOKUP(C937,'AOP25'!M:M,1,0))),"Not Found",VLOOKUP(C937,'AOP25'!M:M,1,0))</f>
        <v>#N/A</v>
      </c>
      <c r="G937" t="e">
        <f t="shared" si="14"/>
        <v>#N/A</v>
      </c>
    </row>
    <row r="938" spans="1:7" hidden="1" x14ac:dyDescent="0.25">
      <c r="A938" t="str">
        <f>BIdetails!G941</f>
        <v>#</v>
      </c>
      <c r="B938" t="str">
        <f>BIdetails!H941</f>
        <v>Not assigned</v>
      </c>
      <c r="C938" t="str">
        <f>BIdetails!J941</f>
        <v>#</v>
      </c>
      <c r="D938" t="str">
        <f>BIdetails!K941</f>
        <v>#</v>
      </c>
      <c r="E938" s="158">
        <f>BIdetails!M941</f>
        <v>-175580</v>
      </c>
      <c r="F938" t="e">
        <f>IF(ISERROR(IF(OR(C938="#",C938=0),"",VLOOKUP(C938,'AOP25'!M:M,1,0))),"Not Found",VLOOKUP(C938,'AOP25'!M:M,1,0))</f>
        <v>#N/A</v>
      </c>
      <c r="G938" t="e">
        <f t="shared" si="14"/>
        <v>#N/A</v>
      </c>
    </row>
    <row r="939" spans="1:7" hidden="1" x14ac:dyDescent="0.25">
      <c r="A939" t="str">
        <f>BIdetails!G942</f>
        <v>#</v>
      </c>
      <c r="B939" t="str">
        <f>BIdetails!H942</f>
        <v>Not assigned</v>
      </c>
      <c r="C939" t="str">
        <f>BIdetails!J942</f>
        <v>#</v>
      </c>
      <c r="D939" t="str">
        <f>BIdetails!K942</f>
        <v>#</v>
      </c>
      <c r="E939" s="158">
        <f>BIdetails!M942</f>
        <v>29263.34</v>
      </c>
      <c r="F939" t="e">
        <f>IF(ISERROR(IF(OR(C939="#",C939=0),"",VLOOKUP(C939,'AOP25'!M:M,1,0))),"Not Found",VLOOKUP(C939,'AOP25'!M:M,1,0))</f>
        <v>#N/A</v>
      </c>
      <c r="G939" t="e">
        <f t="shared" si="14"/>
        <v>#N/A</v>
      </c>
    </row>
    <row r="940" spans="1:7" x14ac:dyDescent="0.25">
      <c r="A940" t="str">
        <f>BIdetails!G943</f>
        <v>#</v>
      </c>
      <c r="B940" t="str">
        <f>BIdetails!H943</f>
        <v>Not assigned</v>
      </c>
      <c r="C940" t="str">
        <f>BIdetails!J943</f>
        <v>#</v>
      </c>
      <c r="D940" t="str">
        <f>BIdetails!K943</f>
        <v>#</v>
      </c>
      <c r="E940" s="158">
        <f>BIdetails!M943</f>
        <v>-7982.96</v>
      </c>
      <c r="F940" t="e">
        <f>IF(ISERROR(IF(OR(C940="#",C940=0),"",VLOOKUP(C940,'AOP25'!M:M,1,0))),"Not Found",VLOOKUP(C940,'AOP25'!M:M,1,0))</f>
        <v>#N/A</v>
      </c>
      <c r="G940" t="e">
        <f t="shared" si="14"/>
        <v>#N/A</v>
      </c>
    </row>
    <row r="941" spans="1:7" hidden="1" x14ac:dyDescent="0.25">
      <c r="A941" t="str">
        <f>BIdetails!G944</f>
        <v>#</v>
      </c>
      <c r="B941" t="str">
        <f>BIdetails!H944</f>
        <v>Not assigned</v>
      </c>
      <c r="C941" t="str">
        <f>BIdetails!J944</f>
        <v>#</v>
      </c>
      <c r="D941" t="str">
        <f>BIdetails!K944</f>
        <v>#</v>
      </c>
      <c r="E941" s="158">
        <f>BIdetails!M944</f>
        <v>-3380</v>
      </c>
      <c r="F941" t="e">
        <f>IF(ISERROR(IF(OR(C941="#",C941=0),"",VLOOKUP(C941,'AOP25'!M:M,1,0))),"Not Found",VLOOKUP(C941,'AOP25'!M:M,1,0))</f>
        <v>#N/A</v>
      </c>
      <c r="G941" t="e">
        <f t="shared" si="14"/>
        <v>#N/A</v>
      </c>
    </row>
    <row r="942" spans="1:7" hidden="1" x14ac:dyDescent="0.25">
      <c r="A942" t="str">
        <f>BIdetails!G945</f>
        <v>#</v>
      </c>
      <c r="B942" t="str">
        <f>BIdetails!H945</f>
        <v>Not assigned</v>
      </c>
      <c r="C942" t="str">
        <f>BIdetails!J945</f>
        <v>#</v>
      </c>
      <c r="D942" t="str">
        <f>BIdetails!K945</f>
        <v>#</v>
      </c>
      <c r="E942" s="158">
        <f>BIdetails!M945</f>
        <v>-13520</v>
      </c>
      <c r="F942" t="e">
        <f>IF(ISERROR(IF(OR(C942="#",C942=0),"",VLOOKUP(C942,'AOP25'!M:M,1,0))),"Not Found",VLOOKUP(C942,'AOP25'!M:M,1,0))</f>
        <v>#N/A</v>
      </c>
      <c r="G942" t="e">
        <f t="shared" si="14"/>
        <v>#N/A</v>
      </c>
    </row>
    <row r="943" spans="1:7" hidden="1" x14ac:dyDescent="0.25">
      <c r="A943" t="str">
        <f>BIdetails!G946</f>
        <v>#</v>
      </c>
      <c r="B943" t="str">
        <f>BIdetails!H946</f>
        <v>Not assigned</v>
      </c>
      <c r="C943" t="str">
        <f>BIdetails!J946</f>
        <v>#</v>
      </c>
      <c r="D943" t="str">
        <f>BIdetails!K946</f>
        <v>#</v>
      </c>
      <c r="E943" s="158">
        <f>BIdetails!M946</f>
        <v>-2600</v>
      </c>
      <c r="F943" t="e">
        <f>IF(ISERROR(IF(OR(C943="#",C943=0),"",VLOOKUP(C943,'AOP25'!M:M,1,0))),"Not Found",VLOOKUP(C943,'AOP25'!M:M,1,0))</f>
        <v>#N/A</v>
      </c>
      <c r="G943" t="e">
        <f t="shared" si="14"/>
        <v>#N/A</v>
      </c>
    </row>
    <row r="944" spans="1:7" hidden="1" x14ac:dyDescent="0.25">
      <c r="A944" t="str">
        <f>BIdetails!G947</f>
        <v>#</v>
      </c>
      <c r="B944" t="str">
        <f>BIdetails!H947</f>
        <v>Not assigned</v>
      </c>
      <c r="C944" t="str">
        <f>BIdetails!J947</f>
        <v>#</v>
      </c>
      <c r="D944" t="str">
        <f>BIdetails!K947</f>
        <v>#</v>
      </c>
      <c r="E944" s="158">
        <f>BIdetails!M947</f>
        <v>-69752</v>
      </c>
      <c r="F944" t="e">
        <f>IF(ISERROR(IF(OR(C944="#",C944=0),"",VLOOKUP(C944,'AOP25'!M:M,1,0))),"Not Found",VLOOKUP(C944,'AOP25'!M:M,1,0))</f>
        <v>#N/A</v>
      </c>
      <c r="G944" t="e">
        <f t="shared" si="14"/>
        <v>#N/A</v>
      </c>
    </row>
    <row r="945" spans="1:7" hidden="1" x14ac:dyDescent="0.25">
      <c r="A945" t="str">
        <f>BIdetails!G948</f>
        <v>#</v>
      </c>
      <c r="B945" t="str">
        <f>BIdetails!H948</f>
        <v>Not assigned</v>
      </c>
      <c r="C945" t="str">
        <f>BIdetails!J948</f>
        <v>#</v>
      </c>
      <c r="D945" t="str">
        <f>BIdetails!K948</f>
        <v>#</v>
      </c>
      <c r="E945" s="158">
        <f>BIdetails!M948</f>
        <v>34876.019999999997</v>
      </c>
      <c r="F945" t="e">
        <f>IF(ISERROR(IF(OR(C945="#",C945=0),"",VLOOKUP(C945,'AOP25'!M:M,1,0))),"Not Found",VLOOKUP(C945,'AOP25'!M:M,1,0))</f>
        <v>#N/A</v>
      </c>
      <c r="G945" t="e">
        <f t="shared" si="14"/>
        <v>#N/A</v>
      </c>
    </row>
    <row r="946" spans="1:7" x14ac:dyDescent="0.25">
      <c r="A946" t="str">
        <f>BIdetails!G949</f>
        <v>#</v>
      </c>
      <c r="B946" t="str">
        <f>BIdetails!H949</f>
        <v>Not assigned</v>
      </c>
      <c r="C946" t="str">
        <f>BIdetails!J949</f>
        <v>#</v>
      </c>
      <c r="D946" t="str">
        <f>BIdetails!K949</f>
        <v>#</v>
      </c>
      <c r="E946" s="158">
        <f>BIdetails!M949</f>
        <v>109500</v>
      </c>
      <c r="F946" t="e">
        <f>IF(ISERROR(IF(OR(C946="#",C946=0),"",VLOOKUP(C946,'AOP25'!M:M,1,0))),"Not Found",VLOOKUP(C946,'AOP25'!M:M,1,0))</f>
        <v>#N/A</v>
      </c>
      <c r="G946" t="e">
        <f t="shared" si="14"/>
        <v>#N/A</v>
      </c>
    </row>
    <row r="947" spans="1:7" hidden="1" x14ac:dyDescent="0.25">
      <c r="A947" t="str">
        <f>BIdetails!G950</f>
        <v>#</v>
      </c>
      <c r="B947" t="str">
        <f>BIdetails!H950</f>
        <v>Not assigned</v>
      </c>
      <c r="C947" t="str">
        <f>BIdetails!J950</f>
        <v>#</v>
      </c>
      <c r="D947" t="str">
        <f>BIdetails!K950</f>
        <v>#</v>
      </c>
      <c r="E947" s="158">
        <f>BIdetails!M950</f>
        <v>-109500</v>
      </c>
      <c r="F947" t="e">
        <f>IF(ISERROR(IF(OR(C947="#",C947=0),"",VLOOKUP(C947,'AOP25'!M:M,1,0))),"Not Found",VLOOKUP(C947,'AOP25'!M:M,1,0))</f>
        <v>#N/A</v>
      </c>
      <c r="G947" t="e">
        <f t="shared" si="14"/>
        <v>#N/A</v>
      </c>
    </row>
    <row r="948" spans="1:7" hidden="1" x14ac:dyDescent="0.25">
      <c r="A948" t="str">
        <f>BIdetails!G951</f>
        <v>#</v>
      </c>
      <c r="B948" t="str">
        <f>BIdetails!H951</f>
        <v>Not assigned</v>
      </c>
      <c r="C948" t="str">
        <f>BIdetails!J951</f>
        <v>#</v>
      </c>
      <c r="D948" t="str">
        <f>BIdetails!K951</f>
        <v>#</v>
      </c>
      <c r="E948" s="158">
        <f>BIdetails!M951</f>
        <v>-76050</v>
      </c>
      <c r="F948" t="e">
        <f>IF(ISERROR(IF(OR(C948="#",C948=0),"",VLOOKUP(C948,'AOP25'!M:M,1,0))),"Not Found",VLOOKUP(C948,'AOP25'!M:M,1,0))</f>
        <v>#N/A</v>
      </c>
      <c r="G948" t="e">
        <f t="shared" si="14"/>
        <v>#N/A</v>
      </c>
    </row>
    <row r="949" spans="1:7" hidden="1" x14ac:dyDescent="0.25">
      <c r="A949" t="str">
        <f>BIdetails!G952</f>
        <v>#</v>
      </c>
      <c r="B949" t="str">
        <f>BIdetails!H952</f>
        <v>Not assigned</v>
      </c>
      <c r="C949" t="str">
        <f>BIdetails!J952</f>
        <v>#</v>
      </c>
      <c r="D949" t="str">
        <f>BIdetails!K952</f>
        <v>#</v>
      </c>
      <c r="E949" s="158">
        <f>BIdetails!M952</f>
        <v>0</v>
      </c>
      <c r="F949" t="e">
        <f>IF(ISERROR(IF(OR(C949="#",C949=0),"",VLOOKUP(C949,'AOP25'!M:M,1,0))),"Not Found",VLOOKUP(C949,'AOP25'!M:M,1,0))</f>
        <v>#N/A</v>
      </c>
      <c r="G949" t="e">
        <f t="shared" si="14"/>
        <v>#N/A</v>
      </c>
    </row>
    <row r="950" spans="1:7" hidden="1" x14ac:dyDescent="0.25">
      <c r="A950" t="str">
        <f>BIdetails!G953</f>
        <v>#</v>
      </c>
      <c r="B950" t="str">
        <f>BIdetails!H953</f>
        <v>Not assigned</v>
      </c>
      <c r="C950" t="str">
        <f>BIdetails!J953</f>
        <v>#</v>
      </c>
      <c r="D950" t="str">
        <f>BIdetails!K953</f>
        <v>#</v>
      </c>
      <c r="E950" s="158">
        <f>BIdetails!M953</f>
        <v>0</v>
      </c>
      <c r="F950" t="e">
        <f>IF(ISERROR(IF(OR(C950="#",C950=0),"",VLOOKUP(C950,'AOP25'!M:M,1,0))),"Not Found",VLOOKUP(C950,'AOP25'!M:M,1,0))</f>
        <v>#N/A</v>
      </c>
      <c r="G950" t="e">
        <f t="shared" si="14"/>
        <v>#N/A</v>
      </c>
    </row>
    <row r="951" spans="1:7" hidden="1" x14ac:dyDescent="0.25">
      <c r="A951" t="str">
        <f>BIdetails!G954</f>
        <v>#</v>
      </c>
      <c r="B951" t="str">
        <f>BIdetails!H954</f>
        <v>Not assigned</v>
      </c>
      <c r="C951" t="str">
        <f>BIdetails!J954</f>
        <v>#</v>
      </c>
      <c r="D951" t="str">
        <f>BIdetails!K954</f>
        <v>#</v>
      </c>
      <c r="E951" s="158">
        <f>BIdetails!M954</f>
        <v>0</v>
      </c>
      <c r="F951" t="e">
        <f>IF(ISERROR(IF(OR(C951="#",C951=0),"",VLOOKUP(C951,'AOP25'!M:M,1,0))),"Not Found",VLOOKUP(C951,'AOP25'!M:M,1,0))</f>
        <v>#N/A</v>
      </c>
      <c r="G951" t="e">
        <f t="shared" si="14"/>
        <v>#N/A</v>
      </c>
    </row>
    <row r="952" spans="1:7" hidden="1" x14ac:dyDescent="0.25">
      <c r="A952" t="str">
        <f>BIdetails!G955</f>
        <v>#</v>
      </c>
      <c r="B952" t="str">
        <f>BIdetails!H955</f>
        <v>Not assigned</v>
      </c>
      <c r="C952" t="str">
        <f>BIdetails!J955</f>
        <v>#</v>
      </c>
      <c r="D952" t="str">
        <f>BIdetails!K955</f>
        <v>#</v>
      </c>
      <c r="E952" s="158">
        <f>BIdetails!M955</f>
        <v>0</v>
      </c>
      <c r="F952" t="e">
        <f>IF(ISERROR(IF(OR(C952="#",C952=0),"",VLOOKUP(C952,'AOP25'!M:M,1,0))),"Not Found",VLOOKUP(C952,'AOP25'!M:M,1,0))</f>
        <v>#N/A</v>
      </c>
      <c r="G952" t="e">
        <f t="shared" si="14"/>
        <v>#N/A</v>
      </c>
    </row>
    <row r="953" spans="1:7" hidden="1" x14ac:dyDescent="0.25">
      <c r="A953" t="str">
        <f>BIdetails!G956</f>
        <v>117570</v>
      </c>
      <c r="B953" t="str">
        <f>BIdetails!H956</f>
        <v>SAP Nederland B.V.</v>
      </c>
      <c r="C953" t="str">
        <f>BIdetails!J956</f>
        <v>5401082136</v>
      </c>
      <c r="D953" t="str">
        <f>BIdetails!K956</f>
        <v>10</v>
      </c>
      <c r="E953" s="158">
        <f>BIdetails!M956</f>
        <v>68375.75</v>
      </c>
      <c r="F953" t="str">
        <f>IF(ISERROR(IF(OR(C953="#",C953=0),"",VLOOKUP(C953,'AOP25'!M:M,1,0))),"Not Found",VLOOKUP(C953,'AOP25'!M:M,1,0))</f>
        <v>Not Found</v>
      </c>
      <c r="G953" t="e">
        <f t="shared" si="14"/>
        <v>#N/A</v>
      </c>
    </row>
    <row r="954" spans="1:7" hidden="1" x14ac:dyDescent="0.25">
      <c r="A954" t="str">
        <f>BIdetails!G957</f>
        <v>117570</v>
      </c>
      <c r="B954" t="str">
        <f>BIdetails!H957</f>
        <v>SAP Nederland B.V.</v>
      </c>
      <c r="C954" t="str">
        <f>BIdetails!J957</f>
        <v>5401082136</v>
      </c>
      <c r="D954" t="str">
        <f>BIdetails!K957</f>
        <v>20</v>
      </c>
      <c r="E954" s="158">
        <f>BIdetails!M957</f>
        <v>168901.73</v>
      </c>
      <c r="F954" t="str">
        <f>IF(ISERROR(IF(OR(C954="#",C954=0),"",VLOOKUP(C954,'AOP25'!M:M,1,0))),"Not Found",VLOOKUP(C954,'AOP25'!M:M,1,0))</f>
        <v>Not Found</v>
      </c>
      <c r="G954" t="e">
        <f t="shared" ref="G954:G1000" si="15">IF(NOT(ISERROR(VLOOKUP(C954,$K$2:$K$50,1,0))),"Y",VLOOKUP(C954,$K$2:$K$50,1,0))</f>
        <v>#N/A</v>
      </c>
    </row>
    <row r="955" spans="1:7" hidden="1" x14ac:dyDescent="0.25">
      <c r="A955" t="str">
        <f>BIdetails!G958</f>
        <v>117570</v>
      </c>
      <c r="B955" t="str">
        <f>BIdetails!H958</f>
        <v>SAP Nederland B.V.</v>
      </c>
      <c r="C955" t="str">
        <f>BIdetails!J958</f>
        <v>5401082136</v>
      </c>
      <c r="D955" t="str">
        <f>BIdetails!K958</f>
        <v>30</v>
      </c>
      <c r="E955" s="158">
        <f>BIdetails!M958</f>
        <v>20944.41</v>
      </c>
      <c r="F955" t="str">
        <f>IF(ISERROR(IF(OR(C955="#",C955=0),"",VLOOKUP(C955,'AOP25'!M:M,1,0))),"Not Found",VLOOKUP(C955,'AOP25'!M:M,1,0))</f>
        <v>Not Found</v>
      </c>
      <c r="G955" t="e">
        <f t="shared" si="15"/>
        <v>#N/A</v>
      </c>
    </row>
    <row r="956" spans="1:7" x14ac:dyDescent="0.25">
      <c r="A956" t="str">
        <f>BIdetails!G959</f>
        <v>117570</v>
      </c>
      <c r="B956" t="str">
        <f>BIdetails!H959</f>
        <v>SAP Nederland B.V.</v>
      </c>
      <c r="C956" t="str">
        <f>BIdetails!J959</f>
        <v>5401082136</v>
      </c>
      <c r="D956" t="str">
        <f>BIdetails!K959</f>
        <v>40</v>
      </c>
      <c r="E956" s="158">
        <f>BIdetails!M959</f>
        <v>17656.84</v>
      </c>
      <c r="F956" t="str">
        <f>IF(ISERROR(IF(OR(C956="#",C956=0),"",VLOOKUP(C956,'AOP25'!M:M,1,0))),"Not Found",VLOOKUP(C956,'AOP25'!M:M,1,0))</f>
        <v>Not Found</v>
      </c>
      <c r="G956" t="e">
        <f t="shared" si="15"/>
        <v>#N/A</v>
      </c>
    </row>
    <row r="957" spans="1:7" x14ac:dyDescent="0.25">
      <c r="A957" t="str">
        <f>BIdetails!G960</f>
        <v>117570</v>
      </c>
      <c r="B957" t="str">
        <f>BIdetails!H960</f>
        <v>SAP Nederland B.V.</v>
      </c>
      <c r="C957" t="str">
        <f>BIdetails!J960</f>
        <v>5401082136</v>
      </c>
      <c r="D957" t="str">
        <f>BIdetails!K960</f>
        <v>50</v>
      </c>
      <c r="E957" s="158">
        <f>BIdetails!M960</f>
        <v>23781.16</v>
      </c>
      <c r="F957" t="str">
        <f>IF(ISERROR(IF(OR(C957="#",C957=0),"",VLOOKUP(C957,'AOP25'!M:M,1,0))),"Not Found",VLOOKUP(C957,'AOP25'!M:M,1,0))</f>
        <v>Not Found</v>
      </c>
      <c r="G957" t="e">
        <f t="shared" si="15"/>
        <v>#N/A</v>
      </c>
    </row>
    <row r="958" spans="1:7" hidden="1" x14ac:dyDescent="0.25">
      <c r="A958" t="str">
        <f>BIdetails!G961</f>
        <v>117570</v>
      </c>
      <c r="B958" t="str">
        <f>BIdetails!H961</f>
        <v>SAP Nederland B.V.</v>
      </c>
      <c r="C958" t="str">
        <f>BIdetails!J961</f>
        <v>5401082136</v>
      </c>
      <c r="D958" t="str">
        <f>BIdetails!K961</f>
        <v>180</v>
      </c>
      <c r="E958" s="158">
        <f>BIdetails!M961</f>
        <v>330625.61</v>
      </c>
      <c r="F958" t="str">
        <f>IF(ISERROR(IF(OR(C958="#",C958=0),"",VLOOKUP(C958,'AOP25'!M:M,1,0))),"Not Found",VLOOKUP(C958,'AOP25'!M:M,1,0))</f>
        <v>Not Found</v>
      </c>
      <c r="G958" t="e">
        <f t="shared" si="15"/>
        <v>#N/A</v>
      </c>
    </row>
    <row r="959" spans="1:7" hidden="1" x14ac:dyDescent="0.25">
      <c r="A959" t="str">
        <f>BIdetails!G962</f>
        <v>117570</v>
      </c>
      <c r="B959" t="str">
        <f>BIdetails!H962</f>
        <v>SAP Nederland B.V.</v>
      </c>
      <c r="C959" t="str">
        <f>BIdetails!J962</f>
        <v>5401082136</v>
      </c>
      <c r="D959" t="str">
        <f>BIdetails!K962</f>
        <v>60</v>
      </c>
      <c r="E959" s="158">
        <f>BIdetails!M962</f>
        <v>2262.5100000000002</v>
      </c>
      <c r="F959" t="str">
        <f>IF(ISERROR(IF(OR(C959="#",C959=0),"",VLOOKUP(C959,'AOP25'!M:M,1,0))),"Not Found",VLOOKUP(C959,'AOP25'!M:M,1,0))</f>
        <v>Not Found</v>
      </c>
      <c r="G959" t="e">
        <f t="shared" si="15"/>
        <v>#N/A</v>
      </c>
    </row>
    <row r="960" spans="1:7" hidden="1" x14ac:dyDescent="0.25">
      <c r="A960" t="str">
        <f>BIdetails!G963</f>
        <v>117570</v>
      </c>
      <c r="B960" t="str">
        <f>BIdetails!H963</f>
        <v>SAP Nederland B.V.</v>
      </c>
      <c r="C960" t="str">
        <f>BIdetails!J963</f>
        <v>5401082136</v>
      </c>
      <c r="D960" t="str">
        <f>BIdetails!K963</f>
        <v>70</v>
      </c>
      <c r="E960" s="158">
        <f>BIdetails!M963</f>
        <v>63104.12</v>
      </c>
      <c r="F960" t="str">
        <f>IF(ISERROR(IF(OR(C960="#",C960=0),"",VLOOKUP(C960,'AOP25'!M:M,1,0))),"Not Found",VLOOKUP(C960,'AOP25'!M:M,1,0))</f>
        <v>Not Found</v>
      </c>
      <c r="G960" t="e">
        <f t="shared" si="15"/>
        <v>#N/A</v>
      </c>
    </row>
    <row r="961" spans="1:7" hidden="1" x14ac:dyDescent="0.25">
      <c r="A961" t="str">
        <f>BIdetails!G964</f>
        <v>117570</v>
      </c>
      <c r="B961" t="str">
        <f>BIdetails!H964</f>
        <v>SAP Nederland B.V.</v>
      </c>
      <c r="C961" t="str">
        <f>BIdetails!J964</f>
        <v>5401082136</v>
      </c>
      <c r="D961" t="str">
        <f>BIdetails!K964</f>
        <v>80</v>
      </c>
      <c r="E961" s="158">
        <f>BIdetails!M964</f>
        <v>121364.81</v>
      </c>
      <c r="F961" t="str">
        <f>IF(ISERROR(IF(OR(C961="#",C961=0),"",VLOOKUP(C961,'AOP25'!M:M,1,0))),"Not Found",VLOOKUP(C961,'AOP25'!M:M,1,0))</f>
        <v>Not Found</v>
      </c>
      <c r="G961" t="e">
        <f t="shared" si="15"/>
        <v>#N/A</v>
      </c>
    </row>
    <row r="962" spans="1:7" hidden="1" x14ac:dyDescent="0.25">
      <c r="A962" t="str">
        <f>BIdetails!G965</f>
        <v>117570</v>
      </c>
      <c r="B962" t="str">
        <f>BIdetails!H965</f>
        <v>SAP Nederland B.V.</v>
      </c>
      <c r="C962" t="str">
        <f>BIdetails!J965</f>
        <v>5401082136</v>
      </c>
      <c r="D962" t="str">
        <f>BIdetails!K965</f>
        <v>90</v>
      </c>
      <c r="E962" s="158">
        <f>BIdetails!M965</f>
        <v>9195.9599999999991</v>
      </c>
      <c r="F962" t="str">
        <f>IF(ISERROR(IF(OR(C962="#",C962=0),"",VLOOKUP(C962,'AOP25'!M:M,1,0))),"Not Found",VLOOKUP(C962,'AOP25'!M:M,1,0))</f>
        <v>Not Found</v>
      </c>
      <c r="G962" t="e">
        <f t="shared" si="15"/>
        <v>#N/A</v>
      </c>
    </row>
    <row r="963" spans="1:7" hidden="1" x14ac:dyDescent="0.25">
      <c r="A963" t="str">
        <f>BIdetails!G966</f>
        <v>117570</v>
      </c>
      <c r="B963" t="str">
        <f>BIdetails!H966</f>
        <v>SAP Nederland B.V.</v>
      </c>
      <c r="C963" t="str">
        <f>BIdetails!J966</f>
        <v>5401082136</v>
      </c>
      <c r="D963" t="str">
        <f>BIdetails!K966</f>
        <v>100</v>
      </c>
      <c r="E963" s="158">
        <f>BIdetails!M966</f>
        <v>104944.45</v>
      </c>
      <c r="F963" t="str">
        <f>IF(ISERROR(IF(OR(C963="#",C963=0),"",VLOOKUP(C963,'AOP25'!M:M,1,0))),"Not Found",VLOOKUP(C963,'AOP25'!M:M,1,0))</f>
        <v>Not Found</v>
      </c>
      <c r="G963" t="e">
        <f t="shared" si="15"/>
        <v>#N/A</v>
      </c>
    </row>
    <row r="964" spans="1:7" hidden="1" x14ac:dyDescent="0.25">
      <c r="A964" t="str">
        <f>BIdetails!G967</f>
        <v>117570</v>
      </c>
      <c r="B964" t="str">
        <f>BIdetails!H967</f>
        <v>SAP Nederland B.V.</v>
      </c>
      <c r="C964" t="str">
        <f>BIdetails!J967</f>
        <v>5401082136</v>
      </c>
      <c r="D964" t="str">
        <f>BIdetails!K967</f>
        <v>110</v>
      </c>
      <c r="E964" s="158">
        <f>BIdetails!M967</f>
        <v>19858.41</v>
      </c>
      <c r="F964" t="str">
        <f>IF(ISERROR(IF(OR(C964="#",C964=0),"",VLOOKUP(C964,'AOP25'!M:M,1,0))),"Not Found",VLOOKUP(C964,'AOP25'!M:M,1,0))</f>
        <v>Not Found</v>
      </c>
      <c r="G964" t="e">
        <f t="shared" si="15"/>
        <v>#N/A</v>
      </c>
    </row>
    <row r="965" spans="1:7" hidden="1" x14ac:dyDescent="0.25">
      <c r="A965" t="str">
        <f>BIdetails!G968</f>
        <v>117570</v>
      </c>
      <c r="B965" t="str">
        <f>BIdetails!H968</f>
        <v>SAP Nederland B.V.</v>
      </c>
      <c r="C965" t="str">
        <f>BIdetails!J968</f>
        <v>5401082136</v>
      </c>
      <c r="D965" t="str">
        <f>BIdetails!K968</f>
        <v>120</v>
      </c>
      <c r="E965" s="158">
        <f>BIdetails!M968</f>
        <v>28319.9</v>
      </c>
      <c r="F965" t="str">
        <f>IF(ISERROR(IF(OR(C965="#",C965=0),"",VLOOKUP(C965,'AOP25'!M:M,1,0))),"Not Found",VLOOKUP(C965,'AOP25'!M:M,1,0))</f>
        <v>Not Found</v>
      </c>
      <c r="G965" t="e">
        <f t="shared" si="15"/>
        <v>#N/A</v>
      </c>
    </row>
    <row r="966" spans="1:7" hidden="1" x14ac:dyDescent="0.25">
      <c r="A966" t="str">
        <f>BIdetails!G969</f>
        <v>117570</v>
      </c>
      <c r="B966" t="str">
        <f>BIdetails!H969</f>
        <v>SAP Nederland B.V.</v>
      </c>
      <c r="C966" t="str">
        <f>BIdetails!J969</f>
        <v>5401082136</v>
      </c>
      <c r="D966" t="str">
        <f>BIdetails!K969</f>
        <v>130</v>
      </c>
      <c r="E966" s="158">
        <f>BIdetails!M969</f>
        <v>6402.76</v>
      </c>
      <c r="F966" t="str">
        <f>IF(ISERROR(IF(OR(C966="#",C966=0),"",VLOOKUP(C966,'AOP25'!M:M,1,0))),"Not Found",VLOOKUP(C966,'AOP25'!M:M,1,0))</f>
        <v>Not Found</v>
      </c>
      <c r="G966" t="e">
        <f t="shared" si="15"/>
        <v>#N/A</v>
      </c>
    </row>
    <row r="967" spans="1:7" hidden="1" x14ac:dyDescent="0.25">
      <c r="A967" t="str">
        <f>BIdetails!G970</f>
        <v>117570</v>
      </c>
      <c r="B967" t="str">
        <f>BIdetails!H970</f>
        <v>SAP Nederland B.V.</v>
      </c>
      <c r="C967" t="str">
        <f>BIdetails!J970</f>
        <v>5401082136</v>
      </c>
      <c r="D967" t="str">
        <f>BIdetails!K970</f>
        <v>140</v>
      </c>
      <c r="E967" s="158">
        <f>BIdetails!M970</f>
        <v>1264102.6499999999</v>
      </c>
      <c r="F967" t="str">
        <f>IF(ISERROR(IF(OR(C967="#",C967=0),"",VLOOKUP(C967,'AOP25'!M:M,1,0))),"Not Found",VLOOKUP(C967,'AOP25'!M:M,1,0))</f>
        <v>Not Found</v>
      </c>
      <c r="G967" t="e">
        <f t="shared" si="15"/>
        <v>#N/A</v>
      </c>
    </row>
    <row r="968" spans="1:7" hidden="1" x14ac:dyDescent="0.25">
      <c r="A968" t="str">
        <f>BIdetails!G971</f>
        <v>117570</v>
      </c>
      <c r="B968" t="str">
        <f>BIdetails!H971</f>
        <v>SAP Nederland B.V.</v>
      </c>
      <c r="C968" t="str">
        <f>BIdetails!J971</f>
        <v>5401082136</v>
      </c>
      <c r="D968" t="str">
        <f>BIdetails!K971</f>
        <v>150</v>
      </c>
      <c r="E968" s="158">
        <f>BIdetails!M971</f>
        <v>1041281.95</v>
      </c>
      <c r="F968" t="str">
        <f>IF(ISERROR(IF(OR(C968="#",C968=0),"",VLOOKUP(C968,'AOP25'!M:M,1,0))),"Not Found",VLOOKUP(C968,'AOP25'!M:M,1,0))</f>
        <v>Not Found</v>
      </c>
      <c r="G968" t="e">
        <f t="shared" si="15"/>
        <v>#N/A</v>
      </c>
    </row>
    <row r="969" spans="1:7" hidden="1" x14ac:dyDescent="0.25">
      <c r="A969" t="str">
        <f>BIdetails!G972</f>
        <v>117570</v>
      </c>
      <c r="B969" t="str">
        <f>BIdetails!H972</f>
        <v>SAP Nederland B.V.</v>
      </c>
      <c r="C969" t="str">
        <f>BIdetails!J972</f>
        <v>5401082136</v>
      </c>
      <c r="D969" t="str">
        <f>BIdetails!K972</f>
        <v>160</v>
      </c>
      <c r="E969" s="158">
        <f>BIdetails!M972</f>
        <v>115201.81</v>
      </c>
      <c r="F969" t="str">
        <f>IF(ISERROR(IF(OR(C969="#",C969=0),"",VLOOKUP(C969,'AOP25'!M:M,1,0))),"Not Found",VLOOKUP(C969,'AOP25'!M:M,1,0))</f>
        <v>Not Found</v>
      </c>
      <c r="G969" t="e">
        <f t="shared" si="15"/>
        <v>#N/A</v>
      </c>
    </row>
    <row r="970" spans="1:7" hidden="1" x14ac:dyDescent="0.25">
      <c r="A970" t="str">
        <f>BIdetails!G973</f>
        <v>117570</v>
      </c>
      <c r="B970" t="str">
        <f>BIdetails!H973</f>
        <v>SAP Nederland B.V.</v>
      </c>
      <c r="C970" t="str">
        <f>BIdetails!J973</f>
        <v>5401082136</v>
      </c>
      <c r="D970" t="str">
        <f>BIdetails!K973</f>
        <v>170</v>
      </c>
      <c r="E970" s="158">
        <f>BIdetails!M973</f>
        <v>94757.78</v>
      </c>
      <c r="F970" t="str">
        <f>IF(ISERROR(IF(OR(C970="#",C970=0),"",VLOOKUP(C970,'AOP25'!M:M,1,0))),"Not Found",VLOOKUP(C970,'AOP25'!M:M,1,0))</f>
        <v>Not Found</v>
      </c>
      <c r="G970" t="e">
        <f t="shared" si="15"/>
        <v>#N/A</v>
      </c>
    </row>
    <row r="971" spans="1:7" hidden="1" x14ac:dyDescent="0.25">
      <c r="A971" t="str">
        <f>BIdetails!G974</f>
        <v>117570</v>
      </c>
      <c r="B971" t="str">
        <f>BIdetails!H974</f>
        <v>SAP Nederland B.V.</v>
      </c>
      <c r="C971" t="str">
        <f>BIdetails!J974</f>
        <v>5401082136</v>
      </c>
      <c r="D971" t="str">
        <f>BIdetails!K974</f>
        <v>190</v>
      </c>
      <c r="E971" s="158">
        <f>BIdetails!M974</f>
        <v>179100.54</v>
      </c>
      <c r="F971" t="str">
        <f>IF(ISERROR(IF(OR(C971="#",C971=0),"",VLOOKUP(C971,'AOP25'!M:M,1,0))),"Not Found",VLOOKUP(C971,'AOP25'!M:M,1,0))</f>
        <v>Not Found</v>
      </c>
      <c r="G971" t="e">
        <f t="shared" si="15"/>
        <v>#N/A</v>
      </c>
    </row>
    <row r="972" spans="1:7" hidden="1" x14ac:dyDescent="0.25">
      <c r="A972" t="str">
        <f>BIdetails!G975</f>
        <v>117570</v>
      </c>
      <c r="B972" t="str">
        <f>BIdetails!H975</f>
        <v>SAP Nederland B.V.</v>
      </c>
      <c r="C972" t="str">
        <f>BIdetails!J975</f>
        <v>5401082136</v>
      </c>
      <c r="D972" t="str">
        <f>BIdetails!K975</f>
        <v>200</v>
      </c>
      <c r="E972" s="158">
        <f>BIdetails!M975</f>
        <v>1052.76</v>
      </c>
      <c r="F972" t="str">
        <f>IF(ISERROR(IF(OR(C972="#",C972=0),"",VLOOKUP(C972,'AOP25'!M:M,1,0))),"Not Found",VLOOKUP(C972,'AOP25'!M:M,1,0))</f>
        <v>Not Found</v>
      </c>
      <c r="G972" t="e">
        <f t="shared" si="15"/>
        <v>#N/A</v>
      </c>
    </row>
    <row r="973" spans="1:7" hidden="1" x14ac:dyDescent="0.25">
      <c r="A973" t="str">
        <f>BIdetails!G976</f>
        <v>117570</v>
      </c>
      <c r="B973" t="str">
        <f>BIdetails!H976</f>
        <v>SAP Nederland B.V.</v>
      </c>
      <c r="C973" t="str">
        <f>BIdetails!J976</f>
        <v>5401082136</v>
      </c>
      <c r="D973" t="str">
        <f>BIdetails!K976</f>
        <v>210</v>
      </c>
      <c r="E973" s="158">
        <f>BIdetails!M976</f>
        <v>1005540.05</v>
      </c>
      <c r="F973" t="str">
        <f>IF(ISERROR(IF(OR(C973="#",C973=0),"",VLOOKUP(C973,'AOP25'!M:M,1,0))),"Not Found",VLOOKUP(C973,'AOP25'!M:M,1,0))</f>
        <v>Not Found</v>
      </c>
      <c r="G973" t="e">
        <f t="shared" si="15"/>
        <v>#N/A</v>
      </c>
    </row>
    <row r="974" spans="1:7" hidden="1" x14ac:dyDescent="0.25">
      <c r="A974" t="str">
        <f>BIdetails!G977</f>
        <v>117570</v>
      </c>
      <c r="B974" t="str">
        <f>BIdetails!H977</f>
        <v>SAP Nederland B.V.</v>
      </c>
      <c r="C974" t="str">
        <f>BIdetails!J977</f>
        <v>5401082136</v>
      </c>
      <c r="D974" t="str">
        <f>BIdetails!K977</f>
        <v>220</v>
      </c>
      <c r="E974" s="158">
        <f>BIdetails!M977</f>
        <v>420781.96</v>
      </c>
      <c r="F974" t="str">
        <f>IF(ISERROR(IF(OR(C974="#",C974=0),"",VLOOKUP(C974,'AOP25'!M:M,1,0))),"Not Found",VLOOKUP(C974,'AOP25'!M:M,1,0))</f>
        <v>Not Found</v>
      </c>
      <c r="G974" t="e">
        <f t="shared" si="15"/>
        <v>#N/A</v>
      </c>
    </row>
    <row r="975" spans="1:7" hidden="1" x14ac:dyDescent="0.25">
      <c r="A975" t="str">
        <f>BIdetails!G978</f>
        <v>117570</v>
      </c>
      <c r="B975" t="str">
        <f>BIdetails!H978</f>
        <v>SAP Nederland B.V.</v>
      </c>
      <c r="C975" t="str">
        <f>BIdetails!J978</f>
        <v>5401082136</v>
      </c>
      <c r="D975" t="str">
        <f>BIdetails!K978</f>
        <v>230</v>
      </c>
      <c r="E975" s="158">
        <f>BIdetails!M978</f>
        <v>1362.19</v>
      </c>
      <c r="F975" t="str">
        <f>IF(ISERROR(IF(OR(C975="#",C975=0),"",VLOOKUP(C975,'AOP25'!M:M,1,0))),"Not Found",VLOOKUP(C975,'AOP25'!M:M,1,0))</f>
        <v>Not Found</v>
      </c>
      <c r="G975" t="e">
        <f t="shared" si="15"/>
        <v>#N/A</v>
      </c>
    </row>
    <row r="976" spans="1:7" hidden="1" x14ac:dyDescent="0.25">
      <c r="A976" t="str">
        <f>BIdetails!G979</f>
        <v>117570</v>
      </c>
      <c r="B976" t="str">
        <f>BIdetails!H979</f>
        <v>SAP Nederland B.V.</v>
      </c>
      <c r="C976" t="str">
        <f>BIdetails!J979</f>
        <v>5401082136</v>
      </c>
      <c r="D976" t="str">
        <f>BIdetails!K979</f>
        <v>240</v>
      </c>
      <c r="E976" s="158">
        <f>BIdetails!M979</f>
        <v>22021.55</v>
      </c>
      <c r="F976" t="str">
        <f>IF(ISERROR(IF(OR(C976="#",C976=0),"",VLOOKUP(C976,'AOP25'!M:M,1,0))),"Not Found",VLOOKUP(C976,'AOP25'!M:M,1,0))</f>
        <v>Not Found</v>
      </c>
      <c r="G976" t="e">
        <f t="shared" si="15"/>
        <v>#N/A</v>
      </c>
    </row>
    <row r="977" spans="1:7" hidden="1" x14ac:dyDescent="0.25">
      <c r="A977" t="str">
        <f>BIdetails!G980</f>
        <v>117570</v>
      </c>
      <c r="B977" t="str">
        <f>BIdetails!H980</f>
        <v>SAP Nederland B.V.</v>
      </c>
      <c r="C977" t="str">
        <f>BIdetails!J980</f>
        <v>5401019012</v>
      </c>
      <c r="D977" t="str">
        <f>BIdetails!K980</f>
        <v>20</v>
      </c>
      <c r="E977" s="158">
        <f>BIdetails!M980</f>
        <v>74125</v>
      </c>
      <c r="F977" t="str">
        <f>IF(ISERROR(IF(OR(C977="#",C977=0),"",VLOOKUP(C977,'AOP25'!M:M,1,0))),"Not Found",VLOOKUP(C977,'AOP25'!M:M,1,0))</f>
        <v>Not Found</v>
      </c>
      <c r="G977" t="e">
        <f t="shared" si="15"/>
        <v>#N/A</v>
      </c>
    </row>
    <row r="978" spans="1:7" hidden="1" x14ac:dyDescent="0.25">
      <c r="A978" t="str">
        <f>BIdetails!G981</f>
        <v>117570</v>
      </c>
      <c r="B978" t="str">
        <f>BIdetails!H981</f>
        <v>SAP Nederland B.V.</v>
      </c>
      <c r="C978" t="str">
        <f>BIdetails!J981</f>
        <v>5401084786</v>
      </c>
      <c r="D978" t="str">
        <f>BIdetails!K981</f>
        <v>10</v>
      </c>
      <c r="E978" s="158">
        <f>BIdetails!M981</f>
        <v>256800</v>
      </c>
      <c r="F978" t="str">
        <f>IF(ISERROR(IF(OR(C978="#",C978=0),"",VLOOKUP(C978,'AOP25'!M:M,1,0))),"Not Found",VLOOKUP(C978,'AOP25'!M:M,1,0))</f>
        <v>Not Found</v>
      </c>
      <c r="G978" t="e">
        <f t="shared" si="15"/>
        <v>#N/A</v>
      </c>
    </row>
    <row r="979" spans="1:7" hidden="1" x14ac:dyDescent="0.25">
      <c r="A979" t="str">
        <f>BIdetails!G982</f>
        <v>117570</v>
      </c>
      <c r="B979" t="str">
        <f>BIdetails!H982</f>
        <v>SAP Nederland B.V.</v>
      </c>
      <c r="C979" t="str">
        <f>BIdetails!J982</f>
        <v>5401019012</v>
      </c>
      <c r="D979" t="str">
        <f>BIdetails!K982</f>
        <v>20</v>
      </c>
      <c r="E979" s="158">
        <f>BIdetails!M982</f>
        <v>73875</v>
      </c>
      <c r="F979" t="str">
        <f>IF(ISERROR(IF(OR(C979="#",C979=0),"",VLOOKUP(C979,'AOP25'!M:M,1,0))),"Not Found",VLOOKUP(C979,'AOP25'!M:M,1,0))</f>
        <v>Not Found</v>
      </c>
      <c r="G979" t="e">
        <f t="shared" si="15"/>
        <v>#N/A</v>
      </c>
    </row>
    <row r="980" spans="1:7" x14ac:dyDescent="0.25">
      <c r="A980" t="str">
        <f>BIdetails!G983</f>
        <v>117570</v>
      </c>
      <c r="B980" t="str">
        <f>BIdetails!H983</f>
        <v>SAP Nederland B.V.</v>
      </c>
      <c r="C980" t="str">
        <f>BIdetails!J983</f>
        <v>5401050766</v>
      </c>
      <c r="D980" t="str">
        <f>BIdetails!K983</f>
        <v>10</v>
      </c>
      <c r="E980" s="158">
        <f>BIdetails!M983</f>
        <v>10330</v>
      </c>
      <c r="F980" t="str">
        <f>IF(ISERROR(IF(OR(C980="#",C980=0),"",VLOOKUP(C980,'AOP25'!M:M,1,0))),"Not Found",VLOOKUP(C980,'AOP25'!M:M,1,0))</f>
        <v>Not Found</v>
      </c>
      <c r="G980" t="e">
        <f t="shared" si="15"/>
        <v>#N/A</v>
      </c>
    </row>
    <row r="981" spans="1:7" x14ac:dyDescent="0.25">
      <c r="A981" t="str">
        <f>BIdetails!G984</f>
        <v>117570</v>
      </c>
      <c r="B981" t="str">
        <f>BIdetails!H984</f>
        <v>SAP Nederland B.V.</v>
      </c>
      <c r="C981" t="str">
        <f>BIdetails!J984</f>
        <v>5401050766</v>
      </c>
      <c r="D981" t="str">
        <f>BIdetails!K984</f>
        <v>10</v>
      </c>
      <c r="E981" s="158">
        <f>BIdetails!M984</f>
        <v>172.9</v>
      </c>
      <c r="F981" t="str">
        <f>IF(ISERROR(IF(OR(C981="#",C981=0),"",VLOOKUP(C981,'AOP25'!M:M,1,0))),"Not Found",VLOOKUP(C981,'AOP25'!M:M,1,0))</f>
        <v>Not Found</v>
      </c>
      <c r="G981" t="e">
        <f t="shared" si="15"/>
        <v>#N/A</v>
      </c>
    </row>
    <row r="982" spans="1:7" x14ac:dyDescent="0.25">
      <c r="A982" t="str">
        <f>BIdetails!G985</f>
        <v>117570</v>
      </c>
      <c r="B982" t="str">
        <f>BIdetails!H985</f>
        <v>SAP Nederland B.V.</v>
      </c>
      <c r="C982" t="str">
        <f>BIdetails!J985</f>
        <v>5401019012</v>
      </c>
      <c r="D982" t="str">
        <f>BIdetails!K985</f>
        <v>20</v>
      </c>
      <c r="E982" s="158">
        <f>BIdetails!M985</f>
        <v>-55937.5</v>
      </c>
      <c r="F982" t="str">
        <f>IF(ISERROR(IF(OR(C982="#",C982=0),"",VLOOKUP(C982,'AOP25'!M:M,1,0))),"Not Found",VLOOKUP(C982,'AOP25'!M:M,1,0))</f>
        <v>Not Found</v>
      </c>
      <c r="G982" t="e">
        <f t="shared" si="15"/>
        <v>#N/A</v>
      </c>
    </row>
    <row r="983" spans="1:7" x14ac:dyDescent="0.25">
      <c r="A983" t="str">
        <f>BIdetails!G986</f>
        <v>117570</v>
      </c>
      <c r="B983" t="str">
        <f>BIdetails!H986</f>
        <v>SAP Nederland B.V.</v>
      </c>
      <c r="C983" t="str">
        <f>BIdetails!J986</f>
        <v>5401019012</v>
      </c>
      <c r="D983" t="str">
        <f>BIdetails!K986</f>
        <v>20</v>
      </c>
      <c r="E983" s="158">
        <f>BIdetails!M986</f>
        <v>55937.5</v>
      </c>
      <c r="F983" t="str">
        <f>IF(ISERROR(IF(OR(C983="#",C983=0),"",VLOOKUP(C983,'AOP25'!M:M,1,0))),"Not Found",VLOOKUP(C983,'AOP25'!M:M,1,0))</f>
        <v>Not Found</v>
      </c>
      <c r="G983" t="e">
        <f t="shared" si="15"/>
        <v>#N/A</v>
      </c>
    </row>
    <row r="984" spans="1:7" hidden="1" x14ac:dyDescent="0.25">
      <c r="A984" t="str">
        <f>BIdetails!G987</f>
        <v>117570</v>
      </c>
      <c r="B984" t="str">
        <f>BIdetails!H987</f>
        <v>SAP Nederland B.V.</v>
      </c>
      <c r="C984" t="str">
        <f>BIdetails!J987</f>
        <v>5401019012</v>
      </c>
      <c r="D984" t="str">
        <f>BIdetails!K987</f>
        <v>20</v>
      </c>
      <c r="E984" s="158">
        <f>BIdetails!M987</f>
        <v>-250</v>
      </c>
      <c r="F984" t="str">
        <f>IF(ISERROR(IF(OR(C984="#",C984=0),"",VLOOKUP(C984,'AOP25'!M:M,1,0))),"Not Found",VLOOKUP(C984,'AOP25'!M:M,1,0))</f>
        <v>Not Found</v>
      </c>
      <c r="G984" t="e">
        <f t="shared" si="15"/>
        <v>#N/A</v>
      </c>
    </row>
    <row r="985" spans="1:7" x14ac:dyDescent="0.25">
      <c r="A985" t="str">
        <f>BIdetails!G988</f>
        <v>117570</v>
      </c>
      <c r="B985" t="str">
        <f>BIdetails!H988</f>
        <v>SAP Nederland B.V.</v>
      </c>
      <c r="C985" t="str">
        <f>BIdetails!J988</f>
        <v>5400904056</v>
      </c>
      <c r="D985" t="str">
        <f>BIdetails!K988</f>
        <v>30</v>
      </c>
      <c r="E985" s="158">
        <f>BIdetails!M988</f>
        <v>-23640</v>
      </c>
      <c r="F985" t="str">
        <f>IF(ISERROR(IF(OR(C985="#",C985=0),"",VLOOKUP(C985,'AOP25'!M:M,1,0))),"Not Found",VLOOKUP(C985,'AOP25'!M:M,1,0))</f>
        <v>Not Found</v>
      </c>
      <c r="G985" t="e">
        <f t="shared" si="15"/>
        <v>#N/A</v>
      </c>
    </row>
    <row r="986" spans="1:7" x14ac:dyDescent="0.25">
      <c r="A986" t="str">
        <f>BIdetails!G989</f>
        <v>151290</v>
      </c>
      <c r="B986" t="str">
        <f>BIdetails!H989</f>
        <v>Seeburger Benelux B.V.</v>
      </c>
      <c r="C986" t="str">
        <f>BIdetails!J989</f>
        <v>5401087947</v>
      </c>
      <c r="D986" t="str">
        <f>BIdetails!K989</f>
        <v>10</v>
      </c>
      <c r="E986" s="158">
        <f>BIdetails!M989</f>
        <v>10693.38</v>
      </c>
      <c r="F986" t="str">
        <f>IF(ISERROR(IF(OR(C986="#",C986=0),"",VLOOKUP(C986,'AOP25'!M:M,1,0))),"Not Found",VLOOKUP(C986,'AOP25'!M:M,1,0))</f>
        <v>Not Found</v>
      </c>
      <c r="G986" t="e">
        <f t="shared" si="15"/>
        <v>#N/A</v>
      </c>
    </row>
    <row r="987" spans="1:7" hidden="1" x14ac:dyDescent="0.25">
      <c r="A987" t="str">
        <f>BIdetails!G990</f>
        <v>151290</v>
      </c>
      <c r="B987" t="str">
        <f>BIdetails!H990</f>
        <v>Seeburger Benelux B.V.</v>
      </c>
      <c r="C987" t="str">
        <f>BIdetails!J990</f>
        <v>5401087947</v>
      </c>
      <c r="D987" t="str">
        <f>BIdetails!K990</f>
        <v>10</v>
      </c>
      <c r="E987" s="158">
        <f>BIdetails!M990</f>
        <v>382.5</v>
      </c>
      <c r="F987" t="str">
        <f>IF(ISERROR(IF(OR(C987="#",C987=0),"",VLOOKUP(C987,'AOP25'!M:M,1,0))),"Not Found",VLOOKUP(C987,'AOP25'!M:M,1,0))</f>
        <v>Not Found</v>
      </c>
      <c r="G987" t="e">
        <f t="shared" si="15"/>
        <v>#N/A</v>
      </c>
    </row>
    <row r="988" spans="1:7" hidden="1" x14ac:dyDescent="0.25">
      <c r="A988" t="str">
        <f>BIdetails!G991</f>
        <v>151290</v>
      </c>
      <c r="B988" t="str">
        <f>BIdetails!H991</f>
        <v>Seeburger Benelux B.V.</v>
      </c>
      <c r="C988" t="str">
        <f>BIdetails!J991</f>
        <v>5401087947</v>
      </c>
      <c r="D988" t="str">
        <f>BIdetails!K991</f>
        <v>10</v>
      </c>
      <c r="E988" s="158">
        <f>BIdetails!M991</f>
        <v>13337.5</v>
      </c>
      <c r="F988" t="str">
        <f>IF(ISERROR(IF(OR(C988="#",C988=0),"",VLOOKUP(C988,'AOP25'!M:M,1,0))),"Not Found",VLOOKUP(C988,'AOP25'!M:M,1,0))</f>
        <v>Not Found</v>
      </c>
      <c r="G988" t="e">
        <f t="shared" si="15"/>
        <v>#N/A</v>
      </c>
    </row>
    <row r="989" spans="1:7" x14ac:dyDescent="0.25">
      <c r="A989" t="str">
        <f>BIdetails!G992</f>
        <v>151290</v>
      </c>
      <c r="B989" t="str">
        <f>BIdetails!H992</f>
        <v>Seeburger Benelux B.V.</v>
      </c>
      <c r="C989" t="str">
        <f>BIdetails!J992</f>
        <v>5401096886</v>
      </c>
      <c r="D989" t="str">
        <f>BIdetails!K992</f>
        <v>10</v>
      </c>
      <c r="E989" s="158">
        <f>BIdetails!M992</f>
        <v>10400</v>
      </c>
      <c r="F989" t="str">
        <f>IF(ISERROR(IF(OR(C989="#",C989=0),"",VLOOKUP(C989,'AOP25'!M:M,1,0))),"Not Found",VLOOKUP(C989,'AOP25'!M:M,1,0))</f>
        <v>Not Found</v>
      </c>
      <c r="G989" t="e">
        <f t="shared" si="15"/>
        <v>#N/A</v>
      </c>
    </row>
    <row r="990" spans="1:7" x14ac:dyDescent="0.25">
      <c r="A990" t="str">
        <f>BIdetails!G993</f>
        <v>151290</v>
      </c>
      <c r="B990" t="str">
        <f>BIdetails!H993</f>
        <v>Seeburger Benelux B.V.</v>
      </c>
      <c r="C990" t="str">
        <f>BIdetails!J993</f>
        <v>5401096889</v>
      </c>
      <c r="D990" t="str">
        <f>BIdetails!K993</f>
        <v>10</v>
      </c>
      <c r="E990" s="158">
        <f>BIdetails!M993</f>
        <v>4000</v>
      </c>
      <c r="F990" t="str">
        <f>IF(ISERROR(IF(OR(C990="#",C990=0),"",VLOOKUP(C990,'AOP25'!M:M,1,0))),"Not Found",VLOOKUP(C990,'AOP25'!M:M,1,0))</f>
        <v>Not Found</v>
      </c>
      <c r="G990" t="e">
        <f t="shared" si="15"/>
        <v>#N/A</v>
      </c>
    </row>
    <row r="991" spans="1:7" x14ac:dyDescent="0.25">
      <c r="A991" t="str">
        <f>BIdetails!G994</f>
        <v>151290</v>
      </c>
      <c r="B991" t="str">
        <f>BIdetails!H994</f>
        <v>Seeburger Benelux B.V.</v>
      </c>
      <c r="C991" t="str">
        <f>BIdetails!J994</f>
        <v>5401096887</v>
      </c>
      <c r="D991" t="str">
        <f>BIdetails!K994</f>
        <v>10</v>
      </c>
      <c r="E991" s="158">
        <f>BIdetails!M994</f>
        <v>1600</v>
      </c>
      <c r="F991" t="str">
        <f>IF(ISERROR(IF(OR(C991="#",C991=0),"",VLOOKUP(C991,'AOP25'!M:M,1,0))),"Not Found",VLOOKUP(C991,'AOP25'!M:M,1,0))</f>
        <v>Not Found</v>
      </c>
      <c r="G991" t="e">
        <f t="shared" si="15"/>
        <v>#N/A</v>
      </c>
    </row>
    <row r="992" spans="1:7" x14ac:dyDescent="0.25">
      <c r="A992" t="str">
        <f>BIdetails!G995</f>
        <v>151290</v>
      </c>
      <c r="B992" t="str">
        <f>BIdetails!H995</f>
        <v>Seeburger Benelux B.V.</v>
      </c>
      <c r="C992" t="str">
        <f>BIdetails!J995</f>
        <v>5401096888</v>
      </c>
      <c r="D992" t="str">
        <f>BIdetails!K995</f>
        <v>10</v>
      </c>
      <c r="E992" s="158">
        <f>BIdetails!M995</f>
        <v>1600</v>
      </c>
      <c r="F992" t="str">
        <f>IF(ISERROR(IF(OR(C992="#",C992=0),"",VLOOKUP(C992,'AOP25'!M:M,1,0))),"Not Found",VLOOKUP(C992,'AOP25'!M:M,1,0))</f>
        <v>Not Found</v>
      </c>
      <c r="G992" t="e">
        <f t="shared" si="15"/>
        <v>#N/A</v>
      </c>
    </row>
    <row r="993" spans="1:7" x14ac:dyDescent="0.25">
      <c r="A993" t="str">
        <f>BIdetails!G996</f>
        <v>151290</v>
      </c>
      <c r="B993" t="str">
        <f>BIdetails!H996</f>
        <v>Seeburger Benelux B.V.</v>
      </c>
      <c r="C993" t="str">
        <f>BIdetails!J996</f>
        <v>5401096890</v>
      </c>
      <c r="D993" t="str">
        <f>BIdetails!K996</f>
        <v>10</v>
      </c>
      <c r="E993" s="158">
        <f>BIdetails!M996</f>
        <v>4900</v>
      </c>
      <c r="F993" t="str">
        <f>IF(ISERROR(IF(OR(C993="#",C993=0),"",VLOOKUP(C993,'AOP25'!M:M,1,0))),"Not Found",VLOOKUP(C993,'AOP25'!M:M,1,0))</f>
        <v>Not Found</v>
      </c>
      <c r="G993" t="e">
        <f t="shared" si="15"/>
        <v>#N/A</v>
      </c>
    </row>
    <row r="994" spans="1:7" x14ac:dyDescent="0.25">
      <c r="A994" t="str">
        <f>BIdetails!G997</f>
        <v>151290</v>
      </c>
      <c r="B994" t="str">
        <f>BIdetails!H997</f>
        <v>Seeburger Benelux B.V.</v>
      </c>
      <c r="C994" t="str">
        <f>BIdetails!J997</f>
        <v>5401096890</v>
      </c>
      <c r="D994" t="str">
        <f>BIdetails!K997</f>
        <v>10</v>
      </c>
      <c r="E994" s="158">
        <f>BIdetails!M997</f>
        <v>4900</v>
      </c>
      <c r="F994" t="str">
        <f>IF(ISERROR(IF(OR(C994="#",C994=0),"",VLOOKUP(C994,'AOP25'!M:M,1,0))),"Not Found",VLOOKUP(C994,'AOP25'!M:M,1,0))</f>
        <v>Not Found</v>
      </c>
      <c r="G994" t="e">
        <f t="shared" si="15"/>
        <v>#N/A</v>
      </c>
    </row>
    <row r="995" spans="1:7" hidden="1" x14ac:dyDescent="0.25">
      <c r="A995" t="str">
        <f>BIdetails!G998</f>
        <v>151290</v>
      </c>
      <c r="B995" t="str">
        <f>BIdetails!H998</f>
        <v>Seeburger Benelux B.V.</v>
      </c>
      <c r="C995" t="str">
        <f>BIdetails!J998</f>
        <v>5401087947</v>
      </c>
      <c r="D995" t="str">
        <f>BIdetails!K998</f>
        <v>10</v>
      </c>
      <c r="E995" s="158">
        <f>BIdetails!M998</f>
        <v>510</v>
      </c>
      <c r="F995" t="str">
        <f>IF(ISERROR(IF(OR(C995="#",C995=0),"",VLOOKUP(C995,'AOP25'!M:M,1,0))),"Not Found",VLOOKUP(C995,'AOP25'!M:M,1,0))</f>
        <v>Not Found</v>
      </c>
      <c r="G995" t="e">
        <f t="shared" si="15"/>
        <v>#N/A</v>
      </c>
    </row>
    <row r="996" spans="1:7" hidden="1" x14ac:dyDescent="0.25">
      <c r="A996" t="str">
        <f>BIdetails!G999</f>
        <v>151290</v>
      </c>
      <c r="B996" t="str">
        <f>BIdetails!H999</f>
        <v>Seeburger Benelux B.V.</v>
      </c>
      <c r="C996" t="str">
        <f>BIdetails!J999</f>
        <v>5401087947</v>
      </c>
      <c r="D996" t="str">
        <f>BIdetails!K999</f>
        <v>10</v>
      </c>
      <c r="E996" s="158">
        <f>BIdetails!M999</f>
        <v>10725</v>
      </c>
      <c r="F996" t="str">
        <f>IF(ISERROR(IF(OR(C996="#",C996=0),"",VLOOKUP(C996,'AOP25'!M:M,1,0))),"Not Found",VLOOKUP(C996,'AOP25'!M:M,1,0))</f>
        <v>Not Found</v>
      </c>
      <c r="G996" t="e">
        <f t="shared" si="15"/>
        <v>#N/A</v>
      </c>
    </row>
    <row r="997" spans="1:7" hidden="1" x14ac:dyDescent="0.25">
      <c r="A997" t="str">
        <f>BIdetails!G1000</f>
        <v>151290</v>
      </c>
      <c r="B997" t="str">
        <f>BIdetails!H1000</f>
        <v>Seeburger Benelux B.V.</v>
      </c>
      <c r="C997" t="str">
        <f>BIdetails!J1000</f>
        <v>5401096890</v>
      </c>
      <c r="D997" t="str">
        <f>BIdetails!K1000</f>
        <v>10</v>
      </c>
      <c r="E997" s="158">
        <f>BIdetails!M1000</f>
        <v>4900</v>
      </c>
      <c r="F997" t="str">
        <f>IF(ISERROR(IF(OR(C997="#",C997=0),"",VLOOKUP(C997,'AOP25'!M:M,1,0))),"Not Found",VLOOKUP(C997,'AOP25'!M:M,1,0))</f>
        <v>Not Found</v>
      </c>
      <c r="G997" t="e">
        <f t="shared" si="15"/>
        <v>#N/A</v>
      </c>
    </row>
    <row r="998" spans="1:7" hidden="1" x14ac:dyDescent="0.25">
      <c r="A998" t="str">
        <f>BIdetails!G1001</f>
        <v>151290</v>
      </c>
      <c r="B998" t="str">
        <f>BIdetails!H1001</f>
        <v>Seeburger Benelux B.V.</v>
      </c>
      <c r="C998" t="str">
        <f>BIdetails!J1001</f>
        <v>5401087947</v>
      </c>
      <c r="D998" t="str">
        <f>BIdetails!K1001</f>
        <v>10</v>
      </c>
      <c r="E998" s="158">
        <f>BIdetails!M1001</f>
        <v>255</v>
      </c>
      <c r="F998" t="str">
        <f>IF(ISERROR(IF(OR(C998="#",C998=0),"",VLOOKUP(C998,'AOP25'!M:M,1,0))),"Not Found",VLOOKUP(C998,'AOP25'!M:M,1,0))</f>
        <v>Not Found</v>
      </c>
      <c r="G998" t="e">
        <f t="shared" si="15"/>
        <v>#N/A</v>
      </c>
    </row>
    <row r="999" spans="1:7" hidden="1" x14ac:dyDescent="0.25">
      <c r="A999" t="str">
        <f>BIdetails!G1002</f>
        <v>151290</v>
      </c>
      <c r="B999" t="str">
        <f>BIdetails!H1002</f>
        <v>Seeburger Benelux B.V.</v>
      </c>
      <c r="C999" t="str">
        <f>BIdetails!J1002</f>
        <v>5401024590</v>
      </c>
      <c r="D999" t="str">
        <f>BIdetails!K1002</f>
        <v>10</v>
      </c>
      <c r="E999" s="158">
        <f>BIdetails!M1002</f>
        <v>-142.5</v>
      </c>
      <c r="F999" t="str">
        <f>IF(ISERROR(IF(OR(C999="#",C999=0),"",VLOOKUP(C999,'AOP25'!M:M,1,0))),"Not Found",VLOOKUP(C999,'AOP25'!M:M,1,0))</f>
        <v>Not Found</v>
      </c>
      <c r="G999" t="e">
        <f t="shared" si="15"/>
        <v>#N/A</v>
      </c>
    </row>
    <row r="1000" spans="1:7" hidden="1" x14ac:dyDescent="0.25">
      <c r="A1000" t="str">
        <f>BIdetails!G1003</f>
        <v>151290</v>
      </c>
      <c r="B1000" t="str">
        <f>BIdetails!H1003</f>
        <v>Seeburger Benelux B.V.</v>
      </c>
      <c r="C1000" t="str">
        <f>BIdetails!J1003</f>
        <v>5401024590</v>
      </c>
      <c r="D1000" t="str">
        <f>BIdetails!K1003</f>
        <v>10</v>
      </c>
      <c r="E1000" s="158">
        <f>BIdetails!M1003</f>
        <v>-427.5</v>
      </c>
      <c r="F1000" t="str">
        <f>IF(ISERROR(IF(OR(C1000="#",C1000=0),"",VLOOKUP(C1000,'AOP25'!M:M,1,0))),"Not Found",VLOOKUP(C1000,'AOP25'!M:M,1,0))</f>
        <v>Not Found</v>
      </c>
      <c r="G1000" t="e">
        <f t="shared" si="15"/>
        <v>#N/A</v>
      </c>
    </row>
  </sheetData>
  <autoFilter ref="A1:P1000" xr:uid="{2F691C08-748C-46CF-9E91-3E0910D61070}">
    <filterColumn colId="5">
      <filters>
        <filter val="Not Found"/>
      </filters>
    </filterColumn>
  </autoFilter>
  <sortState xmlns:xlrd2="http://schemas.microsoft.com/office/spreadsheetml/2017/richdata2" ref="K3:L134">
    <sortCondition ref="K134"/>
  </sortState>
  <pageMargins left="0.7" right="0.7" top="0.75" bottom="0.75" header="0.3" footer="0.3"/>
  <pageSetup orientation="portrait" r:id="rId1"/>
  <customProperties>
    <customPr name="_pios_id" r:id="rId2"/>
  </customProperties>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B2:O57"/>
  <sheetViews>
    <sheetView showGridLines="0" zoomScale="85" zoomScaleNormal="85" workbookViewId="0">
      <selection activeCell="K53" sqref="K53"/>
    </sheetView>
  </sheetViews>
  <sheetFormatPr defaultColWidth="8.85546875" defaultRowHeight="15" x14ac:dyDescent="0.25"/>
  <cols>
    <col min="1" max="1" width="2.42578125" customWidth="1"/>
    <col min="2" max="2" width="19.42578125" customWidth="1"/>
    <col min="3" max="3" width="11.42578125" customWidth="1"/>
    <col min="4" max="4" width="19.42578125" customWidth="1"/>
    <col min="5" max="5" width="16" customWidth="1"/>
    <col min="6" max="6" width="19.42578125" customWidth="1"/>
    <col min="7" max="7" width="16" customWidth="1"/>
    <col min="8" max="8" width="19.42578125" customWidth="1"/>
    <col min="9" max="9" width="10.42578125" bestFit="1" customWidth="1"/>
    <col min="10" max="10" width="2.42578125" customWidth="1"/>
    <col min="11" max="11" width="16.42578125" customWidth="1"/>
    <col min="12" max="12" width="17.42578125" customWidth="1"/>
    <col min="13" max="13" width="14.42578125" bestFit="1" customWidth="1"/>
    <col min="14" max="15" width="11.42578125" bestFit="1" customWidth="1"/>
    <col min="16" max="16" width="18.42578125" customWidth="1"/>
    <col min="17" max="17" width="13.42578125" bestFit="1" customWidth="1"/>
    <col min="18" max="18" width="10.42578125" bestFit="1" customWidth="1"/>
  </cols>
  <sheetData>
    <row r="2" spans="2:15" x14ac:dyDescent="0.25">
      <c r="B2" s="8" t="s">
        <v>5789</v>
      </c>
      <c r="C2" s="8"/>
      <c r="D2" s="113">
        <v>45475</v>
      </c>
    </row>
    <row r="3" spans="2:15" ht="15.75" thickBot="1" x14ac:dyDescent="0.3"/>
    <row r="4" spans="2:15" ht="15.75" thickBot="1" x14ac:dyDescent="0.3">
      <c r="B4" s="105" t="s">
        <v>299</v>
      </c>
      <c r="D4" s="38">
        <v>68427709</v>
      </c>
      <c r="E4" s="39"/>
      <c r="F4" s="151"/>
      <c r="G4" s="38">
        <v>68427719</v>
      </c>
      <c r="H4" s="39"/>
      <c r="I4" s="151"/>
      <c r="K4" s="38" t="s">
        <v>12</v>
      </c>
      <c r="L4" s="150"/>
      <c r="M4" s="151"/>
    </row>
    <row r="5" spans="2:15" ht="15.75" thickBot="1" x14ac:dyDescent="0.3"/>
    <row r="6" spans="2:15" ht="15.75" thickBot="1" x14ac:dyDescent="0.3">
      <c r="B6" s="105" t="s">
        <v>5790</v>
      </c>
      <c r="C6" s="8"/>
      <c r="D6" s="50" t="str">
        <f>"AOP "&amp;(Summary!F7-1)</f>
        <v>AOP 2024</v>
      </c>
      <c r="E6" s="51" t="s">
        <v>5791</v>
      </c>
      <c r="F6" s="98" t="str">
        <f>"AOP "&amp;Summary!F7</f>
        <v>AOP 2025</v>
      </c>
      <c r="G6" s="50" t="str">
        <f>D6</f>
        <v>AOP 2024</v>
      </c>
      <c r="H6" s="51" t="s">
        <v>5791</v>
      </c>
      <c r="I6" s="98" t="str">
        <f>F6</f>
        <v>AOP 2025</v>
      </c>
      <c r="K6" s="50" t="str">
        <f>D6</f>
        <v>AOP 2024</v>
      </c>
      <c r="L6" s="51" t="s">
        <v>5791</v>
      </c>
      <c r="M6" s="98" t="str">
        <f>F6</f>
        <v>AOP 2025</v>
      </c>
    </row>
    <row r="7" spans="2:15" ht="15.75" thickBot="1" x14ac:dyDescent="0.3">
      <c r="O7" s="5"/>
    </row>
    <row r="8" spans="2:15" x14ac:dyDescent="0.25">
      <c r="B8" s="59" t="s">
        <v>1829</v>
      </c>
      <c r="D8" s="106" cm="1">
        <f t="array" ref="D8">SUMPRODUCT(('AOP25'!$B$2:$B$404='AOP 2025 Summary'!$B8)*('AOP25'!$E$2:$E$404=$D$4)*('AOP25'!$T$2:$T$404))</f>
        <v>0</v>
      </c>
      <c r="E8" s="99" cm="1">
        <f t="array" ref="E8">SUMPRODUCT(('AOP25'!$B$2:$B$404='AOP 2025 Summary'!$B8)*('AOP25'!$E$2:$E$404=$D$4)*('AOP25'!$X$2:$X$404))</f>
        <v>3664398.8</v>
      </c>
      <c r="F8" s="100">
        <f>SUM(D8:E8)</f>
        <v>3664398.8</v>
      </c>
      <c r="G8" s="106" cm="1">
        <f t="array" ref="G8">SUMPRODUCT(('AOP25'!$B$2:$B$404='AOP 2025 Summary'!$B8)*('AOP25'!$E$2:$E$404=$G$4)*('AOP25'!$T$2:$T$404))</f>
        <v>0</v>
      </c>
      <c r="H8" s="99" cm="1">
        <f t="array" ref="H8">SUMPRODUCT(('AOP25'!$B$2:$B$404='AOP 2025 Summary'!$B8)*('AOP25'!$E$2:$E$404=$G$4)*('AOP25'!$X$2:$X$404))</f>
        <v>0</v>
      </c>
      <c r="I8" s="100">
        <f>SUM(G8:H8)</f>
        <v>0</v>
      </c>
      <c r="K8" s="152">
        <f>D8+G8</f>
        <v>0</v>
      </c>
      <c r="L8" s="153">
        <f t="shared" ref="L8:M8" si="0">E8+H8</f>
        <v>3664398.8</v>
      </c>
      <c r="M8" s="100">
        <f t="shared" si="0"/>
        <v>3664398.8</v>
      </c>
    </row>
    <row r="9" spans="2:15" x14ac:dyDescent="0.25">
      <c r="B9" s="60" t="s">
        <v>1800</v>
      </c>
      <c r="D9" s="107" cm="1">
        <f t="array" ref="D9">SUMPRODUCT(('AOP25'!$B$2:$B$404='AOP 2025 Summary'!$B9)*('AOP25'!$E$2:$E$404=$D$4)*('AOP25'!$T$2:$T$404))</f>
        <v>2560050</v>
      </c>
      <c r="E9" s="101" cm="1">
        <f t="array" ref="E9">SUMPRODUCT(('AOP25'!$B$2:$B$404='AOP 2025 Summary'!$B9)*('AOP25'!$E$2:$E$404=$D$4)*('AOP25'!$X$2:$X$404))</f>
        <v>-2560050</v>
      </c>
      <c r="F9" s="102">
        <f t="shared" ref="F9:F12" si="1">SUM(D9:E9)</f>
        <v>0</v>
      </c>
      <c r="G9" s="107" cm="1">
        <f t="array" ref="G9">SUMPRODUCT(('AOP25'!$B$2:$B$404='AOP 2025 Summary'!$B9)*('AOP25'!$E$2:$E$404=$G$4)*('AOP25'!$T$2:$T$404))</f>
        <v>40000</v>
      </c>
      <c r="H9" s="101" cm="1">
        <f t="array" ref="H9">SUMPRODUCT(('AOP25'!$B$2:$B$404='AOP 2025 Summary'!$B9)*('AOP25'!$E$2:$E$404=$G$4)*('AOP25'!$X$2:$X$404))</f>
        <v>-40000</v>
      </c>
      <c r="I9" s="102">
        <f t="shared" ref="I9:I12" si="2">SUM(G9:H9)</f>
        <v>0</v>
      </c>
      <c r="K9" s="154">
        <f t="shared" ref="K9:K12" si="3">D9+G9</f>
        <v>2600050</v>
      </c>
      <c r="L9" s="124">
        <f t="shared" ref="L9:L12" si="4">E9+H9</f>
        <v>-2600050</v>
      </c>
      <c r="M9" s="102">
        <f t="shared" ref="M9:M12" si="5">F9+I9</f>
        <v>0</v>
      </c>
    </row>
    <row r="10" spans="2:15" x14ac:dyDescent="0.25">
      <c r="B10" s="60" t="s">
        <v>5792</v>
      </c>
      <c r="D10" s="107" cm="1">
        <f t="array" ref="D10">SUMPRODUCT(('AOP25'!$B$2:$B$404='AOP 2025 Summary'!$B10)*('AOP25'!$E$2:$E$404=$D$4)*('AOP25'!$T$2:$T$404))</f>
        <v>14934764</v>
      </c>
      <c r="E10" s="101" cm="1">
        <f t="array" ref="E10">SUMPRODUCT(('AOP25'!$B$2:$B$404='AOP 2025 Summary'!$B10)*('AOP25'!$E$2:$E$404=$D$4)*('AOP25'!$X$2:$X$404))</f>
        <v>-2995664</v>
      </c>
      <c r="F10" s="102">
        <f t="shared" si="1"/>
        <v>11939100</v>
      </c>
      <c r="G10" s="107" cm="1">
        <f t="array" ref="G10">SUMPRODUCT(('AOP25'!$B$2:$B$404='AOP 2025 Summary'!$B10)*('AOP25'!$E$2:$E$404=$G$4)*('AOP25'!$T$2:$T$404))</f>
        <v>0</v>
      </c>
      <c r="H10" s="101" cm="1">
        <f t="array" ref="H10">SUMPRODUCT(('AOP25'!$B$2:$B$404='AOP 2025 Summary'!$B10)*('AOP25'!$E$2:$E$404=$G$4)*('AOP25'!$X$2:$X$404))</f>
        <v>0</v>
      </c>
      <c r="I10" s="102">
        <f t="shared" si="2"/>
        <v>0</v>
      </c>
      <c r="K10" s="154">
        <f t="shared" si="3"/>
        <v>14934764</v>
      </c>
      <c r="L10" s="124">
        <f t="shared" si="4"/>
        <v>-2995664</v>
      </c>
      <c r="M10" s="102">
        <f t="shared" si="5"/>
        <v>11939100</v>
      </c>
    </row>
    <row r="11" spans="2:15" x14ac:dyDescent="0.25">
      <c r="B11" s="60" t="s">
        <v>5793</v>
      </c>
      <c r="D11" s="107" cm="1">
        <f t="array" ref="D11">SUMPRODUCT(('AOP25'!$B$2:$B$404='AOP 2025 Summary'!$B11)*('AOP25'!$E$2:$E$404=$D$4)*('AOP25'!$T$2:$T$404))</f>
        <v>16866963</v>
      </c>
      <c r="E11" s="101" cm="1">
        <f t="array" ref="E11">SUMPRODUCT(('AOP25'!$B$2:$B$404='AOP 2025 Summary'!$B11)*('AOP25'!$E$2:$E$404=$D$4)*('AOP25'!$X$2:$X$404))</f>
        <v>3752560</v>
      </c>
      <c r="F11" s="102">
        <f t="shared" si="1"/>
        <v>20619523</v>
      </c>
      <c r="G11" s="107" cm="1">
        <f t="array" ref="G11">SUMPRODUCT(('AOP25'!$B$2:$B$404='AOP 2025 Summary'!$B11)*('AOP25'!$E$2:$E$404=$G$4)*('AOP25'!$T$2:$T$404))</f>
        <v>5291000</v>
      </c>
      <c r="H11" s="101" cm="1">
        <f t="array" ref="H11">SUMPRODUCT(('AOP25'!$B$2:$B$404='AOP 2025 Summary'!$B11)*('AOP25'!$E$2:$E$404=$G$4)*('AOP25'!$X$2:$X$404))</f>
        <v>686000</v>
      </c>
      <c r="I11" s="102">
        <f t="shared" si="2"/>
        <v>5977000</v>
      </c>
      <c r="K11" s="154">
        <f t="shared" si="3"/>
        <v>22157963</v>
      </c>
      <c r="L11" s="124">
        <f t="shared" si="4"/>
        <v>4438560</v>
      </c>
      <c r="M11" s="102">
        <f t="shared" si="5"/>
        <v>26596523</v>
      </c>
    </row>
    <row r="12" spans="2:15" ht="15.75" thickBot="1" x14ac:dyDescent="0.3">
      <c r="B12" s="49" t="s">
        <v>5794</v>
      </c>
      <c r="D12" s="108" cm="1">
        <f t="array" ref="D12">SUMPRODUCT(('AOP25'!$B$2:$B$404='AOP 2025 Summary'!$B12)*('AOP25'!$E$2:$E$404=$D$4)*('AOP25'!$T$2:$T$404))</f>
        <v>19467345</v>
      </c>
      <c r="E12" s="103" cm="1">
        <f t="array" ref="E12">SUMPRODUCT(('AOP25'!$B$2:$B$404='AOP 2025 Summary'!$B12)*('AOP25'!$E$2:$E$404=$D$4)*('AOP25'!$X$2:$X$404))</f>
        <v>129312</v>
      </c>
      <c r="F12" s="104">
        <f t="shared" si="1"/>
        <v>19596657</v>
      </c>
      <c r="G12" s="108" cm="1">
        <f t="array" ref="G12">SUMPRODUCT(('AOP25'!$B$2:$B$404='AOP 2025 Summary'!$B12)*('AOP25'!$E$2:$E$404=$G$4)*('AOP25'!$T$2:$T$404))</f>
        <v>644980</v>
      </c>
      <c r="H12" s="103" cm="1">
        <f t="array" ref="H12">SUMPRODUCT(('AOP25'!$B$2:$B$404='AOP 2025 Summary'!$B12)*('AOP25'!$E$2:$E$404=$G$4)*('AOP25'!$X$2:$X$404))</f>
        <v>0</v>
      </c>
      <c r="I12" s="104">
        <f t="shared" si="2"/>
        <v>644980</v>
      </c>
      <c r="K12" s="155">
        <f t="shared" si="3"/>
        <v>20112325</v>
      </c>
      <c r="L12" s="156">
        <f t="shared" si="4"/>
        <v>129312</v>
      </c>
      <c r="M12" s="104">
        <f t="shared" si="5"/>
        <v>20241637</v>
      </c>
    </row>
    <row r="13" spans="2:15" ht="15.75" thickBot="1" x14ac:dyDescent="0.3"/>
    <row r="14" spans="2:15" ht="15.75" thickBot="1" x14ac:dyDescent="0.3">
      <c r="B14" s="109" t="s">
        <v>12</v>
      </c>
      <c r="D14" s="110">
        <f t="shared" ref="D14:I14" si="6">SUM(D8:D13)</f>
        <v>53829122</v>
      </c>
      <c r="E14" s="111">
        <f t="shared" si="6"/>
        <v>1990556.7999999998</v>
      </c>
      <c r="F14" s="112">
        <f t="shared" si="6"/>
        <v>55819678.799999997</v>
      </c>
      <c r="G14" s="110">
        <f t="shared" si="6"/>
        <v>5975980</v>
      </c>
      <c r="H14" s="111">
        <f t="shared" si="6"/>
        <v>646000</v>
      </c>
      <c r="I14" s="112">
        <f t="shared" si="6"/>
        <v>6621980</v>
      </c>
      <c r="K14" s="110">
        <f>SUM(K8:K13)</f>
        <v>59805102</v>
      </c>
      <c r="L14" s="111">
        <f>SUM(L8:L13)</f>
        <v>2636556.7999999998</v>
      </c>
      <c r="M14" s="112">
        <f>SUM(M8:M13)</f>
        <v>62441658.799999997</v>
      </c>
    </row>
    <row r="15" spans="2:15" ht="15.75" thickBot="1" x14ac:dyDescent="0.3"/>
    <row r="16" spans="2:15" ht="15.75" thickBot="1" x14ac:dyDescent="0.3">
      <c r="B16" s="128" t="s">
        <v>2758</v>
      </c>
      <c r="C16" s="181"/>
      <c r="D16" s="125" t="str">
        <f>D6</f>
        <v>AOP 2024</v>
      </c>
      <c r="E16" s="126" t="s">
        <v>5795</v>
      </c>
      <c r="F16" s="127" t="s">
        <v>5796</v>
      </c>
      <c r="G16" s="125" t="str">
        <f>F6</f>
        <v>AOP 2025</v>
      </c>
      <c r="H16" s="126" t="s">
        <v>5795</v>
      </c>
      <c r="I16" s="127" t="s">
        <v>5796</v>
      </c>
      <c r="K16" s="125" t="s">
        <v>5797</v>
      </c>
      <c r="L16" s="126" t="s">
        <v>5798</v>
      </c>
      <c r="M16" s="127" t="s">
        <v>5799</v>
      </c>
      <c r="O16" s="8" t="s">
        <v>5800</v>
      </c>
    </row>
    <row r="18" spans="2:15" ht="15.75" thickBot="1" x14ac:dyDescent="0.3">
      <c r="B18" s="59" t="s">
        <v>3170</v>
      </c>
      <c r="D18" s="106" cm="1">
        <f t="array" ref="D18">SUMPRODUCT(('AOP25'!$Q$2:$Q$404='AOP 2025 Summary'!$B18)*('AOP25'!$T$2:$T$404))</f>
        <v>2938450</v>
      </c>
      <c r="E18" s="10"/>
      <c r="F18" s="11"/>
      <c r="G18" s="106" cm="1">
        <f t="array" ref="G18">SUMPRODUCT(('AOP25'!$Q$2:$Q$404='AOP 2025 Summary'!$B18)*('AOP25'!$U$2:$U$404))</f>
        <v>2858360</v>
      </c>
      <c r="H18" s="10"/>
      <c r="I18" s="11"/>
      <c r="K18" s="177">
        <f t="shared" ref="K18:K19" si="7">IF(ISERROR((H18-E18)/H18),0,(H18-E18)/H18)</f>
        <v>0</v>
      </c>
      <c r="L18" s="153">
        <f>G18-D18</f>
        <v>-80090</v>
      </c>
      <c r="M18" s="178">
        <f t="shared" ref="M18:M30" si="8">IF(ISERROR((I18-F18)/I18),0,(I18-F18)/I18)</f>
        <v>0</v>
      </c>
      <c r="O18" s="234">
        <f>M14-G32</f>
        <v>-312228</v>
      </c>
    </row>
    <row r="19" spans="2:15" x14ac:dyDescent="0.25">
      <c r="B19" s="60" t="s">
        <v>5801</v>
      </c>
      <c r="D19" s="107" cm="1">
        <f t="array" ref="D19">SUMPRODUCT(('AOP25'!$Q$2:$Q$404='AOP 2025 Summary'!$B19)*('AOP25'!$T$2:$T$404))</f>
        <v>0</v>
      </c>
      <c r="F19" s="13"/>
      <c r="G19" s="107" cm="1">
        <f t="array" ref="G19">SUMPRODUCT(('AOP25'!$Q$2:$Q$404='AOP 2025 Summary'!$B19)*('AOP25'!$U$2:$U$404))</f>
        <v>0</v>
      </c>
      <c r="I19" s="13"/>
      <c r="K19" s="129">
        <f t="shared" si="7"/>
        <v>0</v>
      </c>
      <c r="L19" s="124">
        <f t="shared" ref="L19:L30" si="9">G19-D19</f>
        <v>0</v>
      </c>
      <c r="M19" s="130">
        <f t="shared" si="8"/>
        <v>0</v>
      </c>
    </row>
    <row r="20" spans="2:15" s="119" customFormat="1" x14ac:dyDescent="0.25">
      <c r="B20" s="60" t="s">
        <v>3249</v>
      </c>
      <c r="C20" s="120"/>
      <c r="D20" s="107" cm="1">
        <f t="array" ref="D20">SUMPRODUCT(('AOP25'!$Q$2:$Q$404='AOP 2025 Summary'!$B20)*('AOP25'!$T$2:$T$404))</f>
        <v>1941000</v>
      </c>
      <c r="E20" s="220">
        <v>1764</v>
      </c>
      <c r="F20" s="182">
        <f>D20/E20</f>
        <v>1100.3401360544217</v>
      </c>
      <c r="G20" s="107" cm="1">
        <f t="array" ref="G20">SUMPRODUCT(('AOP25'!$Q$2:$Q$404='AOP 2025 Summary'!$B20)*('AOP25'!$U$2:$U$404))</f>
        <v>2125000</v>
      </c>
      <c r="H20" s="220">
        <v>935</v>
      </c>
      <c r="I20" s="102">
        <f t="shared" ref="I20" si="10">G20/H20</f>
        <v>2272.7272727272725</v>
      </c>
      <c r="K20" s="129">
        <f>IF(ISERROR((H20-E20)/H20),0,(H20-E20)/H20)</f>
        <v>-0.88663101604278072</v>
      </c>
      <c r="L20" s="124">
        <f t="shared" si="9"/>
        <v>184000</v>
      </c>
      <c r="M20" s="130">
        <f>IF(ISERROR((I20-F20)/I20),0,(I20-F20)/I20)</f>
        <v>0.51585034013605446</v>
      </c>
    </row>
    <row r="21" spans="2:15" x14ac:dyDescent="0.25">
      <c r="B21" s="60" t="s">
        <v>3225</v>
      </c>
      <c r="D21" s="107" cm="1">
        <f t="array" ref="D21">SUMPRODUCT(('AOP25'!$Q$2:$Q$404='AOP 2025 Summary'!$B21)*('AOP25'!$T$2:$T$404))</f>
        <v>462000</v>
      </c>
      <c r="E21" s="220">
        <v>1019</v>
      </c>
      <c r="F21" s="182">
        <v>539</v>
      </c>
      <c r="G21" s="107" cm="1">
        <f t="array" ref="G21">SUMPRODUCT(('AOP25'!$Q$2:$Q$404='AOP 2025 Summary'!$B21)*('AOP25'!$U$2:$U$404))</f>
        <v>492000</v>
      </c>
      <c r="H21" s="220">
        <v>421</v>
      </c>
      <c r="I21" s="102">
        <f t="shared" ref="I21:I27" si="11">G21/H21</f>
        <v>1168.6460807600949</v>
      </c>
      <c r="K21" s="129">
        <f t="shared" ref="K21:K30" si="12">IF(ISERROR((H21-E21)/H21),0,(H21-E21)/H21)</f>
        <v>-1.4204275534441806</v>
      </c>
      <c r="L21" s="124">
        <f t="shared" si="9"/>
        <v>30000</v>
      </c>
      <c r="M21" s="130">
        <f t="shared" si="8"/>
        <v>0.53878252032520324</v>
      </c>
    </row>
    <row r="22" spans="2:15" x14ac:dyDescent="0.25">
      <c r="B22" s="60" t="s">
        <v>3206</v>
      </c>
      <c r="D22" s="107" cm="1">
        <f t="array" ref="D22">SUMPRODUCT(('AOP25'!$Q$2:$Q$404='AOP 2025 Summary'!$B22)*('AOP25'!$T$2:$T$404))</f>
        <v>3361980</v>
      </c>
      <c r="E22" s="220">
        <v>972</v>
      </c>
      <c r="F22" s="182">
        <f t="shared" ref="F22:F25" si="13">D22/E22</f>
        <v>3458.8271604938273</v>
      </c>
      <c r="G22" s="107" cm="1">
        <f t="array" ref="G22">SUMPRODUCT(('AOP25'!$Q$2:$Q$404='AOP 2025 Summary'!$B22)*('AOP25'!$U$2:$U$404))</f>
        <v>3710980</v>
      </c>
      <c r="H22" s="220">
        <v>876</v>
      </c>
      <c r="I22" s="102">
        <f t="shared" si="11"/>
        <v>4236.278538812785</v>
      </c>
      <c r="K22" s="129">
        <f t="shared" si="12"/>
        <v>-0.1095890410958904</v>
      </c>
      <c r="L22" s="124">
        <f t="shared" si="9"/>
        <v>349000</v>
      </c>
      <c r="M22" s="130">
        <f t="shared" si="8"/>
        <v>0.18352225218336046</v>
      </c>
    </row>
    <row r="23" spans="2:15" x14ac:dyDescent="0.25">
      <c r="B23" s="60" t="s">
        <v>3097</v>
      </c>
      <c r="D23" s="107" cm="1">
        <f t="array" ref="D23">SUMPRODUCT(('AOP25'!$Q$2:$Q$404='AOP 2025 Summary'!$B23)*('AOP25'!$T$2:$T$404))</f>
        <v>1127040</v>
      </c>
      <c r="E23" s="220">
        <v>264</v>
      </c>
      <c r="F23" s="182">
        <f t="shared" si="13"/>
        <v>4269.090909090909</v>
      </c>
      <c r="G23" s="107" cm="1">
        <f t="array" ref="G23">SUMPRODUCT(('AOP25'!$Q$2:$Q$404='AOP 2025 Summary'!$B23)*('AOP25'!$U$2:$U$404))</f>
        <v>1107040</v>
      </c>
      <c r="H23" s="220">
        <v>246</v>
      </c>
      <c r="I23" s="102">
        <f t="shared" si="11"/>
        <v>4500.1626016260161</v>
      </c>
      <c r="K23" s="129">
        <f t="shared" si="12"/>
        <v>-7.3170731707317069E-2</v>
      </c>
      <c r="L23" s="124">
        <f t="shared" si="9"/>
        <v>-20000</v>
      </c>
      <c r="M23" s="130">
        <f t="shared" si="8"/>
        <v>5.1347409636179675E-2</v>
      </c>
    </row>
    <row r="24" spans="2:15" x14ac:dyDescent="0.25">
      <c r="B24" s="60" t="s">
        <v>3114</v>
      </c>
      <c r="D24" s="107" cm="1">
        <f t="array" ref="D24">SUMPRODUCT(('AOP25'!$Q$2:$Q$404='AOP 2025 Summary'!$B24)*('AOP25'!$T$2:$T$404))</f>
        <v>28911324</v>
      </c>
      <c r="E24" s="161">
        <v>9375</v>
      </c>
      <c r="F24" s="182">
        <f t="shared" si="13"/>
        <v>3083.8745600000002</v>
      </c>
      <c r="G24" s="107" cm="1">
        <f t="array" ref="G24">SUMPRODUCT(('AOP25'!$Q$2:$Q$404='AOP 2025 Summary'!$B24)*('AOP25'!$U$2:$U$404))</f>
        <v>28948560</v>
      </c>
      <c r="H24" s="161">
        <v>9151</v>
      </c>
      <c r="I24" s="102">
        <f t="shared" si="11"/>
        <v>3163.4313189815321</v>
      </c>
      <c r="K24" s="129">
        <f t="shared" si="12"/>
        <v>-2.4478199103923067E-2</v>
      </c>
      <c r="L24" s="124">
        <f t="shared" si="9"/>
        <v>37236</v>
      </c>
      <c r="M24" s="130">
        <f t="shared" si="8"/>
        <v>2.5148881375792027E-2</v>
      </c>
      <c r="O24" s="119"/>
    </row>
    <row r="25" spans="2:15" x14ac:dyDescent="0.25">
      <c r="B25" s="60" t="s">
        <v>3104</v>
      </c>
      <c r="D25" s="107" cm="1">
        <f t="array" ref="D25">SUMPRODUCT(('AOP25'!$Q$2:$Q$404='AOP 2025 Summary'!$B25)*('AOP25'!$T$2:$T$404))</f>
        <v>17488108</v>
      </c>
      <c r="E25" s="220">
        <v>5329</v>
      </c>
      <c r="F25" s="182">
        <f t="shared" si="13"/>
        <v>3281.6866203790578</v>
      </c>
      <c r="G25" s="107" cm="1">
        <f t="array" ref="G25">SUMPRODUCT(('AOP25'!$Q$2:$Q$404='AOP 2025 Summary'!$B25)*('AOP25'!$U$2:$U$404))</f>
        <v>17287608</v>
      </c>
      <c r="H25" s="220">
        <v>5277</v>
      </c>
      <c r="I25" s="102">
        <f t="shared" si="11"/>
        <v>3276.029562251279</v>
      </c>
      <c r="K25" s="129">
        <f t="shared" si="12"/>
        <v>-9.8540837597119579E-3</v>
      </c>
      <c r="L25" s="124">
        <f t="shared" si="9"/>
        <v>-200500</v>
      </c>
      <c r="M25" s="130">
        <f t="shared" si="8"/>
        <v>-1.7268031378481416E-3</v>
      </c>
      <c r="O25" s="119"/>
    </row>
    <row r="26" spans="2:15" x14ac:dyDescent="0.25">
      <c r="B26" s="60" t="s">
        <v>3124</v>
      </c>
      <c r="D26" s="107" cm="1">
        <f t="array" ref="D26">SUMPRODUCT(('AOP25'!$Q$2:$Q$404='AOP 2025 Summary'!$B26)*('AOP25'!$T$2:$T$404))</f>
        <v>2388500</v>
      </c>
      <c r="E26" s="101"/>
      <c r="F26" s="182"/>
      <c r="G26" s="107" cm="1">
        <f t="array" ref="G26">SUMPRODUCT(('AOP25'!$Q$2:$Q$404='AOP 2025 Summary'!$B26)*('AOP25'!$U$2:$U$404))</f>
        <v>4475138.8</v>
      </c>
      <c r="H26" s="220"/>
      <c r="I26" s="102" t="e">
        <f t="shared" si="11"/>
        <v>#DIV/0!</v>
      </c>
      <c r="K26" s="129">
        <f t="shared" si="12"/>
        <v>0</v>
      </c>
      <c r="L26" s="124">
        <f t="shared" si="9"/>
        <v>2086638.7999999998</v>
      </c>
      <c r="M26" s="130">
        <f t="shared" si="8"/>
        <v>0</v>
      </c>
    </row>
    <row r="27" spans="2:15" x14ac:dyDescent="0.25">
      <c r="B27" s="60" t="s">
        <v>3150</v>
      </c>
      <c r="D27" s="107" cm="1">
        <f t="array" ref="D27">SUMPRODUCT(('AOP25'!$Q$2:$Q$404='AOP 2025 Summary'!$B27)*('AOP25'!$T$2:$T$404))</f>
        <v>400700</v>
      </c>
      <c r="E27" s="101">
        <v>0</v>
      </c>
      <c r="F27" s="182"/>
      <c r="G27" s="107" cm="1">
        <f t="array" ref="G27">SUMPRODUCT(('AOP25'!$Q$2:$Q$404='AOP 2025 Summary'!$B27)*('AOP25'!$U$2:$U$404))</f>
        <v>580700</v>
      </c>
      <c r="H27" s="220">
        <v>45</v>
      </c>
      <c r="I27" s="102">
        <f t="shared" si="11"/>
        <v>12904.444444444445</v>
      </c>
      <c r="K27" s="129">
        <f t="shared" si="12"/>
        <v>1</v>
      </c>
      <c r="L27" s="124">
        <f t="shared" si="9"/>
        <v>180000</v>
      </c>
      <c r="M27" s="130">
        <f t="shared" si="8"/>
        <v>1</v>
      </c>
    </row>
    <row r="28" spans="2:15" x14ac:dyDescent="0.25">
      <c r="B28" s="60" t="s">
        <v>5802</v>
      </c>
      <c r="D28" s="107" cm="1">
        <f t="array" ref="D28">SUMPRODUCT(('AOP25'!$Q$2:$Q$404='AOP 2025 Summary'!$B28)*('AOP25'!$T$2:$T$404))</f>
        <v>0</v>
      </c>
      <c r="E28" s="101">
        <v>0</v>
      </c>
      <c r="F28" s="182"/>
      <c r="G28" s="107" cm="1">
        <f t="array" ref="G28">SUMPRODUCT(('AOP25'!$Q$2:$Q$404='AOP 2025 Summary'!$B28)*('AOP25'!$U$2:$U$404))</f>
        <v>0</v>
      </c>
      <c r="H28" s="101"/>
      <c r="I28" s="102"/>
      <c r="K28" s="129">
        <f t="shared" si="12"/>
        <v>0</v>
      </c>
      <c r="L28" s="124">
        <f t="shared" si="9"/>
        <v>0</v>
      </c>
      <c r="M28" s="130">
        <f t="shared" si="8"/>
        <v>0</v>
      </c>
    </row>
    <row r="29" spans="2:15" x14ac:dyDescent="0.25">
      <c r="B29" s="60" t="s">
        <v>3140</v>
      </c>
      <c r="D29" s="107" cm="1">
        <f t="array" ref="D29">SUMPRODUCT(('AOP25'!$Q$2:$Q$404='AOP 2025 Summary'!$B29)*('AOP25'!$T$2:$T$404))</f>
        <v>297000</v>
      </c>
      <c r="E29" s="101">
        <v>0</v>
      </c>
      <c r="F29" s="182"/>
      <c r="G29" s="107" cm="1">
        <f t="array" ref="G29">SUMPRODUCT(('AOP25'!$Q$2:$Q$404='AOP 2025 Summary'!$B29)*('AOP25'!$U$2:$U$404))</f>
        <v>300000</v>
      </c>
      <c r="H29" s="101"/>
      <c r="I29" s="102"/>
      <c r="K29" s="129">
        <f t="shared" si="12"/>
        <v>0</v>
      </c>
      <c r="L29" s="124">
        <f t="shared" si="9"/>
        <v>3000</v>
      </c>
      <c r="M29" s="130">
        <f t="shared" si="8"/>
        <v>0</v>
      </c>
    </row>
    <row r="30" spans="2:15" ht="15.75" thickBot="1" x14ac:dyDescent="0.3">
      <c r="B30" s="49" t="s">
        <v>3184</v>
      </c>
      <c r="D30" s="108" cm="1">
        <f t="array" ref="D30">SUMPRODUCT(('AOP25'!$Q$2:$Q$404='AOP 2025 Summary'!$B30)*('AOP25'!$T$2:$T$404))</f>
        <v>489000</v>
      </c>
      <c r="E30" s="15"/>
      <c r="F30" s="202"/>
      <c r="G30" s="108" cm="1">
        <f t="array" ref="G30">SUMPRODUCT(('AOP25'!$Q$2:$Q$404='AOP 2025 Summary'!$B30)*('AOP25'!$U$2:$U$404))</f>
        <v>868500</v>
      </c>
      <c r="H30" s="15"/>
      <c r="I30" s="16"/>
      <c r="K30" s="179">
        <f t="shared" si="12"/>
        <v>0</v>
      </c>
      <c r="L30" s="156">
        <f t="shared" si="9"/>
        <v>379500</v>
      </c>
      <c r="M30" s="180">
        <f t="shared" si="8"/>
        <v>0</v>
      </c>
    </row>
    <row r="31" spans="2:15" ht="15.75" thickBot="1" x14ac:dyDescent="0.3"/>
    <row r="32" spans="2:15" ht="15.75" thickBot="1" x14ac:dyDescent="0.3">
      <c r="B32" s="109" t="s">
        <v>12</v>
      </c>
      <c r="D32" s="110">
        <f>SUM(D18:D30)</f>
        <v>59805102</v>
      </c>
      <c r="E32" s="122"/>
      <c r="F32" s="122"/>
      <c r="G32" s="110">
        <f>SUM(G18:G30)</f>
        <v>62753886.799999997</v>
      </c>
      <c r="H32" s="122"/>
      <c r="I32" s="123"/>
      <c r="K32" s="121"/>
      <c r="L32" s="111">
        <f>SUM(L18:L31)</f>
        <v>2948784.8</v>
      </c>
      <c r="M32" s="123"/>
    </row>
    <row r="34" spans="2:13" ht="15.75" thickBot="1" x14ac:dyDescent="0.3">
      <c r="B34" s="50" t="s">
        <v>3716</v>
      </c>
      <c r="C34" s="122"/>
      <c r="D34" s="122"/>
      <c r="E34" s="126" t="str">
        <f>D6</f>
        <v>AOP 2024</v>
      </c>
      <c r="F34" s="126" t="str">
        <f>F6</f>
        <v>AOP 2025</v>
      </c>
      <c r="G34" s="127" t="s">
        <v>5791</v>
      </c>
      <c r="I34" s="121" t="s">
        <v>5803</v>
      </c>
      <c r="J34" s="122"/>
      <c r="K34" s="122" t="str">
        <f>D6</f>
        <v>AOP 2024</v>
      </c>
      <c r="L34" s="122" t="str">
        <f>F6</f>
        <v>AOP 2025</v>
      </c>
      <c r="M34" s="123" t="s">
        <v>5791</v>
      </c>
    </row>
    <row r="35" spans="2:13" ht="15.75" thickBot="1" x14ac:dyDescent="0.3"/>
    <row r="36" spans="2:13" x14ac:dyDescent="0.25">
      <c r="B36" s="9" t="s">
        <v>3230</v>
      </c>
      <c r="C36" s="10"/>
      <c r="D36" s="10" t="s">
        <v>5804</v>
      </c>
      <c r="E36" s="99" cm="1">
        <f t="array" ref="E36">SUMPRODUCT(('AOP25'!$R$2:$R$403='AOP 2025 Summary'!$B36)*('AOP25'!$T$2:$T$403))</f>
        <v>610000</v>
      </c>
      <c r="F36" s="99" cm="1">
        <f t="array" ref="F36">SUMPRODUCT(('AOP25'!$R$2:$R$403='AOP 2025 Summary'!$B36)*('AOP25'!$U$2:$U$403))</f>
        <v>610000</v>
      </c>
      <c r="G36" s="199">
        <f>F36-E36</f>
        <v>0</v>
      </c>
      <c r="I36" s="9" t="s">
        <v>5804</v>
      </c>
      <c r="J36" s="10"/>
      <c r="K36" s="99" cm="1">
        <f t="array" ref="K36">SUMPRODUCT(($D$36:$D$55=$I36)*($E$36:$E$55))</f>
        <v>7130100</v>
      </c>
      <c r="L36" s="99" cm="1">
        <f t="array" ref="L36">SUMPRODUCT(($D$36:$D$55=$I36)*($F$36:$F$55))</f>
        <v>7218200</v>
      </c>
      <c r="M36" s="100">
        <f>L36-K36</f>
        <v>88100</v>
      </c>
    </row>
    <row r="37" spans="2:13" x14ac:dyDescent="0.25">
      <c r="B37" s="12" t="s">
        <v>517</v>
      </c>
      <c r="D37" t="s">
        <v>5805</v>
      </c>
      <c r="E37" s="101" cm="1">
        <f t="array" ref="E37">SUMPRODUCT(('AOP25'!$R$2:$R$403='AOP 2025 Summary'!$B37)*('AOP25'!$T$2:$T$403))</f>
        <v>1207650</v>
      </c>
      <c r="F37" s="101" cm="1">
        <f t="array" ref="F37">SUMPRODUCT(('AOP25'!$R$2:$R$403='AOP 2025 Summary'!$B37)*('AOP25'!$U$2:$U$403))</f>
        <v>1206160</v>
      </c>
      <c r="G37" s="142">
        <f t="shared" ref="G37:G55" si="14">F37-E37</f>
        <v>-1490</v>
      </c>
      <c r="I37" s="12" t="s">
        <v>5805</v>
      </c>
      <c r="K37" s="101" cm="1">
        <f t="array" ref="K37">SUMPRODUCT(($D$36:$D$55=$I37)*($E$36:$E$55))</f>
        <v>4452050</v>
      </c>
      <c r="L37" s="101" cm="1">
        <f t="array" ref="L37">SUMPRODUCT(($D$36:$D$55=$I37)*($F$36:$F$55))</f>
        <v>4615560</v>
      </c>
      <c r="M37" s="102">
        <f t="shared" ref="M37:M41" si="15">L37-K37</f>
        <v>163510</v>
      </c>
    </row>
    <row r="38" spans="2:13" x14ac:dyDescent="0.25">
      <c r="B38" s="12" t="s">
        <v>5806</v>
      </c>
      <c r="C38" s="124"/>
      <c r="E38" s="101" cm="1">
        <f t="array" ref="E38">SUMPRODUCT(('AOP25'!$R$2:$R$403='AOP 2025 Summary'!$B38)*('AOP25'!$T$2:$T$403))</f>
        <v>0</v>
      </c>
      <c r="F38" s="101" cm="1">
        <f t="array" ref="F38">SUMPRODUCT(('AOP25'!$R$2:$R$403='AOP 2025 Summary'!$B38)*('AOP25'!$U$2:$U$403))</f>
        <v>0</v>
      </c>
      <c r="G38" s="142">
        <f t="shared" si="14"/>
        <v>0</v>
      </c>
      <c r="I38" s="12" t="s">
        <v>5807</v>
      </c>
      <c r="K38" s="101" cm="1">
        <f t="array" ref="K38">SUMPRODUCT(($D$36:$D$55=$I38)*($E$36:$E$55))</f>
        <v>41834972</v>
      </c>
      <c r="L38" s="101" cm="1">
        <f t="array" ref="L38">SUMPRODUCT(($D$36:$D$55=$I38)*($F$36:$F$55))</f>
        <v>43861146.799999997</v>
      </c>
      <c r="M38" s="102">
        <f t="shared" si="15"/>
        <v>2026174.799999997</v>
      </c>
    </row>
    <row r="39" spans="2:13" x14ac:dyDescent="0.25">
      <c r="B39" s="12" t="s">
        <v>3171</v>
      </c>
      <c r="C39" s="124"/>
      <c r="D39" t="s">
        <v>5804</v>
      </c>
      <c r="E39" s="101" cm="1">
        <f t="array" ref="E39">SUMPRODUCT(('AOP25'!$R$2:$R$403='AOP 2025 Summary'!$B39)*('AOP25'!$T$2:$T$403))</f>
        <v>130000</v>
      </c>
      <c r="F39" s="101" cm="1">
        <f t="array" ref="F39">SUMPRODUCT(('AOP25'!$R$2:$R$403='AOP 2025 Summary'!$B39)*('AOP25'!$U$2:$U$403))</f>
        <v>130000</v>
      </c>
      <c r="G39" s="142">
        <f t="shared" si="14"/>
        <v>0</v>
      </c>
      <c r="I39" s="12" t="s">
        <v>5808</v>
      </c>
      <c r="K39" s="101" cm="1">
        <f t="array" ref="K39">SUMPRODUCT(($D$36:$D$55=$I39)*($E$36:$E$55))</f>
        <v>6211980</v>
      </c>
      <c r="L39" s="101" cm="1">
        <f t="array" ref="L39">SUMPRODUCT(($D$36:$D$55=$I39)*($F$36:$F$55))</f>
        <v>6882980</v>
      </c>
      <c r="M39" s="102">
        <f t="shared" si="15"/>
        <v>671000</v>
      </c>
    </row>
    <row r="40" spans="2:13" x14ac:dyDescent="0.25">
      <c r="B40" s="12" t="s">
        <v>3133</v>
      </c>
      <c r="C40" s="124"/>
      <c r="D40" t="s">
        <v>5807</v>
      </c>
      <c r="E40" s="101" cm="1">
        <f t="array" ref="E40">SUMPRODUCT(('AOP25'!$R$2:$R$403='AOP 2025 Summary'!$B40)*('AOP25'!$T$2:$T$403))</f>
        <v>18239124</v>
      </c>
      <c r="F40" s="101" cm="1">
        <f t="array" ref="F40">SUMPRODUCT(('AOP25'!$R$2:$R$403='AOP 2025 Summary'!$B40)*('AOP25'!$U$2:$U$403))</f>
        <v>18724560</v>
      </c>
      <c r="G40" s="142">
        <f t="shared" si="14"/>
        <v>485436</v>
      </c>
      <c r="I40" s="12" t="s">
        <v>5809</v>
      </c>
      <c r="K40" s="101" cm="1">
        <f t="array" ref="K40">SUMPRODUCT(($D$36:$D$55=$I40)*($E$36:$E$55))</f>
        <v>176000</v>
      </c>
      <c r="L40" s="101" cm="1">
        <f t="array" ref="L40">SUMPRODUCT(($D$36:$D$55=$I40)*($F$36:$F$55))</f>
        <v>176000</v>
      </c>
      <c r="M40" s="102">
        <f t="shared" si="15"/>
        <v>0</v>
      </c>
    </row>
    <row r="41" spans="2:13" ht="15.75" thickBot="1" x14ac:dyDescent="0.3">
      <c r="B41" s="12" t="s">
        <v>3098</v>
      </c>
      <c r="C41" s="124"/>
      <c r="D41" t="s">
        <v>5807</v>
      </c>
      <c r="E41" s="101" cm="1">
        <f t="array" ref="E41">SUMPRODUCT(('AOP25'!$R$2:$R$403='AOP 2025 Summary'!$B41)*('AOP25'!$T$2:$T$403))</f>
        <v>17152648</v>
      </c>
      <c r="F41" s="101" cm="1">
        <f t="array" ref="F41">SUMPRODUCT(('AOP25'!$R$2:$R$403='AOP 2025 Summary'!$B41)*('AOP25'!$U$2:$U$403))</f>
        <v>16480148</v>
      </c>
      <c r="G41" s="142">
        <f t="shared" si="14"/>
        <v>-672500</v>
      </c>
      <c r="I41" s="14"/>
      <c r="J41" s="15"/>
      <c r="K41" s="103" cm="1">
        <f t="array" ref="K41">SUMPRODUCT(($D$36:$D$55=$I41)*($E$36:$E$55))</f>
        <v>0</v>
      </c>
      <c r="L41" s="103" cm="1">
        <f t="array" ref="L41">SUMPRODUCT(($D$36:$D$55=$I41)*($F$36:$F$55))</f>
        <v>0</v>
      </c>
      <c r="M41" s="104">
        <f t="shared" si="15"/>
        <v>0</v>
      </c>
    </row>
    <row r="42" spans="2:13" ht="15.75" thickBot="1" x14ac:dyDescent="0.3">
      <c r="B42" s="12" t="s">
        <v>42</v>
      </c>
      <c r="C42" s="124"/>
      <c r="D42" t="s">
        <v>5807</v>
      </c>
      <c r="E42" s="101" cm="1">
        <f t="array" ref="E42">SUMPRODUCT(('AOP25'!$R$2:$R$403='AOP 2025 Summary'!$B42)*('AOP25'!$T$2:$T$403))</f>
        <v>2643700</v>
      </c>
      <c r="F42" s="101" cm="1">
        <f t="array" ref="F42">SUMPRODUCT(('AOP25'!$R$2:$R$403='AOP 2025 Summary'!$B42)*('AOP25'!$U$2:$U$403))</f>
        <v>2699400</v>
      </c>
      <c r="G42" s="142">
        <f t="shared" si="14"/>
        <v>55700</v>
      </c>
      <c r="K42" s="118"/>
      <c r="L42" s="118"/>
      <c r="M42" s="124"/>
    </row>
    <row r="43" spans="2:13" ht="15.75" thickBot="1" x14ac:dyDescent="0.3">
      <c r="B43" s="12" t="s">
        <v>3207</v>
      </c>
      <c r="C43" s="124"/>
      <c r="D43" t="s">
        <v>5808</v>
      </c>
      <c r="E43" s="101" cm="1">
        <f t="array" ref="E43">SUMPRODUCT(('AOP25'!$R$2:$R$403='AOP 2025 Summary'!$B43)*('AOP25'!$T$2:$T$403))</f>
        <v>6211980</v>
      </c>
      <c r="F43" s="101" cm="1">
        <f t="array" ref="F43">SUMPRODUCT(('AOP25'!$R$2:$R$403='AOP 2025 Summary'!$B43)*('AOP25'!$U$2:$U$403))</f>
        <v>6882980</v>
      </c>
      <c r="G43" s="142">
        <f t="shared" si="14"/>
        <v>671000</v>
      </c>
      <c r="I43" s="121" t="s">
        <v>12</v>
      </c>
      <c r="J43" s="122"/>
      <c r="K43" s="111">
        <f>SUM(K36:K42)</f>
        <v>59805102</v>
      </c>
      <c r="L43" s="111">
        <f>SUM(L36:L42)</f>
        <v>62753886.799999997</v>
      </c>
      <c r="M43" s="112">
        <f>SUM(M36:M42)</f>
        <v>2948784.799999997</v>
      </c>
    </row>
    <row r="44" spans="2:13" x14ac:dyDescent="0.25">
      <c r="B44" s="12" t="s">
        <v>3284</v>
      </c>
      <c r="C44" s="124"/>
      <c r="D44" t="s">
        <v>5807</v>
      </c>
      <c r="E44" s="101" cm="1">
        <f t="array" ref="E44">SUMPRODUCT(('AOP25'!$R$2:$R$403='AOP 2025 Summary'!$B44)*('AOP25'!$T$2:$T$403))</f>
        <v>1390000</v>
      </c>
      <c r="F44" s="101" cm="1">
        <f t="array" ref="F44">SUMPRODUCT(('AOP25'!$R$2:$R$403='AOP 2025 Summary'!$B44)*('AOP25'!$U$2:$U$403))</f>
        <v>1544000</v>
      </c>
      <c r="G44" s="142">
        <f t="shared" si="14"/>
        <v>154000</v>
      </c>
    </row>
    <row r="45" spans="2:13" x14ac:dyDescent="0.25">
      <c r="B45" s="12" t="s">
        <v>3175</v>
      </c>
      <c r="C45" s="124"/>
      <c r="D45" t="s">
        <v>5805</v>
      </c>
      <c r="E45" s="101" cm="1">
        <f t="array" ref="E45">SUMPRODUCT(('AOP25'!$R$2:$R$403='AOP 2025 Summary'!$B45)*('AOP25'!$T$2:$T$403))</f>
        <v>2119400</v>
      </c>
      <c r="F45" s="101" cm="1">
        <f t="array" ref="F45">SUMPRODUCT(('AOP25'!$R$2:$R$403='AOP 2025 Summary'!$B45)*('AOP25'!$U$2:$U$403))</f>
        <v>2267400</v>
      </c>
      <c r="G45" s="142">
        <f t="shared" si="14"/>
        <v>148000</v>
      </c>
    </row>
    <row r="46" spans="2:13" x14ac:dyDescent="0.25">
      <c r="B46" s="12" t="s">
        <v>3141</v>
      </c>
      <c r="C46" s="124"/>
      <c r="D46" t="s">
        <v>5804</v>
      </c>
      <c r="E46" s="101" cm="1">
        <f t="array" ref="E46">SUMPRODUCT(('AOP25'!$R$2:$R$403='AOP 2025 Summary'!$B46)*('AOP25'!$T$2:$T$403))</f>
        <v>758000</v>
      </c>
      <c r="F46" s="101" cm="1">
        <f t="array" ref="F46">SUMPRODUCT(('AOP25'!$R$2:$R$403='AOP 2025 Summary'!$B46)*('AOP25'!$U$2:$U$403))</f>
        <v>809000</v>
      </c>
      <c r="G46" s="142">
        <f t="shared" si="14"/>
        <v>51000</v>
      </c>
    </row>
    <row r="47" spans="2:13" ht="13.35" customHeight="1" x14ac:dyDescent="0.25">
      <c r="B47" s="12" t="s">
        <v>3136</v>
      </c>
      <c r="D47" t="s">
        <v>5804</v>
      </c>
      <c r="E47" s="101" cm="1">
        <f t="array" ref="E47">SUMPRODUCT(('AOP25'!$R$2:$R$403='AOP 2025 Summary'!$B47)*('AOP25'!$T$2:$T$403))</f>
        <v>1641800</v>
      </c>
      <c r="F47" s="101" cm="1">
        <f t="array" ref="F47">SUMPRODUCT(('AOP25'!$R$2:$R$403='AOP 2025 Summary'!$B47)*('AOP25'!$U$2:$U$403))</f>
        <v>1539300</v>
      </c>
      <c r="G47" s="142">
        <f t="shared" si="14"/>
        <v>-102500</v>
      </c>
    </row>
    <row r="48" spans="2:13" x14ac:dyDescent="0.25">
      <c r="B48" s="12" t="s">
        <v>3120</v>
      </c>
      <c r="D48" t="s">
        <v>5804</v>
      </c>
      <c r="E48" s="101" cm="1">
        <f t="array" ref="E48">SUMPRODUCT(('AOP25'!$R$2:$R$403='AOP 2025 Summary'!$B48)*('AOP25'!$T$2:$T$403))</f>
        <v>2171300</v>
      </c>
      <c r="F48" s="101" cm="1">
        <f t="array" ref="F48">SUMPRODUCT(('AOP25'!$R$2:$R$403='AOP 2025 Summary'!$B48)*('AOP25'!$U$2:$U$403))</f>
        <v>2135200</v>
      </c>
      <c r="G48" s="142">
        <f t="shared" si="14"/>
        <v>-36100</v>
      </c>
    </row>
    <row r="49" spans="2:7" x14ac:dyDescent="0.25">
      <c r="B49" s="12" t="s">
        <v>3574</v>
      </c>
      <c r="D49" t="s">
        <v>5805</v>
      </c>
      <c r="E49" s="101" cm="1">
        <f t="array" ref="E49">SUMPRODUCT(('AOP25'!$R$2:$R$403='AOP 2025 Summary'!$B49)*('AOP25'!$T$2:$T$403))</f>
        <v>1125000</v>
      </c>
      <c r="F49" s="101" cm="1">
        <f t="array" ref="F49">SUMPRODUCT(('AOP25'!$R$2:$R$403='AOP 2025 Summary'!$B49)*('AOP25'!$U$2:$U$403))</f>
        <v>1142000</v>
      </c>
      <c r="G49" s="142">
        <f t="shared" si="14"/>
        <v>17000</v>
      </c>
    </row>
    <row r="50" spans="2:7" x14ac:dyDescent="0.25">
      <c r="B50" s="12" t="s">
        <v>1046</v>
      </c>
      <c r="D50" t="s">
        <v>5807</v>
      </c>
      <c r="E50" s="101" cm="1">
        <f t="array" ref="E50">SUMPRODUCT(('AOP25'!$R$2:$R$403='AOP 2025 Summary'!$B50)*('AOP25'!$T$2:$T$403))</f>
        <v>2409500</v>
      </c>
      <c r="F50" s="101" cm="1">
        <f t="array" ref="F50">SUMPRODUCT(('AOP25'!$R$2:$R$403='AOP 2025 Summary'!$B50)*('AOP25'!$U$2:$U$403))</f>
        <v>2575500</v>
      </c>
      <c r="G50" s="142">
        <f t="shared" si="14"/>
        <v>166000</v>
      </c>
    </row>
    <row r="51" spans="2:7" x14ac:dyDescent="0.25">
      <c r="B51" s="12" t="s">
        <v>3333</v>
      </c>
      <c r="D51" t="s">
        <v>5804</v>
      </c>
      <c r="E51" s="101" cm="1">
        <f t="array" ref="E51">SUMPRODUCT(('AOP25'!$R$2:$R$403='AOP 2025 Summary'!$B51)*('AOP25'!$T$2:$T$403))</f>
        <v>173000</v>
      </c>
      <c r="F51" s="101" cm="1">
        <f t="array" ref="F51">SUMPRODUCT(('AOP25'!$R$2:$R$403='AOP 2025 Summary'!$B51)*('AOP25'!$U$2:$U$403))</f>
        <v>173000</v>
      </c>
      <c r="G51" s="142">
        <f t="shared" si="14"/>
        <v>0</v>
      </c>
    </row>
    <row r="52" spans="2:7" x14ac:dyDescent="0.25">
      <c r="B52" s="12" t="s">
        <v>3125</v>
      </c>
      <c r="D52" t="s">
        <v>5804</v>
      </c>
      <c r="E52" s="101" cm="1">
        <f t="array" ref="E52">SUMPRODUCT(('AOP25'!$R$2:$R$403='AOP 2025 Summary'!$B52)*('AOP25'!$T$2:$T$403))</f>
        <v>1646000</v>
      </c>
      <c r="F52" s="101" cm="1">
        <f t="array" ref="F52">SUMPRODUCT(('AOP25'!$R$2:$R$403='AOP 2025 Summary'!$B52)*('AOP25'!$U$2:$U$403))</f>
        <v>1821700</v>
      </c>
      <c r="G52" s="142">
        <f t="shared" si="14"/>
        <v>175700</v>
      </c>
    </row>
    <row r="53" spans="2:7" x14ac:dyDescent="0.25">
      <c r="B53" s="12" t="s">
        <v>2903</v>
      </c>
      <c r="D53" t="s">
        <v>5807</v>
      </c>
      <c r="E53" s="101" cm="1">
        <f t="array" ref="E53">SUMPRODUCT(('AOP25'!$R$2:$R$403='AOP 2025 Summary'!$B53)*('AOP25'!$T$2:$T$403))</f>
        <v>0</v>
      </c>
      <c r="F53" s="101" cm="1">
        <f t="array" ref="F53">SUMPRODUCT(('AOP25'!$R$2:$R$403='AOP 2025 Summary'!$B53)*('AOP25'!$U$2:$U$403))</f>
        <v>1837538.8</v>
      </c>
      <c r="G53" s="142">
        <f t="shared" si="14"/>
        <v>1837538.8</v>
      </c>
    </row>
    <row r="54" spans="2:7" x14ac:dyDescent="0.25">
      <c r="B54" s="12" t="s">
        <v>3504</v>
      </c>
      <c r="D54" t="s">
        <v>5809</v>
      </c>
      <c r="E54" s="101" cm="1">
        <f t="array" ref="E54">SUMPRODUCT(('AOP25'!$R$2:$R$403='AOP 2025 Summary'!$B54)*('AOP25'!$T$2:$T$403))</f>
        <v>176000</v>
      </c>
      <c r="F54" s="101" cm="1">
        <f t="array" ref="F54">SUMPRODUCT(('AOP25'!$R$2:$R$403='AOP 2025 Summary'!$B54)*('AOP25'!$U$2:$U$403))</f>
        <v>176000</v>
      </c>
      <c r="G54" s="142">
        <f t="shared" si="14"/>
        <v>0</v>
      </c>
    </row>
    <row r="55" spans="2:7" ht="15.75" thickBot="1" x14ac:dyDescent="0.3">
      <c r="B55" s="14"/>
      <c r="C55" s="46"/>
      <c r="D55" s="103"/>
      <c r="E55" s="103" cm="1">
        <f t="array" ref="E55">SUMPRODUCT(('AOP25'!$R$2:$R$403='AOP 2025 Summary'!$B55)*('AOP25'!$T$2:$T$403))</f>
        <v>0</v>
      </c>
      <c r="F55" s="103" cm="1">
        <f t="array" ref="F55">SUMPRODUCT(('AOP25'!$R$2:$R$403='AOP 2025 Summary'!$B55)*('AOP25'!$U$2:$U$403))</f>
        <v>0</v>
      </c>
      <c r="G55" s="143">
        <f t="shared" si="14"/>
        <v>0</v>
      </c>
    </row>
    <row r="56" spans="2:7" ht="15.75" thickBot="1" x14ac:dyDescent="0.3">
      <c r="D56" s="101"/>
      <c r="E56" s="101"/>
      <c r="F56" s="101"/>
      <c r="G56" s="101"/>
    </row>
    <row r="57" spans="2:7" ht="15.75" thickBot="1" x14ac:dyDescent="0.3">
      <c r="B57" s="50" t="s">
        <v>12</v>
      </c>
      <c r="C57" s="51"/>
      <c r="D57" s="51"/>
      <c r="E57" s="140">
        <f>SUM(E36:E55)</f>
        <v>59805102</v>
      </c>
      <c r="F57" s="140">
        <f t="shared" ref="F57:G57" si="16">SUM(F36:F55)</f>
        <v>62753886.799999997</v>
      </c>
      <c r="G57" s="176">
        <f t="shared" si="16"/>
        <v>2948784.8</v>
      </c>
    </row>
  </sheetData>
  <pageMargins left="0.7" right="0.7" top="0.75" bottom="0.75" header="0.3" footer="0.3"/>
  <pageSetup orientation="portrait" r:id="rId1"/>
  <customProperties>
    <customPr name="_pios_id" r:id="rId2"/>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CB028-AE77-4047-BBCD-75C5C8197CD2}">
  <sheetPr codeName="Sheet8"/>
  <dimension ref="A1:L10"/>
  <sheetViews>
    <sheetView zoomScale="80" zoomScaleNormal="80" workbookViewId="0">
      <selection activeCell="B22" sqref="B22"/>
    </sheetView>
  </sheetViews>
  <sheetFormatPr defaultColWidth="8.85546875" defaultRowHeight="15" x14ac:dyDescent="0.25"/>
  <cols>
    <col min="1" max="2" width="10.42578125" customWidth="1"/>
    <col min="3" max="3" width="28.42578125" customWidth="1"/>
    <col min="4" max="4" width="13.42578125" customWidth="1"/>
    <col min="5" max="7" width="15.42578125" customWidth="1"/>
    <col min="8" max="8" width="18.42578125" customWidth="1"/>
    <col min="9" max="9" width="12.42578125" customWidth="1"/>
    <col min="10" max="10" width="24" customWidth="1"/>
    <col min="11" max="11" width="23.42578125" customWidth="1"/>
    <col min="12" max="12" width="22" customWidth="1"/>
  </cols>
  <sheetData>
    <row r="1" spans="1:12" x14ac:dyDescent="0.25">
      <c r="A1" s="8" t="s">
        <v>5810</v>
      </c>
      <c r="B1" s="8" t="s">
        <v>5811</v>
      </c>
      <c r="C1" s="8" t="s">
        <v>5812</v>
      </c>
      <c r="D1" s="8" t="s">
        <v>5813</v>
      </c>
      <c r="E1" s="8" t="s">
        <v>5814</v>
      </c>
      <c r="F1" s="8" t="s">
        <v>5815</v>
      </c>
      <c r="G1" s="8" t="s">
        <v>5816</v>
      </c>
      <c r="H1" s="8" t="s">
        <v>5817</v>
      </c>
      <c r="I1" s="8" t="s">
        <v>5818</v>
      </c>
      <c r="J1" s="8" t="s">
        <v>5819</v>
      </c>
      <c r="K1" s="8" t="s">
        <v>5820</v>
      </c>
      <c r="L1" s="8" t="s">
        <v>5821</v>
      </c>
    </row>
    <row r="2" spans="1:12" x14ac:dyDescent="0.25">
      <c r="A2">
        <v>1</v>
      </c>
      <c r="B2" t="s">
        <v>3026</v>
      </c>
      <c r="C2" t="s">
        <v>5822</v>
      </c>
      <c r="D2" s="200">
        <f>39787*2</f>
        <v>79574</v>
      </c>
      <c r="E2" t="s">
        <v>1271</v>
      </c>
      <c r="F2" t="s">
        <v>845</v>
      </c>
      <c r="G2" s="206" t="s">
        <v>5808</v>
      </c>
      <c r="H2" s="206">
        <v>68427719</v>
      </c>
      <c r="I2" s="206" t="s">
        <v>5823</v>
      </c>
      <c r="J2" s="206">
        <v>68427709</v>
      </c>
      <c r="L2" s="214" t="s">
        <v>5824</v>
      </c>
    </row>
    <row r="3" spans="1:12" x14ac:dyDescent="0.25">
      <c r="A3">
        <v>2</v>
      </c>
      <c r="B3" t="s">
        <v>3026</v>
      </c>
      <c r="C3" t="s">
        <v>5825</v>
      </c>
      <c r="D3" s="200">
        <v>30888</v>
      </c>
      <c r="E3" t="s">
        <v>1271</v>
      </c>
      <c r="F3" t="s">
        <v>845</v>
      </c>
      <c r="G3" s="206" t="s">
        <v>5808</v>
      </c>
      <c r="H3" s="206">
        <v>68427719</v>
      </c>
      <c r="I3" s="206" t="s">
        <v>5823</v>
      </c>
      <c r="J3" s="206">
        <v>68427709</v>
      </c>
      <c r="L3" s="214" t="s">
        <v>5824</v>
      </c>
    </row>
    <row r="4" spans="1:12" x14ac:dyDescent="0.25">
      <c r="A4">
        <v>3</v>
      </c>
      <c r="B4" t="s">
        <v>3026</v>
      </c>
      <c r="C4" t="s">
        <v>5826</v>
      </c>
      <c r="D4" s="200">
        <v>215000</v>
      </c>
      <c r="E4" t="s">
        <v>5827</v>
      </c>
      <c r="F4" t="s">
        <v>845</v>
      </c>
      <c r="G4" s="206" t="s">
        <v>5808</v>
      </c>
      <c r="H4" s="206">
        <v>68427719</v>
      </c>
      <c r="I4" s="206" t="s">
        <v>5823</v>
      </c>
      <c r="J4" s="206">
        <v>68427709</v>
      </c>
      <c r="L4" s="214" t="s">
        <v>5824</v>
      </c>
    </row>
    <row r="5" spans="1:12" x14ac:dyDescent="0.25">
      <c r="A5">
        <v>4</v>
      </c>
      <c r="B5" t="s">
        <v>3026</v>
      </c>
      <c r="C5" t="s">
        <v>5828</v>
      </c>
      <c r="D5" s="200">
        <v>262000</v>
      </c>
      <c r="E5" t="s">
        <v>5829</v>
      </c>
      <c r="F5" t="s">
        <v>845</v>
      </c>
      <c r="G5" s="206" t="s">
        <v>5808</v>
      </c>
      <c r="H5" s="206">
        <v>68427719</v>
      </c>
      <c r="I5" s="206" t="s">
        <v>5823</v>
      </c>
      <c r="J5" s="206">
        <v>68427709</v>
      </c>
      <c r="L5" s="214" t="s">
        <v>5824</v>
      </c>
    </row>
    <row r="6" spans="1:12" ht="75" x14ac:dyDescent="0.25">
      <c r="A6">
        <v>5</v>
      </c>
      <c r="B6" t="s">
        <v>3026</v>
      </c>
      <c r="C6" t="s">
        <v>5830</v>
      </c>
      <c r="D6" s="200" t="s">
        <v>5831</v>
      </c>
      <c r="E6" t="s">
        <v>5832</v>
      </c>
      <c r="F6" t="s">
        <v>2172</v>
      </c>
      <c r="G6" t="s">
        <v>517</v>
      </c>
      <c r="H6" t="s">
        <v>2172</v>
      </c>
      <c r="I6" s="206" t="s">
        <v>5823</v>
      </c>
      <c r="J6" s="206">
        <v>68427709</v>
      </c>
      <c r="K6" s="209" t="s">
        <v>5833</v>
      </c>
      <c r="L6" s="208" t="s">
        <v>5834</v>
      </c>
    </row>
    <row r="7" spans="1:12" x14ac:dyDescent="0.25">
      <c r="A7">
        <v>6</v>
      </c>
      <c r="B7" t="s">
        <v>3026</v>
      </c>
      <c r="C7" t="s">
        <v>5835</v>
      </c>
      <c r="D7" s="200" t="s">
        <v>2175</v>
      </c>
      <c r="E7" t="s">
        <v>5836</v>
      </c>
      <c r="F7" t="s">
        <v>2175</v>
      </c>
      <c r="H7" t="s">
        <v>2175</v>
      </c>
      <c r="J7" t="s">
        <v>2175</v>
      </c>
      <c r="K7" t="s">
        <v>5837</v>
      </c>
      <c r="L7" s="208" t="s">
        <v>5834</v>
      </c>
    </row>
    <row r="8" spans="1:12" ht="30" x14ac:dyDescent="0.25">
      <c r="A8">
        <v>7</v>
      </c>
      <c r="B8" t="s">
        <v>5838</v>
      </c>
      <c r="C8" t="s">
        <v>5839</v>
      </c>
      <c r="D8" s="200">
        <v>2990</v>
      </c>
      <c r="E8" t="s">
        <v>5840</v>
      </c>
      <c r="F8" t="s">
        <v>5841</v>
      </c>
      <c r="G8">
        <v>6702</v>
      </c>
      <c r="I8" t="s">
        <v>5823</v>
      </c>
      <c r="J8">
        <v>68427709</v>
      </c>
      <c r="K8" s="210" t="s">
        <v>5842</v>
      </c>
      <c r="L8" s="208" t="s">
        <v>5834</v>
      </c>
    </row>
    <row r="9" spans="1:12" x14ac:dyDescent="0.25">
      <c r="A9">
        <v>8</v>
      </c>
      <c r="B9" t="s">
        <v>5838</v>
      </c>
      <c r="C9" t="s">
        <v>5843</v>
      </c>
      <c r="D9" s="200">
        <v>3960</v>
      </c>
      <c r="E9" t="s">
        <v>5844</v>
      </c>
      <c r="F9" t="s">
        <v>5841</v>
      </c>
      <c r="G9">
        <v>6574</v>
      </c>
      <c r="I9" t="s">
        <v>5823</v>
      </c>
      <c r="J9">
        <v>68427709</v>
      </c>
      <c r="K9">
        <v>5400976398</v>
      </c>
      <c r="L9" s="214" t="s">
        <v>5824</v>
      </c>
    </row>
    <row r="10" spans="1:12" ht="60" x14ac:dyDescent="0.25">
      <c r="A10">
        <v>9</v>
      </c>
      <c r="B10" t="s">
        <v>5838</v>
      </c>
      <c r="C10" t="s">
        <v>5845</v>
      </c>
      <c r="D10" t="s">
        <v>5846</v>
      </c>
      <c r="E10" s="210" t="s">
        <v>5847</v>
      </c>
      <c r="H10">
        <v>68427709</v>
      </c>
      <c r="J10" t="s">
        <v>5848</v>
      </c>
      <c r="K10" s="210" t="s">
        <v>5849</v>
      </c>
      <c r="L10" t="s">
        <v>5834</v>
      </c>
    </row>
  </sheetData>
  <pageMargins left="0.7" right="0.7" top="0.75" bottom="0.75" header="0.3" footer="0.3"/>
  <pageSetup paperSize="9" orientation="portrait" r:id="rId1"/>
  <customProperties>
    <customPr name="_pios_id"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2:A71"/>
  <sheetViews>
    <sheetView topLeftCell="A13" workbookViewId="0">
      <selection activeCell="A13" sqref="A13"/>
    </sheetView>
  </sheetViews>
  <sheetFormatPr defaultColWidth="9.42578125" defaultRowHeight="15" x14ac:dyDescent="0.25"/>
  <cols>
    <col min="1" max="1" width="136.42578125" style="33" bestFit="1" customWidth="1"/>
    <col min="2" max="16384" width="9.42578125" style="33"/>
  </cols>
  <sheetData>
    <row r="2" spans="1:1" x14ac:dyDescent="0.25">
      <c r="A2" s="33" t="s">
        <v>5850</v>
      </c>
    </row>
    <row r="4" spans="1:1" x14ac:dyDescent="0.25">
      <c r="A4" s="82" t="s">
        <v>5851</v>
      </c>
    </row>
    <row r="5" spans="1:1" x14ac:dyDescent="0.25">
      <c r="A5" s="83"/>
    </row>
    <row r="6" spans="1:1" x14ac:dyDescent="0.25">
      <c r="A6" s="82" t="s">
        <v>5790</v>
      </c>
    </row>
    <row r="7" spans="1:1" x14ac:dyDescent="0.25">
      <c r="A7" s="81" t="s">
        <v>5852</v>
      </c>
    </row>
    <row r="8" spans="1:1" x14ac:dyDescent="0.25">
      <c r="A8" s="81" t="s">
        <v>5853</v>
      </c>
    </row>
    <row r="9" spans="1:1" x14ac:dyDescent="0.25">
      <c r="A9" s="81" t="s">
        <v>5854</v>
      </c>
    </row>
    <row r="10" spans="1:1" x14ac:dyDescent="0.25">
      <c r="A10" s="81" t="s">
        <v>5855</v>
      </c>
    </row>
    <row r="11" spans="1:1" x14ac:dyDescent="0.25">
      <c r="A11" s="81" t="s">
        <v>5856</v>
      </c>
    </row>
    <row r="12" spans="1:1" x14ac:dyDescent="0.25">
      <c r="A12" s="81" t="s">
        <v>5857</v>
      </c>
    </row>
    <row r="13" spans="1:1" x14ac:dyDescent="0.25">
      <c r="A13" s="81"/>
    </row>
    <row r="14" spans="1:1" x14ac:dyDescent="0.25">
      <c r="A14" s="82" t="s">
        <v>3</v>
      </c>
    </row>
    <row r="15" spans="1:1" x14ac:dyDescent="0.25">
      <c r="A15" s="81" t="s">
        <v>5858</v>
      </c>
    </row>
    <row r="16" spans="1:1" x14ac:dyDescent="0.25">
      <c r="A16" s="81" t="s">
        <v>5859</v>
      </c>
    </row>
    <row r="17" spans="1:1" x14ac:dyDescent="0.25">
      <c r="A17" s="81" t="s">
        <v>5860</v>
      </c>
    </row>
    <row r="18" spans="1:1" x14ac:dyDescent="0.25">
      <c r="A18" s="81" t="s">
        <v>5861</v>
      </c>
    </row>
    <row r="19" spans="1:1" x14ac:dyDescent="0.25">
      <c r="A19" s="81" t="s">
        <v>5862</v>
      </c>
    </row>
    <row r="20" spans="1:1" x14ac:dyDescent="0.25">
      <c r="A20" s="81" t="s">
        <v>5863</v>
      </c>
    </row>
    <row r="21" spans="1:1" x14ac:dyDescent="0.25">
      <c r="A21" s="81" t="s">
        <v>5864</v>
      </c>
    </row>
    <row r="22" spans="1:1" x14ac:dyDescent="0.25">
      <c r="A22" s="81"/>
    </row>
    <row r="25" spans="1:1" x14ac:dyDescent="0.25">
      <c r="A25" s="82" t="s">
        <v>5865</v>
      </c>
    </row>
    <row r="26" spans="1:1" x14ac:dyDescent="0.25">
      <c r="A26" s="81"/>
    </row>
    <row r="27" spans="1:1" x14ac:dyDescent="0.25">
      <c r="A27" s="82" t="s">
        <v>5866</v>
      </c>
    </row>
    <row r="28" spans="1:1" x14ac:dyDescent="0.25">
      <c r="A28" s="81"/>
    </row>
    <row r="29" spans="1:1" x14ac:dyDescent="0.25">
      <c r="A29" s="81" t="s">
        <v>5867</v>
      </c>
    </row>
    <row r="30" spans="1:1" x14ac:dyDescent="0.25">
      <c r="A30" s="81" t="s">
        <v>5868</v>
      </c>
    </row>
    <row r="31" spans="1:1" x14ac:dyDescent="0.25">
      <c r="A31" s="81" t="s">
        <v>5869</v>
      </c>
    </row>
    <row r="32" spans="1:1" x14ac:dyDescent="0.25">
      <c r="A32" s="81" t="s">
        <v>5870</v>
      </c>
    </row>
    <row r="33" spans="1:1" x14ac:dyDescent="0.25">
      <c r="A33" s="81" t="s">
        <v>5871</v>
      </c>
    </row>
    <row r="50" spans="1:1" x14ac:dyDescent="0.25">
      <c r="A50" s="82" t="s">
        <v>5872</v>
      </c>
    </row>
    <row r="51" spans="1:1" x14ac:dyDescent="0.25">
      <c r="A51" s="81" t="s">
        <v>5873</v>
      </c>
    </row>
    <row r="52" spans="1:1" x14ac:dyDescent="0.25">
      <c r="A52" s="81" t="s">
        <v>5874</v>
      </c>
    </row>
    <row r="53" spans="1:1" x14ac:dyDescent="0.25">
      <c r="A53" s="81"/>
    </row>
    <row r="54" spans="1:1" x14ac:dyDescent="0.25">
      <c r="A54" s="81" t="s">
        <v>5875</v>
      </c>
    </row>
    <row r="55" spans="1:1" x14ac:dyDescent="0.25">
      <c r="A55" s="81" t="s">
        <v>5876</v>
      </c>
    </row>
    <row r="56" spans="1:1" x14ac:dyDescent="0.25">
      <c r="A56" s="81" t="s">
        <v>5877</v>
      </c>
    </row>
    <row r="57" spans="1:1" x14ac:dyDescent="0.25">
      <c r="A57" s="81"/>
    </row>
    <row r="58" spans="1:1" x14ac:dyDescent="0.25">
      <c r="A58" s="81" t="s">
        <v>5878</v>
      </c>
    </row>
    <row r="59" spans="1:1" x14ac:dyDescent="0.25">
      <c r="A59" s="81" t="s">
        <v>5879</v>
      </c>
    </row>
    <row r="60" spans="1:1" x14ac:dyDescent="0.25">
      <c r="A60" s="81"/>
    </row>
    <row r="61" spans="1:1" x14ac:dyDescent="0.25">
      <c r="A61" s="81"/>
    </row>
    <row r="62" spans="1:1" x14ac:dyDescent="0.25">
      <c r="A62" s="82" t="s">
        <v>5880</v>
      </c>
    </row>
    <row r="63" spans="1:1" x14ac:dyDescent="0.25">
      <c r="A63" s="81" t="s">
        <v>5881</v>
      </c>
    </row>
    <row r="64" spans="1:1" x14ac:dyDescent="0.25">
      <c r="A64" s="81" t="s">
        <v>5882</v>
      </c>
    </row>
    <row r="65" spans="1:1" x14ac:dyDescent="0.25">
      <c r="A65" s="81" t="s">
        <v>5883</v>
      </c>
    </row>
    <row r="66" spans="1:1" x14ac:dyDescent="0.25">
      <c r="A66" s="81" t="s">
        <v>5884</v>
      </c>
    </row>
    <row r="67" spans="1:1" x14ac:dyDescent="0.25">
      <c r="A67" s="81"/>
    </row>
    <row r="68" spans="1:1" x14ac:dyDescent="0.25">
      <c r="A68" s="82" t="s">
        <v>3710</v>
      </c>
    </row>
    <row r="69" spans="1:1" x14ac:dyDescent="0.25">
      <c r="A69" s="81" t="s">
        <v>5885</v>
      </c>
    </row>
    <row r="70" spans="1:1" x14ac:dyDescent="0.25">
      <c r="A70" s="81" t="s">
        <v>5886</v>
      </c>
    </row>
    <row r="71" spans="1:1" x14ac:dyDescent="0.25">
      <c r="A71" s="81" t="s">
        <v>5887</v>
      </c>
    </row>
  </sheetData>
  <pageMargins left="0.7" right="0.7" top="0.75" bottom="0.75" header="0.3" footer="0.3"/>
  <pageSetup paperSize="9" orientation="portrait" r:id="rId1"/>
  <customProperties>
    <customPr name="_pios_id" r:id="rId2"/>
  </customProperties>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ABCF9-9B1E-4F6A-B05F-8A271B46AA7F}">
  <sheetPr codeName="Sheet15"/>
  <dimension ref="A1:B22"/>
  <sheetViews>
    <sheetView workbookViewId="0">
      <selection activeCell="B38" sqref="B38"/>
    </sheetView>
  </sheetViews>
  <sheetFormatPr defaultColWidth="8.85546875" defaultRowHeight="15" x14ac:dyDescent="0.25"/>
  <cols>
    <col min="2" max="2" width="135.42578125" bestFit="1" customWidth="1"/>
  </cols>
  <sheetData>
    <row r="1" spans="1:2" x14ac:dyDescent="0.25">
      <c r="A1" s="8" t="s">
        <v>5888</v>
      </c>
      <c r="B1" s="8" t="s">
        <v>11</v>
      </c>
    </row>
    <row r="2" spans="1:2" x14ac:dyDescent="0.25">
      <c r="A2">
        <v>1</v>
      </c>
      <c r="B2" t="s">
        <v>5889</v>
      </c>
    </row>
    <row r="3" spans="1:2" x14ac:dyDescent="0.25">
      <c r="A3">
        <v>2</v>
      </c>
      <c r="B3" t="s">
        <v>5890</v>
      </c>
    </row>
    <row r="4" spans="1:2" x14ac:dyDescent="0.25">
      <c r="A4">
        <v>3</v>
      </c>
      <c r="B4" t="s">
        <v>5891</v>
      </c>
    </row>
    <row r="5" spans="1:2" x14ac:dyDescent="0.25">
      <c r="A5">
        <v>4</v>
      </c>
      <c r="B5" t="s">
        <v>5892</v>
      </c>
    </row>
    <row r="6" spans="1:2" x14ac:dyDescent="0.25">
      <c r="A6">
        <v>5</v>
      </c>
      <c r="B6" t="s">
        <v>5893</v>
      </c>
    </row>
    <row r="7" spans="1:2" x14ac:dyDescent="0.25">
      <c r="A7">
        <v>6</v>
      </c>
      <c r="B7" t="s">
        <v>5894</v>
      </c>
    </row>
    <row r="8" spans="1:2" x14ac:dyDescent="0.25">
      <c r="A8">
        <v>7</v>
      </c>
      <c r="B8" t="s">
        <v>5895</v>
      </c>
    </row>
    <row r="9" spans="1:2" x14ac:dyDescent="0.25">
      <c r="A9">
        <v>8</v>
      </c>
      <c r="B9" t="s">
        <v>5896</v>
      </c>
    </row>
    <row r="10" spans="1:2" x14ac:dyDescent="0.25">
      <c r="A10">
        <v>9</v>
      </c>
      <c r="B10" t="s">
        <v>5897</v>
      </c>
    </row>
    <row r="11" spans="1:2" x14ac:dyDescent="0.25">
      <c r="A11">
        <v>10</v>
      </c>
      <c r="B11" t="s">
        <v>5898</v>
      </c>
    </row>
    <row r="12" spans="1:2" x14ac:dyDescent="0.25">
      <c r="A12">
        <v>11</v>
      </c>
      <c r="B12" t="s">
        <v>5899</v>
      </c>
    </row>
    <row r="13" spans="1:2" x14ac:dyDescent="0.25">
      <c r="A13">
        <v>12</v>
      </c>
      <c r="B13" t="s">
        <v>5900</v>
      </c>
    </row>
    <row r="14" spans="1:2" x14ac:dyDescent="0.25">
      <c r="A14">
        <v>13</v>
      </c>
      <c r="B14" t="s">
        <v>5901</v>
      </c>
    </row>
    <row r="15" spans="1:2" x14ac:dyDescent="0.25">
      <c r="A15">
        <v>14</v>
      </c>
      <c r="B15" t="s">
        <v>5902</v>
      </c>
    </row>
    <row r="16" spans="1:2" x14ac:dyDescent="0.25">
      <c r="A16">
        <v>15</v>
      </c>
    </row>
    <row r="17" spans="1:1" x14ac:dyDescent="0.25">
      <c r="A17">
        <v>16</v>
      </c>
    </row>
    <row r="18" spans="1:1" x14ac:dyDescent="0.25">
      <c r="A18">
        <v>17</v>
      </c>
    </row>
    <row r="19" spans="1:1" x14ac:dyDescent="0.25">
      <c r="A19">
        <v>18</v>
      </c>
    </row>
    <row r="20" spans="1:1" x14ac:dyDescent="0.25">
      <c r="A20">
        <v>19</v>
      </c>
    </row>
    <row r="21" spans="1:1" x14ac:dyDescent="0.25">
      <c r="A21">
        <v>20</v>
      </c>
    </row>
    <row r="22" spans="1:1" x14ac:dyDescent="0.25">
      <c r="A22">
        <v>21</v>
      </c>
    </row>
  </sheetData>
  <pageMargins left="0.7" right="0.7" top="0.75" bottom="0.75" header="0.3" footer="0.3"/>
  <pageSetup paperSize="9" orientation="portrait" horizontalDpi="4294967293" r:id="rId1"/>
  <customProperties>
    <customPr name="_pios_id"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A70E1-627C-4D58-A5B3-625E08210C45}">
  <sheetPr codeName="Sheet16"/>
  <dimension ref="B2:D11"/>
  <sheetViews>
    <sheetView workbookViewId="0">
      <selection activeCell="C11" sqref="C11"/>
    </sheetView>
  </sheetViews>
  <sheetFormatPr defaultColWidth="8.85546875" defaultRowHeight="15" x14ac:dyDescent="0.25"/>
  <cols>
    <col min="3" max="3" width="83.42578125" customWidth="1"/>
    <col min="4" max="4" width="12.42578125" customWidth="1"/>
  </cols>
  <sheetData>
    <row r="2" spans="2:4" x14ac:dyDescent="0.25">
      <c r="B2" t="s">
        <v>5785</v>
      </c>
      <c r="C2" t="s">
        <v>5903</v>
      </c>
      <c r="D2" t="s">
        <v>301</v>
      </c>
    </row>
    <row r="3" spans="2:4" x14ac:dyDescent="0.25">
      <c r="B3">
        <v>1</v>
      </c>
      <c r="C3" t="s">
        <v>5904</v>
      </c>
      <c r="D3" t="s">
        <v>5824</v>
      </c>
    </row>
    <row r="4" spans="2:4" x14ac:dyDescent="0.25">
      <c r="B4">
        <v>2</v>
      </c>
      <c r="C4" t="s">
        <v>5905</v>
      </c>
      <c r="D4" t="s">
        <v>5824</v>
      </c>
    </row>
    <row r="5" spans="2:4" x14ac:dyDescent="0.25">
      <c r="B5">
        <v>3</v>
      </c>
      <c r="C5" t="s">
        <v>5906</v>
      </c>
      <c r="D5" t="s">
        <v>5824</v>
      </c>
    </row>
    <row r="6" spans="2:4" x14ac:dyDescent="0.25">
      <c r="B6">
        <v>4</v>
      </c>
      <c r="C6" t="s">
        <v>5907</v>
      </c>
      <c r="D6" t="s">
        <v>5824</v>
      </c>
    </row>
    <row r="7" spans="2:4" x14ac:dyDescent="0.25">
      <c r="B7">
        <v>5</v>
      </c>
      <c r="C7" t="s">
        <v>5908</v>
      </c>
      <c r="D7" t="s">
        <v>5824</v>
      </c>
    </row>
    <row r="8" spans="2:4" x14ac:dyDescent="0.25">
      <c r="B8">
        <v>6</v>
      </c>
      <c r="C8" t="s">
        <v>5909</v>
      </c>
      <c r="D8" t="s">
        <v>5824</v>
      </c>
    </row>
    <row r="9" spans="2:4" x14ac:dyDescent="0.25">
      <c r="B9">
        <v>7</v>
      </c>
      <c r="C9" t="s">
        <v>5910</v>
      </c>
      <c r="D9" t="s">
        <v>5824</v>
      </c>
    </row>
    <row r="10" spans="2:4" x14ac:dyDescent="0.25">
      <c r="B10">
        <v>8</v>
      </c>
      <c r="C10" t="s">
        <v>5911</v>
      </c>
      <c r="D10" t="s">
        <v>5824</v>
      </c>
    </row>
    <row r="11" spans="2:4" x14ac:dyDescent="0.25">
      <c r="B11">
        <v>9</v>
      </c>
    </row>
  </sheetData>
  <pageMargins left="0.7" right="0.7" top="0.75" bottom="0.75" header="0.3" footer="0.3"/>
  <pageSetup paperSize="9" orientation="portrait" r:id="rId1"/>
  <customProperties>
    <customPr name="_pios_id" r:id="rId2"/>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CDBE6-A839-461A-9D55-E0C436B6D153}">
  <sheetPr codeName="Sheet12" filterMode="1"/>
  <dimension ref="A1:Q113"/>
  <sheetViews>
    <sheetView topLeftCell="H1" zoomScale="85" zoomScaleNormal="85" workbookViewId="0">
      <selection activeCell="G36" sqref="G36"/>
    </sheetView>
  </sheetViews>
  <sheetFormatPr defaultColWidth="8.85546875" defaultRowHeight="15" x14ac:dyDescent="0.25"/>
  <cols>
    <col min="1" max="1" width="10" bestFit="1" customWidth="1"/>
    <col min="2" max="2" width="35.42578125" customWidth="1"/>
    <col min="3" max="3" width="12.42578125" customWidth="1"/>
    <col min="4" max="6" width="16.42578125" customWidth="1"/>
    <col min="7" max="7" width="20" customWidth="1"/>
    <col min="8" max="8" width="31.42578125" bestFit="1" customWidth="1"/>
    <col min="9" max="9" width="27.42578125" customWidth="1"/>
    <col min="10" max="11" width="7.42578125" customWidth="1"/>
    <col min="12" max="13" width="10.42578125" customWidth="1"/>
    <col min="14" max="15" width="16.42578125" customWidth="1"/>
    <col min="16" max="16" width="16.42578125" bestFit="1" customWidth="1"/>
    <col min="17" max="17" width="44.42578125" bestFit="1" customWidth="1"/>
  </cols>
  <sheetData>
    <row r="1" spans="1:17" x14ac:dyDescent="0.25">
      <c r="B1" t="s">
        <v>304</v>
      </c>
      <c r="C1">
        <v>2023</v>
      </c>
      <c r="E1" t="s">
        <v>5912</v>
      </c>
      <c r="F1" s="37">
        <v>45278</v>
      </c>
    </row>
    <row r="2" spans="1:17" x14ac:dyDescent="0.25">
      <c r="B2" t="s">
        <v>5913</v>
      </c>
      <c r="C2" s="190">
        <v>950000</v>
      </c>
    </row>
    <row r="3" spans="1:17" x14ac:dyDescent="0.25">
      <c r="B3" t="s">
        <v>5914</v>
      </c>
      <c r="C3" cm="1">
        <f t="array" ref="C3">SUMPRODUCT(($C$7:$C$105="non-sap")*($D$7:$D$105="Operational")*($H$7:$H$105="Managed Hosting (Private Cloud)")*($K$7:$K$105))</f>
        <v>92</v>
      </c>
    </row>
    <row r="4" spans="1:17" x14ac:dyDescent="0.25">
      <c r="B4" t="s">
        <v>5915</v>
      </c>
      <c r="C4" s="191">
        <f>C2/C3</f>
        <v>10326.08695652174</v>
      </c>
      <c r="E4" t="s">
        <v>5916</v>
      </c>
      <c r="G4" t="s">
        <v>5917</v>
      </c>
      <c r="H4" s="91" t="s">
        <v>36</v>
      </c>
      <c r="L4" s="8" t="s">
        <v>12</v>
      </c>
      <c r="M4" s="192">
        <f>SUM(M7:M105)</f>
        <v>900900</v>
      </c>
      <c r="N4" s="192">
        <f>SUM(N7:N105)</f>
        <v>932000</v>
      </c>
      <c r="O4" s="192">
        <f>SUM(O7:O105)</f>
        <v>-31100</v>
      </c>
    </row>
    <row r="6" spans="1:17" s="8" customFormat="1" x14ac:dyDescent="0.25">
      <c r="A6" s="193" t="s">
        <v>5918</v>
      </c>
      <c r="B6" s="194" t="s">
        <v>5919</v>
      </c>
      <c r="C6" s="194" t="s">
        <v>5920</v>
      </c>
      <c r="D6" s="194" t="s">
        <v>5921</v>
      </c>
      <c r="E6" s="194" t="s">
        <v>5922</v>
      </c>
      <c r="F6" s="194" t="s">
        <v>5923</v>
      </c>
      <c r="G6" s="194" t="s">
        <v>5924</v>
      </c>
      <c r="H6" s="194" t="s">
        <v>5925</v>
      </c>
      <c r="I6" s="195" t="s">
        <v>5926</v>
      </c>
      <c r="J6" s="196" t="s">
        <v>5927</v>
      </c>
      <c r="K6" s="193" t="s">
        <v>5928</v>
      </c>
      <c r="L6" s="194" t="s">
        <v>5929</v>
      </c>
      <c r="M6" s="194" t="s">
        <v>5930</v>
      </c>
      <c r="N6" s="194" t="s">
        <v>5931</v>
      </c>
      <c r="O6" s="194" t="s">
        <v>5791</v>
      </c>
      <c r="P6" s="194" t="s">
        <v>5932</v>
      </c>
      <c r="Q6" s="195" t="s">
        <v>306</v>
      </c>
    </row>
    <row r="7" spans="1:17" hidden="1" x14ac:dyDescent="0.25">
      <c r="A7" s="197" t="s">
        <v>3128</v>
      </c>
      <c r="B7" t="s">
        <v>5933</v>
      </c>
      <c r="C7" t="s">
        <v>633</v>
      </c>
      <c r="D7" t="s">
        <v>5934</v>
      </c>
      <c r="E7" t="s">
        <v>5935</v>
      </c>
      <c r="F7" t="s">
        <v>5936</v>
      </c>
      <c r="G7" t="s">
        <v>1259</v>
      </c>
      <c r="H7" t="s">
        <v>5937</v>
      </c>
      <c r="I7" t="s">
        <v>5938</v>
      </c>
      <c r="J7">
        <v>1</v>
      </c>
      <c r="K7">
        <v>11</v>
      </c>
      <c r="L7" s="198">
        <f>IF(C7="non-sap",$C$4,0)</f>
        <v>0</v>
      </c>
      <c r="M7" s="198">
        <f>IF(AND(C7="non-sap",D7="Operational"),CEILING((K7*L7),100),0)</f>
        <v>0</v>
      </c>
      <c r="N7" s="198" cm="1">
        <f t="array" ref="N7">SUMPRODUCT(('AOP25'!$F$2:$F$403=$H$4)*('AOP25'!$J$2:$J$403='Infra Cost Non Sap 2024'!A7)*('AOP25'!$T$2:$T$403))</f>
        <v>0</v>
      </c>
      <c r="O7" s="198">
        <f>M7-N7</f>
        <v>0</v>
      </c>
      <c r="P7" t="s">
        <v>3603</v>
      </c>
      <c r="Q7" s="135"/>
    </row>
    <row r="8" spans="1:17" hidden="1" x14ac:dyDescent="0.25">
      <c r="A8" s="197" t="s">
        <v>3214</v>
      </c>
      <c r="B8" t="s">
        <v>5939</v>
      </c>
      <c r="C8" t="s">
        <v>633</v>
      </c>
      <c r="D8" t="s">
        <v>5934</v>
      </c>
      <c r="E8" t="s">
        <v>5935</v>
      </c>
      <c r="F8" t="s">
        <v>1046</v>
      </c>
      <c r="G8" t="s">
        <v>1489</v>
      </c>
      <c r="H8" t="s">
        <v>5937</v>
      </c>
      <c r="I8" t="s">
        <v>5938</v>
      </c>
      <c r="J8">
        <v>1</v>
      </c>
      <c r="K8">
        <v>4</v>
      </c>
      <c r="L8" s="198">
        <f t="shared" ref="L8:L71" si="0">IF(C8="non-sap",$C$4,0)</f>
        <v>0</v>
      </c>
      <c r="M8" s="198">
        <f t="shared" ref="M8:M71" si="1">IF(AND(C8="non-sap",D8="Operational"),CEILING((K8*L8),100),0)</f>
        <v>0</v>
      </c>
      <c r="N8" s="190" cm="1">
        <f t="array" ref="N8">SUMPRODUCT(('AOP25'!$F$2:$F$403=$H$4)*('AOP25'!$J$2:$J$403='Infra Cost Non Sap 2024'!A8)*('AOP25'!$T$2:$T$403))</f>
        <v>0</v>
      </c>
      <c r="O8" s="198">
        <f t="shared" ref="O8:O71" si="2">M8-N8</f>
        <v>0</v>
      </c>
      <c r="P8" t="s">
        <v>3603</v>
      </c>
      <c r="Q8" s="135"/>
    </row>
    <row r="9" spans="1:17" hidden="1" x14ac:dyDescent="0.25">
      <c r="A9" s="197" t="s">
        <v>5940</v>
      </c>
      <c r="B9" t="s">
        <v>5941</v>
      </c>
      <c r="C9" t="s">
        <v>633</v>
      </c>
      <c r="D9" t="s">
        <v>5942</v>
      </c>
      <c r="E9" t="s">
        <v>5935</v>
      </c>
      <c r="F9" t="s">
        <v>5943</v>
      </c>
      <c r="G9" t="s">
        <v>507</v>
      </c>
      <c r="H9" t="s">
        <v>1800</v>
      </c>
      <c r="I9" t="s">
        <v>1800</v>
      </c>
      <c r="J9">
        <v>1</v>
      </c>
      <c r="K9">
        <v>0</v>
      </c>
      <c r="L9" s="198">
        <f t="shared" si="0"/>
        <v>0</v>
      </c>
      <c r="M9" s="198">
        <f t="shared" si="1"/>
        <v>0</v>
      </c>
      <c r="N9" s="190" cm="1">
        <f t="array" ref="N9">SUMPRODUCT(('AOP25'!$F$2:$F$403=$H$4)*('AOP25'!$J$2:$J$403='Infra Cost Non Sap 2024'!A9)*('AOP25'!$T$2:$T$403))</f>
        <v>0</v>
      </c>
      <c r="O9" s="198">
        <f t="shared" si="2"/>
        <v>0</v>
      </c>
      <c r="P9" t="s">
        <v>3603</v>
      </c>
      <c r="Q9" s="135"/>
    </row>
    <row r="10" spans="1:17" hidden="1" x14ac:dyDescent="0.25">
      <c r="A10" s="197" t="s">
        <v>3595</v>
      </c>
      <c r="B10" t="s">
        <v>5944</v>
      </c>
      <c r="C10" t="s">
        <v>633</v>
      </c>
      <c r="D10" t="s">
        <v>5934</v>
      </c>
      <c r="E10" t="s">
        <v>5935</v>
      </c>
      <c r="F10" t="s">
        <v>5945</v>
      </c>
      <c r="G10" t="s">
        <v>5946</v>
      </c>
      <c r="H10" t="s">
        <v>5937</v>
      </c>
      <c r="I10" t="s">
        <v>5938</v>
      </c>
      <c r="J10">
        <v>1</v>
      </c>
      <c r="K10">
        <v>8</v>
      </c>
      <c r="L10" s="198">
        <f t="shared" si="0"/>
        <v>0</v>
      </c>
      <c r="M10" s="198">
        <f t="shared" si="1"/>
        <v>0</v>
      </c>
      <c r="N10" s="190" cm="1">
        <f t="array" ref="N10">SUMPRODUCT(('AOP25'!$F$2:$F$403=$H$4)*('AOP25'!$J$2:$J$403='Infra Cost Non Sap 2024'!A10)*('AOP25'!$T$2:$T$403))</f>
        <v>0</v>
      </c>
      <c r="O10" s="198">
        <f t="shared" si="2"/>
        <v>0</v>
      </c>
      <c r="P10" t="s">
        <v>3603</v>
      </c>
      <c r="Q10" s="135"/>
    </row>
    <row r="11" spans="1:17" hidden="1" x14ac:dyDescent="0.25">
      <c r="A11" s="197" t="s">
        <v>3567</v>
      </c>
      <c r="B11" t="s">
        <v>5947</v>
      </c>
      <c r="C11" t="s">
        <v>633</v>
      </c>
      <c r="D11" t="s">
        <v>5934</v>
      </c>
      <c r="E11" t="s">
        <v>5935</v>
      </c>
      <c r="F11" t="s">
        <v>1046</v>
      </c>
      <c r="G11" t="s">
        <v>1489</v>
      </c>
      <c r="H11" t="s">
        <v>5937</v>
      </c>
      <c r="I11" t="s">
        <v>5938</v>
      </c>
      <c r="J11">
        <v>1</v>
      </c>
      <c r="K11">
        <v>9</v>
      </c>
      <c r="L11" s="198">
        <f t="shared" si="0"/>
        <v>0</v>
      </c>
      <c r="M11" s="198">
        <f t="shared" si="1"/>
        <v>0</v>
      </c>
      <c r="N11" s="190" cm="1">
        <f t="array" ref="N11">SUMPRODUCT(('AOP25'!$F$2:$F$403=$H$4)*('AOP25'!$J$2:$J$403='Infra Cost Non Sap 2024'!A11)*('AOP25'!$T$2:$T$403))</f>
        <v>0</v>
      </c>
      <c r="O11" s="198">
        <f t="shared" si="2"/>
        <v>0</v>
      </c>
      <c r="P11" t="s">
        <v>3603</v>
      </c>
      <c r="Q11" s="135"/>
    </row>
    <row r="12" spans="1:17" hidden="1" x14ac:dyDescent="0.25">
      <c r="A12" s="197" t="s">
        <v>5948</v>
      </c>
      <c r="B12" t="s">
        <v>5949</v>
      </c>
      <c r="C12" t="s">
        <v>633</v>
      </c>
      <c r="D12" t="s">
        <v>5934</v>
      </c>
      <c r="E12" t="s">
        <v>5935</v>
      </c>
      <c r="F12" t="s">
        <v>5950</v>
      </c>
      <c r="G12" t="s">
        <v>5951</v>
      </c>
      <c r="H12" t="s">
        <v>5937</v>
      </c>
      <c r="I12" t="s">
        <v>5952</v>
      </c>
      <c r="J12">
        <v>1</v>
      </c>
      <c r="K12">
        <v>2</v>
      </c>
      <c r="L12" s="198">
        <f t="shared" si="0"/>
        <v>0</v>
      </c>
      <c r="M12" s="198">
        <f t="shared" si="1"/>
        <v>0</v>
      </c>
      <c r="N12" s="190" cm="1">
        <f t="array" ref="N12">SUMPRODUCT(('AOP25'!$F$2:$F$403=$H$4)*('AOP25'!$J$2:$J$403='Infra Cost Non Sap 2024'!A12)*('AOP25'!$T$2:$T$403))</f>
        <v>0</v>
      </c>
      <c r="O12" s="198">
        <f t="shared" si="2"/>
        <v>0</v>
      </c>
      <c r="P12" t="s">
        <v>3603</v>
      </c>
      <c r="Q12" s="135"/>
    </row>
    <row r="13" spans="1:17" hidden="1" x14ac:dyDescent="0.25">
      <c r="A13" s="197" t="s">
        <v>3588</v>
      </c>
      <c r="B13" t="s">
        <v>5953</v>
      </c>
      <c r="C13" t="s">
        <v>633</v>
      </c>
      <c r="D13" t="s">
        <v>1800</v>
      </c>
      <c r="E13" t="s">
        <v>5935</v>
      </c>
      <c r="F13" t="s">
        <v>5936</v>
      </c>
      <c r="G13" t="s">
        <v>5954</v>
      </c>
      <c r="H13" t="s">
        <v>1800</v>
      </c>
      <c r="I13" t="s">
        <v>1800</v>
      </c>
      <c r="J13">
        <v>1</v>
      </c>
      <c r="K13">
        <v>0</v>
      </c>
      <c r="L13" s="198">
        <f t="shared" si="0"/>
        <v>0</v>
      </c>
      <c r="M13" s="198">
        <f t="shared" si="1"/>
        <v>0</v>
      </c>
      <c r="N13" s="190" cm="1">
        <f t="array" ref="N13">SUMPRODUCT(('AOP25'!$F$2:$F$403=$H$4)*('AOP25'!$J$2:$J$403='Infra Cost Non Sap 2024'!A13)*('AOP25'!$T$2:$T$403))</f>
        <v>0</v>
      </c>
      <c r="O13" s="198">
        <f t="shared" si="2"/>
        <v>0</v>
      </c>
      <c r="P13" t="s">
        <v>3603</v>
      </c>
      <c r="Q13" s="135"/>
    </row>
    <row r="14" spans="1:17" hidden="1" x14ac:dyDescent="0.25">
      <c r="A14" s="197" t="s">
        <v>3369</v>
      </c>
      <c r="B14" t="s">
        <v>5955</v>
      </c>
      <c r="C14" t="s">
        <v>633</v>
      </c>
      <c r="D14" t="s">
        <v>5934</v>
      </c>
      <c r="E14" t="s">
        <v>5935</v>
      </c>
      <c r="F14" t="s">
        <v>5936</v>
      </c>
      <c r="G14" t="s">
        <v>5954</v>
      </c>
      <c r="H14" t="s">
        <v>5937</v>
      </c>
      <c r="I14" t="s">
        <v>5956</v>
      </c>
      <c r="J14">
        <v>1</v>
      </c>
      <c r="K14">
        <v>3</v>
      </c>
      <c r="L14" s="198">
        <f t="shared" si="0"/>
        <v>0</v>
      </c>
      <c r="M14" s="198">
        <f t="shared" si="1"/>
        <v>0</v>
      </c>
      <c r="N14" s="190" cm="1">
        <f t="array" ref="N14">SUMPRODUCT(('AOP25'!$F$2:$F$403=$H$4)*('AOP25'!$J$2:$J$403='Infra Cost Non Sap 2024'!A14)*('AOP25'!$T$2:$T$403))</f>
        <v>0</v>
      </c>
      <c r="O14" s="198">
        <f t="shared" si="2"/>
        <v>0</v>
      </c>
      <c r="P14" t="s">
        <v>3603</v>
      </c>
      <c r="Q14" s="135"/>
    </row>
    <row r="15" spans="1:17" hidden="1" x14ac:dyDescent="0.25">
      <c r="A15" s="211" t="s">
        <v>5957</v>
      </c>
      <c r="B15" s="161" t="s">
        <v>5958</v>
      </c>
      <c r="C15" s="161" t="s">
        <v>633</v>
      </c>
      <c r="D15" s="161" t="s">
        <v>5934</v>
      </c>
      <c r="E15" s="161" t="s">
        <v>5935</v>
      </c>
      <c r="F15" s="161" t="s">
        <v>3144</v>
      </c>
      <c r="G15" s="161" t="s">
        <v>1259</v>
      </c>
      <c r="H15" s="161" t="s">
        <v>5937</v>
      </c>
      <c r="I15" s="161" t="s">
        <v>5938</v>
      </c>
      <c r="J15" s="161">
        <v>1</v>
      </c>
      <c r="K15" s="161">
        <v>2</v>
      </c>
      <c r="L15" s="212">
        <f t="shared" si="0"/>
        <v>0</v>
      </c>
      <c r="M15" s="212">
        <f t="shared" si="1"/>
        <v>0</v>
      </c>
      <c r="N15" s="223" cm="1">
        <f t="array" ref="N15">SUMPRODUCT(('AOP25'!$F$2:$F$403=$H$4)*('AOP25'!$J$2:$J$403='Infra Cost Non Sap 2024'!A15)*('AOP25'!$T$2:$T$403))</f>
        <v>0</v>
      </c>
      <c r="O15" s="212">
        <f t="shared" si="2"/>
        <v>0</v>
      </c>
      <c r="P15" s="161" t="s">
        <v>3603</v>
      </c>
      <c r="Q15" s="213" t="s">
        <v>5959</v>
      </c>
    </row>
    <row r="16" spans="1:17" hidden="1" x14ac:dyDescent="0.25">
      <c r="A16" s="197" t="s">
        <v>5960</v>
      </c>
      <c r="B16" t="s">
        <v>5961</v>
      </c>
      <c r="C16" t="s">
        <v>633</v>
      </c>
      <c r="D16" t="s">
        <v>5934</v>
      </c>
      <c r="E16" t="s">
        <v>5935</v>
      </c>
      <c r="F16" t="s">
        <v>3144</v>
      </c>
      <c r="G16" t="s">
        <v>1259</v>
      </c>
      <c r="H16" t="s">
        <v>5937</v>
      </c>
      <c r="I16" t="s">
        <v>5938</v>
      </c>
      <c r="J16">
        <v>1</v>
      </c>
      <c r="K16">
        <v>3</v>
      </c>
      <c r="L16" s="198">
        <f t="shared" si="0"/>
        <v>0</v>
      </c>
      <c r="M16" s="198">
        <f t="shared" si="1"/>
        <v>0</v>
      </c>
      <c r="N16" s="190" cm="1">
        <f t="array" ref="N16">SUMPRODUCT(('AOP25'!$F$2:$F$403=$H$4)*('AOP25'!$J$2:$J$403='Infra Cost Non Sap 2024'!A16)*('AOP25'!$T$2:$T$403))</f>
        <v>0</v>
      </c>
      <c r="O16" s="198">
        <f t="shared" si="2"/>
        <v>0</v>
      </c>
      <c r="P16" t="s">
        <v>3603</v>
      </c>
      <c r="Q16" s="135"/>
    </row>
    <row r="17" spans="1:17" hidden="1" x14ac:dyDescent="0.25">
      <c r="A17" s="197" t="s">
        <v>2201</v>
      </c>
      <c r="B17" t="s">
        <v>5962</v>
      </c>
      <c r="C17" t="s">
        <v>5963</v>
      </c>
      <c r="D17" t="s">
        <v>5934</v>
      </c>
      <c r="E17" t="s">
        <v>5935</v>
      </c>
      <c r="F17" t="s">
        <v>5964</v>
      </c>
      <c r="G17" t="s">
        <v>3169</v>
      </c>
      <c r="H17" t="s">
        <v>5937</v>
      </c>
      <c r="I17" t="s">
        <v>5938</v>
      </c>
      <c r="J17">
        <v>1</v>
      </c>
      <c r="K17">
        <v>4</v>
      </c>
      <c r="L17" s="198">
        <f t="shared" si="0"/>
        <v>10326.08695652174</v>
      </c>
      <c r="M17" s="198">
        <f t="shared" si="1"/>
        <v>41400</v>
      </c>
      <c r="N17" s="190" cm="1">
        <f t="array" ref="N17">SUMPRODUCT(('AOP25'!$F$2:$F$403=$H$4)*('AOP25'!$J$2:$J$403='Infra Cost Non Sap 2024'!A17)*('AOP25'!$T$2:$T$403))</f>
        <v>41400</v>
      </c>
      <c r="O17" s="198">
        <f t="shared" si="2"/>
        <v>0</v>
      </c>
      <c r="P17" t="s">
        <v>3603</v>
      </c>
      <c r="Q17" s="135" t="s">
        <v>5965</v>
      </c>
    </row>
    <row r="18" spans="1:17" hidden="1" x14ac:dyDescent="0.25">
      <c r="A18" s="197" t="s">
        <v>2203</v>
      </c>
      <c r="B18" t="s">
        <v>5966</v>
      </c>
      <c r="C18" t="s">
        <v>5963</v>
      </c>
      <c r="D18" t="s">
        <v>5934</v>
      </c>
      <c r="E18" t="s">
        <v>5935</v>
      </c>
      <c r="F18" t="s">
        <v>5967</v>
      </c>
      <c r="G18" t="s">
        <v>423</v>
      </c>
      <c r="H18" t="s">
        <v>5937</v>
      </c>
      <c r="I18" t="s">
        <v>5968</v>
      </c>
      <c r="J18">
        <v>1</v>
      </c>
      <c r="K18">
        <v>4</v>
      </c>
      <c r="L18" s="198">
        <f t="shared" si="0"/>
        <v>10326.08695652174</v>
      </c>
      <c r="M18" s="198">
        <f t="shared" si="1"/>
        <v>41400</v>
      </c>
      <c r="N18" s="190" cm="1">
        <f t="array" ref="N18">SUMPRODUCT(('AOP25'!$F$2:$F$403=$H$4)*('AOP25'!$J$2:$J$403='Infra Cost Non Sap 2024'!A18)*('AOP25'!$T$2:$T$403))</f>
        <v>41400</v>
      </c>
      <c r="O18" s="198">
        <f t="shared" si="2"/>
        <v>0</v>
      </c>
      <c r="P18" t="s">
        <v>5969</v>
      </c>
      <c r="Q18" s="135" t="s">
        <v>5970</v>
      </c>
    </row>
    <row r="19" spans="1:17" hidden="1" x14ac:dyDescent="0.25">
      <c r="A19" s="211" t="s">
        <v>2205</v>
      </c>
      <c r="B19" s="161" t="s">
        <v>5971</v>
      </c>
      <c r="C19" s="161" t="s">
        <v>5963</v>
      </c>
      <c r="D19" s="161" t="s">
        <v>5934</v>
      </c>
      <c r="E19" s="161" t="s">
        <v>5935</v>
      </c>
      <c r="F19" s="161" t="s">
        <v>5967</v>
      </c>
      <c r="G19" s="161" t="s">
        <v>423</v>
      </c>
      <c r="H19" s="161" t="s">
        <v>5937</v>
      </c>
      <c r="I19" s="161" t="s">
        <v>5956</v>
      </c>
      <c r="J19" s="161">
        <v>1</v>
      </c>
      <c r="K19" s="161">
        <v>0</v>
      </c>
      <c r="L19" s="212">
        <f t="shared" si="0"/>
        <v>10326.08695652174</v>
      </c>
      <c r="M19" s="212">
        <f t="shared" si="1"/>
        <v>0</v>
      </c>
      <c r="N19" s="223" cm="1">
        <f t="array" ref="N19">SUMPRODUCT(('AOP25'!$F$2:$F$403=$H$4)*('AOP25'!$J$2:$J$403='Infra Cost Non Sap 2024'!A19)*('AOP25'!$T$2:$T$403))</f>
        <v>0</v>
      </c>
      <c r="O19" s="212">
        <f t="shared" si="2"/>
        <v>0</v>
      </c>
      <c r="P19" s="161" t="s">
        <v>5969</v>
      </c>
      <c r="Q19" s="213" t="s">
        <v>5970</v>
      </c>
    </row>
    <row r="20" spans="1:17" x14ac:dyDescent="0.25">
      <c r="A20" s="211" t="s">
        <v>2207</v>
      </c>
      <c r="B20" s="161" t="s">
        <v>5972</v>
      </c>
      <c r="C20" s="161" t="s">
        <v>5963</v>
      </c>
      <c r="D20" s="161" t="s">
        <v>5934</v>
      </c>
      <c r="E20" s="161" t="s">
        <v>5935</v>
      </c>
      <c r="F20" s="161" t="s">
        <v>5964</v>
      </c>
      <c r="G20" s="161" t="s">
        <v>1421</v>
      </c>
      <c r="H20" s="161" t="s">
        <v>5937</v>
      </c>
      <c r="I20" s="161" t="s">
        <v>5956</v>
      </c>
      <c r="J20" s="161">
        <v>1</v>
      </c>
      <c r="K20" s="161">
        <v>0</v>
      </c>
      <c r="L20" s="212">
        <f t="shared" si="0"/>
        <v>10326.08695652174</v>
      </c>
      <c r="M20" s="212">
        <f t="shared" si="1"/>
        <v>0</v>
      </c>
      <c r="N20" s="223" cm="1">
        <f t="array" ref="N20">SUMPRODUCT(('AOP25'!$F$2:$F$403=$H$4)*('AOP25'!$J$2:$J$403='Infra Cost Non Sap 2024'!A20)*('AOP25'!$T$2:$T$403))</f>
        <v>0</v>
      </c>
      <c r="O20" s="212">
        <f t="shared" si="2"/>
        <v>0</v>
      </c>
      <c r="P20" s="161" t="s">
        <v>5969</v>
      </c>
      <c r="Q20" s="213"/>
    </row>
    <row r="21" spans="1:17" hidden="1" x14ac:dyDescent="0.25">
      <c r="A21" s="211" t="s">
        <v>2209</v>
      </c>
      <c r="B21" s="161" t="s">
        <v>5973</v>
      </c>
      <c r="C21" s="161" t="s">
        <v>5963</v>
      </c>
      <c r="D21" s="161" t="s">
        <v>5934</v>
      </c>
      <c r="E21" s="161" t="s">
        <v>5935</v>
      </c>
      <c r="F21" s="161" t="s">
        <v>5974</v>
      </c>
      <c r="G21" s="161" t="s">
        <v>423</v>
      </c>
      <c r="H21" s="161" t="s">
        <v>5937</v>
      </c>
      <c r="I21" s="161" t="s">
        <v>5956</v>
      </c>
      <c r="J21" s="161">
        <v>1</v>
      </c>
      <c r="K21" s="161">
        <v>1</v>
      </c>
      <c r="L21" s="212">
        <f t="shared" si="0"/>
        <v>10326.08695652174</v>
      </c>
      <c r="M21" s="212">
        <f t="shared" si="1"/>
        <v>10400</v>
      </c>
      <c r="N21" s="223" cm="1">
        <f t="array" ref="N21">SUMPRODUCT(('AOP25'!$F$2:$F$403=$H$4)*('AOP25'!$J$2:$J$403='Infra Cost Non Sap 2024'!A21)*('AOP25'!$T$2:$T$403))</f>
        <v>10400</v>
      </c>
      <c r="O21" s="212">
        <f t="shared" si="2"/>
        <v>0</v>
      </c>
      <c r="P21" s="161" t="s">
        <v>5969</v>
      </c>
      <c r="Q21" s="213" t="s">
        <v>5975</v>
      </c>
    </row>
    <row r="22" spans="1:17" hidden="1" x14ac:dyDescent="0.25">
      <c r="A22" s="197" t="s">
        <v>2211</v>
      </c>
      <c r="B22" t="s">
        <v>5976</v>
      </c>
      <c r="C22" t="s">
        <v>5963</v>
      </c>
      <c r="D22" t="s">
        <v>5934</v>
      </c>
      <c r="E22" t="s">
        <v>5935</v>
      </c>
      <c r="F22" t="s">
        <v>5967</v>
      </c>
      <c r="G22" t="s">
        <v>423</v>
      </c>
      <c r="H22" t="s">
        <v>5937</v>
      </c>
      <c r="I22" t="s">
        <v>5968</v>
      </c>
      <c r="J22">
        <v>1</v>
      </c>
      <c r="K22">
        <v>2</v>
      </c>
      <c r="L22" s="198">
        <f t="shared" si="0"/>
        <v>10326.08695652174</v>
      </c>
      <c r="M22" s="198">
        <f t="shared" si="1"/>
        <v>20700</v>
      </c>
      <c r="N22" s="190" cm="1">
        <f t="array" ref="N22">SUMPRODUCT(('AOP25'!$F$2:$F$403=$H$4)*('AOP25'!$J$2:$J$403='Infra Cost Non Sap 2024'!A22)*('AOP25'!$T$2:$T$403))</f>
        <v>20700</v>
      </c>
      <c r="O22" s="198">
        <f t="shared" si="2"/>
        <v>0</v>
      </c>
      <c r="P22" t="s">
        <v>5969</v>
      </c>
      <c r="Q22" s="135"/>
    </row>
    <row r="23" spans="1:17" hidden="1" x14ac:dyDescent="0.25">
      <c r="A23" s="211" t="s">
        <v>2213</v>
      </c>
      <c r="B23" s="161" t="s">
        <v>5977</v>
      </c>
      <c r="C23" s="161" t="s">
        <v>5963</v>
      </c>
      <c r="D23" s="161" t="s">
        <v>5934</v>
      </c>
      <c r="E23" s="161" t="s">
        <v>5935</v>
      </c>
      <c r="F23" s="161" t="s">
        <v>5967</v>
      </c>
      <c r="G23" s="161" t="s">
        <v>5978</v>
      </c>
      <c r="H23" s="161" t="s">
        <v>5937</v>
      </c>
      <c r="I23" s="161" t="s">
        <v>5938</v>
      </c>
      <c r="J23" s="161">
        <v>1</v>
      </c>
      <c r="K23" s="161">
        <v>0</v>
      </c>
      <c r="L23" s="212">
        <f t="shared" si="0"/>
        <v>10326.08695652174</v>
      </c>
      <c r="M23" s="212">
        <f t="shared" si="1"/>
        <v>0</v>
      </c>
      <c r="N23" s="223" cm="1">
        <f t="array" ref="N23">SUMPRODUCT(('AOP25'!$F$2:$F$403=$H$4)*('AOP25'!$J$2:$J$403='Infra Cost Non Sap 2024'!A23)*('AOP25'!$T$2:$T$403))</f>
        <v>0</v>
      </c>
      <c r="O23" s="212">
        <f t="shared" si="2"/>
        <v>0</v>
      </c>
      <c r="P23" s="161" t="s">
        <v>3603</v>
      </c>
      <c r="Q23" s="213" t="s">
        <v>5979</v>
      </c>
    </row>
    <row r="24" spans="1:17" hidden="1" x14ac:dyDescent="0.25">
      <c r="A24" s="197" t="s">
        <v>2215</v>
      </c>
      <c r="B24" t="s">
        <v>5980</v>
      </c>
      <c r="C24" t="s">
        <v>5963</v>
      </c>
      <c r="D24" t="s">
        <v>5934</v>
      </c>
      <c r="E24" t="s">
        <v>5935</v>
      </c>
      <c r="F24" t="s">
        <v>5950</v>
      </c>
      <c r="G24" t="s">
        <v>5951</v>
      </c>
      <c r="H24" t="s">
        <v>5937</v>
      </c>
      <c r="I24" t="s">
        <v>5938</v>
      </c>
      <c r="J24">
        <v>1</v>
      </c>
      <c r="K24">
        <v>6</v>
      </c>
      <c r="L24" s="198">
        <f t="shared" si="0"/>
        <v>10326.08695652174</v>
      </c>
      <c r="M24" s="198">
        <f t="shared" si="1"/>
        <v>62000</v>
      </c>
      <c r="N24" s="190" cm="1">
        <f t="array" ref="N24">SUMPRODUCT(('AOP25'!$F$2:$F$403=$H$4)*('AOP25'!$J$2:$J$403='Infra Cost Non Sap 2024'!A24)*('AOP25'!$T$2:$T$403))</f>
        <v>62000</v>
      </c>
      <c r="O24" s="198">
        <f t="shared" si="2"/>
        <v>0</v>
      </c>
      <c r="P24" t="s">
        <v>5969</v>
      </c>
      <c r="Q24" s="135"/>
    </row>
    <row r="25" spans="1:17" hidden="1" x14ac:dyDescent="0.25">
      <c r="A25" s="197" t="s">
        <v>2217</v>
      </c>
      <c r="B25" t="s">
        <v>5981</v>
      </c>
      <c r="C25" t="s">
        <v>5963</v>
      </c>
      <c r="D25" t="s">
        <v>5934</v>
      </c>
      <c r="E25" t="s">
        <v>5982</v>
      </c>
      <c r="F25" t="s">
        <v>5983</v>
      </c>
      <c r="G25" t="s">
        <v>5984</v>
      </c>
      <c r="H25" t="s">
        <v>5937</v>
      </c>
      <c r="I25" t="s">
        <v>5968</v>
      </c>
      <c r="J25">
        <v>1</v>
      </c>
      <c r="K25">
        <v>1</v>
      </c>
      <c r="L25" s="198">
        <f t="shared" si="0"/>
        <v>10326.08695652174</v>
      </c>
      <c r="M25" s="198">
        <f t="shared" si="1"/>
        <v>10400</v>
      </c>
      <c r="N25" s="190" cm="1">
        <f t="array" ref="N25">SUMPRODUCT(('AOP25'!$F$2:$F$403=$H$4)*('AOP25'!$J$2:$J$403='Infra Cost Non Sap 2024'!A25)*('AOP25'!$T$2:$T$403))</f>
        <v>10400</v>
      </c>
      <c r="O25" s="198">
        <f t="shared" si="2"/>
        <v>0</v>
      </c>
      <c r="P25" t="s">
        <v>5969</v>
      </c>
      <c r="Q25" s="135"/>
    </row>
    <row r="26" spans="1:17" hidden="1" x14ac:dyDescent="0.25">
      <c r="A26" s="197" t="s">
        <v>5985</v>
      </c>
      <c r="B26" t="s">
        <v>5986</v>
      </c>
      <c r="C26" t="s">
        <v>633</v>
      </c>
      <c r="D26" t="s">
        <v>1800</v>
      </c>
      <c r="E26" t="s">
        <v>5935</v>
      </c>
      <c r="F26" t="s">
        <v>5983</v>
      </c>
      <c r="G26" t="s">
        <v>1259</v>
      </c>
      <c r="H26" t="s">
        <v>5942</v>
      </c>
      <c r="I26" t="s">
        <v>5952</v>
      </c>
      <c r="J26">
        <v>1</v>
      </c>
      <c r="K26">
        <v>1</v>
      </c>
      <c r="L26" s="198">
        <f t="shared" si="0"/>
        <v>0</v>
      </c>
      <c r="M26" s="198">
        <f t="shared" si="1"/>
        <v>0</v>
      </c>
      <c r="N26" s="190" cm="1">
        <f t="array" ref="N26">SUMPRODUCT(('AOP25'!$F$2:$F$403=$H$4)*('AOP25'!$J$2:$J$403='Infra Cost Non Sap 2024'!A26)*('AOP25'!$T$2:$T$403))</f>
        <v>0</v>
      </c>
      <c r="O26" s="198">
        <f t="shared" si="2"/>
        <v>0</v>
      </c>
      <c r="P26" t="s">
        <v>3603</v>
      </c>
      <c r="Q26" s="135"/>
    </row>
    <row r="27" spans="1:17" hidden="1" x14ac:dyDescent="0.25">
      <c r="A27" s="197" t="s">
        <v>2219</v>
      </c>
      <c r="B27" t="s">
        <v>5987</v>
      </c>
      <c r="C27" t="s">
        <v>5963</v>
      </c>
      <c r="D27" t="s">
        <v>5934</v>
      </c>
      <c r="E27" t="s">
        <v>5988</v>
      </c>
      <c r="F27" t="s">
        <v>5936</v>
      </c>
      <c r="G27" t="s">
        <v>5989</v>
      </c>
      <c r="H27" t="s">
        <v>5937</v>
      </c>
      <c r="I27" t="s">
        <v>5968</v>
      </c>
      <c r="J27">
        <v>1</v>
      </c>
      <c r="K27">
        <v>2</v>
      </c>
      <c r="L27" s="198">
        <f t="shared" si="0"/>
        <v>10326.08695652174</v>
      </c>
      <c r="M27" s="198">
        <f t="shared" si="1"/>
        <v>20700</v>
      </c>
      <c r="N27" s="190" cm="1">
        <f t="array" ref="N27">SUMPRODUCT(('AOP25'!$F$2:$F$403=$H$4)*('AOP25'!$J$2:$J$403='Infra Cost Non Sap 2024'!A27)*('AOP25'!$T$2:$T$403))</f>
        <v>20700</v>
      </c>
      <c r="O27" s="198">
        <f t="shared" si="2"/>
        <v>0</v>
      </c>
      <c r="P27" t="s">
        <v>5969</v>
      </c>
      <c r="Q27" s="135"/>
    </row>
    <row r="28" spans="1:17" hidden="1" x14ac:dyDescent="0.25">
      <c r="A28" s="197" t="s">
        <v>5990</v>
      </c>
      <c r="B28" t="s">
        <v>5991</v>
      </c>
      <c r="C28" t="s">
        <v>5963</v>
      </c>
      <c r="D28" t="s">
        <v>1800</v>
      </c>
      <c r="E28" t="s">
        <v>5982</v>
      </c>
      <c r="F28" t="s">
        <v>5974</v>
      </c>
      <c r="G28" t="s">
        <v>5984</v>
      </c>
      <c r="H28" t="s">
        <v>1800</v>
      </c>
      <c r="I28" t="s">
        <v>5952</v>
      </c>
      <c r="J28">
        <v>1</v>
      </c>
      <c r="K28">
        <v>1</v>
      </c>
      <c r="L28" s="198">
        <f t="shared" si="0"/>
        <v>10326.08695652174</v>
      </c>
      <c r="M28" s="198">
        <f t="shared" si="1"/>
        <v>0</v>
      </c>
      <c r="N28" s="190" cm="1">
        <f t="array" ref="N28">SUMPRODUCT(('AOP25'!$F$2:$F$403=$H$4)*('AOP25'!$J$2:$J$403='Infra Cost Non Sap 2024'!A28)*('AOP25'!$T$2:$T$403))</f>
        <v>0</v>
      </c>
      <c r="O28" s="198">
        <f t="shared" si="2"/>
        <v>0</v>
      </c>
      <c r="P28" t="s">
        <v>5969</v>
      </c>
      <c r="Q28" s="135"/>
    </row>
    <row r="29" spans="1:17" hidden="1" x14ac:dyDescent="0.25">
      <c r="A29" s="197" t="s">
        <v>2221</v>
      </c>
      <c r="B29" t="s">
        <v>2300</v>
      </c>
      <c r="C29" t="s">
        <v>5963</v>
      </c>
      <c r="D29" t="s">
        <v>5934</v>
      </c>
      <c r="E29" t="s">
        <v>5935</v>
      </c>
      <c r="F29" t="s">
        <v>5943</v>
      </c>
      <c r="G29" t="s">
        <v>1489</v>
      </c>
      <c r="H29" t="s">
        <v>5937</v>
      </c>
      <c r="I29" t="s">
        <v>1800</v>
      </c>
      <c r="J29">
        <v>1</v>
      </c>
      <c r="K29">
        <v>3</v>
      </c>
      <c r="L29" s="198">
        <f t="shared" si="0"/>
        <v>10326.08695652174</v>
      </c>
      <c r="M29" s="198"/>
      <c r="N29" s="190" cm="1">
        <f t="array" ref="N29">SUMPRODUCT(('AOP25'!$F$2:$F$403=$H$4)*('AOP25'!$J$2:$J$403='Infra Cost Non Sap 2024'!A29)*('AOP25'!$T$2:$T$403))</f>
        <v>31000</v>
      </c>
      <c r="O29" s="198">
        <f t="shared" si="2"/>
        <v>-31000</v>
      </c>
      <c r="P29" t="s">
        <v>5969</v>
      </c>
      <c r="Q29" s="135"/>
    </row>
    <row r="30" spans="1:17" hidden="1" x14ac:dyDescent="0.25">
      <c r="A30" s="197" t="s">
        <v>2223</v>
      </c>
      <c r="B30" t="s">
        <v>5992</v>
      </c>
      <c r="C30" t="s">
        <v>5963</v>
      </c>
      <c r="D30" t="s">
        <v>5934</v>
      </c>
      <c r="E30" t="s">
        <v>5988</v>
      </c>
      <c r="F30" t="s">
        <v>5967</v>
      </c>
      <c r="G30" t="s">
        <v>5993</v>
      </c>
      <c r="H30" t="s">
        <v>5937</v>
      </c>
      <c r="I30" t="s">
        <v>5968</v>
      </c>
      <c r="J30">
        <v>1</v>
      </c>
      <c r="K30">
        <v>1</v>
      </c>
      <c r="L30" s="198">
        <f t="shared" si="0"/>
        <v>10326.08695652174</v>
      </c>
      <c r="M30" s="198">
        <f t="shared" si="1"/>
        <v>10400</v>
      </c>
      <c r="N30" s="190" cm="1">
        <f t="array" ref="N30">SUMPRODUCT(('AOP25'!$F$2:$F$403=$H$4)*('AOP25'!$J$2:$J$403='Infra Cost Non Sap 2024'!A30)*('AOP25'!$T$2:$T$403))</f>
        <v>10400</v>
      </c>
      <c r="O30" s="198">
        <f t="shared" si="2"/>
        <v>0</v>
      </c>
      <c r="P30" t="s">
        <v>5969</v>
      </c>
      <c r="Q30" s="135"/>
    </row>
    <row r="31" spans="1:17" hidden="1" x14ac:dyDescent="0.25">
      <c r="A31" s="197" t="s">
        <v>5994</v>
      </c>
      <c r="B31" t="s">
        <v>5995</v>
      </c>
      <c r="C31" t="s">
        <v>5963</v>
      </c>
      <c r="D31" t="s">
        <v>1800</v>
      </c>
      <c r="E31" t="s">
        <v>5988</v>
      </c>
      <c r="F31" t="s">
        <v>5974</v>
      </c>
      <c r="G31" t="s">
        <v>5989</v>
      </c>
      <c r="H31" t="s">
        <v>1800</v>
      </c>
      <c r="I31" t="s">
        <v>5952</v>
      </c>
      <c r="J31">
        <v>1</v>
      </c>
      <c r="K31">
        <v>1</v>
      </c>
      <c r="L31" s="198">
        <f t="shared" si="0"/>
        <v>10326.08695652174</v>
      </c>
      <c r="M31" s="198">
        <f t="shared" si="1"/>
        <v>0</v>
      </c>
      <c r="N31" s="190" cm="1">
        <f t="array" ref="N31">SUMPRODUCT(('AOP25'!$F$2:$F$403=$H$4)*('AOP25'!$J$2:$J$403='Infra Cost Non Sap 2024'!A31)*('AOP25'!$T$2:$T$403))</f>
        <v>0</v>
      </c>
      <c r="O31" s="198">
        <f t="shared" si="2"/>
        <v>0</v>
      </c>
      <c r="P31" t="s">
        <v>5969</v>
      </c>
      <c r="Q31" s="135"/>
    </row>
    <row r="32" spans="1:17" hidden="1" x14ac:dyDescent="0.25">
      <c r="A32" s="197" t="s">
        <v>2225</v>
      </c>
      <c r="B32" t="s">
        <v>5996</v>
      </c>
      <c r="C32" t="s">
        <v>5963</v>
      </c>
      <c r="D32" t="s">
        <v>5934</v>
      </c>
      <c r="E32" t="s">
        <v>5935</v>
      </c>
      <c r="F32" t="s">
        <v>5974</v>
      </c>
      <c r="G32" t="s">
        <v>423</v>
      </c>
      <c r="H32" t="s">
        <v>5937</v>
      </c>
      <c r="I32" t="s">
        <v>5968</v>
      </c>
      <c r="J32">
        <v>1</v>
      </c>
      <c r="K32">
        <v>1</v>
      </c>
      <c r="L32" s="198">
        <f t="shared" si="0"/>
        <v>10326.08695652174</v>
      </c>
      <c r="M32" s="198">
        <f t="shared" si="1"/>
        <v>10400</v>
      </c>
      <c r="N32" s="190" cm="1">
        <f t="array" ref="N32">SUMPRODUCT(('AOP25'!$F$2:$F$403=$H$4)*('AOP25'!$J$2:$J$403='Infra Cost Non Sap 2024'!A32)*('AOP25'!$T$2:$T$403))</f>
        <v>10400</v>
      </c>
      <c r="O32" s="198">
        <f t="shared" si="2"/>
        <v>0</v>
      </c>
      <c r="P32" t="s">
        <v>5969</v>
      </c>
      <c r="Q32" s="135"/>
    </row>
    <row r="33" spans="1:17" hidden="1" x14ac:dyDescent="0.25">
      <c r="A33" s="197" t="s">
        <v>2227</v>
      </c>
      <c r="B33" t="s">
        <v>5997</v>
      </c>
      <c r="C33" t="s">
        <v>5963</v>
      </c>
      <c r="D33" t="s">
        <v>5934</v>
      </c>
      <c r="E33" t="s">
        <v>5988</v>
      </c>
      <c r="F33" t="s">
        <v>5998</v>
      </c>
      <c r="G33" t="s">
        <v>5999</v>
      </c>
      <c r="H33" t="s">
        <v>5937</v>
      </c>
      <c r="I33" t="s">
        <v>5968</v>
      </c>
      <c r="J33">
        <v>1</v>
      </c>
      <c r="K33">
        <v>2</v>
      </c>
      <c r="L33" s="198">
        <f t="shared" si="0"/>
        <v>10326.08695652174</v>
      </c>
      <c r="M33" s="198">
        <f t="shared" si="1"/>
        <v>20700</v>
      </c>
      <c r="N33" s="190" cm="1">
        <f t="array" ref="N33">SUMPRODUCT(('AOP25'!$F$2:$F$403=$H$4)*('AOP25'!$J$2:$J$403='Infra Cost Non Sap 2024'!A33)*('AOP25'!$T$2:$T$403))</f>
        <v>20700</v>
      </c>
      <c r="O33" s="198">
        <f t="shared" si="2"/>
        <v>0</v>
      </c>
      <c r="P33" t="s">
        <v>5969</v>
      </c>
      <c r="Q33" s="135"/>
    </row>
    <row r="34" spans="1:17" hidden="1" x14ac:dyDescent="0.25">
      <c r="A34" s="197" t="s">
        <v>2229</v>
      </c>
      <c r="B34" t="s">
        <v>6000</v>
      </c>
      <c r="C34" t="s">
        <v>5963</v>
      </c>
      <c r="D34" t="s">
        <v>5934</v>
      </c>
      <c r="E34" t="s">
        <v>5988</v>
      </c>
      <c r="F34" t="s">
        <v>1046</v>
      </c>
      <c r="G34" t="s">
        <v>6001</v>
      </c>
      <c r="H34" t="s">
        <v>5937</v>
      </c>
      <c r="I34" t="s">
        <v>5968</v>
      </c>
      <c r="J34">
        <v>1</v>
      </c>
      <c r="K34">
        <v>2</v>
      </c>
      <c r="L34" s="198">
        <f t="shared" si="0"/>
        <v>10326.08695652174</v>
      </c>
      <c r="M34" s="198">
        <f t="shared" si="1"/>
        <v>20700</v>
      </c>
      <c r="N34" s="190" cm="1">
        <f t="array" ref="N34">SUMPRODUCT(('AOP25'!$F$2:$F$403=$H$4)*('AOP25'!$J$2:$J$403='Infra Cost Non Sap 2024'!A34)*('AOP25'!$T$2:$T$403))</f>
        <v>20700</v>
      </c>
      <c r="O34" s="198">
        <f t="shared" si="2"/>
        <v>0</v>
      </c>
      <c r="P34" t="s">
        <v>5969</v>
      </c>
      <c r="Q34" s="135"/>
    </row>
    <row r="35" spans="1:17" hidden="1" x14ac:dyDescent="0.25">
      <c r="A35" s="197" t="s">
        <v>2231</v>
      </c>
      <c r="B35" t="s">
        <v>6002</v>
      </c>
      <c r="C35" t="s">
        <v>5963</v>
      </c>
      <c r="D35" t="s">
        <v>5934</v>
      </c>
      <c r="E35" t="s">
        <v>5988</v>
      </c>
      <c r="F35" t="s">
        <v>5974</v>
      </c>
      <c r="G35" t="s">
        <v>6001</v>
      </c>
      <c r="H35" t="s">
        <v>5937</v>
      </c>
      <c r="I35" t="s">
        <v>5968</v>
      </c>
      <c r="J35">
        <v>1</v>
      </c>
      <c r="K35">
        <v>1</v>
      </c>
      <c r="L35" s="198">
        <f t="shared" si="0"/>
        <v>10326.08695652174</v>
      </c>
      <c r="M35" s="198">
        <f t="shared" si="1"/>
        <v>10400</v>
      </c>
      <c r="N35" s="190" cm="1">
        <f t="array" ref="N35">SUMPRODUCT(('AOP25'!$F$2:$F$403=$H$4)*('AOP25'!$J$2:$J$403='Infra Cost Non Sap 2024'!A35)*('AOP25'!$T$2:$T$403))</f>
        <v>10400</v>
      </c>
      <c r="O35" s="198">
        <f t="shared" si="2"/>
        <v>0</v>
      </c>
      <c r="P35" t="s">
        <v>5969</v>
      </c>
      <c r="Q35" s="135"/>
    </row>
    <row r="36" spans="1:17" hidden="1" x14ac:dyDescent="0.25">
      <c r="A36" s="197" t="s">
        <v>2233</v>
      </c>
      <c r="B36" t="s">
        <v>6003</v>
      </c>
      <c r="C36" t="s">
        <v>5963</v>
      </c>
      <c r="D36" t="s">
        <v>5934</v>
      </c>
      <c r="E36" t="s">
        <v>5988</v>
      </c>
      <c r="F36" t="s">
        <v>5983</v>
      </c>
      <c r="G36" t="s">
        <v>6004</v>
      </c>
      <c r="H36" t="s">
        <v>5937</v>
      </c>
      <c r="I36" t="s">
        <v>5952</v>
      </c>
      <c r="J36">
        <v>1</v>
      </c>
      <c r="K36">
        <v>2</v>
      </c>
      <c r="L36" s="198">
        <f t="shared" si="0"/>
        <v>10326.08695652174</v>
      </c>
      <c r="M36" s="198">
        <f t="shared" si="1"/>
        <v>20700</v>
      </c>
      <c r="N36" s="190" cm="1">
        <f t="array" ref="N36">SUMPRODUCT(('AOP25'!$F$2:$F$403=$H$4)*('AOP25'!$J$2:$J$403='Infra Cost Non Sap 2024'!A36)*('AOP25'!$T$2:$T$403))</f>
        <v>20700</v>
      </c>
      <c r="O36" s="198">
        <f t="shared" si="2"/>
        <v>0</v>
      </c>
      <c r="P36" t="s">
        <v>5969</v>
      </c>
      <c r="Q36" s="135"/>
    </row>
    <row r="37" spans="1:17" hidden="1" x14ac:dyDescent="0.25">
      <c r="A37" s="197" t="s">
        <v>6005</v>
      </c>
      <c r="B37" t="s">
        <v>6006</v>
      </c>
      <c r="C37" t="s">
        <v>5963</v>
      </c>
      <c r="D37" t="s">
        <v>1800</v>
      </c>
      <c r="E37" t="s">
        <v>5988</v>
      </c>
      <c r="F37" t="s">
        <v>1046</v>
      </c>
      <c r="G37" t="s">
        <v>6007</v>
      </c>
      <c r="H37" t="s">
        <v>5937</v>
      </c>
      <c r="I37" t="s">
        <v>1800</v>
      </c>
      <c r="J37">
        <v>1</v>
      </c>
      <c r="K37">
        <v>0</v>
      </c>
      <c r="L37" s="198">
        <f t="shared" si="0"/>
        <v>10326.08695652174</v>
      </c>
      <c r="M37" s="198">
        <f t="shared" si="1"/>
        <v>0</v>
      </c>
      <c r="N37" s="190" cm="1">
        <f t="array" ref="N37">SUMPRODUCT(('AOP25'!$F$2:$F$403=$H$4)*('AOP25'!$J$2:$J$403='Infra Cost Non Sap 2024'!A37)*('AOP25'!$T$2:$T$403))</f>
        <v>0</v>
      </c>
      <c r="O37" s="198">
        <f t="shared" si="2"/>
        <v>0</v>
      </c>
      <c r="P37" t="s">
        <v>5969</v>
      </c>
      <c r="Q37" s="135" t="s">
        <v>6008</v>
      </c>
    </row>
    <row r="38" spans="1:17" hidden="1" x14ac:dyDescent="0.25">
      <c r="A38" s="197" t="s">
        <v>2235</v>
      </c>
      <c r="B38" t="s">
        <v>6009</v>
      </c>
      <c r="C38" t="s">
        <v>5963</v>
      </c>
      <c r="D38" t="s">
        <v>5934</v>
      </c>
      <c r="E38" t="s">
        <v>5988</v>
      </c>
      <c r="F38" t="s">
        <v>1046</v>
      </c>
      <c r="G38" t="s">
        <v>6004</v>
      </c>
      <c r="H38" t="s">
        <v>5937</v>
      </c>
      <c r="I38" t="s">
        <v>1800</v>
      </c>
      <c r="J38">
        <v>1</v>
      </c>
      <c r="K38">
        <v>2</v>
      </c>
      <c r="L38" s="198">
        <f t="shared" si="0"/>
        <v>10326.08695652174</v>
      </c>
      <c r="M38" s="198">
        <f t="shared" si="1"/>
        <v>20700</v>
      </c>
      <c r="N38" s="190" cm="1">
        <f t="array" ref="N38">SUMPRODUCT(('AOP25'!$F$2:$F$403=$H$4)*('AOP25'!$J$2:$J$403='Infra Cost Non Sap 2024'!A38)*('AOP25'!$T$2:$T$403))</f>
        <v>20700</v>
      </c>
      <c r="O38" s="198">
        <f t="shared" si="2"/>
        <v>0</v>
      </c>
      <c r="P38" t="s">
        <v>5969</v>
      </c>
      <c r="Q38" s="135"/>
    </row>
    <row r="39" spans="1:17" hidden="1" x14ac:dyDescent="0.25">
      <c r="A39" s="197" t="s">
        <v>2237</v>
      </c>
      <c r="B39" t="s">
        <v>6010</v>
      </c>
      <c r="C39" t="s">
        <v>5963</v>
      </c>
      <c r="D39" t="s">
        <v>5934</v>
      </c>
      <c r="E39" t="s">
        <v>5988</v>
      </c>
      <c r="F39" t="s">
        <v>5983</v>
      </c>
      <c r="G39" t="s">
        <v>6004</v>
      </c>
      <c r="H39" t="s">
        <v>5937</v>
      </c>
      <c r="I39" t="s">
        <v>5956</v>
      </c>
      <c r="J39">
        <v>1</v>
      </c>
      <c r="K39">
        <v>2</v>
      </c>
      <c r="L39" s="198">
        <f t="shared" si="0"/>
        <v>10326.08695652174</v>
      </c>
      <c r="M39" s="198">
        <f t="shared" si="1"/>
        <v>20700</v>
      </c>
      <c r="N39" s="190" cm="1">
        <f t="array" ref="N39">SUMPRODUCT(('AOP25'!$F$2:$F$403=$H$4)*('AOP25'!$J$2:$J$403='Infra Cost Non Sap 2024'!A39)*('AOP25'!$T$2:$T$403))</f>
        <v>20700</v>
      </c>
      <c r="O39" s="198">
        <f t="shared" si="2"/>
        <v>0</v>
      </c>
      <c r="P39" t="s">
        <v>5969</v>
      </c>
      <c r="Q39" s="135"/>
    </row>
    <row r="40" spans="1:17" hidden="1" x14ac:dyDescent="0.25">
      <c r="A40" s="197" t="s">
        <v>2239</v>
      </c>
      <c r="B40" t="s">
        <v>6011</v>
      </c>
      <c r="C40" t="s">
        <v>5963</v>
      </c>
      <c r="D40" t="s">
        <v>5934</v>
      </c>
      <c r="E40" t="s">
        <v>5988</v>
      </c>
      <c r="F40" t="s">
        <v>5967</v>
      </c>
      <c r="G40" t="s">
        <v>6004</v>
      </c>
      <c r="H40" t="s">
        <v>5937</v>
      </c>
      <c r="I40" t="s">
        <v>5956</v>
      </c>
      <c r="J40">
        <v>1</v>
      </c>
      <c r="K40">
        <v>1</v>
      </c>
      <c r="L40" s="198">
        <f t="shared" si="0"/>
        <v>10326.08695652174</v>
      </c>
      <c r="M40" s="198">
        <f t="shared" si="1"/>
        <v>10400</v>
      </c>
      <c r="N40" s="190" cm="1">
        <f t="array" ref="N40">SUMPRODUCT(('AOP25'!$F$2:$F$403=$H$4)*('AOP25'!$J$2:$J$403='Infra Cost Non Sap 2024'!A40)*('AOP25'!$T$2:$T$403))</f>
        <v>10400</v>
      </c>
      <c r="O40" s="198">
        <f t="shared" si="2"/>
        <v>0</v>
      </c>
      <c r="P40" t="s">
        <v>5969</v>
      </c>
      <c r="Q40" s="135"/>
    </row>
    <row r="41" spans="1:17" x14ac:dyDescent="0.25">
      <c r="A41" s="197" t="s">
        <v>3402</v>
      </c>
      <c r="B41" t="s">
        <v>970</v>
      </c>
      <c r="C41" t="s">
        <v>5963</v>
      </c>
      <c r="D41" t="s">
        <v>1800</v>
      </c>
      <c r="E41" t="s">
        <v>5935</v>
      </c>
      <c r="F41" t="s">
        <v>1046</v>
      </c>
      <c r="G41" t="s">
        <v>1421</v>
      </c>
      <c r="H41" t="s">
        <v>5956</v>
      </c>
      <c r="I41" t="s">
        <v>5956</v>
      </c>
      <c r="J41">
        <v>1</v>
      </c>
      <c r="K41">
        <v>1</v>
      </c>
      <c r="L41" s="198">
        <f t="shared" si="0"/>
        <v>10326.08695652174</v>
      </c>
      <c r="M41" s="198">
        <f t="shared" si="1"/>
        <v>0</v>
      </c>
      <c r="N41" s="190" cm="1">
        <f t="array" ref="N41">SUMPRODUCT(('AOP25'!$F$2:$F$403=$H$4)*('AOP25'!$J$2:$J$403='Infra Cost Non Sap 2024'!A41)*('AOP25'!$T$2:$T$403))</f>
        <v>0</v>
      </c>
      <c r="O41" s="198">
        <f t="shared" si="2"/>
        <v>0</v>
      </c>
      <c r="P41" t="s">
        <v>5969</v>
      </c>
      <c r="Q41" s="135"/>
    </row>
    <row r="42" spans="1:17" hidden="1" x14ac:dyDescent="0.25">
      <c r="A42" s="197" t="s">
        <v>2241</v>
      </c>
      <c r="B42" t="s">
        <v>6012</v>
      </c>
      <c r="C42" t="s">
        <v>5963</v>
      </c>
      <c r="D42" t="s">
        <v>5934</v>
      </c>
      <c r="E42" t="s">
        <v>5988</v>
      </c>
      <c r="F42" t="s">
        <v>5974</v>
      </c>
      <c r="G42" t="s">
        <v>6013</v>
      </c>
      <c r="H42" t="s">
        <v>5937</v>
      </c>
      <c r="I42" t="s">
        <v>5956</v>
      </c>
      <c r="J42">
        <v>1</v>
      </c>
      <c r="K42">
        <v>1</v>
      </c>
      <c r="L42" s="198">
        <f t="shared" si="0"/>
        <v>10326.08695652174</v>
      </c>
      <c r="M42" s="198">
        <f t="shared" si="1"/>
        <v>10400</v>
      </c>
      <c r="N42" s="190" cm="1">
        <f t="array" ref="N42">SUMPRODUCT(('AOP25'!$F$2:$F$403=$H$4)*('AOP25'!$J$2:$J$403='Infra Cost Non Sap 2024'!A42)*('AOP25'!$T$2:$T$403))</f>
        <v>10400</v>
      </c>
      <c r="O42" s="198">
        <f t="shared" si="2"/>
        <v>0</v>
      </c>
      <c r="P42" t="s">
        <v>5969</v>
      </c>
      <c r="Q42" s="135"/>
    </row>
    <row r="43" spans="1:17" hidden="1" x14ac:dyDescent="0.25">
      <c r="A43" s="197" t="s">
        <v>6014</v>
      </c>
      <c r="B43" t="s">
        <v>6015</v>
      </c>
      <c r="C43" t="s">
        <v>5963</v>
      </c>
      <c r="D43" t="s">
        <v>1800</v>
      </c>
      <c r="E43" t="s">
        <v>5982</v>
      </c>
      <c r="F43" t="s">
        <v>5974</v>
      </c>
      <c r="G43" t="s">
        <v>6007</v>
      </c>
      <c r="H43" t="s">
        <v>1800</v>
      </c>
      <c r="I43" t="s">
        <v>5952</v>
      </c>
      <c r="J43">
        <v>1</v>
      </c>
      <c r="K43">
        <v>1</v>
      </c>
      <c r="L43" s="198">
        <f t="shared" si="0"/>
        <v>10326.08695652174</v>
      </c>
      <c r="M43" s="198">
        <f t="shared" si="1"/>
        <v>0</v>
      </c>
      <c r="N43" s="190" cm="1">
        <f t="array" ref="N43">SUMPRODUCT(('AOP25'!$F$2:$F$403=$H$4)*('AOP25'!$J$2:$J$403='Infra Cost Non Sap 2024'!A43)*('AOP25'!$T$2:$T$403))</f>
        <v>0</v>
      </c>
      <c r="O43" s="198">
        <f t="shared" si="2"/>
        <v>0</v>
      </c>
      <c r="P43" t="s">
        <v>5969</v>
      </c>
      <c r="Q43" s="135"/>
    </row>
    <row r="44" spans="1:17" hidden="1" x14ac:dyDescent="0.25">
      <c r="A44" s="197" t="s">
        <v>6016</v>
      </c>
      <c r="B44" t="s">
        <v>6017</v>
      </c>
      <c r="C44" t="s">
        <v>5963</v>
      </c>
      <c r="D44" t="s">
        <v>1800</v>
      </c>
      <c r="E44" t="s">
        <v>5988</v>
      </c>
      <c r="F44" t="s">
        <v>5943</v>
      </c>
      <c r="G44" t="s">
        <v>5984</v>
      </c>
      <c r="H44" t="s">
        <v>1800</v>
      </c>
      <c r="I44" t="s">
        <v>1800</v>
      </c>
      <c r="J44">
        <v>1</v>
      </c>
      <c r="K44">
        <v>0</v>
      </c>
      <c r="L44" s="198">
        <f t="shared" si="0"/>
        <v>10326.08695652174</v>
      </c>
      <c r="M44" s="198">
        <f t="shared" si="1"/>
        <v>0</v>
      </c>
      <c r="N44" s="190" cm="1">
        <f t="array" ref="N44">SUMPRODUCT(('AOP25'!$F$2:$F$403=$H$4)*('AOP25'!$J$2:$J$403='Infra Cost Non Sap 2024'!A44)*('AOP25'!$T$2:$T$403))</f>
        <v>0</v>
      </c>
      <c r="O44" s="198">
        <f t="shared" si="2"/>
        <v>0</v>
      </c>
      <c r="P44" t="s">
        <v>5969</v>
      </c>
      <c r="Q44" s="135"/>
    </row>
    <row r="45" spans="1:17" hidden="1" x14ac:dyDescent="0.25">
      <c r="A45" s="197" t="s">
        <v>2243</v>
      </c>
      <c r="B45" t="s">
        <v>6018</v>
      </c>
      <c r="C45" t="s">
        <v>5963</v>
      </c>
      <c r="D45" t="s">
        <v>5934</v>
      </c>
      <c r="E45" t="s">
        <v>5982</v>
      </c>
      <c r="F45" t="s">
        <v>5974</v>
      </c>
      <c r="G45" t="s">
        <v>5984</v>
      </c>
      <c r="H45" t="s">
        <v>5937</v>
      </c>
      <c r="I45" t="s">
        <v>5968</v>
      </c>
      <c r="J45">
        <v>1</v>
      </c>
      <c r="K45">
        <v>1</v>
      </c>
      <c r="L45" s="198">
        <f t="shared" si="0"/>
        <v>10326.08695652174</v>
      </c>
      <c r="M45" s="198">
        <f t="shared" si="1"/>
        <v>10400</v>
      </c>
      <c r="N45" s="190" cm="1">
        <f t="array" ref="N45">SUMPRODUCT(('AOP25'!$F$2:$F$403=$H$4)*('AOP25'!$J$2:$J$403='Infra Cost Non Sap 2024'!A45)*('AOP25'!$T$2:$T$403))</f>
        <v>10400</v>
      </c>
      <c r="O45" s="198">
        <f t="shared" si="2"/>
        <v>0</v>
      </c>
      <c r="P45" t="s">
        <v>5969</v>
      </c>
      <c r="Q45" s="135"/>
    </row>
    <row r="46" spans="1:17" hidden="1" x14ac:dyDescent="0.25">
      <c r="A46" s="197" t="s">
        <v>2245</v>
      </c>
      <c r="B46" t="s">
        <v>6019</v>
      </c>
      <c r="C46" t="s">
        <v>5963</v>
      </c>
      <c r="D46" t="s">
        <v>5934</v>
      </c>
      <c r="E46" t="s">
        <v>5988</v>
      </c>
      <c r="F46" t="s">
        <v>6020</v>
      </c>
      <c r="G46" t="s">
        <v>5989</v>
      </c>
      <c r="H46" t="s">
        <v>5937</v>
      </c>
      <c r="I46" t="s">
        <v>5968</v>
      </c>
      <c r="J46">
        <v>1</v>
      </c>
      <c r="K46">
        <v>1</v>
      </c>
      <c r="L46" s="198">
        <f t="shared" si="0"/>
        <v>10326.08695652174</v>
      </c>
      <c r="M46" s="198"/>
      <c r="N46" s="190" cm="1">
        <f t="array" ref="N46">SUMPRODUCT(('AOP25'!$F$2:$F$403=$H$4)*('AOP25'!$J$2:$J$403='Infra Cost Non Sap 2024'!A46)*('AOP25'!$T$2:$T$403))</f>
        <v>10400</v>
      </c>
      <c r="O46" s="198">
        <f t="shared" si="2"/>
        <v>-10400</v>
      </c>
      <c r="P46" t="s">
        <v>5969</v>
      </c>
      <c r="Q46" s="135"/>
    </row>
    <row r="47" spans="1:17" hidden="1" x14ac:dyDescent="0.25">
      <c r="A47" s="197" t="s">
        <v>2247</v>
      </c>
      <c r="B47" t="s">
        <v>6021</v>
      </c>
      <c r="C47" t="s">
        <v>5963</v>
      </c>
      <c r="D47" t="s">
        <v>5934</v>
      </c>
      <c r="E47" t="s">
        <v>5982</v>
      </c>
      <c r="F47" t="s">
        <v>6022</v>
      </c>
      <c r="G47" t="s">
        <v>5989</v>
      </c>
      <c r="H47" t="s">
        <v>5937</v>
      </c>
      <c r="I47" t="s">
        <v>5968</v>
      </c>
      <c r="J47">
        <v>1</v>
      </c>
      <c r="K47">
        <v>2</v>
      </c>
      <c r="L47" s="198">
        <f t="shared" si="0"/>
        <v>10326.08695652174</v>
      </c>
      <c r="M47" s="198">
        <f t="shared" si="1"/>
        <v>20700</v>
      </c>
      <c r="N47" s="190" cm="1">
        <f t="array" ref="N47">SUMPRODUCT(('AOP25'!$F$2:$F$403=$H$4)*('AOP25'!$J$2:$J$403='Infra Cost Non Sap 2024'!A47)*('AOP25'!$T$2:$T$403))</f>
        <v>0</v>
      </c>
      <c r="O47" s="198">
        <f t="shared" si="2"/>
        <v>20700</v>
      </c>
      <c r="P47" t="s">
        <v>5969</v>
      </c>
      <c r="Q47" s="135"/>
    </row>
    <row r="48" spans="1:17" hidden="1" x14ac:dyDescent="0.25">
      <c r="A48" s="197" t="s">
        <v>6023</v>
      </c>
      <c r="B48" t="s">
        <v>6024</v>
      </c>
      <c r="C48" t="s">
        <v>5963</v>
      </c>
      <c r="D48" t="s">
        <v>1800</v>
      </c>
      <c r="E48" t="s">
        <v>5988</v>
      </c>
      <c r="F48" t="s">
        <v>5943</v>
      </c>
      <c r="G48" t="s">
        <v>6025</v>
      </c>
      <c r="H48" t="s">
        <v>1800</v>
      </c>
      <c r="I48" t="s">
        <v>5952</v>
      </c>
      <c r="J48">
        <v>1</v>
      </c>
      <c r="K48">
        <v>1</v>
      </c>
      <c r="L48" s="198">
        <f t="shared" si="0"/>
        <v>10326.08695652174</v>
      </c>
      <c r="M48" s="198">
        <f t="shared" si="1"/>
        <v>0</v>
      </c>
      <c r="N48" s="190" cm="1">
        <f t="array" ref="N48">SUMPRODUCT(('AOP25'!$F$2:$F$403=$H$4)*('AOP25'!$J$2:$J$403='Infra Cost Non Sap 2024'!A48)*('AOP25'!$T$2:$T$403))</f>
        <v>0</v>
      </c>
      <c r="O48" s="198">
        <f t="shared" si="2"/>
        <v>0</v>
      </c>
      <c r="P48" t="s">
        <v>5969</v>
      </c>
      <c r="Q48" s="135"/>
    </row>
    <row r="49" spans="1:17" hidden="1" x14ac:dyDescent="0.25">
      <c r="A49" s="197" t="s">
        <v>2250</v>
      </c>
      <c r="B49" t="s">
        <v>6026</v>
      </c>
      <c r="C49" t="s">
        <v>5963</v>
      </c>
      <c r="D49" t="s">
        <v>5934</v>
      </c>
      <c r="E49" t="s">
        <v>5988</v>
      </c>
      <c r="F49" t="s">
        <v>5983</v>
      </c>
      <c r="G49" t="s">
        <v>5989</v>
      </c>
      <c r="H49" t="s">
        <v>5937</v>
      </c>
      <c r="I49" t="s">
        <v>5968</v>
      </c>
      <c r="J49">
        <v>1</v>
      </c>
      <c r="K49">
        <v>1</v>
      </c>
      <c r="L49" s="198">
        <f t="shared" si="0"/>
        <v>10326.08695652174</v>
      </c>
      <c r="M49" s="198">
        <f t="shared" si="1"/>
        <v>10400</v>
      </c>
      <c r="N49" s="190" cm="1">
        <f t="array" ref="N49">SUMPRODUCT(('AOP25'!$F$2:$F$403=$H$4)*('AOP25'!$J$2:$J$403='Infra Cost Non Sap 2024'!A49)*('AOP25'!$T$2:$T$403))</f>
        <v>10400</v>
      </c>
      <c r="O49" s="198">
        <f t="shared" si="2"/>
        <v>0</v>
      </c>
      <c r="P49" t="s">
        <v>5969</v>
      </c>
      <c r="Q49" s="135"/>
    </row>
    <row r="50" spans="1:17" hidden="1" x14ac:dyDescent="0.25">
      <c r="A50" s="197" t="s">
        <v>2252</v>
      </c>
      <c r="B50" t="s">
        <v>6027</v>
      </c>
      <c r="C50" t="s">
        <v>5963</v>
      </c>
      <c r="D50" t="s">
        <v>5934</v>
      </c>
      <c r="E50" t="s">
        <v>5988</v>
      </c>
      <c r="F50" t="s">
        <v>3144</v>
      </c>
      <c r="G50" t="s">
        <v>6028</v>
      </c>
      <c r="H50" t="s">
        <v>5937</v>
      </c>
      <c r="I50" t="s">
        <v>5968</v>
      </c>
      <c r="J50">
        <v>1</v>
      </c>
      <c r="K50">
        <v>1</v>
      </c>
      <c r="L50" s="198">
        <f t="shared" si="0"/>
        <v>10326.08695652174</v>
      </c>
      <c r="M50" s="198">
        <f t="shared" si="1"/>
        <v>10400</v>
      </c>
      <c r="N50" s="190" cm="1">
        <f t="array" ref="N50">SUMPRODUCT(('AOP25'!$F$2:$F$403=$H$4)*('AOP25'!$J$2:$J$403='Infra Cost Non Sap 2024'!A50)*('AOP25'!$T$2:$T$403))</f>
        <v>10400</v>
      </c>
      <c r="O50" s="198">
        <f t="shared" si="2"/>
        <v>0</v>
      </c>
      <c r="P50" t="s">
        <v>5969</v>
      </c>
      <c r="Q50" s="135"/>
    </row>
    <row r="51" spans="1:17" hidden="1" x14ac:dyDescent="0.25">
      <c r="A51" s="197" t="s">
        <v>6029</v>
      </c>
      <c r="B51" t="s">
        <v>6030</v>
      </c>
      <c r="C51" t="s">
        <v>5963</v>
      </c>
      <c r="D51" t="s">
        <v>1800</v>
      </c>
      <c r="E51" t="s">
        <v>5988</v>
      </c>
      <c r="F51" t="s">
        <v>5950</v>
      </c>
      <c r="G51" t="s">
        <v>6031</v>
      </c>
      <c r="H51" t="s">
        <v>1800</v>
      </c>
      <c r="I51" t="s">
        <v>1800</v>
      </c>
      <c r="J51">
        <v>1</v>
      </c>
      <c r="K51">
        <v>0</v>
      </c>
      <c r="L51" s="198">
        <f t="shared" si="0"/>
        <v>10326.08695652174</v>
      </c>
      <c r="M51" s="198">
        <f t="shared" si="1"/>
        <v>0</v>
      </c>
      <c r="N51" s="190" cm="1">
        <f t="array" ref="N51">SUMPRODUCT(('AOP25'!$F$2:$F$403=$H$4)*('AOP25'!$J$2:$J$403='Infra Cost Non Sap 2024'!A51)*('AOP25'!$T$2:$T$403))</f>
        <v>0</v>
      </c>
      <c r="O51" s="198">
        <f t="shared" si="2"/>
        <v>0</v>
      </c>
      <c r="P51" t="s">
        <v>5969</v>
      </c>
      <c r="Q51" s="135"/>
    </row>
    <row r="52" spans="1:17" hidden="1" x14ac:dyDescent="0.25">
      <c r="A52" s="197" t="s">
        <v>2254</v>
      </c>
      <c r="B52" t="s">
        <v>6032</v>
      </c>
      <c r="C52" t="s">
        <v>5963</v>
      </c>
      <c r="D52" t="s">
        <v>5934</v>
      </c>
      <c r="E52" t="s">
        <v>5988</v>
      </c>
      <c r="F52" t="s">
        <v>5983</v>
      </c>
      <c r="G52" t="s">
        <v>6031</v>
      </c>
      <c r="H52" t="s">
        <v>5937</v>
      </c>
      <c r="I52" t="s">
        <v>5952</v>
      </c>
      <c r="J52">
        <v>1</v>
      </c>
      <c r="K52">
        <v>2</v>
      </c>
      <c r="L52" s="198">
        <f t="shared" si="0"/>
        <v>10326.08695652174</v>
      </c>
      <c r="M52" s="198">
        <f t="shared" si="1"/>
        <v>20700</v>
      </c>
      <c r="N52" s="190" cm="1">
        <f t="array" ref="N52">SUMPRODUCT(('AOP25'!$F$2:$F$403=$H$4)*('AOP25'!$J$2:$J$403='Infra Cost Non Sap 2024'!A52)*('AOP25'!$T$2:$T$403))</f>
        <v>20700</v>
      </c>
      <c r="O52" s="198">
        <f t="shared" si="2"/>
        <v>0</v>
      </c>
      <c r="P52" t="s">
        <v>5969</v>
      </c>
      <c r="Q52" s="135"/>
    </row>
    <row r="53" spans="1:17" hidden="1" x14ac:dyDescent="0.25">
      <c r="A53" s="197" t="s">
        <v>3556</v>
      </c>
      <c r="B53" t="s">
        <v>6033</v>
      </c>
      <c r="C53" t="s">
        <v>633</v>
      </c>
      <c r="D53" t="s">
        <v>5934</v>
      </c>
      <c r="E53" t="s">
        <v>5935</v>
      </c>
      <c r="F53" t="s">
        <v>5974</v>
      </c>
      <c r="G53" t="s">
        <v>1259</v>
      </c>
      <c r="H53" t="s">
        <v>5937</v>
      </c>
      <c r="I53" t="s">
        <v>5968</v>
      </c>
      <c r="J53">
        <v>1</v>
      </c>
      <c r="K53">
        <v>3</v>
      </c>
      <c r="L53" s="198">
        <f t="shared" si="0"/>
        <v>0</v>
      </c>
      <c r="M53" s="198">
        <f t="shared" si="1"/>
        <v>0</v>
      </c>
      <c r="N53" s="190" cm="1">
        <f t="array" ref="N53">SUMPRODUCT(('AOP25'!$F$2:$F$403=$H$4)*('AOP25'!$J$2:$J$403='Infra Cost Non Sap 2024'!A53)*('AOP25'!$T$2:$T$403))</f>
        <v>0</v>
      </c>
      <c r="O53" s="198">
        <f t="shared" si="2"/>
        <v>0</v>
      </c>
      <c r="P53" t="s">
        <v>3603</v>
      </c>
      <c r="Q53" s="135"/>
    </row>
    <row r="54" spans="1:17" hidden="1" x14ac:dyDescent="0.25">
      <c r="A54" s="197" t="s">
        <v>2256</v>
      </c>
      <c r="B54" t="s">
        <v>6034</v>
      </c>
      <c r="C54" t="s">
        <v>5963</v>
      </c>
      <c r="D54" t="s">
        <v>5934</v>
      </c>
      <c r="E54" t="s">
        <v>5982</v>
      </c>
      <c r="F54" t="s">
        <v>5943</v>
      </c>
      <c r="G54" t="s">
        <v>6001</v>
      </c>
      <c r="H54" t="s">
        <v>5937</v>
      </c>
      <c r="I54" t="s">
        <v>5968</v>
      </c>
      <c r="J54">
        <v>1</v>
      </c>
      <c r="K54">
        <v>2</v>
      </c>
      <c r="L54" s="198">
        <f t="shared" si="0"/>
        <v>10326.08695652174</v>
      </c>
      <c r="M54" s="198">
        <f t="shared" si="1"/>
        <v>20700</v>
      </c>
      <c r="N54" s="190" cm="1">
        <f t="array" ref="N54">SUMPRODUCT(('AOP25'!$F$2:$F$403=$H$4)*('AOP25'!$J$2:$J$403='Infra Cost Non Sap 2024'!A54)*('AOP25'!$T$2:$T$403))</f>
        <v>20700</v>
      </c>
      <c r="O54" s="198">
        <f t="shared" si="2"/>
        <v>0</v>
      </c>
      <c r="P54" t="s">
        <v>5969</v>
      </c>
      <c r="Q54" s="135"/>
    </row>
    <row r="55" spans="1:17" hidden="1" x14ac:dyDescent="0.25">
      <c r="A55" s="197" t="s">
        <v>2258</v>
      </c>
      <c r="B55" t="s">
        <v>6035</v>
      </c>
      <c r="C55" t="s">
        <v>5963</v>
      </c>
      <c r="D55" t="s">
        <v>5934</v>
      </c>
      <c r="E55" t="s">
        <v>5988</v>
      </c>
      <c r="F55" t="s">
        <v>6020</v>
      </c>
      <c r="G55" t="s">
        <v>6036</v>
      </c>
      <c r="H55" t="s">
        <v>5937</v>
      </c>
      <c r="I55" t="s">
        <v>5968</v>
      </c>
      <c r="J55">
        <v>1</v>
      </c>
      <c r="K55">
        <v>1</v>
      </c>
      <c r="L55" s="198">
        <f t="shared" si="0"/>
        <v>10326.08695652174</v>
      </c>
      <c r="M55" s="198">
        <f t="shared" si="1"/>
        <v>10400</v>
      </c>
      <c r="N55" s="190" cm="1">
        <f t="array" ref="N55">SUMPRODUCT(('AOP25'!$F$2:$F$403=$H$4)*('AOP25'!$J$2:$J$403='Infra Cost Non Sap 2024'!A55)*('AOP25'!$T$2:$T$403))</f>
        <v>10400</v>
      </c>
      <c r="O55" s="198">
        <f t="shared" si="2"/>
        <v>0</v>
      </c>
      <c r="P55" t="s">
        <v>5969</v>
      </c>
      <c r="Q55" s="135"/>
    </row>
    <row r="56" spans="1:17" hidden="1" x14ac:dyDescent="0.25">
      <c r="A56" s="197" t="s">
        <v>2260</v>
      </c>
      <c r="B56" t="s">
        <v>6037</v>
      </c>
      <c r="C56" t="s">
        <v>5963</v>
      </c>
      <c r="D56" t="s">
        <v>5934</v>
      </c>
      <c r="E56" t="s">
        <v>5935</v>
      </c>
      <c r="F56" t="s">
        <v>1046</v>
      </c>
      <c r="G56" t="s">
        <v>5984</v>
      </c>
      <c r="H56" t="s">
        <v>5937</v>
      </c>
      <c r="I56" t="s">
        <v>5938</v>
      </c>
      <c r="J56">
        <v>1</v>
      </c>
      <c r="K56">
        <v>3</v>
      </c>
      <c r="L56" s="198">
        <f t="shared" si="0"/>
        <v>10326.08695652174</v>
      </c>
      <c r="M56" s="198">
        <f t="shared" si="1"/>
        <v>31000</v>
      </c>
      <c r="N56" s="190" cm="1">
        <f t="array" ref="N56">SUMPRODUCT(('AOP25'!$F$2:$F$403=$H$4)*('AOP25'!$J$2:$J$403='Infra Cost Non Sap 2024'!A56)*('AOP25'!$T$2:$T$403))</f>
        <v>31000</v>
      </c>
      <c r="O56" s="198">
        <f t="shared" si="2"/>
        <v>0</v>
      </c>
      <c r="P56" t="s">
        <v>5969</v>
      </c>
      <c r="Q56" s="135"/>
    </row>
    <row r="57" spans="1:17" hidden="1" x14ac:dyDescent="0.25">
      <c r="A57" s="197" t="s">
        <v>2262</v>
      </c>
      <c r="B57" t="s">
        <v>6038</v>
      </c>
      <c r="C57" t="s">
        <v>5963</v>
      </c>
      <c r="D57" t="s">
        <v>5934</v>
      </c>
      <c r="E57" t="s">
        <v>5935</v>
      </c>
      <c r="F57" t="s">
        <v>5936</v>
      </c>
      <c r="G57" t="s">
        <v>1259</v>
      </c>
      <c r="H57" t="s">
        <v>5937</v>
      </c>
      <c r="I57" t="s">
        <v>5938</v>
      </c>
      <c r="J57">
        <v>1</v>
      </c>
      <c r="K57">
        <v>2</v>
      </c>
      <c r="L57" s="198">
        <f t="shared" si="0"/>
        <v>10326.08695652174</v>
      </c>
      <c r="M57" s="198">
        <f t="shared" si="1"/>
        <v>20700</v>
      </c>
      <c r="N57" s="190" cm="1">
        <f t="array" ref="N57">SUMPRODUCT(('AOP25'!$F$2:$F$403=$H$4)*('AOP25'!$J$2:$J$403='Infra Cost Non Sap 2024'!A57)*('AOP25'!$T$2:$T$403))</f>
        <v>20700</v>
      </c>
      <c r="O57" s="198">
        <f t="shared" si="2"/>
        <v>0</v>
      </c>
      <c r="P57" t="s">
        <v>3603</v>
      </c>
      <c r="Q57" s="135"/>
    </row>
    <row r="58" spans="1:17" hidden="1" x14ac:dyDescent="0.25">
      <c r="A58" s="197" t="s">
        <v>6039</v>
      </c>
      <c r="B58" t="s">
        <v>6040</v>
      </c>
      <c r="C58" t="s">
        <v>633</v>
      </c>
      <c r="D58" t="s">
        <v>5934</v>
      </c>
      <c r="E58" t="s">
        <v>5935</v>
      </c>
      <c r="F58" t="s">
        <v>5983</v>
      </c>
      <c r="G58" t="s">
        <v>1259</v>
      </c>
      <c r="H58" t="s">
        <v>5937</v>
      </c>
      <c r="I58" t="s">
        <v>5938</v>
      </c>
      <c r="J58">
        <v>1</v>
      </c>
      <c r="K58">
        <v>2</v>
      </c>
      <c r="L58" s="198">
        <f t="shared" si="0"/>
        <v>0</v>
      </c>
      <c r="M58" s="198">
        <f t="shared" si="1"/>
        <v>0</v>
      </c>
      <c r="N58" s="190" cm="1">
        <f t="array" ref="N58">SUMPRODUCT(('AOP25'!$F$2:$F$403=$H$4)*('AOP25'!$J$2:$J$403='Infra Cost Non Sap 2024'!A58)*('AOP25'!$T$2:$T$403))</f>
        <v>0</v>
      </c>
      <c r="O58" s="198">
        <f t="shared" si="2"/>
        <v>0</v>
      </c>
      <c r="P58" t="s">
        <v>3603</v>
      </c>
      <c r="Q58" s="135"/>
    </row>
    <row r="59" spans="1:17" hidden="1" x14ac:dyDescent="0.25">
      <c r="A59" s="197" t="s">
        <v>6041</v>
      </c>
      <c r="B59" t="s">
        <v>6042</v>
      </c>
      <c r="C59" t="s">
        <v>633</v>
      </c>
      <c r="D59" t="s">
        <v>5934</v>
      </c>
      <c r="E59" t="s">
        <v>5935</v>
      </c>
      <c r="F59" t="s">
        <v>5983</v>
      </c>
      <c r="G59" t="s">
        <v>1259</v>
      </c>
      <c r="H59" t="s">
        <v>5937</v>
      </c>
      <c r="I59" t="s">
        <v>5938</v>
      </c>
      <c r="J59">
        <v>1</v>
      </c>
      <c r="K59">
        <v>2</v>
      </c>
      <c r="L59" s="198">
        <f t="shared" si="0"/>
        <v>0</v>
      </c>
      <c r="M59" s="198">
        <f t="shared" si="1"/>
        <v>0</v>
      </c>
      <c r="N59" s="190" cm="1">
        <f t="array" ref="N59">SUMPRODUCT(('AOP25'!$F$2:$F$403=$H$4)*('AOP25'!$J$2:$J$403='Infra Cost Non Sap 2024'!A59)*('AOP25'!$T$2:$T$403))</f>
        <v>0</v>
      </c>
      <c r="O59" s="198">
        <f t="shared" si="2"/>
        <v>0</v>
      </c>
      <c r="P59" t="s">
        <v>3603</v>
      </c>
      <c r="Q59" s="135"/>
    </row>
    <row r="60" spans="1:17" hidden="1" x14ac:dyDescent="0.25">
      <c r="A60" s="197" t="s">
        <v>6043</v>
      </c>
      <c r="B60" t="s">
        <v>6044</v>
      </c>
      <c r="C60" t="s">
        <v>633</v>
      </c>
      <c r="D60" t="s">
        <v>5934</v>
      </c>
      <c r="E60" t="s">
        <v>5935</v>
      </c>
      <c r="F60" t="s">
        <v>5936</v>
      </c>
      <c r="G60" t="s">
        <v>1489</v>
      </c>
      <c r="H60" t="s">
        <v>5937</v>
      </c>
      <c r="I60" t="s">
        <v>5938</v>
      </c>
      <c r="J60">
        <v>1</v>
      </c>
      <c r="K60">
        <v>6</v>
      </c>
      <c r="L60" s="198">
        <f t="shared" si="0"/>
        <v>0</v>
      </c>
      <c r="M60" s="198">
        <f t="shared" si="1"/>
        <v>0</v>
      </c>
      <c r="N60" s="190" cm="1">
        <f t="array" ref="N60">SUMPRODUCT(('AOP25'!$F$2:$F$403=$H$4)*('AOP25'!$J$2:$J$403='Infra Cost Non Sap 2024'!A60)*('AOP25'!$T$2:$T$403))</f>
        <v>0</v>
      </c>
      <c r="O60" s="198">
        <f t="shared" si="2"/>
        <v>0</v>
      </c>
      <c r="P60" t="s">
        <v>3603</v>
      </c>
      <c r="Q60" s="135"/>
    </row>
    <row r="61" spans="1:17" hidden="1" x14ac:dyDescent="0.25">
      <c r="A61" s="197" t="s">
        <v>2264</v>
      </c>
      <c r="B61" t="s">
        <v>6045</v>
      </c>
      <c r="C61" t="s">
        <v>5963</v>
      </c>
      <c r="D61" t="s">
        <v>5934</v>
      </c>
      <c r="E61" t="s">
        <v>5935</v>
      </c>
      <c r="F61" t="s">
        <v>5943</v>
      </c>
      <c r="G61" t="s">
        <v>1479</v>
      </c>
      <c r="H61" t="s">
        <v>5937</v>
      </c>
      <c r="I61" t="s">
        <v>5968</v>
      </c>
      <c r="J61">
        <v>1</v>
      </c>
      <c r="K61">
        <v>4</v>
      </c>
      <c r="L61" s="198">
        <f t="shared" si="0"/>
        <v>10326.08695652174</v>
      </c>
      <c r="M61" s="198">
        <f t="shared" si="1"/>
        <v>41400</v>
      </c>
      <c r="N61" s="190" cm="1">
        <f t="array" ref="N61">SUMPRODUCT(('AOP25'!$F$2:$F$403=$H$4)*('AOP25'!$J$2:$J$403='Infra Cost Non Sap 2024'!A61)*('AOP25'!$T$2:$T$403))</f>
        <v>41400</v>
      </c>
      <c r="O61" s="198">
        <f t="shared" si="2"/>
        <v>0</v>
      </c>
      <c r="P61" t="s">
        <v>5969</v>
      </c>
      <c r="Q61" s="135"/>
    </row>
    <row r="62" spans="1:17" hidden="1" x14ac:dyDescent="0.25">
      <c r="A62" s="197" t="s">
        <v>3438</v>
      </c>
      <c r="B62" t="s">
        <v>2883</v>
      </c>
      <c r="C62" t="s">
        <v>5963</v>
      </c>
      <c r="D62" t="s">
        <v>1800</v>
      </c>
      <c r="E62" t="s">
        <v>5935</v>
      </c>
      <c r="F62" t="s">
        <v>5936</v>
      </c>
      <c r="G62" t="s">
        <v>6046</v>
      </c>
      <c r="H62" t="s">
        <v>5956</v>
      </c>
      <c r="I62" t="s">
        <v>5956</v>
      </c>
      <c r="J62">
        <v>1</v>
      </c>
      <c r="K62">
        <v>2</v>
      </c>
      <c r="L62" s="198">
        <f t="shared" si="0"/>
        <v>10326.08695652174</v>
      </c>
      <c r="M62" s="198">
        <f t="shared" si="1"/>
        <v>0</v>
      </c>
      <c r="N62" s="190" cm="1">
        <f t="array" ref="N62">SUMPRODUCT(('AOP25'!$F$2:$F$403=$H$4)*('AOP25'!$J$2:$J$403='Infra Cost Non Sap 2024'!A62)*('AOP25'!$T$2:$T$403))</f>
        <v>0</v>
      </c>
      <c r="O62" s="198">
        <f t="shared" si="2"/>
        <v>0</v>
      </c>
      <c r="P62" t="s">
        <v>5969</v>
      </c>
      <c r="Q62" s="135"/>
    </row>
    <row r="63" spans="1:17" x14ac:dyDescent="0.25">
      <c r="A63" s="197" t="s">
        <v>2266</v>
      </c>
      <c r="B63" t="s">
        <v>307</v>
      </c>
      <c r="C63" t="s">
        <v>5963</v>
      </c>
      <c r="D63" t="s">
        <v>5934</v>
      </c>
      <c r="E63" t="s">
        <v>5935</v>
      </c>
      <c r="F63" t="s">
        <v>1046</v>
      </c>
      <c r="G63" t="s">
        <v>1421</v>
      </c>
      <c r="H63" t="s">
        <v>5937</v>
      </c>
      <c r="I63" t="s">
        <v>5968</v>
      </c>
      <c r="J63">
        <v>1</v>
      </c>
      <c r="K63">
        <v>1</v>
      </c>
      <c r="L63" s="198">
        <f t="shared" si="0"/>
        <v>10326.08695652174</v>
      </c>
      <c r="M63" s="198">
        <f t="shared" si="1"/>
        <v>10400</v>
      </c>
      <c r="N63" s="190" cm="1">
        <f t="array" ref="N63">SUMPRODUCT(('AOP25'!$F$2:$F$403=$H$4)*('AOP25'!$J$2:$J$403='Infra Cost Non Sap 2024'!A63)*('AOP25'!$T$2:$T$403))</f>
        <v>10400</v>
      </c>
      <c r="O63" s="198">
        <f t="shared" si="2"/>
        <v>0</v>
      </c>
      <c r="P63" t="s">
        <v>5969</v>
      </c>
      <c r="Q63" s="135"/>
    </row>
    <row r="64" spans="1:17" x14ac:dyDescent="0.25">
      <c r="A64" s="197" t="s">
        <v>6047</v>
      </c>
      <c r="B64" t="s">
        <v>314</v>
      </c>
      <c r="C64" t="s">
        <v>5963</v>
      </c>
      <c r="D64" t="s">
        <v>1800</v>
      </c>
      <c r="E64" t="s">
        <v>5935</v>
      </c>
      <c r="F64" t="s">
        <v>3230</v>
      </c>
      <c r="G64" t="s">
        <v>1421</v>
      </c>
      <c r="H64" t="s">
        <v>5937</v>
      </c>
      <c r="I64" t="s">
        <v>5956</v>
      </c>
      <c r="J64">
        <v>1</v>
      </c>
      <c r="K64">
        <v>1</v>
      </c>
      <c r="L64" s="198">
        <f t="shared" si="0"/>
        <v>10326.08695652174</v>
      </c>
      <c r="M64" s="198">
        <f t="shared" si="1"/>
        <v>0</v>
      </c>
      <c r="N64" s="190" cm="1">
        <f t="array" ref="N64">SUMPRODUCT(('AOP25'!$F$2:$F$403=$H$4)*('AOP25'!$J$2:$J$403='Infra Cost Non Sap 2024'!A64)*('AOP25'!$T$2:$T$403))</f>
        <v>0</v>
      </c>
      <c r="O64" s="198">
        <f t="shared" si="2"/>
        <v>0</v>
      </c>
      <c r="P64" t="s">
        <v>5969</v>
      </c>
      <c r="Q64" s="135"/>
    </row>
    <row r="65" spans="1:17" hidden="1" x14ac:dyDescent="0.25">
      <c r="A65" s="197" t="s">
        <v>6048</v>
      </c>
      <c r="B65" t="s">
        <v>6049</v>
      </c>
      <c r="C65" t="s">
        <v>5963</v>
      </c>
      <c r="D65" t="s">
        <v>1800</v>
      </c>
      <c r="E65" t="s">
        <v>5988</v>
      </c>
      <c r="F65" t="s">
        <v>5983</v>
      </c>
      <c r="G65" t="s">
        <v>5989</v>
      </c>
      <c r="H65" t="s">
        <v>1800</v>
      </c>
      <c r="I65" t="s">
        <v>1800</v>
      </c>
      <c r="J65">
        <v>1</v>
      </c>
      <c r="K65">
        <v>0</v>
      </c>
      <c r="L65" s="198">
        <f t="shared" si="0"/>
        <v>10326.08695652174</v>
      </c>
      <c r="M65" s="198">
        <f t="shared" si="1"/>
        <v>0</v>
      </c>
      <c r="N65" s="190" cm="1">
        <f t="array" ref="N65">SUMPRODUCT(('AOP25'!$F$2:$F$403=$H$4)*('AOP25'!$J$2:$J$403='Infra Cost Non Sap 2024'!A65)*('AOP25'!$T$2:$T$403))</f>
        <v>0</v>
      </c>
      <c r="O65" s="198">
        <f t="shared" si="2"/>
        <v>0</v>
      </c>
      <c r="P65" t="s">
        <v>5969</v>
      </c>
      <c r="Q65" s="135"/>
    </row>
    <row r="66" spans="1:17" hidden="1" x14ac:dyDescent="0.25">
      <c r="A66" s="197" t="s">
        <v>2268</v>
      </c>
      <c r="B66" t="s">
        <v>6050</v>
      </c>
      <c r="C66" t="s">
        <v>5963</v>
      </c>
      <c r="D66" t="s">
        <v>5934</v>
      </c>
      <c r="E66" t="s">
        <v>5935</v>
      </c>
      <c r="F66" t="s">
        <v>6022</v>
      </c>
      <c r="G66" t="s">
        <v>1295</v>
      </c>
      <c r="H66" t="s">
        <v>5937</v>
      </c>
      <c r="I66" t="s">
        <v>5956</v>
      </c>
      <c r="J66">
        <v>1</v>
      </c>
      <c r="K66">
        <v>1</v>
      </c>
      <c r="L66" s="198">
        <f t="shared" si="0"/>
        <v>10326.08695652174</v>
      </c>
      <c r="M66" s="198">
        <f t="shared" si="1"/>
        <v>10400</v>
      </c>
      <c r="N66" s="190" cm="1">
        <f t="array" ref="N66">SUMPRODUCT(('AOP25'!$F$2:$F$403=$H$4)*('AOP25'!$J$2:$J$403='Infra Cost Non Sap 2024'!A66)*('AOP25'!$T$2:$T$403))</f>
        <v>10400</v>
      </c>
      <c r="O66" s="198">
        <f t="shared" si="2"/>
        <v>0</v>
      </c>
      <c r="P66" t="s">
        <v>5969</v>
      </c>
      <c r="Q66" s="135"/>
    </row>
    <row r="67" spans="1:17" hidden="1" x14ac:dyDescent="0.25">
      <c r="A67" s="197" t="s">
        <v>6051</v>
      </c>
      <c r="B67" t="s">
        <v>6052</v>
      </c>
      <c r="C67" t="s">
        <v>633</v>
      </c>
      <c r="D67" t="s">
        <v>5934</v>
      </c>
      <c r="E67" t="s">
        <v>5935</v>
      </c>
      <c r="F67" t="s">
        <v>6022</v>
      </c>
      <c r="G67" t="s">
        <v>1259</v>
      </c>
      <c r="H67" t="s">
        <v>5937</v>
      </c>
      <c r="I67" t="s">
        <v>5938</v>
      </c>
      <c r="J67">
        <v>1</v>
      </c>
      <c r="K67">
        <v>3</v>
      </c>
      <c r="L67" s="198">
        <f t="shared" si="0"/>
        <v>0</v>
      </c>
      <c r="M67" s="198">
        <f t="shared" si="1"/>
        <v>0</v>
      </c>
      <c r="N67" s="190" cm="1">
        <f t="array" ref="N67">SUMPRODUCT(('AOP25'!$F$2:$F$403=$H$4)*('AOP25'!$J$2:$J$403='Infra Cost Non Sap 2024'!A67)*('AOP25'!$T$2:$T$403))</f>
        <v>0</v>
      </c>
      <c r="O67" s="198">
        <f t="shared" si="2"/>
        <v>0</v>
      </c>
      <c r="P67" t="s">
        <v>3603</v>
      </c>
      <c r="Q67" s="135"/>
    </row>
    <row r="68" spans="1:17" hidden="1" x14ac:dyDescent="0.25">
      <c r="A68" s="197" t="s">
        <v>2270</v>
      </c>
      <c r="B68" t="s">
        <v>6053</v>
      </c>
      <c r="C68" t="s">
        <v>5963</v>
      </c>
      <c r="D68" t="s">
        <v>5934</v>
      </c>
      <c r="E68" t="s">
        <v>5935</v>
      </c>
      <c r="F68" t="s">
        <v>5974</v>
      </c>
      <c r="G68" t="s">
        <v>6054</v>
      </c>
      <c r="H68" t="s">
        <v>5937</v>
      </c>
      <c r="I68" t="s">
        <v>5968</v>
      </c>
      <c r="J68">
        <v>1</v>
      </c>
      <c r="K68">
        <v>4</v>
      </c>
      <c r="L68" s="198">
        <f t="shared" si="0"/>
        <v>10326.08695652174</v>
      </c>
      <c r="M68" s="198">
        <f t="shared" si="1"/>
        <v>41400</v>
      </c>
      <c r="N68" s="190" cm="1">
        <f t="array" ref="N68">SUMPRODUCT(('AOP25'!$F$2:$F$403=$H$4)*('AOP25'!$J$2:$J$403='Infra Cost Non Sap 2024'!A68)*('AOP25'!$T$2:$T$403))</f>
        <v>41400</v>
      </c>
      <c r="O68" s="198">
        <f t="shared" si="2"/>
        <v>0</v>
      </c>
      <c r="P68" t="s">
        <v>3144</v>
      </c>
      <c r="Q68" s="135"/>
    </row>
    <row r="69" spans="1:17" hidden="1" x14ac:dyDescent="0.25">
      <c r="A69" s="197" t="s">
        <v>6055</v>
      </c>
      <c r="B69" t="s">
        <v>6056</v>
      </c>
      <c r="C69" t="s">
        <v>5963</v>
      </c>
      <c r="D69" t="s">
        <v>1800</v>
      </c>
      <c r="E69" t="s">
        <v>5935</v>
      </c>
      <c r="F69" t="s">
        <v>6057</v>
      </c>
      <c r="G69" t="s">
        <v>1489</v>
      </c>
      <c r="H69" t="s">
        <v>1800</v>
      </c>
      <c r="I69" t="s">
        <v>5952</v>
      </c>
      <c r="J69">
        <v>1</v>
      </c>
      <c r="K69">
        <v>1</v>
      </c>
      <c r="L69" s="198">
        <f t="shared" si="0"/>
        <v>10326.08695652174</v>
      </c>
      <c r="M69" s="198">
        <f t="shared" si="1"/>
        <v>0</v>
      </c>
      <c r="N69" s="190" cm="1">
        <f t="array" ref="N69">SUMPRODUCT(('AOP25'!$F$2:$F$403=$H$4)*('AOP25'!$J$2:$J$403='Infra Cost Non Sap 2024'!A69)*('AOP25'!$T$2:$T$403))</f>
        <v>0</v>
      </c>
      <c r="O69" s="198">
        <f t="shared" si="2"/>
        <v>0</v>
      </c>
      <c r="P69" t="s">
        <v>5969</v>
      </c>
      <c r="Q69" s="135"/>
    </row>
    <row r="70" spans="1:17" hidden="1" x14ac:dyDescent="0.25">
      <c r="A70" s="197" t="s">
        <v>2272</v>
      </c>
      <c r="B70" t="s">
        <v>6058</v>
      </c>
      <c r="C70" t="s">
        <v>5963</v>
      </c>
      <c r="D70" t="s">
        <v>5934</v>
      </c>
      <c r="E70" t="s">
        <v>5935</v>
      </c>
      <c r="F70" t="s">
        <v>1046</v>
      </c>
      <c r="G70" t="s">
        <v>852</v>
      </c>
      <c r="H70" t="s">
        <v>5937</v>
      </c>
      <c r="I70" t="s">
        <v>5956</v>
      </c>
      <c r="J70">
        <v>1</v>
      </c>
      <c r="K70">
        <v>10</v>
      </c>
      <c r="L70" s="198">
        <f t="shared" si="0"/>
        <v>10326.08695652174</v>
      </c>
      <c r="M70" s="198">
        <f t="shared" si="1"/>
        <v>103300</v>
      </c>
      <c r="N70" s="190" cm="1">
        <f t="array" ref="N70">SUMPRODUCT(('AOP25'!$F$2:$F$403=$H$4)*('AOP25'!$J$2:$J$403='Infra Cost Non Sap 2024'!A70)*('AOP25'!$T$2:$T$403))</f>
        <v>103300</v>
      </c>
      <c r="O70" s="198">
        <f t="shared" si="2"/>
        <v>0</v>
      </c>
      <c r="P70" t="s">
        <v>5969</v>
      </c>
      <c r="Q70" s="135"/>
    </row>
    <row r="71" spans="1:17" hidden="1" x14ac:dyDescent="0.25">
      <c r="A71" s="197" t="s">
        <v>2274</v>
      </c>
      <c r="B71" t="s">
        <v>6059</v>
      </c>
      <c r="C71" t="s">
        <v>5963</v>
      </c>
      <c r="D71" t="s">
        <v>5934</v>
      </c>
      <c r="E71" t="s">
        <v>5935</v>
      </c>
      <c r="F71" t="s">
        <v>3144</v>
      </c>
      <c r="G71" t="s">
        <v>6060</v>
      </c>
      <c r="H71" t="s">
        <v>5937</v>
      </c>
      <c r="I71" t="s">
        <v>6061</v>
      </c>
      <c r="J71">
        <v>1</v>
      </c>
      <c r="K71">
        <v>4</v>
      </c>
      <c r="L71" s="198">
        <f t="shared" si="0"/>
        <v>10326.08695652174</v>
      </c>
      <c r="M71" s="198">
        <f t="shared" si="1"/>
        <v>41400</v>
      </c>
      <c r="N71" s="190" cm="1">
        <f t="array" ref="N71">SUMPRODUCT(('AOP25'!$F$2:$F$403=$H$4)*('AOP25'!$J$2:$J$403='Infra Cost Non Sap 2024'!A71)*('AOP25'!$T$2:$T$403))</f>
        <v>41400</v>
      </c>
      <c r="O71" s="198">
        <f t="shared" si="2"/>
        <v>0</v>
      </c>
      <c r="P71" t="s">
        <v>5969</v>
      </c>
      <c r="Q71" s="135" t="s">
        <v>6062</v>
      </c>
    </row>
    <row r="72" spans="1:17" hidden="1" x14ac:dyDescent="0.25">
      <c r="A72" s="197" t="s">
        <v>2276</v>
      </c>
      <c r="B72" t="s">
        <v>6063</v>
      </c>
      <c r="C72" t="s">
        <v>5963</v>
      </c>
      <c r="D72" t="s">
        <v>5934</v>
      </c>
      <c r="E72" t="s">
        <v>5982</v>
      </c>
      <c r="F72" t="s">
        <v>1046</v>
      </c>
      <c r="G72" t="s">
        <v>6001</v>
      </c>
      <c r="H72" t="s">
        <v>5937</v>
      </c>
      <c r="I72" t="s">
        <v>5968</v>
      </c>
      <c r="J72">
        <v>1</v>
      </c>
      <c r="K72">
        <v>1</v>
      </c>
      <c r="L72" s="198">
        <f t="shared" ref="L72:L86" si="3">IF(C72="non-sap",$C$4,0)</f>
        <v>10326.08695652174</v>
      </c>
      <c r="M72" s="198">
        <f t="shared" ref="M72:M86" si="4">IF(AND(C72="non-sap",D72="Operational"),CEILING((K72*L72),100),0)</f>
        <v>10400</v>
      </c>
      <c r="N72" s="190" cm="1">
        <f t="array" ref="N72">SUMPRODUCT(('AOP25'!$F$2:$F$403=$H$4)*('AOP25'!$J$2:$J$403='Infra Cost Non Sap 2024'!A72)*('AOP25'!$T$2:$T$403))</f>
        <v>10400</v>
      </c>
      <c r="O72" s="198">
        <f t="shared" ref="O72:O86" si="5">M72-N72</f>
        <v>0</v>
      </c>
      <c r="P72" t="s">
        <v>5969</v>
      </c>
      <c r="Q72" s="135"/>
    </row>
    <row r="73" spans="1:17" hidden="1" x14ac:dyDescent="0.25">
      <c r="A73" s="197" t="s">
        <v>6064</v>
      </c>
      <c r="B73" t="s">
        <v>6065</v>
      </c>
      <c r="C73" t="s">
        <v>5963</v>
      </c>
      <c r="D73" t="s">
        <v>1800</v>
      </c>
      <c r="E73" t="s">
        <v>5982</v>
      </c>
      <c r="F73" t="s">
        <v>5936</v>
      </c>
      <c r="G73" t="s">
        <v>6066</v>
      </c>
      <c r="H73" t="s">
        <v>5956</v>
      </c>
      <c r="I73" t="s">
        <v>5956</v>
      </c>
      <c r="J73">
        <v>1</v>
      </c>
      <c r="K73">
        <v>2</v>
      </c>
      <c r="L73" s="198">
        <f t="shared" si="3"/>
        <v>10326.08695652174</v>
      </c>
      <c r="M73" s="198">
        <f t="shared" si="4"/>
        <v>0</v>
      </c>
      <c r="N73" s="190" cm="1">
        <f t="array" ref="N73">SUMPRODUCT(('AOP25'!$F$2:$F$403=$H$4)*('AOP25'!$J$2:$J$403='Infra Cost Non Sap 2024'!A73)*('AOP25'!$T$2:$T$403))</f>
        <v>0</v>
      </c>
      <c r="O73" s="198">
        <f t="shared" si="5"/>
        <v>0</v>
      </c>
      <c r="P73" t="s">
        <v>5969</v>
      </c>
      <c r="Q73" s="135"/>
    </row>
    <row r="74" spans="1:17" hidden="1" x14ac:dyDescent="0.25">
      <c r="A74" s="197" t="s">
        <v>2278</v>
      </c>
      <c r="B74" t="s">
        <v>6067</v>
      </c>
      <c r="C74" t="s">
        <v>5963</v>
      </c>
      <c r="D74" t="s">
        <v>5934</v>
      </c>
      <c r="E74" t="s">
        <v>5935</v>
      </c>
      <c r="F74" t="s">
        <v>6020</v>
      </c>
      <c r="G74" t="s">
        <v>5951</v>
      </c>
      <c r="H74" t="s">
        <v>5937</v>
      </c>
      <c r="I74" t="s">
        <v>5938</v>
      </c>
      <c r="J74">
        <v>1</v>
      </c>
      <c r="K74">
        <v>1</v>
      </c>
      <c r="L74" s="198">
        <f t="shared" si="3"/>
        <v>10326.08695652174</v>
      </c>
      <c r="M74" s="198">
        <f t="shared" si="4"/>
        <v>10400</v>
      </c>
      <c r="N74" s="190" cm="1">
        <f t="array" ref="N74">SUMPRODUCT(('AOP25'!$F$2:$F$403=$H$4)*('AOP25'!$J$2:$J$403='Infra Cost Non Sap 2024'!A74)*('AOP25'!$T$2:$T$403))</f>
        <v>10400</v>
      </c>
      <c r="O74" s="198">
        <f t="shared" si="5"/>
        <v>0</v>
      </c>
      <c r="P74" t="s">
        <v>5969</v>
      </c>
      <c r="Q74" s="135"/>
    </row>
    <row r="75" spans="1:17" hidden="1" x14ac:dyDescent="0.25">
      <c r="A75" s="197" t="s">
        <v>3372</v>
      </c>
      <c r="B75" t="s">
        <v>6068</v>
      </c>
      <c r="C75" t="s">
        <v>633</v>
      </c>
      <c r="D75" t="s">
        <v>5934</v>
      </c>
      <c r="E75" t="s">
        <v>5935</v>
      </c>
      <c r="F75" t="s">
        <v>5983</v>
      </c>
      <c r="G75" t="s">
        <v>6069</v>
      </c>
      <c r="H75" t="s">
        <v>5937</v>
      </c>
      <c r="I75" t="s">
        <v>5938</v>
      </c>
      <c r="J75">
        <v>1</v>
      </c>
      <c r="K75">
        <v>8</v>
      </c>
      <c r="L75" s="198">
        <f t="shared" si="3"/>
        <v>0</v>
      </c>
      <c r="M75" s="198">
        <f t="shared" si="4"/>
        <v>0</v>
      </c>
      <c r="N75" s="190" cm="1">
        <f t="array" ref="N75">SUMPRODUCT(('AOP25'!$F$2:$F$403=$H$4)*('AOP25'!$J$2:$J$403='Infra Cost Non Sap 2024'!A75)*('AOP25'!$T$2:$T$403))</f>
        <v>0</v>
      </c>
      <c r="O75" s="198">
        <f t="shared" si="5"/>
        <v>0</v>
      </c>
      <c r="P75" t="s">
        <v>3603</v>
      </c>
      <c r="Q75" s="135"/>
    </row>
    <row r="76" spans="1:17" hidden="1" x14ac:dyDescent="0.25">
      <c r="A76" s="197" t="s">
        <v>2280</v>
      </c>
      <c r="B76" t="s">
        <v>6070</v>
      </c>
      <c r="C76" t="s">
        <v>5963</v>
      </c>
      <c r="D76" t="s">
        <v>5934</v>
      </c>
      <c r="E76" t="s">
        <v>5935</v>
      </c>
      <c r="F76" t="s">
        <v>5967</v>
      </c>
      <c r="G76" t="s">
        <v>393</v>
      </c>
      <c r="H76" t="s">
        <v>5937</v>
      </c>
      <c r="I76" t="s">
        <v>5968</v>
      </c>
      <c r="J76">
        <v>1</v>
      </c>
      <c r="K76">
        <v>3</v>
      </c>
      <c r="L76" s="198">
        <f t="shared" si="3"/>
        <v>10326.08695652174</v>
      </c>
      <c r="M76" s="198">
        <f t="shared" si="4"/>
        <v>31000</v>
      </c>
      <c r="N76" s="190" cm="1">
        <f t="array" ref="N76">SUMPRODUCT(('AOP25'!$F$2:$F$403=$H$4)*('AOP25'!$J$2:$J$403='Infra Cost Non Sap 2024'!A76)*('AOP25'!$T$2:$T$403))</f>
        <v>31000</v>
      </c>
      <c r="O76" s="198">
        <f t="shared" si="5"/>
        <v>0</v>
      </c>
      <c r="P76" t="s">
        <v>5969</v>
      </c>
      <c r="Q76" s="135"/>
    </row>
    <row r="77" spans="1:17" hidden="1" x14ac:dyDescent="0.25">
      <c r="A77" s="197" t="s">
        <v>2282</v>
      </c>
      <c r="B77" t="s">
        <v>6071</v>
      </c>
      <c r="C77" t="s">
        <v>5963</v>
      </c>
      <c r="D77" t="s">
        <v>5934</v>
      </c>
      <c r="E77" t="s">
        <v>5988</v>
      </c>
      <c r="F77" t="s">
        <v>5983</v>
      </c>
      <c r="G77" t="s">
        <v>6066</v>
      </c>
      <c r="H77" t="s">
        <v>5937</v>
      </c>
      <c r="I77" t="s">
        <v>5968</v>
      </c>
      <c r="J77">
        <v>1</v>
      </c>
      <c r="K77">
        <v>3</v>
      </c>
      <c r="L77" s="198">
        <f t="shared" si="3"/>
        <v>10326.08695652174</v>
      </c>
      <c r="M77" s="198">
        <f t="shared" si="4"/>
        <v>31000</v>
      </c>
      <c r="N77" s="190" cm="1">
        <f t="array" ref="N77">SUMPRODUCT(('AOP25'!$F$2:$F$403=$H$4)*('AOP25'!$J$2:$J$403='Infra Cost Non Sap 2024'!A77)*('AOP25'!$T$2:$T$403))</f>
        <v>31000</v>
      </c>
      <c r="O77" s="198">
        <f t="shared" si="5"/>
        <v>0</v>
      </c>
      <c r="P77" t="s">
        <v>5969</v>
      </c>
      <c r="Q77" s="135"/>
    </row>
    <row r="78" spans="1:17" hidden="1" x14ac:dyDescent="0.25">
      <c r="A78" s="197" t="s">
        <v>3547</v>
      </c>
      <c r="B78" t="s">
        <v>6072</v>
      </c>
      <c r="C78" t="s">
        <v>5963</v>
      </c>
      <c r="D78" t="s">
        <v>1800</v>
      </c>
      <c r="E78" t="s">
        <v>5935</v>
      </c>
      <c r="F78" t="s">
        <v>5936</v>
      </c>
      <c r="G78" t="s">
        <v>475</v>
      </c>
      <c r="H78" t="s">
        <v>5937</v>
      </c>
      <c r="I78" t="s">
        <v>5952</v>
      </c>
      <c r="J78">
        <v>1</v>
      </c>
      <c r="K78">
        <v>0</v>
      </c>
      <c r="L78" s="198">
        <f t="shared" si="3"/>
        <v>10326.08695652174</v>
      </c>
      <c r="M78" s="198">
        <f t="shared" si="4"/>
        <v>0</v>
      </c>
      <c r="N78" s="190" cm="1">
        <f t="array" ref="N78">SUMPRODUCT(('AOP25'!$F$2:$F$403=$H$4)*('AOP25'!$J$2:$J$403='Infra Cost Non Sap 2024'!A78)*('AOP25'!$T$2:$T$403))</f>
        <v>0</v>
      </c>
      <c r="O78" s="198">
        <f t="shared" si="5"/>
        <v>0</v>
      </c>
      <c r="P78" t="s">
        <v>3144</v>
      </c>
      <c r="Q78" s="135" t="s">
        <v>6073</v>
      </c>
    </row>
    <row r="79" spans="1:17" hidden="1" x14ac:dyDescent="0.25">
      <c r="A79" s="197" t="s">
        <v>2284</v>
      </c>
      <c r="B79" t="s">
        <v>6074</v>
      </c>
      <c r="C79" t="s">
        <v>5963</v>
      </c>
      <c r="D79" t="s">
        <v>5934</v>
      </c>
      <c r="E79" t="s">
        <v>5982</v>
      </c>
      <c r="F79" t="s">
        <v>5983</v>
      </c>
      <c r="G79" t="s">
        <v>6028</v>
      </c>
      <c r="H79" t="s">
        <v>5937</v>
      </c>
      <c r="I79" t="s">
        <v>5968</v>
      </c>
      <c r="J79">
        <v>1</v>
      </c>
      <c r="K79">
        <v>1</v>
      </c>
      <c r="L79" s="198">
        <f t="shared" si="3"/>
        <v>10326.08695652174</v>
      </c>
      <c r="M79" s="198">
        <f t="shared" si="4"/>
        <v>10400</v>
      </c>
      <c r="N79" s="190" cm="1">
        <f t="array" ref="N79">SUMPRODUCT(('AOP25'!$F$2:$F$403=$H$4)*('AOP25'!$J$2:$J$403='Infra Cost Non Sap 2024'!A79)*('AOP25'!$T$2:$T$403))</f>
        <v>10400</v>
      </c>
      <c r="O79" s="198">
        <f t="shared" si="5"/>
        <v>0</v>
      </c>
      <c r="P79" t="s">
        <v>5969</v>
      </c>
      <c r="Q79" s="135"/>
    </row>
    <row r="80" spans="1:17" hidden="1" x14ac:dyDescent="0.25">
      <c r="A80" s="197" t="s">
        <v>2286</v>
      </c>
      <c r="B80" t="s">
        <v>6075</v>
      </c>
      <c r="C80" t="s">
        <v>5963</v>
      </c>
      <c r="D80" t="s">
        <v>5934</v>
      </c>
      <c r="E80" t="s">
        <v>5982</v>
      </c>
      <c r="F80" t="s">
        <v>5983</v>
      </c>
      <c r="G80" t="s">
        <v>6066</v>
      </c>
      <c r="H80" t="s">
        <v>5937</v>
      </c>
      <c r="I80" t="s">
        <v>5968</v>
      </c>
      <c r="J80">
        <v>1</v>
      </c>
      <c r="K80">
        <v>1</v>
      </c>
      <c r="L80" s="198">
        <f t="shared" si="3"/>
        <v>10326.08695652174</v>
      </c>
      <c r="M80" s="198">
        <f t="shared" si="4"/>
        <v>10400</v>
      </c>
      <c r="N80" s="190" cm="1">
        <f t="array" ref="N80">SUMPRODUCT(('AOP25'!$F$2:$F$403=$H$4)*('AOP25'!$J$2:$J$403='Infra Cost Non Sap 2024'!A80)*('AOP25'!$T$2:$T$403))</f>
        <v>10400</v>
      </c>
      <c r="O80" s="198">
        <f t="shared" si="5"/>
        <v>0</v>
      </c>
      <c r="P80" t="s">
        <v>5969</v>
      </c>
      <c r="Q80" s="135"/>
    </row>
    <row r="81" spans="1:17" hidden="1" x14ac:dyDescent="0.25">
      <c r="A81" s="197" t="s">
        <v>6076</v>
      </c>
      <c r="B81" t="s">
        <v>6077</v>
      </c>
      <c r="C81" t="s">
        <v>633</v>
      </c>
      <c r="D81" t="s">
        <v>5934</v>
      </c>
      <c r="E81" t="s">
        <v>5935</v>
      </c>
      <c r="F81" t="s">
        <v>6022</v>
      </c>
      <c r="G81" t="s">
        <v>1259</v>
      </c>
      <c r="H81" t="s">
        <v>5937</v>
      </c>
      <c r="I81" t="s">
        <v>5938</v>
      </c>
      <c r="J81">
        <v>1</v>
      </c>
      <c r="K81">
        <v>2</v>
      </c>
      <c r="L81" s="198">
        <f t="shared" si="3"/>
        <v>0</v>
      </c>
      <c r="M81" s="198">
        <f t="shared" si="4"/>
        <v>0</v>
      </c>
      <c r="N81" s="190" cm="1">
        <f t="array" ref="N81">SUMPRODUCT(('AOP25'!$F$2:$F$403=$H$4)*('AOP25'!$J$2:$J$403='Infra Cost Non Sap 2024'!A81)*('AOP25'!$T$2:$T$403))</f>
        <v>0</v>
      </c>
      <c r="O81" s="198">
        <f t="shared" si="5"/>
        <v>0</v>
      </c>
      <c r="P81" t="s">
        <v>3603</v>
      </c>
      <c r="Q81" s="135"/>
    </row>
    <row r="82" spans="1:17" hidden="1" x14ac:dyDescent="0.25">
      <c r="A82" s="197" t="s">
        <v>2288</v>
      </c>
      <c r="B82" t="s">
        <v>6078</v>
      </c>
      <c r="C82" t="s">
        <v>5963</v>
      </c>
      <c r="D82" t="s">
        <v>5934</v>
      </c>
      <c r="E82" t="s">
        <v>5935</v>
      </c>
      <c r="F82" t="s">
        <v>6022</v>
      </c>
      <c r="G82" t="s">
        <v>1489</v>
      </c>
      <c r="H82" t="s">
        <v>5937</v>
      </c>
      <c r="I82" t="s">
        <v>5968</v>
      </c>
      <c r="J82">
        <v>1</v>
      </c>
      <c r="K82">
        <v>2</v>
      </c>
      <c r="L82" s="198">
        <f t="shared" si="3"/>
        <v>10326.08695652174</v>
      </c>
      <c r="M82" s="198">
        <f t="shared" si="4"/>
        <v>20700</v>
      </c>
      <c r="N82" s="190" cm="1">
        <f t="array" ref="N82">SUMPRODUCT(('AOP25'!$F$2:$F$403=$H$4)*('AOP25'!$J$2:$J$403='Infra Cost Non Sap 2024'!A82)*('AOP25'!$T$2:$T$403))</f>
        <v>20700</v>
      </c>
      <c r="O82" s="198">
        <f t="shared" si="5"/>
        <v>0</v>
      </c>
      <c r="P82" t="s">
        <v>5969</v>
      </c>
      <c r="Q82" s="135"/>
    </row>
    <row r="83" spans="1:17" hidden="1" x14ac:dyDescent="0.25">
      <c r="A83" s="197" t="s">
        <v>3644</v>
      </c>
      <c r="B83" t="s">
        <v>6079</v>
      </c>
      <c r="C83" t="s">
        <v>5963</v>
      </c>
      <c r="D83" t="s">
        <v>1800</v>
      </c>
      <c r="E83" t="s">
        <v>5935</v>
      </c>
      <c r="F83" t="s">
        <v>5983</v>
      </c>
      <c r="G83" t="s">
        <v>312</v>
      </c>
      <c r="H83" t="s">
        <v>5937</v>
      </c>
      <c r="I83" t="s">
        <v>5938</v>
      </c>
      <c r="J83">
        <v>1</v>
      </c>
      <c r="K83">
        <v>0</v>
      </c>
      <c r="L83" s="198">
        <f t="shared" si="3"/>
        <v>10326.08695652174</v>
      </c>
      <c r="M83" s="198">
        <f t="shared" si="4"/>
        <v>0</v>
      </c>
      <c r="N83" s="190" cm="1">
        <f t="array" ref="N83">SUMPRODUCT(('AOP25'!$F$2:$F$403=$H$4)*('AOP25'!$J$2:$J$403='Infra Cost Non Sap 2024'!A83)*('AOP25'!$T$2:$T$403))</f>
        <v>0</v>
      </c>
      <c r="O83" s="198">
        <f t="shared" si="5"/>
        <v>0</v>
      </c>
      <c r="P83" t="s">
        <v>3603</v>
      </c>
      <c r="Q83" s="135" t="s">
        <v>6080</v>
      </c>
    </row>
    <row r="84" spans="1:17" hidden="1" x14ac:dyDescent="0.25">
      <c r="A84" s="197" t="s">
        <v>2290</v>
      </c>
      <c r="B84" t="s">
        <v>6081</v>
      </c>
      <c r="C84" t="s">
        <v>5963</v>
      </c>
      <c r="D84" t="s">
        <v>5934</v>
      </c>
      <c r="E84" t="s">
        <v>5982</v>
      </c>
      <c r="F84" t="s">
        <v>5936</v>
      </c>
      <c r="G84" t="s">
        <v>6013</v>
      </c>
      <c r="H84" t="s">
        <v>5937</v>
      </c>
      <c r="I84" t="s">
        <v>5968</v>
      </c>
      <c r="J84">
        <v>1</v>
      </c>
      <c r="K84">
        <v>1</v>
      </c>
      <c r="L84" s="198">
        <f t="shared" si="3"/>
        <v>10326.08695652174</v>
      </c>
      <c r="M84" s="198">
        <f t="shared" si="4"/>
        <v>10400</v>
      </c>
      <c r="N84" s="190" cm="1">
        <f t="array" ref="N84">SUMPRODUCT(('AOP25'!$F$2:$F$403=$H$4)*('AOP25'!$J$2:$J$403='Infra Cost Non Sap 2024'!A84)*('AOP25'!$T$2:$T$403))</f>
        <v>10400</v>
      </c>
      <c r="O84" s="198">
        <f t="shared" si="5"/>
        <v>0</v>
      </c>
      <c r="P84" t="s">
        <v>5969</v>
      </c>
      <c r="Q84" s="135"/>
    </row>
    <row r="85" spans="1:17" hidden="1" x14ac:dyDescent="0.25">
      <c r="A85" s="197" t="s">
        <v>2292</v>
      </c>
      <c r="B85" t="s">
        <v>6082</v>
      </c>
      <c r="C85" t="s">
        <v>5963</v>
      </c>
      <c r="D85" t="s">
        <v>5934</v>
      </c>
      <c r="E85" t="s">
        <v>5982</v>
      </c>
      <c r="F85" t="s">
        <v>1046</v>
      </c>
      <c r="G85" t="s">
        <v>6004</v>
      </c>
      <c r="H85" t="s">
        <v>5937</v>
      </c>
      <c r="I85" t="s">
        <v>5968</v>
      </c>
      <c r="J85">
        <v>1</v>
      </c>
      <c r="K85">
        <v>1</v>
      </c>
      <c r="L85" s="198">
        <f t="shared" si="3"/>
        <v>10326.08695652174</v>
      </c>
      <c r="M85" s="198"/>
      <c r="N85" s="190" cm="1">
        <f t="array" ref="N85">SUMPRODUCT(('AOP25'!$F$2:$F$403=$H$4)*('AOP25'!$J$2:$J$403='Infra Cost Non Sap 2024'!A85)*('AOP25'!$T$2:$T$403))</f>
        <v>10400</v>
      </c>
      <c r="O85" s="198">
        <f t="shared" si="5"/>
        <v>-10400</v>
      </c>
      <c r="P85" t="s">
        <v>5969</v>
      </c>
      <c r="Q85" s="135"/>
    </row>
    <row r="86" spans="1:17" hidden="1" x14ac:dyDescent="0.25">
      <c r="A86" s="197" t="s">
        <v>5935</v>
      </c>
      <c r="B86" t="s">
        <v>6083</v>
      </c>
      <c r="C86" t="s">
        <v>6084</v>
      </c>
      <c r="D86" t="s">
        <v>5934</v>
      </c>
      <c r="E86" t="s">
        <v>76</v>
      </c>
      <c r="F86" t="s">
        <v>6085</v>
      </c>
      <c r="G86" t="s">
        <v>76</v>
      </c>
      <c r="H86" t="s">
        <v>5937</v>
      </c>
      <c r="I86" t="s">
        <v>5968</v>
      </c>
      <c r="J86">
        <v>1</v>
      </c>
      <c r="K86">
        <v>24</v>
      </c>
      <c r="L86" s="198">
        <f t="shared" si="3"/>
        <v>0</v>
      </c>
      <c r="M86" s="198">
        <f t="shared" si="4"/>
        <v>0</v>
      </c>
      <c r="N86" s="190" cm="1">
        <f t="array" ref="N86">SUMPRODUCT(('AOP25'!$F$2:$F$403=$H$4)*('AOP25'!$J$2:$J$403='Infra Cost Non Sap 2024'!A86)*('AOP25'!$T$2:$T$403))</f>
        <v>0</v>
      </c>
      <c r="O86" s="198">
        <f t="shared" si="5"/>
        <v>0</v>
      </c>
      <c r="Q86" s="135"/>
    </row>
    <row r="87" spans="1:17" hidden="1" x14ac:dyDescent="0.25">
      <c r="A87" s="197"/>
      <c r="D87" t="s">
        <v>76</v>
      </c>
      <c r="E87" t="s">
        <v>76</v>
      </c>
      <c r="F87" t="s">
        <v>76</v>
      </c>
      <c r="G87" t="s">
        <v>76</v>
      </c>
      <c r="H87" t="s">
        <v>76</v>
      </c>
      <c r="I87" t="s">
        <v>76</v>
      </c>
      <c r="L87" s="198"/>
      <c r="M87" s="198"/>
      <c r="N87" s="198"/>
      <c r="O87" s="198"/>
      <c r="Q87" s="135"/>
    </row>
    <row r="107" spans="9:11" x14ac:dyDescent="0.25">
      <c r="I107" t="s">
        <v>6086</v>
      </c>
      <c r="K107" cm="1">
        <f t="array" ref="K107">SUMPRODUCT(($C$7:$C$105="sap")*($D$7:$D$105="Operational")*($H$7:$H$105="Managed Hosting (Private Cloud)")*($K$7:$K$105))</f>
        <v>68</v>
      </c>
    </row>
    <row r="108" spans="9:11" x14ac:dyDescent="0.25">
      <c r="I108" t="s">
        <v>6087</v>
      </c>
      <c r="K108" s="183" cm="1">
        <f t="array" ref="K108">SUMPRODUCT(($C$7:$C$105="non-sap")*($D$7:$D$105="Operational")*($H$7:$H$105="Managed Hosting (Private Cloud)")*($K$7:$K$105))</f>
        <v>92</v>
      </c>
    </row>
    <row r="109" spans="9:11" x14ac:dyDescent="0.25">
      <c r="I109" t="s">
        <v>6084</v>
      </c>
      <c r="K109" cm="1">
        <f t="array" ref="K109">SUMPRODUCT(($C$7:$C$105="general")*($D$7:$D$105="Operational")*($H$7:$H$105="Managed Hosting (Private Cloud)")*($K$7:$K$105))</f>
        <v>24</v>
      </c>
    </row>
    <row r="110" spans="9:11" x14ac:dyDescent="0.25">
      <c r="I110" t="s">
        <v>1800</v>
      </c>
      <c r="K110" cm="1">
        <f t="array" ref="K110">SUMPRODUCT(($D$7:$D$105="Decommissioned")*($K$7:$K$105))</f>
        <v>12</v>
      </c>
    </row>
    <row r="112" spans="9:11" x14ac:dyDescent="0.25">
      <c r="I112" t="s">
        <v>12</v>
      </c>
      <c r="K112">
        <f>SUM(K107:K110)</f>
        <v>196</v>
      </c>
    </row>
    <row r="113" spans="11:11" x14ac:dyDescent="0.25">
      <c r="K113">
        <f>SUM(K7:K86)</f>
        <v>196</v>
      </c>
    </row>
  </sheetData>
  <autoFilter ref="A6:R87" xr:uid="{BD9CDBE6-A839-461A-9D55-E0C436B6D153}">
    <filterColumn colId="6">
      <filters>
        <filter val="Vanessa Barmpa"/>
      </filters>
    </filterColumn>
  </autoFilter>
  <pageMargins left="0.7" right="0.7" top="0.75" bottom="0.75" header="0.3" footer="0.3"/>
  <pageSetup paperSize="9" orientation="portrait" horizontalDpi="4294967293" r:id="rId1"/>
  <customProperties>
    <customPr name="_pios_id" r:id="rId2"/>
  </customProperti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9A0-F167-4E23-9C46-98335321BA10}">
  <sheetPr codeName="Sheet14"/>
  <dimension ref="A1:L10"/>
  <sheetViews>
    <sheetView workbookViewId="0">
      <selection activeCell="G11" sqref="G11"/>
    </sheetView>
  </sheetViews>
  <sheetFormatPr defaultColWidth="8.85546875" defaultRowHeight="15" x14ac:dyDescent="0.25"/>
  <cols>
    <col min="1" max="1" width="7.42578125" bestFit="1" customWidth="1"/>
    <col min="2" max="2" width="9.42578125" bestFit="1" customWidth="1"/>
    <col min="3" max="3" width="39.42578125" customWidth="1"/>
    <col min="4" max="4" width="19.42578125" customWidth="1"/>
    <col min="5" max="5" width="28.42578125" customWidth="1"/>
    <col min="6" max="6" width="10.42578125" bestFit="1" customWidth="1"/>
    <col min="7" max="7" width="23.42578125" bestFit="1" customWidth="1"/>
    <col min="8" max="8" width="19.42578125" bestFit="1" customWidth="1"/>
    <col min="9" max="9" width="25" bestFit="1" customWidth="1"/>
    <col min="10" max="10" width="19.42578125" bestFit="1" customWidth="1"/>
    <col min="11" max="11" width="17.42578125" customWidth="1"/>
    <col min="12" max="12" width="58.42578125" bestFit="1" customWidth="1"/>
  </cols>
  <sheetData>
    <row r="1" spans="1:12" x14ac:dyDescent="0.25">
      <c r="A1" s="8" t="s">
        <v>5810</v>
      </c>
      <c r="B1" s="8" t="s">
        <v>5811</v>
      </c>
      <c r="C1" s="8" t="s">
        <v>5812</v>
      </c>
      <c r="D1" s="8" t="s">
        <v>5813</v>
      </c>
      <c r="E1" s="8" t="s">
        <v>5814</v>
      </c>
      <c r="F1" s="8" t="s">
        <v>5815</v>
      </c>
      <c r="G1" s="8" t="s">
        <v>5816</v>
      </c>
      <c r="H1" s="8" t="s">
        <v>5817</v>
      </c>
      <c r="I1" s="8" t="s">
        <v>5818</v>
      </c>
      <c r="J1" s="8" t="s">
        <v>5819</v>
      </c>
      <c r="K1" s="8" t="s">
        <v>5820</v>
      </c>
      <c r="L1" s="8" t="s">
        <v>5821</v>
      </c>
    </row>
    <row r="2" spans="1:12" x14ac:dyDescent="0.25">
      <c r="A2">
        <v>1</v>
      </c>
      <c r="B2" t="s">
        <v>3026</v>
      </c>
      <c r="C2" t="s">
        <v>6088</v>
      </c>
      <c r="D2" s="200">
        <v>23075</v>
      </c>
      <c r="E2" t="s">
        <v>1271</v>
      </c>
      <c r="F2" t="s">
        <v>845</v>
      </c>
      <c r="G2" s="206" t="s">
        <v>5808</v>
      </c>
      <c r="H2" s="206">
        <v>68427719</v>
      </c>
      <c r="I2" s="206" t="s">
        <v>5823</v>
      </c>
      <c r="J2" s="206">
        <v>68427709</v>
      </c>
      <c r="L2" t="s">
        <v>6089</v>
      </c>
    </row>
    <row r="3" spans="1:12" x14ac:dyDescent="0.25">
      <c r="A3">
        <v>2</v>
      </c>
      <c r="B3" t="s">
        <v>3026</v>
      </c>
      <c r="C3" t="s">
        <v>6090</v>
      </c>
      <c r="D3" s="200">
        <v>35827</v>
      </c>
      <c r="E3" t="s">
        <v>1271</v>
      </c>
      <c r="F3" t="s">
        <v>845</v>
      </c>
      <c r="G3" s="206" t="s">
        <v>5808</v>
      </c>
      <c r="H3" s="206">
        <v>68427719</v>
      </c>
      <c r="I3" s="206" t="s">
        <v>5823</v>
      </c>
      <c r="J3" s="206">
        <v>68427709</v>
      </c>
      <c r="L3" t="s">
        <v>6089</v>
      </c>
    </row>
    <row r="4" spans="1:12" x14ac:dyDescent="0.25">
      <c r="A4">
        <v>3</v>
      </c>
      <c r="B4" t="s">
        <v>3026</v>
      </c>
      <c r="C4" t="s">
        <v>5826</v>
      </c>
      <c r="D4" s="200">
        <v>215000</v>
      </c>
      <c r="E4" t="s">
        <v>5827</v>
      </c>
      <c r="F4" t="s">
        <v>845</v>
      </c>
      <c r="G4" s="206" t="s">
        <v>5808</v>
      </c>
      <c r="H4" s="206">
        <v>68427719</v>
      </c>
      <c r="I4" s="206" t="s">
        <v>5823</v>
      </c>
      <c r="J4" s="206">
        <v>68427709</v>
      </c>
      <c r="L4" t="s">
        <v>6091</v>
      </c>
    </row>
    <row r="5" spans="1:12" x14ac:dyDescent="0.25">
      <c r="A5">
        <v>4</v>
      </c>
      <c r="B5" t="s">
        <v>3026</v>
      </c>
      <c r="C5" t="s">
        <v>5828</v>
      </c>
      <c r="D5" s="200">
        <v>226500</v>
      </c>
      <c r="E5" t="s">
        <v>5829</v>
      </c>
      <c r="F5" t="s">
        <v>845</v>
      </c>
      <c r="G5" s="206" t="s">
        <v>5808</v>
      </c>
      <c r="H5" s="206">
        <v>68427719</v>
      </c>
      <c r="I5" s="206" t="s">
        <v>5823</v>
      </c>
      <c r="J5" s="206">
        <v>68427709</v>
      </c>
      <c r="L5" t="s">
        <v>6091</v>
      </c>
    </row>
    <row r="6" spans="1:12" x14ac:dyDescent="0.25">
      <c r="A6">
        <v>5</v>
      </c>
      <c r="B6" t="s">
        <v>3026</v>
      </c>
      <c r="C6" t="s">
        <v>6092</v>
      </c>
      <c r="D6" s="200" t="s">
        <v>6093</v>
      </c>
      <c r="E6" t="s">
        <v>6094</v>
      </c>
      <c r="F6" s="206" t="s">
        <v>2066</v>
      </c>
      <c r="G6" s="206"/>
      <c r="H6" s="206" t="s">
        <v>6095</v>
      </c>
      <c r="I6" s="206" t="s">
        <v>5823</v>
      </c>
      <c r="J6" s="206">
        <v>68427709</v>
      </c>
      <c r="L6" t="s">
        <v>6089</v>
      </c>
    </row>
    <row r="7" spans="1:12" x14ac:dyDescent="0.25">
      <c r="A7">
        <v>6</v>
      </c>
      <c r="B7" t="s">
        <v>3026</v>
      </c>
      <c r="C7" t="s">
        <v>6096</v>
      </c>
      <c r="D7" s="200">
        <v>37964.86</v>
      </c>
      <c r="E7" t="s">
        <v>2112</v>
      </c>
      <c r="F7" s="206" t="s">
        <v>2066</v>
      </c>
      <c r="G7" t="s">
        <v>6097</v>
      </c>
      <c r="H7" s="282" t="s">
        <v>6098</v>
      </c>
      <c r="I7" s="206" t="s">
        <v>5823</v>
      </c>
      <c r="J7" s="206">
        <v>68427709</v>
      </c>
      <c r="L7" t="s">
        <v>6089</v>
      </c>
    </row>
    <row r="8" spans="1:12" x14ac:dyDescent="0.25">
      <c r="A8">
        <v>7</v>
      </c>
      <c r="B8" t="s">
        <v>3026</v>
      </c>
      <c r="C8" t="s">
        <v>6096</v>
      </c>
      <c r="D8" s="200">
        <v>37964.86</v>
      </c>
      <c r="E8" t="s">
        <v>2112</v>
      </c>
      <c r="F8" t="s">
        <v>2066</v>
      </c>
      <c r="G8" s="206" t="s">
        <v>6097</v>
      </c>
      <c r="H8" t="s">
        <v>6098</v>
      </c>
      <c r="I8" s="206" t="s">
        <v>5823</v>
      </c>
      <c r="J8" s="206"/>
    </row>
    <row r="9" spans="1:12" x14ac:dyDescent="0.25">
      <c r="A9">
        <v>8</v>
      </c>
      <c r="B9" t="s">
        <v>3026</v>
      </c>
      <c r="C9" t="s">
        <v>6099</v>
      </c>
      <c r="D9" t="s">
        <v>6100</v>
      </c>
      <c r="F9" t="s">
        <v>2066</v>
      </c>
    </row>
    <row r="10" spans="1:12" x14ac:dyDescent="0.25">
      <c r="A10">
        <v>9</v>
      </c>
      <c r="B10" t="s">
        <v>6101</v>
      </c>
      <c r="C10" t="s">
        <v>6102</v>
      </c>
      <c r="D10" s="200">
        <v>67799</v>
      </c>
      <c r="E10" t="s">
        <v>6103</v>
      </c>
      <c r="F10" t="s">
        <v>2066</v>
      </c>
      <c r="G10" s="206" t="s">
        <v>6104</v>
      </c>
      <c r="H10" s="285" t="s">
        <v>6105</v>
      </c>
      <c r="I10" s="206" t="s">
        <v>5823</v>
      </c>
      <c r="J10" s="206">
        <v>68427709</v>
      </c>
    </row>
  </sheetData>
  <pageMargins left="0.7" right="0.7" top="0.75" bottom="0.75" header="0.3" footer="0.3"/>
  <pageSetup paperSize="9" orientation="portrait" r:id="rId1"/>
  <customProperties>
    <customPr name="_pios_id" r:id="rId2"/>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A313E-1D3B-4F98-B257-F7F74B68BB36}">
  <sheetPr filterMode="1">
    <tabColor theme="5"/>
  </sheetPr>
  <dimension ref="A1:Y396"/>
  <sheetViews>
    <sheetView zoomScaleNormal="100" workbookViewId="0">
      <selection activeCell="V139" sqref="V139"/>
    </sheetView>
  </sheetViews>
  <sheetFormatPr defaultColWidth="8.42578125" defaultRowHeight="15" x14ac:dyDescent="0.25"/>
  <cols>
    <col min="1" max="1" width="89.42578125" style="243" bestFit="1" customWidth="1"/>
    <col min="2" max="2" width="8.42578125" style="243" hidden="1" customWidth="1"/>
    <col min="3" max="3" width="17.42578125" style="243" hidden="1" customWidth="1"/>
    <col min="4" max="4" width="23.42578125" style="243" hidden="1" customWidth="1"/>
    <col min="5" max="5" width="8.42578125" style="243" hidden="1" customWidth="1"/>
    <col min="6" max="6" width="21.42578125" style="243" hidden="1" customWidth="1"/>
    <col min="7" max="7" width="36" style="243" hidden="1" customWidth="1"/>
    <col min="8" max="8" width="12.42578125" style="243" hidden="1" customWidth="1"/>
    <col min="9" max="9" width="8.42578125" style="243" hidden="1" customWidth="1"/>
    <col min="10" max="11" width="33.42578125" style="243" hidden="1" customWidth="1"/>
    <col min="12" max="12" width="15.42578125" style="243" hidden="1" customWidth="1"/>
    <col min="13" max="16" width="8.42578125" style="243" hidden="1" customWidth="1"/>
    <col min="17" max="17" width="21.42578125" style="243" hidden="1" customWidth="1"/>
    <col min="18" max="18" width="19.42578125" style="243" hidden="1" customWidth="1"/>
    <col min="19" max="20" width="15.42578125" style="243" hidden="1" customWidth="1"/>
    <col min="21" max="21" width="14.42578125" style="243" hidden="1" customWidth="1"/>
    <col min="22" max="22" width="26.42578125" style="271" bestFit="1" customWidth="1"/>
    <col min="23" max="23" width="8.42578125" style="243"/>
    <col min="24" max="24" width="8.42578125" style="243" bestFit="1" customWidth="1"/>
    <col min="25" max="16384" width="8.42578125" style="243"/>
  </cols>
  <sheetData>
    <row r="1" spans="1:25" x14ac:dyDescent="0.25">
      <c r="A1" s="311" t="s">
        <v>2651</v>
      </c>
      <c r="B1" s="313"/>
      <c r="C1" s="313">
        <v>68427709</v>
      </c>
      <c r="D1" s="315" t="s">
        <v>40</v>
      </c>
      <c r="E1" s="311" t="s">
        <v>42</v>
      </c>
      <c r="F1" s="316" t="s">
        <v>42</v>
      </c>
      <c r="G1" s="317" t="s">
        <v>2445</v>
      </c>
      <c r="H1" s="311" t="s">
        <v>3116</v>
      </c>
      <c r="I1" s="311">
        <v>187516</v>
      </c>
      <c r="J1" s="316" t="s">
        <v>799</v>
      </c>
      <c r="K1" s="316"/>
      <c r="L1" s="318">
        <v>5400840950</v>
      </c>
      <c r="M1" s="318">
        <v>50</v>
      </c>
      <c r="N1" s="316" t="s">
        <v>2843</v>
      </c>
      <c r="O1" s="316" t="s">
        <v>6109</v>
      </c>
      <c r="P1" s="319" t="s">
        <v>2843</v>
      </c>
      <c r="Q1" s="311" t="s">
        <v>3114</v>
      </c>
      <c r="R1" s="311" t="s">
        <v>42</v>
      </c>
      <c r="S1" s="321">
        <v>479000</v>
      </c>
      <c r="T1" s="321">
        <v>250000</v>
      </c>
      <c r="U1" s="321">
        <f t="shared" ref="U1:U32" si="0">T1-S1</f>
        <v>-229000</v>
      </c>
      <c r="V1" s="323">
        <v>230770.37</v>
      </c>
      <c r="X1" s="243" t="str">
        <f t="shared" ref="X1:X64" si="1">A1</f>
        <v>Accenture SOC services</v>
      </c>
      <c r="Y1" s="243" t="s">
        <v>5792</v>
      </c>
    </row>
    <row r="2" spans="1:25" hidden="1" x14ac:dyDescent="0.25">
      <c r="A2" s="243" t="s">
        <v>2926</v>
      </c>
      <c r="B2" s="243" t="s">
        <v>3307</v>
      </c>
      <c r="C2" s="243">
        <v>68427709</v>
      </c>
      <c r="D2" s="244" t="s">
        <v>14</v>
      </c>
      <c r="E2" s="243" t="s">
        <v>15</v>
      </c>
      <c r="F2" s="243" t="s">
        <v>16</v>
      </c>
      <c r="G2" s="245" t="s">
        <v>2445</v>
      </c>
      <c r="H2" s="243" t="s">
        <v>3116</v>
      </c>
      <c r="I2" s="243">
        <v>187516</v>
      </c>
      <c r="J2" s="243" t="s">
        <v>799</v>
      </c>
      <c r="L2" s="246">
        <v>5401023605</v>
      </c>
      <c r="M2" s="246">
        <v>10</v>
      </c>
      <c r="N2" s="243" t="s">
        <v>2410</v>
      </c>
      <c r="O2" s="243" t="s">
        <v>6109</v>
      </c>
      <c r="P2" s="243" t="s">
        <v>3132</v>
      </c>
      <c r="Q2" s="243" t="s">
        <v>3114</v>
      </c>
      <c r="R2" s="243" t="s">
        <v>3133</v>
      </c>
      <c r="S2" s="247">
        <v>98000</v>
      </c>
      <c r="T2" s="247">
        <v>100000</v>
      </c>
      <c r="U2" s="247">
        <f t="shared" si="0"/>
        <v>2000</v>
      </c>
      <c r="V2" s="248">
        <v>92308.15</v>
      </c>
      <c r="X2" s="243" t="str">
        <f t="shared" si="1"/>
        <v>Other EUC Infra Changes (packaging, service catalog)</v>
      </c>
      <c r="Y2" s="243" t="s">
        <v>5793</v>
      </c>
    </row>
    <row r="3" spans="1:25" hidden="1" x14ac:dyDescent="0.25">
      <c r="A3" s="22" t="s">
        <v>2682</v>
      </c>
      <c r="C3" s="243">
        <v>68427709</v>
      </c>
      <c r="D3" s="244" t="s">
        <v>14</v>
      </c>
      <c r="E3" s="243" t="s">
        <v>15</v>
      </c>
      <c r="F3" s="92" t="s">
        <v>16</v>
      </c>
      <c r="G3" s="245" t="s">
        <v>2445</v>
      </c>
      <c r="H3" s="243" t="s">
        <v>3116</v>
      </c>
      <c r="I3" s="243">
        <v>187516</v>
      </c>
      <c r="J3" s="243" t="s">
        <v>799</v>
      </c>
      <c r="L3" s="249"/>
      <c r="M3" s="246"/>
      <c r="N3" s="92" t="s">
        <v>2410</v>
      </c>
      <c r="O3" s="92" t="s">
        <v>6109</v>
      </c>
      <c r="P3" s="22" t="s">
        <v>2410</v>
      </c>
      <c r="Q3" s="243" t="s">
        <v>3114</v>
      </c>
      <c r="R3" s="243" t="s">
        <v>3133</v>
      </c>
      <c r="S3" s="247">
        <v>64000</v>
      </c>
      <c r="T3" s="247">
        <v>60000</v>
      </c>
      <c r="U3" s="247">
        <f t="shared" si="0"/>
        <v>-4000</v>
      </c>
      <c r="V3" s="248">
        <v>55384.89</v>
      </c>
      <c r="X3" s="243" t="str">
        <f t="shared" si="1"/>
        <v>AVD Support</v>
      </c>
      <c r="Y3" s="243" t="s">
        <v>5792</v>
      </c>
    </row>
    <row r="4" spans="1:25" hidden="1" x14ac:dyDescent="0.25">
      <c r="A4" s="243" t="s">
        <v>1179</v>
      </c>
      <c r="B4" s="243" t="s">
        <v>3307</v>
      </c>
      <c r="C4" s="243">
        <v>68427709</v>
      </c>
      <c r="D4" s="244" t="s">
        <v>14</v>
      </c>
      <c r="E4" s="243" t="s">
        <v>15</v>
      </c>
      <c r="F4" s="243" t="s">
        <v>16</v>
      </c>
      <c r="G4" s="245" t="s">
        <v>2445</v>
      </c>
      <c r="H4" s="243" t="s">
        <v>3116</v>
      </c>
      <c r="I4" s="243">
        <v>187516</v>
      </c>
      <c r="J4" s="243" t="s">
        <v>799</v>
      </c>
      <c r="L4" s="246">
        <v>5401023605</v>
      </c>
      <c r="M4" s="246">
        <v>10</v>
      </c>
      <c r="N4" s="243" t="s">
        <v>2410</v>
      </c>
      <c r="O4" s="243" t="s">
        <v>6109</v>
      </c>
      <c r="P4" s="243" t="s">
        <v>3132</v>
      </c>
      <c r="Q4" s="243" t="s">
        <v>3114</v>
      </c>
      <c r="R4" s="243" t="s">
        <v>3133</v>
      </c>
      <c r="S4" s="247">
        <v>100000</v>
      </c>
      <c r="T4" s="247">
        <v>50000</v>
      </c>
      <c r="U4" s="247">
        <f t="shared" si="0"/>
        <v>-50000</v>
      </c>
      <c r="V4" s="248">
        <v>46154.07</v>
      </c>
      <c r="X4" s="243" t="str">
        <f t="shared" si="1"/>
        <v>T&amp;M Messaging small RFC's; Mailbox restores, Intune, Exchange (Infra)</v>
      </c>
      <c r="Y4" s="243" t="s">
        <v>5792</v>
      </c>
    </row>
    <row r="5" spans="1:25" hidden="1" x14ac:dyDescent="0.25">
      <c r="A5" s="243" t="s">
        <v>2649</v>
      </c>
      <c r="B5" s="243" t="s">
        <v>3307</v>
      </c>
      <c r="C5" s="243">
        <v>68427709</v>
      </c>
      <c r="D5" s="244" t="s">
        <v>14</v>
      </c>
      <c r="E5" s="243" t="s">
        <v>15</v>
      </c>
      <c r="F5" s="243" t="s">
        <v>16</v>
      </c>
      <c r="G5" s="245" t="s">
        <v>2445</v>
      </c>
      <c r="H5" s="243" t="s">
        <v>3116</v>
      </c>
      <c r="I5" s="243">
        <v>187516</v>
      </c>
      <c r="J5" s="243" t="s">
        <v>799</v>
      </c>
      <c r="L5" s="246">
        <v>5401023610</v>
      </c>
      <c r="M5" s="246">
        <v>10</v>
      </c>
      <c r="N5" s="243" t="s">
        <v>2410</v>
      </c>
      <c r="O5" s="243" t="s">
        <v>6109</v>
      </c>
      <c r="P5" s="243" t="s">
        <v>3132</v>
      </c>
      <c r="Q5" s="243" t="s">
        <v>3114</v>
      </c>
      <c r="R5" s="243" t="s">
        <v>3133</v>
      </c>
      <c r="S5" s="247">
        <v>40000</v>
      </c>
      <c r="T5" s="247">
        <v>21000</v>
      </c>
      <c r="U5" s="247">
        <f t="shared" si="0"/>
        <v>-19000</v>
      </c>
      <c r="V5" s="248">
        <v>19384.71</v>
      </c>
      <c r="X5" s="243" t="str">
        <f t="shared" si="1"/>
        <v>End User Computing Central RDS</v>
      </c>
      <c r="Y5" s="243" t="s">
        <v>5792</v>
      </c>
    </row>
    <row r="6" spans="1:25" hidden="1" x14ac:dyDescent="0.25">
      <c r="A6" s="243" t="s">
        <v>786</v>
      </c>
      <c r="B6" s="243" t="s">
        <v>3463</v>
      </c>
      <c r="C6" s="243">
        <v>68427709</v>
      </c>
      <c r="D6" s="244" t="s">
        <v>19</v>
      </c>
      <c r="E6" s="243" t="s">
        <v>20</v>
      </c>
      <c r="F6" s="243" t="s">
        <v>16</v>
      </c>
      <c r="G6" s="245" t="s">
        <v>2445</v>
      </c>
      <c r="H6" s="243" t="s">
        <v>3116</v>
      </c>
      <c r="I6" s="243">
        <v>166304</v>
      </c>
      <c r="J6" s="92" t="s">
        <v>97</v>
      </c>
      <c r="K6" s="92"/>
      <c r="L6" s="243">
        <v>5400878308</v>
      </c>
      <c r="M6" s="246">
        <v>40</v>
      </c>
      <c r="N6" s="22" t="s">
        <v>2410</v>
      </c>
      <c r="O6" s="22" t="s">
        <v>6109</v>
      </c>
      <c r="P6" s="22" t="s">
        <v>2410</v>
      </c>
      <c r="Q6" s="243" t="s">
        <v>3114</v>
      </c>
      <c r="R6" s="243" t="s">
        <v>3133</v>
      </c>
      <c r="S6" s="247">
        <v>4500000</v>
      </c>
      <c r="T6" s="247">
        <v>5450000</v>
      </c>
      <c r="U6" s="247">
        <f t="shared" si="0"/>
        <v>950000</v>
      </c>
      <c r="V6" s="248">
        <v>5030793.96</v>
      </c>
      <c r="X6" s="243" t="str">
        <f t="shared" si="1"/>
        <v>Microsoft Enterprise Agreement Subscription</v>
      </c>
      <c r="Y6" s="243" t="s">
        <v>5793</v>
      </c>
    </row>
    <row r="7" spans="1:25" hidden="1" x14ac:dyDescent="0.25">
      <c r="A7" s="243" t="s">
        <v>2020</v>
      </c>
      <c r="B7" s="243" t="s">
        <v>6110</v>
      </c>
      <c r="C7" s="243">
        <v>68427709</v>
      </c>
      <c r="D7" s="244" t="s">
        <v>19</v>
      </c>
      <c r="E7" s="243" t="s">
        <v>20</v>
      </c>
      <c r="F7" s="243" t="s">
        <v>16</v>
      </c>
      <c r="G7" s="245" t="s">
        <v>2445</v>
      </c>
      <c r="H7" s="243" t="s">
        <v>3116</v>
      </c>
      <c r="I7" s="243">
        <v>166304</v>
      </c>
      <c r="J7" s="92" t="s">
        <v>97</v>
      </c>
      <c r="K7" s="92"/>
      <c r="L7" s="243">
        <v>5400878308</v>
      </c>
      <c r="M7" s="246">
        <v>20</v>
      </c>
      <c r="N7" s="22" t="s">
        <v>2410</v>
      </c>
      <c r="O7" s="22" t="s">
        <v>6109</v>
      </c>
      <c r="P7" s="22" t="s">
        <v>2410</v>
      </c>
      <c r="Q7" s="243" t="s">
        <v>3114</v>
      </c>
      <c r="R7" s="243" t="s">
        <v>3133</v>
      </c>
      <c r="S7" s="247">
        <v>1250000</v>
      </c>
      <c r="T7" s="247">
        <v>1350000</v>
      </c>
      <c r="U7" s="247">
        <f t="shared" si="0"/>
        <v>100000</v>
      </c>
      <c r="V7" s="248">
        <v>1246159.97</v>
      </c>
      <c r="X7" s="243" t="str">
        <f t="shared" si="1"/>
        <v>Microsoft Azure: EUS / Infra</v>
      </c>
      <c r="Y7" s="243" t="s">
        <v>5793</v>
      </c>
    </row>
    <row r="8" spans="1:25" hidden="1" x14ac:dyDescent="0.25">
      <c r="A8" s="243" t="s">
        <v>782</v>
      </c>
      <c r="B8" s="243" t="s">
        <v>6111</v>
      </c>
      <c r="C8" s="243">
        <v>68427709</v>
      </c>
      <c r="D8" s="244" t="s">
        <v>19</v>
      </c>
      <c r="E8" s="243" t="s">
        <v>20</v>
      </c>
      <c r="F8" s="243" t="s">
        <v>16</v>
      </c>
      <c r="G8" s="245" t="s">
        <v>2445</v>
      </c>
      <c r="H8" s="243" t="s">
        <v>3116</v>
      </c>
      <c r="I8" s="243">
        <v>117627</v>
      </c>
      <c r="J8" s="22" t="s">
        <v>3460</v>
      </c>
      <c r="K8" s="22"/>
      <c r="L8" s="249">
        <v>5400996228</v>
      </c>
      <c r="M8" s="246">
        <v>20</v>
      </c>
      <c r="N8" s="22" t="s">
        <v>2410</v>
      </c>
      <c r="O8" s="22" t="s">
        <v>6109</v>
      </c>
      <c r="P8" s="22" t="s">
        <v>3132</v>
      </c>
      <c r="Q8" s="243" t="s">
        <v>3114</v>
      </c>
      <c r="R8" s="243" t="s">
        <v>3133</v>
      </c>
      <c r="S8" s="247">
        <v>450000</v>
      </c>
      <c r="T8" s="247">
        <v>525000</v>
      </c>
      <c r="U8" s="247">
        <f t="shared" si="0"/>
        <v>75000</v>
      </c>
      <c r="V8" s="248">
        <v>484617.77</v>
      </c>
      <c r="X8" s="243" t="str">
        <f t="shared" si="1"/>
        <v>Microsoft Enterprise Services</v>
      </c>
      <c r="Y8" s="243" t="s">
        <v>5793</v>
      </c>
    </row>
    <row r="9" spans="1:25" hidden="1" x14ac:dyDescent="0.25">
      <c r="A9" s="243" t="s">
        <v>2413</v>
      </c>
      <c r="B9" s="243" t="s">
        <v>6110</v>
      </c>
      <c r="C9" s="243">
        <v>68427709</v>
      </c>
      <c r="D9" s="244" t="s">
        <v>19</v>
      </c>
      <c r="E9" s="243" t="s">
        <v>20</v>
      </c>
      <c r="F9" s="243" t="s">
        <v>16</v>
      </c>
      <c r="G9" s="245" t="s">
        <v>2445</v>
      </c>
      <c r="H9" s="243" t="s">
        <v>3116</v>
      </c>
      <c r="I9" s="243">
        <v>166304</v>
      </c>
      <c r="J9" s="92" t="s">
        <v>97</v>
      </c>
      <c r="K9" s="92"/>
      <c r="L9" s="243">
        <v>5400878308</v>
      </c>
      <c r="M9" s="246">
        <v>20</v>
      </c>
      <c r="N9" s="22" t="s">
        <v>2410</v>
      </c>
      <c r="O9" s="22" t="s">
        <v>6109</v>
      </c>
      <c r="P9" s="22" t="s">
        <v>2410</v>
      </c>
      <c r="Q9" s="243" t="s">
        <v>3114</v>
      </c>
      <c r="R9" s="243" t="s">
        <v>3133</v>
      </c>
      <c r="S9" s="247">
        <v>430000</v>
      </c>
      <c r="T9" s="247">
        <v>430000</v>
      </c>
      <c r="U9" s="247">
        <f t="shared" si="0"/>
        <v>0</v>
      </c>
      <c r="V9" s="250">
        <v>10000</v>
      </c>
      <c r="W9" s="251" t="s">
        <v>6112</v>
      </c>
      <c r="X9" s="243" t="str">
        <f t="shared" si="1"/>
        <v>Microsoft Azure: Websites</v>
      </c>
      <c r="Y9" s="243" t="s">
        <v>5792</v>
      </c>
    </row>
    <row r="10" spans="1:25" hidden="1" x14ac:dyDescent="0.25">
      <c r="A10" s="243" t="s">
        <v>3431</v>
      </c>
      <c r="C10" s="243">
        <v>68427709</v>
      </c>
      <c r="D10" s="244" t="s">
        <v>19</v>
      </c>
      <c r="E10" s="243" t="s">
        <v>20</v>
      </c>
      <c r="F10" s="92" t="s">
        <v>46</v>
      </c>
      <c r="G10" s="245"/>
      <c r="H10" s="243" t="s">
        <v>3296</v>
      </c>
      <c r="I10" s="243">
        <v>166304</v>
      </c>
      <c r="J10" s="92" t="s">
        <v>97</v>
      </c>
      <c r="K10" s="92"/>
      <c r="L10" s="249">
        <v>5400989555</v>
      </c>
      <c r="M10" s="246">
        <v>10</v>
      </c>
      <c r="N10" s="92" t="s">
        <v>2410</v>
      </c>
      <c r="O10" s="92" t="s">
        <v>2500</v>
      </c>
      <c r="P10" s="22" t="s">
        <v>2500</v>
      </c>
      <c r="Q10" s="243" t="s">
        <v>3170</v>
      </c>
      <c r="R10" s="243" t="s">
        <v>517</v>
      </c>
      <c r="S10" s="247">
        <v>376000</v>
      </c>
      <c r="T10" s="247">
        <v>342000</v>
      </c>
      <c r="U10" s="247">
        <f t="shared" si="0"/>
        <v>-34000</v>
      </c>
      <c r="V10" s="248">
        <v>293956.96000000002</v>
      </c>
      <c r="X10" s="243" t="str">
        <f t="shared" si="1"/>
        <v>Magento Commerce Cloud (Adobe)</v>
      </c>
      <c r="Y10" s="243" t="s">
        <v>5792</v>
      </c>
    </row>
    <row r="11" spans="1:25" hidden="1" x14ac:dyDescent="0.25">
      <c r="A11" s="243" t="s">
        <v>787</v>
      </c>
      <c r="B11" s="243" t="s">
        <v>6113</v>
      </c>
      <c r="C11" s="243">
        <v>68427709</v>
      </c>
      <c r="D11" s="244" t="s">
        <v>19</v>
      </c>
      <c r="E11" s="243" t="s">
        <v>20</v>
      </c>
      <c r="F11" s="243" t="s">
        <v>16</v>
      </c>
      <c r="G11" s="245" t="s">
        <v>2445</v>
      </c>
      <c r="H11" s="243" t="s">
        <v>3116</v>
      </c>
      <c r="I11" s="243">
        <v>166304</v>
      </c>
      <c r="J11" s="92" t="s">
        <v>97</v>
      </c>
      <c r="K11" s="92"/>
      <c r="L11" s="243">
        <v>5400878308</v>
      </c>
      <c r="M11" s="246">
        <v>60</v>
      </c>
      <c r="N11" s="22" t="s">
        <v>2410</v>
      </c>
      <c r="O11" s="22" t="s">
        <v>6109</v>
      </c>
      <c r="P11" s="22" t="s">
        <v>2410</v>
      </c>
      <c r="Q11" s="243" t="s">
        <v>3114</v>
      </c>
      <c r="R11" s="243" t="s">
        <v>3133</v>
      </c>
      <c r="S11" s="247">
        <v>275000</v>
      </c>
      <c r="T11" s="247">
        <v>250000</v>
      </c>
      <c r="U11" s="247">
        <f t="shared" si="0"/>
        <v>-25000</v>
      </c>
      <c r="V11" s="248">
        <v>230770.37</v>
      </c>
      <c r="X11" s="243" t="str">
        <f t="shared" si="1"/>
        <v>Microsoft Hybrid Server and Cloud Enrollment</v>
      </c>
      <c r="Y11" s="243" t="s">
        <v>5792</v>
      </c>
    </row>
    <row r="12" spans="1:25" hidden="1" x14ac:dyDescent="0.25">
      <c r="A12" s="22" t="s">
        <v>2031</v>
      </c>
      <c r="C12" s="243">
        <v>68427709</v>
      </c>
      <c r="D12" s="244" t="s">
        <v>19</v>
      </c>
      <c r="E12" s="243" t="s">
        <v>20</v>
      </c>
      <c r="F12" s="243" t="s">
        <v>16</v>
      </c>
      <c r="G12" s="245" t="s">
        <v>2445</v>
      </c>
      <c r="H12" s="243" t="s">
        <v>3116</v>
      </c>
      <c r="I12" s="243">
        <v>166304</v>
      </c>
      <c r="J12" s="92" t="s">
        <v>97</v>
      </c>
      <c r="K12" s="92"/>
      <c r="L12" s="243">
        <v>5400878308</v>
      </c>
      <c r="M12" s="246">
        <v>20</v>
      </c>
      <c r="N12" s="22" t="s">
        <v>2410</v>
      </c>
      <c r="O12" s="22" t="s">
        <v>6109</v>
      </c>
      <c r="P12" s="22" t="s">
        <v>2410</v>
      </c>
      <c r="Q12" s="243" t="s">
        <v>3114</v>
      </c>
      <c r="R12" s="243" t="s">
        <v>3133</v>
      </c>
      <c r="S12" s="247">
        <v>180000</v>
      </c>
      <c r="T12" s="247">
        <v>210000</v>
      </c>
      <c r="U12" s="247">
        <f t="shared" si="0"/>
        <v>30000</v>
      </c>
      <c r="V12" s="248">
        <v>193847.11</v>
      </c>
      <c r="X12" s="243" t="str">
        <f t="shared" si="1"/>
        <v>Microsoft Azure: ACN_SOC-IT</v>
      </c>
      <c r="Y12" s="243" t="s">
        <v>5793</v>
      </c>
    </row>
    <row r="13" spans="1:25" hidden="1" x14ac:dyDescent="0.25">
      <c r="A13" s="243" t="s">
        <v>2023</v>
      </c>
      <c r="B13" s="243" t="s">
        <v>6110</v>
      </c>
      <c r="C13" s="243">
        <v>68427709</v>
      </c>
      <c r="D13" s="244" t="s">
        <v>19</v>
      </c>
      <c r="E13" s="243" t="s">
        <v>20</v>
      </c>
      <c r="F13" s="243" t="s">
        <v>16</v>
      </c>
      <c r="G13" s="245" t="s">
        <v>2445</v>
      </c>
      <c r="H13" s="252" t="s">
        <v>3455</v>
      </c>
      <c r="I13" s="243">
        <v>166304</v>
      </c>
      <c r="J13" s="92" t="s">
        <v>97</v>
      </c>
      <c r="K13" s="92"/>
      <c r="L13" s="243">
        <v>5400878308</v>
      </c>
      <c r="M13" s="246">
        <v>20</v>
      </c>
      <c r="N13" s="22" t="s">
        <v>2410</v>
      </c>
      <c r="O13" s="22" t="s">
        <v>6109</v>
      </c>
      <c r="P13" s="22" t="s">
        <v>3149</v>
      </c>
      <c r="Q13" s="243" t="s">
        <v>3114</v>
      </c>
      <c r="R13" s="243" t="s">
        <v>3133</v>
      </c>
      <c r="S13" s="247">
        <v>185000</v>
      </c>
      <c r="T13" s="247">
        <v>185000</v>
      </c>
      <c r="U13" s="247">
        <f t="shared" si="0"/>
        <v>0</v>
      </c>
      <c r="V13" s="248">
        <v>170770.07</v>
      </c>
      <c r="X13" s="243" t="str">
        <f t="shared" si="1"/>
        <v>Microsoft Azure: Start (Brazil)</v>
      </c>
      <c r="Y13" s="243" t="s">
        <v>5794</v>
      </c>
    </row>
    <row r="14" spans="1:25" hidden="1" x14ac:dyDescent="0.25">
      <c r="A14" s="243" t="s">
        <v>2416</v>
      </c>
      <c r="B14" s="243" t="s">
        <v>6110</v>
      </c>
      <c r="C14" s="243">
        <v>68427709</v>
      </c>
      <c r="D14" s="244" t="s">
        <v>19</v>
      </c>
      <c r="E14" s="243" t="s">
        <v>20</v>
      </c>
      <c r="F14" s="243" t="s">
        <v>16</v>
      </c>
      <c r="G14" s="245" t="s">
        <v>2445</v>
      </c>
      <c r="H14" s="243" t="s">
        <v>3313</v>
      </c>
      <c r="I14" s="243">
        <v>166304</v>
      </c>
      <c r="J14" s="92" t="s">
        <v>97</v>
      </c>
      <c r="K14" s="92"/>
      <c r="L14" s="243">
        <v>5400878308</v>
      </c>
      <c r="M14" s="246">
        <v>20</v>
      </c>
      <c r="N14" s="22" t="s">
        <v>2410</v>
      </c>
      <c r="O14" s="22" t="s">
        <v>6109</v>
      </c>
      <c r="P14" s="22" t="s">
        <v>2410</v>
      </c>
      <c r="Q14" s="243" t="s">
        <v>3114</v>
      </c>
      <c r="R14" s="243" t="s">
        <v>3133</v>
      </c>
      <c r="S14" s="247">
        <v>170000</v>
      </c>
      <c r="T14" s="247">
        <v>170000</v>
      </c>
      <c r="U14" s="247">
        <f t="shared" si="0"/>
        <v>0</v>
      </c>
      <c r="V14" s="248">
        <v>156923.85</v>
      </c>
      <c r="X14" s="243" t="str">
        <f t="shared" si="1"/>
        <v>Microsoft Azure: Professional Websites</v>
      </c>
      <c r="Y14" s="243" t="s">
        <v>5794</v>
      </c>
    </row>
    <row r="15" spans="1:25" hidden="1" x14ac:dyDescent="0.25">
      <c r="A15" s="243" t="s">
        <v>2666</v>
      </c>
      <c r="C15" s="243">
        <v>68427709</v>
      </c>
      <c r="D15" s="244" t="s">
        <v>19</v>
      </c>
      <c r="E15" s="243" t="s">
        <v>20</v>
      </c>
      <c r="F15" s="244" t="s">
        <v>16</v>
      </c>
      <c r="G15" s="245" t="s">
        <v>2445</v>
      </c>
      <c r="H15" s="243" t="s">
        <v>3116</v>
      </c>
      <c r="I15" s="243">
        <v>166304</v>
      </c>
      <c r="J15" s="92" t="s">
        <v>97</v>
      </c>
      <c r="K15" s="92"/>
      <c r="M15" s="246"/>
      <c r="N15" s="22" t="s">
        <v>2410</v>
      </c>
      <c r="O15" s="22" t="s">
        <v>6109</v>
      </c>
      <c r="P15" s="22" t="s">
        <v>2410</v>
      </c>
      <c r="Q15" s="243" t="s">
        <v>3114</v>
      </c>
      <c r="R15" s="243" t="s">
        <v>3133</v>
      </c>
      <c r="S15" s="247">
        <v>125000</v>
      </c>
      <c r="T15" s="247">
        <v>125000</v>
      </c>
      <c r="U15" s="247">
        <f t="shared" si="0"/>
        <v>0</v>
      </c>
      <c r="V15" s="248">
        <v>115385.18</v>
      </c>
      <c r="X15" s="243" t="str">
        <f t="shared" si="1"/>
        <v>Microsoft True-up</v>
      </c>
      <c r="Y15" s="243" t="s">
        <v>5794</v>
      </c>
    </row>
    <row r="16" spans="1:25" hidden="1" x14ac:dyDescent="0.25">
      <c r="A16" s="243" t="s">
        <v>2414</v>
      </c>
      <c r="B16" s="243" t="s">
        <v>6110</v>
      </c>
      <c r="C16" s="243">
        <v>68427709</v>
      </c>
      <c r="D16" s="244" t="s">
        <v>19</v>
      </c>
      <c r="E16" s="243" t="s">
        <v>20</v>
      </c>
      <c r="F16" s="243" t="s">
        <v>16</v>
      </c>
      <c r="G16" s="245" t="s">
        <v>2445</v>
      </c>
      <c r="H16" s="243" t="s">
        <v>3252</v>
      </c>
      <c r="I16" s="243">
        <v>166304</v>
      </c>
      <c r="J16" s="92" t="s">
        <v>97</v>
      </c>
      <c r="K16" s="92"/>
      <c r="L16" s="243">
        <v>5400878308</v>
      </c>
      <c r="M16" s="246">
        <v>20</v>
      </c>
      <c r="N16" s="22" t="s">
        <v>2410</v>
      </c>
      <c r="O16" s="22" t="s">
        <v>6109</v>
      </c>
      <c r="P16" s="22" t="s">
        <v>2410</v>
      </c>
      <c r="Q16" s="243" t="s">
        <v>3114</v>
      </c>
      <c r="R16" s="243" t="s">
        <v>3133</v>
      </c>
      <c r="S16" s="247">
        <v>110000</v>
      </c>
      <c r="T16" s="247">
        <v>110000</v>
      </c>
      <c r="U16" s="247">
        <f t="shared" si="0"/>
        <v>0</v>
      </c>
      <c r="V16" s="248">
        <v>101538.96</v>
      </c>
      <c r="X16" s="243" t="str">
        <f t="shared" si="1"/>
        <v>Microsoft Azure: CTS_IOT</v>
      </c>
      <c r="Y16" s="243" t="s">
        <v>5794</v>
      </c>
    </row>
    <row r="17" spans="1:25" hidden="1" x14ac:dyDescent="0.25">
      <c r="A17" s="22" t="s">
        <v>3456</v>
      </c>
      <c r="C17" s="243">
        <v>68427709</v>
      </c>
      <c r="D17" s="244" t="s">
        <v>19</v>
      </c>
      <c r="E17" s="243" t="s">
        <v>20</v>
      </c>
      <c r="F17" s="243" t="s">
        <v>16</v>
      </c>
      <c r="G17" s="245"/>
      <c r="H17" s="243" t="s">
        <v>3458</v>
      </c>
      <c r="I17" s="243">
        <v>166304</v>
      </c>
      <c r="J17" s="92" t="s">
        <v>97</v>
      </c>
      <c r="K17" s="92"/>
      <c r="L17" s="249"/>
      <c r="M17" s="246"/>
      <c r="N17" s="22" t="s">
        <v>2410</v>
      </c>
      <c r="O17" s="22" t="s">
        <v>2864</v>
      </c>
      <c r="P17" s="22" t="s">
        <v>3244</v>
      </c>
      <c r="Q17" s="22" t="s">
        <v>3170</v>
      </c>
      <c r="R17" s="22" t="s">
        <v>3120</v>
      </c>
      <c r="S17" s="247"/>
      <c r="T17" s="247">
        <v>110000</v>
      </c>
      <c r="U17" s="247">
        <f t="shared" si="0"/>
        <v>110000</v>
      </c>
      <c r="V17" s="248">
        <v>106272.31</v>
      </c>
      <c r="X17" s="243" t="str">
        <f t="shared" si="1"/>
        <v>Microsoft Co-Pilot</v>
      </c>
      <c r="Y17" s="243" t="s">
        <v>1829</v>
      </c>
    </row>
    <row r="18" spans="1:25" hidden="1" x14ac:dyDescent="0.25">
      <c r="A18" s="22" t="s">
        <v>2030</v>
      </c>
      <c r="C18" s="243">
        <v>68427709</v>
      </c>
      <c r="D18" s="244" t="s">
        <v>19</v>
      </c>
      <c r="E18" s="243" t="s">
        <v>20</v>
      </c>
      <c r="F18" s="243" t="s">
        <v>16</v>
      </c>
      <c r="G18" s="245" t="s">
        <v>2445</v>
      </c>
      <c r="H18" s="243" t="s">
        <v>3116</v>
      </c>
      <c r="I18" s="243">
        <v>166304</v>
      </c>
      <c r="J18" s="92" t="s">
        <v>97</v>
      </c>
      <c r="K18" s="92"/>
      <c r="L18" s="243">
        <v>5400878308</v>
      </c>
      <c r="M18" s="246">
        <v>20</v>
      </c>
      <c r="N18" s="22" t="s">
        <v>2410</v>
      </c>
      <c r="O18" s="22" t="s">
        <v>6109</v>
      </c>
      <c r="P18" s="22" t="s">
        <v>2410</v>
      </c>
      <c r="Q18" s="243" t="s">
        <v>3114</v>
      </c>
      <c r="R18" s="243" t="s">
        <v>3133</v>
      </c>
      <c r="S18" s="247">
        <v>125000</v>
      </c>
      <c r="T18" s="247">
        <v>100000</v>
      </c>
      <c r="U18" s="247">
        <f t="shared" si="0"/>
        <v>-25000</v>
      </c>
      <c r="V18" s="248">
        <v>92308.15</v>
      </c>
      <c r="X18" s="243" t="str">
        <f t="shared" si="1"/>
        <v>Microsoft Azure: ACN_RAS</v>
      </c>
      <c r="Y18" s="243" t="s">
        <v>5792</v>
      </c>
    </row>
    <row r="19" spans="1:25" hidden="1" x14ac:dyDescent="0.25">
      <c r="A19" s="243" t="s">
        <v>3452</v>
      </c>
      <c r="C19" s="243">
        <v>68427709</v>
      </c>
      <c r="D19" s="244" t="s">
        <v>19</v>
      </c>
      <c r="E19" s="243" t="s">
        <v>20</v>
      </c>
      <c r="F19" s="243" t="s">
        <v>16</v>
      </c>
      <c r="G19" s="245"/>
      <c r="H19" s="243" t="s">
        <v>3379</v>
      </c>
      <c r="J19" s="22"/>
      <c r="K19" s="22"/>
      <c r="L19" s="249"/>
      <c r="M19" s="246"/>
      <c r="N19" s="92" t="s">
        <v>2870</v>
      </c>
      <c r="O19" s="92" t="s">
        <v>2500</v>
      </c>
      <c r="P19" s="22" t="s">
        <v>2500</v>
      </c>
      <c r="Q19" s="243" t="s">
        <v>3170</v>
      </c>
      <c r="R19" s="243" t="s">
        <v>517</v>
      </c>
      <c r="S19" s="247"/>
      <c r="T19" s="247">
        <v>78860</v>
      </c>
      <c r="U19" s="247">
        <f t="shared" si="0"/>
        <v>78860</v>
      </c>
      <c r="V19" s="248">
        <v>67782.009999999995</v>
      </c>
      <c r="X19" s="243" t="str">
        <f t="shared" si="1"/>
        <v>Microsoft Azure : Hygraph Hosting</v>
      </c>
      <c r="Y19" s="243" t="s">
        <v>1829</v>
      </c>
    </row>
    <row r="20" spans="1:25" hidden="1" x14ac:dyDescent="0.25">
      <c r="A20" s="22" t="s">
        <v>2943</v>
      </c>
      <c r="C20" s="243">
        <v>68427709</v>
      </c>
      <c r="D20" s="244" t="s">
        <v>19</v>
      </c>
      <c r="E20" s="243" t="s">
        <v>20</v>
      </c>
      <c r="F20" s="243" t="s">
        <v>16</v>
      </c>
      <c r="G20" s="245"/>
      <c r="H20" s="243" t="s">
        <v>3461</v>
      </c>
      <c r="I20" s="243">
        <v>166304</v>
      </c>
      <c r="J20" s="92" t="s">
        <v>97</v>
      </c>
      <c r="K20" s="92"/>
      <c r="L20" s="249">
        <v>5401011272</v>
      </c>
      <c r="M20" s="246">
        <v>10</v>
      </c>
      <c r="N20" s="22" t="s">
        <v>2410</v>
      </c>
      <c r="O20" s="22" t="s">
        <v>2864</v>
      </c>
      <c r="P20" s="22" t="s">
        <v>3244</v>
      </c>
      <c r="Q20" s="243" t="s">
        <v>3114</v>
      </c>
      <c r="R20" s="243" t="s">
        <v>3136</v>
      </c>
      <c r="S20" s="247">
        <v>50000</v>
      </c>
      <c r="T20" s="247">
        <v>75000</v>
      </c>
      <c r="U20" s="247">
        <f t="shared" si="0"/>
        <v>25000</v>
      </c>
      <c r="V20" s="248">
        <v>72458.39</v>
      </c>
      <c r="X20" s="243" t="str">
        <f t="shared" si="1"/>
        <v>Microsoft Power Automate &amp; Power Apps</v>
      </c>
      <c r="Y20" s="243" t="s">
        <v>5793</v>
      </c>
    </row>
    <row r="21" spans="1:25" hidden="1" x14ac:dyDescent="0.25">
      <c r="A21" s="22" t="s">
        <v>2029</v>
      </c>
      <c r="C21" s="243">
        <v>68427709</v>
      </c>
      <c r="D21" s="244" t="s">
        <v>19</v>
      </c>
      <c r="E21" s="243" t="s">
        <v>20</v>
      </c>
      <c r="F21" s="243" t="s">
        <v>16</v>
      </c>
      <c r="G21" s="245" t="s">
        <v>2445</v>
      </c>
      <c r="H21" s="243" t="s">
        <v>3116</v>
      </c>
      <c r="I21" s="243">
        <v>166304</v>
      </c>
      <c r="J21" s="92" t="s">
        <v>97</v>
      </c>
      <c r="K21" s="92"/>
      <c r="L21" s="243">
        <v>5400878308</v>
      </c>
      <c r="M21" s="246">
        <v>20</v>
      </c>
      <c r="N21" s="22" t="s">
        <v>2410</v>
      </c>
      <c r="O21" s="22" t="s">
        <v>6109</v>
      </c>
      <c r="P21" s="22" t="s">
        <v>2410</v>
      </c>
      <c r="Q21" s="243" t="s">
        <v>3114</v>
      </c>
      <c r="R21" s="243" t="s">
        <v>3133</v>
      </c>
      <c r="S21" s="247">
        <v>90000</v>
      </c>
      <c r="T21" s="247">
        <v>60000</v>
      </c>
      <c r="U21" s="247">
        <f t="shared" si="0"/>
        <v>-30000</v>
      </c>
      <c r="V21" s="248">
        <v>55384.89</v>
      </c>
      <c r="X21" s="243" t="str">
        <f t="shared" si="1"/>
        <v>Microsoft Azure: ACN_SPLUNK-Prod</v>
      </c>
      <c r="Y21" s="243" t="s">
        <v>5792</v>
      </c>
    </row>
    <row r="22" spans="1:25" hidden="1" x14ac:dyDescent="0.25">
      <c r="A22" s="22" t="s">
        <v>3453</v>
      </c>
      <c r="C22" s="243">
        <v>68427709</v>
      </c>
      <c r="D22" s="244" t="s">
        <v>19</v>
      </c>
      <c r="E22" s="243" t="s">
        <v>20</v>
      </c>
      <c r="F22" s="243" t="s">
        <v>16</v>
      </c>
      <c r="G22" s="245"/>
      <c r="H22" s="243" t="s">
        <v>3454</v>
      </c>
      <c r="I22" s="243">
        <v>166304</v>
      </c>
      <c r="J22" s="92" t="s">
        <v>97</v>
      </c>
      <c r="K22" s="92"/>
      <c r="L22" s="249">
        <v>5400878308</v>
      </c>
      <c r="M22" s="246">
        <v>20</v>
      </c>
      <c r="N22" s="92" t="s">
        <v>2410</v>
      </c>
      <c r="O22" s="92" t="s">
        <v>2500</v>
      </c>
      <c r="P22" s="22" t="s">
        <v>2500</v>
      </c>
      <c r="Q22" s="243" t="s">
        <v>3170</v>
      </c>
      <c r="R22" s="243" t="s">
        <v>517</v>
      </c>
      <c r="S22" s="247">
        <v>40800</v>
      </c>
      <c r="T22" s="247">
        <v>40800</v>
      </c>
      <c r="U22" s="247">
        <f t="shared" si="0"/>
        <v>0</v>
      </c>
      <c r="V22" s="248">
        <v>35068.550000000003</v>
      </c>
      <c r="X22" s="243" t="str">
        <f t="shared" si="1"/>
        <v>Microsoft Azure: ecommerce Hygraph hosting</v>
      </c>
      <c r="Y22" s="243" t="s">
        <v>5794</v>
      </c>
    </row>
    <row r="23" spans="1:25" hidden="1" x14ac:dyDescent="0.25">
      <c r="A23" s="22" t="s">
        <v>3622</v>
      </c>
      <c r="C23" s="243">
        <v>68427709</v>
      </c>
      <c r="D23" s="244" t="s">
        <v>19</v>
      </c>
      <c r="E23" s="243" t="s">
        <v>20</v>
      </c>
      <c r="F23" s="243" t="s">
        <v>16</v>
      </c>
      <c r="G23" s="245"/>
      <c r="H23" s="243" t="s">
        <v>3623</v>
      </c>
      <c r="I23" s="243">
        <v>166304</v>
      </c>
      <c r="J23" s="92" t="s">
        <v>97</v>
      </c>
      <c r="K23" s="92"/>
      <c r="L23" s="249"/>
      <c r="M23" s="246"/>
      <c r="N23" s="92" t="s">
        <v>2410</v>
      </c>
      <c r="O23" s="92" t="s">
        <v>2864</v>
      </c>
      <c r="P23" s="22" t="s">
        <v>3244</v>
      </c>
      <c r="Q23" s="243" t="s">
        <v>3114</v>
      </c>
      <c r="R23" s="243" t="s">
        <v>3133</v>
      </c>
      <c r="S23" s="247"/>
      <c r="T23" s="247">
        <v>36000</v>
      </c>
      <c r="U23" s="247">
        <f t="shared" si="0"/>
        <v>36000</v>
      </c>
      <c r="V23" s="248">
        <v>34780.03</v>
      </c>
      <c r="X23" s="243" t="str">
        <f t="shared" si="1"/>
        <v>Sharepoint archiving solution</v>
      </c>
      <c r="Y23" s="243" t="s">
        <v>1829</v>
      </c>
    </row>
    <row r="24" spans="1:25" hidden="1" x14ac:dyDescent="0.25">
      <c r="A24" s="22" t="s">
        <v>2938</v>
      </c>
      <c r="C24" s="243">
        <v>68427709</v>
      </c>
      <c r="D24" s="244" t="s">
        <v>19</v>
      </c>
      <c r="E24" s="243" t="s">
        <v>20</v>
      </c>
      <c r="F24" s="243" t="s">
        <v>16</v>
      </c>
      <c r="G24" s="245" t="s">
        <v>2448</v>
      </c>
      <c r="H24" s="243" t="s">
        <v>3326</v>
      </c>
      <c r="I24" s="243">
        <v>166304</v>
      </c>
      <c r="J24" s="92" t="s">
        <v>97</v>
      </c>
      <c r="K24" s="92"/>
      <c r="L24" s="249"/>
      <c r="M24" s="246"/>
      <c r="N24" s="92" t="s">
        <v>2410</v>
      </c>
      <c r="O24" s="92" t="s">
        <v>6109</v>
      </c>
      <c r="P24" s="22"/>
      <c r="Q24" s="243" t="s">
        <v>3124</v>
      </c>
      <c r="R24" s="243" t="s">
        <v>3125</v>
      </c>
      <c r="S24" s="247"/>
      <c r="T24" s="247">
        <v>15000</v>
      </c>
      <c r="U24" s="247">
        <f t="shared" si="0"/>
        <v>15000</v>
      </c>
      <c r="V24" s="248">
        <v>13846.22</v>
      </c>
      <c r="X24" s="243" t="str">
        <f t="shared" si="1"/>
        <v>Microsoft Azure : OT Data Foundation</v>
      </c>
      <c r="Y24" s="243" t="s">
        <v>1829</v>
      </c>
    </row>
    <row r="25" spans="1:25" hidden="1" x14ac:dyDescent="0.25">
      <c r="A25" s="22" t="s">
        <v>2025</v>
      </c>
      <c r="C25" s="243">
        <v>68427709</v>
      </c>
      <c r="D25" s="244" t="s">
        <v>19</v>
      </c>
      <c r="E25" s="243" t="s">
        <v>20</v>
      </c>
      <c r="F25" s="243" t="s">
        <v>16</v>
      </c>
      <c r="G25" s="245" t="s">
        <v>2445</v>
      </c>
      <c r="H25" s="243" t="s">
        <v>3116</v>
      </c>
      <c r="I25" s="243">
        <v>166304</v>
      </c>
      <c r="J25" s="92" t="s">
        <v>97</v>
      </c>
      <c r="K25" s="92"/>
      <c r="L25" s="243">
        <v>5400878308</v>
      </c>
      <c r="M25" s="246">
        <v>20</v>
      </c>
      <c r="N25" s="22" t="s">
        <v>2410</v>
      </c>
      <c r="O25" s="22" t="s">
        <v>6109</v>
      </c>
      <c r="P25" s="22" t="s">
        <v>2410</v>
      </c>
      <c r="Q25" s="243" t="s">
        <v>3114</v>
      </c>
      <c r="R25" s="243" t="s">
        <v>3133</v>
      </c>
      <c r="S25" s="247">
        <v>8000</v>
      </c>
      <c r="T25" s="247">
        <v>8000</v>
      </c>
      <c r="U25" s="247">
        <f t="shared" si="0"/>
        <v>0</v>
      </c>
      <c r="V25" s="248">
        <v>7384.65</v>
      </c>
      <c r="X25" s="243" t="str">
        <f t="shared" si="1"/>
        <v>Microsoft Azure: Azure Marketplace</v>
      </c>
      <c r="Y25" s="243" t="s">
        <v>5794</v>
      </c>
    </row>
    <row r="26" spans="1:25" hidden="1" x14ac:dyDescent="0.25">
      <c r="A26" s="243" t="s">
        <v>2592</v>
      </c>
      <c r="B26" s="243" t="s">
        <v>6110</v>
      </c>
      <c r="C26" s="243">
        <v>68427709</v>
      </c>
      <c r="D26" s="244" t="s">
        <v>19</v>
      </c>
      <c r="E26" s="243" t="s">
        <v>20</v>
      </c>
      <c r="F26" s="243" t="s">
        <v>16</v>
      </c>
      <c r="G26" s="245"/>
      <c r="H26" s="243" t="s">
        <v>3296</v>
      </c>
      <c r="I26" s="243">
        <v>166304</v>
      </c>
      <c r="J26" s="92" t="s">
        <v>97</v>
      </c>
      <c r="K26" s="92"/>
      <c r="L26" s="243">
        <v>5400878308</v>
      </c>
      <c r="M26" s="246">
        <v>20</v>
      </c>
      <c r="N26" s="22" t="s">
        <v>2410</v>
      </c>
      <c r="O26" s="22" t="s">
        <v>6109</v>
      </c>
      <c r="P26" s="22" t="s">
        <v>2410</v>
      </c>
      <c r="Q26" s="243" t="s">
        <v>3170</v>
      </c>
      <c r="R26" s="243" t="s">
        <v>517</v>
      </c>
      <c r="S26" s="247">
        <v>0</v>
      </c>
      <c r="T26" s="247">
        <v>0</v>
      </c>
      <c r="U26" s="247">
        <f t="shared" si="0"/>
        <v>0</v>
      </c>
      <c r="V26" s="248">
        <v>0</v>
      </c>
      <c r="X26" s="243" t="str">
        <f t="shared" si="1"/>
        <v>Microsoft Azure: ecommerce Magento hosting</v>
      </c>
      <c r="Y26" s="243" t="s">
        <v>5794</v>
      </c>
    </row>
    <row r="27" spans="1:25" hidden="1" x14ac:dyDescent="0.25">
      <c r="A27" s="243" t="s">
        <v>2427</v>
      </c>
      <c r="B27" s="243" t="s">
        <v>6114</v>
      </c>
      <c r="C27" s="243">
        <v>68427709</v>
      </c>
      <c r="D27" s="244" t="s">
        <v>22</v>
      </c>
      <c r="E27" s="243" t="s">
        <v>100</v>
      </c>
      <c r="F27" s="243" t="s">
        <v>24</v>
      </c>
      <c r="G27" s="245" t="s">
        <v>2445</v>
      </c>
      <c r="H27" s="243" t="s">
        <v>3116</v>
      </c>
      <c r="I27" s="22">
        <v>196653</v>
      </c>
      <c r="J27" s="243" t="s">
        <v>102</v>
      </c>
      <c r="L27" s="246">
        <v>5401023594</v>
      </c>
      <c r="M27" s="246">
        <v>10</v>
      </c>
      <c r="N27" s="22" t="s">
        <v>2410</v>
      </c>
      <c r="O27" s="22" t="s">
        <v>6109</v>
      </c>
      <c r="P27" s="22" t="s">
        <v>2410</v>
      </c>
      <c r="Q27" s="243" t="s">
        <v>3114</v>
      </c>
      <c r="R27" s="243" t="s">
        <v>3133</v>
      </c>
      <c r="S27" s="247">
        <v>4334000</v>
      </c>
      <c r="T27" s="247">
        <v>4300000</v>
      </c>
      <c r="U27" s="247">
        <f t="shared" si="0"/>
        <v>-34000</v>
      </c>
      <c r="V27" s="248">
        <v>3969250.28</v>
      </c>
      <c r="X27" s="243" t="str">
        <f t="shared" si="1"/>
        <v>WAN-OBS</v>
      </c>
      <c r="Y27" s="243" t="s">
        <v>5792</v>
      </c>
    </row>
    <row r="28" spans="1:25" hidden="1" x14ac:dyDescent="0.25">
      <c r="A28" s="243" t="s">
        <v>2941</v>
      </c>
      <c r="B28" s="243" t="s">
        <v>3607</v>
      </c>
      <c r="C28" s="243">
        <v>68427709</v>
      </c>
      <c r="D28" s="244" t="s">
        <v>22</v>
      </c>
      <c r="E28" s="244" t="s">
        <v>26</v>
      </c>
      <c r="F28" s="243" t="s">
        <v>24</v>
      </c>
      <c r="G28" s="245" t="s">
        <v>2445</v>
      </c>
      <c r="H28" s="243" t="s">
        <v>3608</v>
      </c>
      <c r="I28" s="22">
        <v>196653</v>
      </c>
      <c r="J28" s="243" t="s">
        <v>102</v>
      </c>
      <c r="L28" s="243">
        <v>5401023596</v>
      </c>
      <c r="M28" s="246">
        <v>10</v>
      </c>
      <c r="N28" s="243" t="s">
        <v>2410</v>
      </c>
      <c r="O28" s="243" t="s">
        <v>6109</v>
      </c>
      <c r="P28" s="243" t="s">
        <v>2410</v>
      </c>
      <c r="Q28" s="243" t="s">
        <v>3114</v>
      </c>
      <c r="R28" s="243" t="s">
        <v>3133</v>
      </c>
      <c r="S28" s="247">
        <v>805000</v>
      </c>
      <c r="T28" s="247">
        <v>697500</v>
      </c>
      <c r="U28" s="247">
        <f t="shared" si="0"/>
        <v>-107500</v>
      </c>
      <c r="V28" s="248">
        <v>643849.31999999995</v>
      </c>
      <c r="X28" s="243" t="str">
        <f t="shared" si="1"/>
        <v>Security (+Zscaler / Security)</v>
      </c>
      <c r="Y28" s="243" t="s">
        <v>5792</v>
      </c>
    </row>
    <row r="29" spans="1:25" hidden="1" x14ac:dyDescent="0.25">
      <c r="A29" s="243" t="s">
        <v>1580</v>
      </c>
      <c r="B29" s="243" t="s">
        <v>3607</v>
      </c>
      <c r="C29" s="243">
        <v>68427709</v>
      </c>
      <c r="D29" s="244" t="s">
        <v>22</v>
      </c>
      <c r="E29" s="243" t="s">
        <v>100</v>
      </c>
      <c r="F29" s="243" t="s">
        <v>24</v>
      </c>
      <c r="G29" s="245" t="s">
        <v>2445</v>
      </c>
      <c r="H29" s="243" t="s">
        <v>3116</v>
      </c>
      <c r="I29" s="243">
        <v>196653</v>
      </c>
      <c r="J29" s="243" t="s">
        <v>102</v>
      </c>
      <c r="L29" s="243">
        <v>5401023595</v>
      </c>
      <c r="M29" s="246">
        <v>10</v>
      </c>
      <c r="N29" s="22" t="s">
        <v>2410</v>
      </c>
      <c r="O29" s="22" t="s">
        <v>6109</v>
      </c>
      <c r="P29" s="22" t="s">
        <v>2410</v>
      </c>
      <c r="Q29" s="243" t="s">
        <v>3114</v>
      </c>
      <c r="R29" s="243" t="s">
        <v>3133</v>
      </c>
      <c r="S29" s="247">
        <v>665000</v>
      </c>
      <c r="T29" s="247">
        <v>681000</v>
      </c>
      <c r="U29" s="247">
        <f t="shared" si="0"/>
        <v>16000</v>
      </c>
      <c r="V29" s="248">
        <v>628618.47</v>
      </c>
      <c r="X29" s="243" t="str">
        <f t="shared" si="1"/>
        <v>LAN OBS</v>
      </c>
      <c r="Y29" s="243" t="s">
        <v>5793</v>
      </c>
    </row>
    <row r="30" spans="1:25" hidden="1" x14ac:dyDescent="0.25">
      <c r="A30" s="243" t="s">
        <v>2446</v>
      </c>
      <c r="C30" s="243">
        <v>68427709</v>
      </c>
      <c r="D30" s="244" t="s">
        <v>22</v>
      </c>
      <c r="E30" s="243" t="s">
        <v>100</v>
      </c>
      <c r="F30" s="243" t="s">
        <v>24</v>
      </c>
      <c r="G30" s="245" t="s">
        <v>2448</v>
      </c>
      <c r="H30" s="243" t="s">
        <v>3189</v>
      </c>
      <c r="I30" s="243">
        <v>196653</v>
      </c>
      <c r="J30" s="243" t="s">
        <v>799</v>
      </c>
      <c r="L30" s="243">
        <v>5401030680</v>
      </c>
      <c r="M30" s="246">
        <v>10</v>
      </c>
      <c r="N30" s="22" t="s">
        <v>2410</v>
      </c>
      <c r="O30" s="22" t="s">
        <v>6109</v>
      </c>
      <c r="P30" s="22" t="s">
        <v>2410</v>
      </c>
      <c r="Q30" s="253" t="s">
        <v>3124</v>
      </c>
      <c r="R30" s="243" t="s">
        <v>3133</v>
      </c>
      <c r="S30" s="247">
        <v>347000</v>
      </c>
      <c r="T30" s="247">
        <v>340000</v>
      </c>
      <c r="U30" s="247">
        <f t="shared" si="0"/>
        <v>-7000</v>
      </c>
      <c r="V30" s="248">
        <v>313847.7</v>
      </c>
      <c r="X30" s="243" t="str">
        <f t="shared" si="1"/>
        <v>ClarOTy support at various factories</v>
      </c>
      <c r="Y30" s="243" t="s">
        <v>5792</v>
      </c>
    </row>
    <row r="31" spans="1:25" hidden="1" x14ac:dyDescent="0.25">
      <c r="A31" s="243" t="s">
        <v>835</v>
      </c>
      <c r="C31" s="243">
        <v>68427709</v>
      </c>
      <c r="D31" s="244" t="s">
        <v>22</v>
      </c>
      <c r="E31" s="243" t="s">
        <v>100</v>
      </c>
      <c r="F31" s="243" t="s">
        <v>24</v>
      </c>
      <c r="G31" s="245" t="s">
        <v>2448</v>
      </c>
      <c r="H31" s="243" t="s">
        <v>3189</v>
      </c>
      <c r="I31" s="22">
        <v>196653</v>
      </c>
      <c r="J31" s="243" t="s">
        <v>102</v>
      </c>
      <c r="L31" s="243">
        <v>5401023596</v>
      </c>
      <c r="M31" s="246">
        <v>10</v>
      </c>
      <c r="N31" s="243" t="s">
        <v>2410</v>
      </c>
      <c r="O31" s="243" t="s">
        <v>6109</v>
      </c>
      <c r="P31" s="243" t="s">
        <v>2410</v>
      </c>
      <c r="Q31" s="253" t="s">
        <v>3124</v>
      </c>
      <c r="R31" s="243" t="s">
        <v>3133</v>
      </c>
      <c r="S31" s="247">
        <v>100000</v>
      </c>
      <c r="T31" s="247">
        <v>300000</v>
      </c>
      <c r="U31" s="247">
        <f t="shared" si="0"/>
        <v>200000</v>
      </c>
      <c r="V31" s="248">
        <v>276924.44</v>
      </c>
      <c r="X31" s="243" t="str">
        <f t="shared" si="1"/>
        <v>Security - Factories</v>
      </c>
      <c r="Y31" s="243" t="s">
        <v>5793</v>
      </c>
    </row>
    <row r="32" spans="1:25" hidden="1" x14ac:dyDescent="0.25">
      <c r="A32" s="243" t="s">
        <v>1548</v>
      </c>
      <c r="C32" s="243">
        <v>68427709</v>
      </c>
      <c r="D32" s="244" t="s">
        <v>22</v>
      </c>
      <c r="E32" s="243" t="s">
        <v>100</v>
      </c>
      <c r="F32" s="243" t="s">
        <v>24</v>
      </c>
      <c r="G32" s="245" t="s">
        <v>2448</v>
      </c>
      <c r="H32" s="243" t="s">
        <v>3189</v>
      </c>
      <c r="I32" s="243">
        <v>187516</v>
      </c>
      <c r="J32" s="22" t="s">
        <v>799</v>
      </c>
      <c r="K32" s="22"/>
      <c r="L32" s="246">
        <v>5401023608</v>
      </c>
      <c r="M32" s="246">
        <v>10</v>
      </c>
      <c r="N32" s="22" t="s">
        <v>2410</v>
      </c>
      <c r="O32" s="22" t="s">
        <v>6109</v>
      </c>
      <c r="P32" s="22" t="s">
        <v>2410</v>
      </c>
      <c r="Q32" s="253" t="s">
        <v>3124</v>
      </c>
      <c r="R32" s="243" t="s">
        <v>3133</v>
      </c>
      <c r="S32" s="247">
        <v>350000</v>
      </c>
      <c r="T32" s="247">
        <v>176400</v>
      </c>
      <c r="U32" s="247">
        <f t="shared" si="0"/>
        <v>-173600</v>
      </c>
      <c r="V32" s="248">
        <v>162831.57</v>
      </c>
      <c r="X32" s="243" t="str">
        <f t="shared" si="1"/>
        <v>Third Party RDS Access</v>
      </c>
      <c r="Y32" s="243" t="s">
        <v>5792</v>
      </c>
    </row>
    <row r="33" spans="1:25" hidden="1" x14ac:dyDescent="0.25">
      <c r="A33" s="243" t="s">
        <v>1573</v>
      </c>
      <c r="C33" s="243">
        <v>68427709</v>
      </c>
      <c r="D33" s="244" t="s">
        <v>22</v>
      </c>
      <c r="E33" s="243" t="s">
        <v>100</v>
      </c>
      <c r="F33" s="243" t="s">
        <v>24</v>
      </c>
      <c r="G33" s="245" t="s">
        <v>2445</v>
      </c>
      <c r="H33" s="243" t="s">
        <v>3116</v>
      </c>
      <c r="J33" s="243" t="s">
        <v>1573</v>
      </c>
      <c r="L33" s="246">
        <v>5401023599</v>
      </c>
      <c r="M33" s="246">
        <v>10</v>
      </c>
      <c r="N33" s="22" t="s">
        <v>2410</v>
      </c>
      <c r="O33" s="22" t="s">
        <v>6109</v>
      </c>
      <c r="P33" s="22" t="s">
        <v>2410</v>
      </c>
      <c r="Q33" s="243" t="s">
        <v>3114</v>
      </c>
      <c r="R33" s="243" t="s">
        <v>3133</v>
      </c>
      <c r="S33" s="247">
        <v>150000</v>
      </c>
      <c r="T33" s="247">
        <v>150000</v>
      </c>
      <c r="U33" s="247">
        <f t="shared" ref="U33:U64" si="2">T33-S33</f>
        <v>0</v>
      </c>
      <c r="V33" s="248">
        <v>138462.22</v>
      </c>
      <c r="X33" s="243" t="str">
        <f t="shared" si="1"/>
        <v>Equinix</v>
      </c>
      <c r="Y33" s="243" t="s">
        <v>5794</v>
      </c>
    </row>
    <row r="34" spans="1:25" hidden="1" x14ac:dyDescent="0.25">
      <c r="A34" s="22" t="s">
        <v>2974</v>
      </c>
      <c r="C34" s="243">
        <v>68427709</v>
      </c>
      <c r="D34" s="244" t="s">
        <v>22</v>
      </c>
      <c r="E34" s="243" t="s">
        <v>100</v>
      </c>
      <c r="F34" s="243" t="s">
        <v>24</v>
      </c>
      <c r="G34" s="245" t="s">
        <v>3096</v>
      </c>
      <c r="H34" s="243" t="s">
        <v>3152</v>
      </c>
      <c r="J34" s="22" t="s">
        <v>3022</v>
      </c>
      <c r="K34" s="22"/>
      <c r="L34" s="249"/>
      <c r="M34" s="246"/>
      <c r="N34" s="92" t="s">
        <v>2410</v>
      </c>
      <c r="O34" s="92" t="s">
        <v>6109</v>
      </c>
      <c r="P34" s="22" t="s">
        <v>2870</v>
      </c>
      <c r="Q34" s="243" t="s">
        <v>3104</v>
      </c>
      <c r="R34" s="243" t="s">
        <v>3133</v>
      </c>
      <c r="S34" s="247"/>
      <c r="T34" s="247">
        <v>60000</v>
      </c>
      <c r="U34" s="247">
        <f t="shared" si="2"/>
        <v>60000</v>
      </c>
      <c r="V34" s="248">
        <v>55384.89</v>
      </c>
      <c r="X34" s="243" t="str">
        <f t="shared" si="1"/>
        <v>Line costs for SAP hosting in India</v>
      </c>
      <c r="Y34" s="243" t="s">
        <v>5794</v>
      </c>
    </row>
    <row r="35" spans="1:25" hidden="1" x14ac:dyDescent="0.25">
      <c r="A35" s="243" t="s">
        <v>2037</v>
      </c>
      <c r="B35" s="243" t="s">
        <v>3607</v>
      </c>
      <c r="C35" s="243">
        <v>68427709</v>
      </c>
      <c r="D35" s="244" t="s">
        <v>22</v>
      </c>
      <c r="E35" s="243" t="s">
        <v>100</v>
      </c>
      <c r="F35" s="243" t="s">
        <v>24</v>
      </c>
      <c r="G35" s="245" t="s">
        <v>2445</v>
      </c>
      <c r="H35" s="243" t="s">
        <v>3116</v>
      </c>
      <c r="I35" s="243">
        <v>196653</v>
      </c>
      <c r="J35" s="243" t="s">
        <v>102</v>
      </c>
      <c r="L35" s="243">
        <v>5401023597</v>
      </c>
      <c r="M35" s="246">
        <v>10</v>
      </c>
      <c r="N35" s="22" t="s">
        <v>2410</v>
      </c>
      <c r="O35" s="22" t="s">
        <v>6109</v>
      </c>
      <c r="P35" s="22" t="s">
        <v>2410</v>
      </c>
      <c r="Q35" s="243" t="s">
        <v>3114</v>
      </c>
      <c r="R35" s="243" t="s">
        <v>3133</v>
      </c>
      <c r="S35" s="247">
        <v>61200</v>
      </c>
      <c r="T35" s="247">
        <v>50000</v>
      </c>
      <c r="U35" s="247">
        <f t="shared" si="2"/>
        <v>-11200</v>
      </c>
      <c r="V35" s="248">
        <v>46154.07</v>
      </c>
      <c r="X35" s="243" t="str">
        <f t="shared" si="1"/>
        <v>Network SSR's &amp; NSSR's</v>
      </c>
      <c r="Y35" s="243" t="s">
        <v>5792</v>
      </c>
    </row>
    <row r="36" spans="1:25" hidden="1" x14ac:dyDescent="0.25">
      <c r="A36" s="243" t="s">
        <v>2067</v>
      </c>
      <c r="C36" s="243">
        <v>68427709</v>
      </c>
      <c r="D36" s="244" t="s">
        <v>22</v>
      </c>
      <c r="E36" s="243" t="s">
        <v>23</v>
      </c>
      <c r="F36" s="243" t="s">
        <v>24</v>
      </c>
      <c r="G36" s="245" t="s">
        <v>2445</v>
      </c>
      <c r="H36" s="243" t="s">
        <v>3116</v>
      </c>
      <c r="I36" s="243">
        <v>210591</v>
      </c>
      <c r="J36" s="243" t="s">
        <v>110</v>
      </c>
      <c r="L36" s="246">
        <v>5400990192</v>
      </c>
      <c r="M36" s="246">
        <v>10</v>
      </c>
      <c r="N36" s="22" t="s">
        <v>2410</v>
      </c>
      <c r="O36" s="22" t="s">
        <v>6109</v>
      </c>
      <c r="P36" s="22" t="s">
        <v>2410</v>
      </c>
      <c r="Q36" s="243" t="s">
        <v>3114</v>
      </c>
      <c r="R36" s="243" t="s">
        <v>3133</v>
      </c>
      <c r="S36" s="247">
        <v>35000</v>
      </c>
      <c r="T36" s="247">
        <v>40000</v>
      </c>
      <c r="U36" s="247">
        <f t="shared" si="2"/>
        <v>5000</v>
      </c>
      <c r="V36" s="248">
        <v>36923.26</v>
      </c>
      <c r="X36" s="243" t="str">
        <f t="shared" si="1"/>
        <v>Curvature</v>
      </c>
      <c r="Y36" s="243" t="s">
        <v>5793</v>
      </c>
    </row>
    <row r="37" spans="1:25" hidden="1" x14ac:dyDescent="0.25">
      <c r="A37" s="243" t="s">
        <v>2430</v>
      </c>
      <c r="B37" s="243" t="s">
        <v>3607</v>
      </c>
      <c r="C37" s="243">
        <v>68427709</v>
      </c>
      <c r="D37" s="244" t="s">
        <v>22</v>
      </c>
      <c r="E37" s="243" t="s">
        <v>100</v>
      </c>
      <c r="F37" s="243" t="s">
        <v>24</v>
      </c>
      <c r="G37" s="245" t="s">
        <v>2445</v>
      </c>
      <c r="H37" s="243" t="s">
        <v>3116</v>
      </c>
      <c r="I37" s="243">
        <v>196653</v>
      </c>
      <c r="J37" s="243" t="s">
        <v>102</v>
      </c>
      <c r="L37" s="243">
        <v>5401023597</v>
      </c>
      <c r="M37" s="246">
        <v>10</v>
      </c>
      <c r="N37" s="22" t="s">
        <v>2410</v>
      </c>
      <c r="O37" s="22" t="s">
        <v>6109</v>
      </c>
      <c r="P37" s="22" t="s">
        <v>2410</v>
      </c>
      <c r="Q37" s="243" t="s">
        <v>3114</v>
      </c>
      <c r="R37" s="243" t="s">
        <v>3133</v>
      </c>
      <c r="S37" s="247">
        <v>51000</v>
      </c>
      <c r="T37" s="247">
        <v>30000</v>
      </c>
      <c r="U37" s="247">
        <f t="shared" si="2"/>
        <v>-21000</v>
      </c>
      <c r="V37" s="248">
        <v>27692.44</v>
      </c>
      <c r="X37" s="243" t="str">
        <f t="shared" si="1"/>
        <v>Flex NSSR</v>
      </c>
      <c r="Y37" s="243" t="s">
        <v>5792</v>
      </c>
    </row>
    <row r="38" spans="1:25" hidden="1" x14ac:dyDescent="0.25">
      <c r="A38" s="243" t="s">
        <v>1416</v>
      </c>
      <c r="B38" s="243" t="s">
        <v>3607</v>
      </c>
      <c r="C38" s="243">
        <v>68427709</v>
      </c>
      <c r="D38" s="244" t="s">
        <v>22</v>
      </c>
      <c r="E38" s="243" t="s">
        <v>100</v>
      </c>
      <c r="F38" s="243" t="s">
        <v>24</v>
      </c>
      <c r="G38" s="245" t="s">
        <v>2445</v>
      </c>
      <c r="H38" s="243" t="s">
        <v>3116</v>
      </c>
      <c r="I38" s="22">
        <v>196653</v>
      </c>
      <c r="J38" s="243" t="s">
        <v>102</v>
      </c>
      <c r="L38" s="243">
        <v>5401023596</v>
      </c>
      <c r="M38" s="246">
        <v>10</v>
      </c>
      <c r="N38" s="243" t="s">
        <v>2410</v>
      </c>
      <c r="O38" s="243" t="s">
        <v>6109</v>
      </c>
      <c r="P38" s="243" t="s">
        <v>2410</v>
      </c>
      <c r="Q38" s="243" t="s">
        <v>3114</v>
      </c>
      <c r="R38" s="243" t="s">
        <v>3133</v>
      </c>
      <c r="S38" s="247">
        <v>46000</v>
      </c>
      <c r="T38" s="247">
        <v>25000</v>
      </c>
      <c r="U38" s="247">
        <f t="shared" si="2"/>
        <v>-21000</v>
      </c>
      <c r="V38" s="248">
        <v>23077.040000000001</v>
      </c>
      <c r="X38" s="243" t="str">
        <f t="shared" si="1"/>
        <v>Security SSR's &amp; NSSR's</v>
      </c>
      <c r="Y38" s="243" t="s">
        <v>5792</v>
      </c>
    </row>
    <row r="39" spans="1:25" hidden="1" x14ac:dyDescent="0.25">
      <c r="A39" s="243" t="s">
        <v>2443</v>
      </c>
      <c r="C39" s="243">
        <v>68427709</v>
      </c>
      <c r="D39" s="244" t="s">
        <v>22</v>
      </c>
      <c r="E39" s="243" t="s">
        <v>100</v>
      </c>
      <c r="F39" s="243" t="s">
        <v>24</v>
      </c>
      <c r="G39" s="245" t="s">
        <v>2445</v>
      </c>
      <c r="H39" s="243" t="s">
        <v>3116</v>
      </c>
      <c r="J39" s="243" t="s">
        <v>3546</v>
      </c>
      <c r="L39" s="243">
        <v>5401024581</v>
      </c>
      <c r="M39" s="246">
        <v>10</v>
      </c>
      <c r="N39" s="22" t="s">
        <v>2410</v>
      </c>
      <c r="O39" s="22" t="s">
        <v>6109</v>
      </c>
      <c r="P39" s="22" t="s">
        <v>2410</v>
      </c>
      <c r="Q39" s="243" t="s">
        <v>3114</v>
      </c>
      <c r="R39" s="243" t="s">
        <v>3133</v>
      </c>
      <c r="S39" s="247">
        <v>2500</v>
      </c>
      <c r="T39" s="247">
        <v>2500</v>
      </c>
      <c r="U39" s="247">
        <f t="shared" si="2"/>
        <v>0</v>
      </c>
      <c r="V39" s="248">
        <v>2307.6999999999998</v>
      </c>
      <c r="X39" s="243" t="str">
        <f t="shared" si="1"/>
        <v>Ripe NCC</v>
      </c>
      <c r="Y39" s="243" t="s">
        <v>5794</v>
      </c>
    </row>
    <row r="40" spans="1:25" hidden="1" x14ac:dyDescent="0.25">
      <c r="A40" s="243" t="s">
        <v>2434</v>
      </c>
      <c r="B40" s="243" t="s">
        <v>3607</v>
      </c>
      <c r="C40" s="243">
        <v>68427709</v>
      </c>
      <c r="D40" s="244" t="s">
        <v>28</v>
      </c>
      <c r="E40" s="243" t="s">
        <v>29</v>
      </c>
      <c r="F40" s="243" t="s">
        <v>30</v>
      </c>
      <c r="G40" s="245" t="s">
        <v>3308</v>
      </c>
      <c r="H40" s="243" t="s">
        <v>3672</v>
      </c>
      <c r="I40" s="243">
        <v>129450</v>
      </c>
      <c r="J40" s="243" t="s">
        <v>768</v>
      </c>
      <c r="L40" s="246">
        <v>5401024382</v>
      </c>
      <c r="M40" s="246">
        <v>10</v>
      </c>
      <c r="N40" s="22" t="s">
        <v>2410</v>
      </c>
      <c r="O40" s="22" t="s">
        <v>6109</v>
      </c>
      <c r="P40" s="22" t="s">
        <v>2410</v>
      </c>
      <c r="Q40" s="243" t="s">
        <v>3114</v>
      </c>
      <c r="R40" s="243" t="s">
        <v>3133</v>
      </c>
      <c r="S40" s="247">
        <v>200000</v>
      </c>
      <c r="T40" s="247">
        <v>200000</v>
      </c>
      <c r="U40" s="247">
        <f t="shared" si="2"/>
        <v>0</v>
      </c>
      <c r="V40" s="248">
        <v>184616.29</v>
      </c>
      <c r="X40" s="243" t="str">
        <f t="shared" si="1"/>
        <v>Teams direct routing</v>
      </c>
      <c r="Y40" s="243" t="s">
        <v>5794</v>
      </c>
    </row>
    <row r="41" spans="1:25" hidden="1" x14ac:dyDescent="0.25">
      <c r="A41" s="22" t="s">
        <v>2059</v>
      </c>
      <c r="C41" s="243">
        <v>68427709</v>
      </c>
      <c r="D41" s="244" t="s">
        <v>28</v>
      </c>
      <c r="E41" s="243" t="s">
        <v>29</v>
      </c>
      <c r="F41" s="22" t="s">
        <v>46</v>
      </c>
      <c r="G41" s="245" t="s">
        <v>3308</v>
      </c>
      <c r="H41" s="243" t="s">
        <v>3309</v>
      </c>
      <c r="I41" s="243">
        <v>187516</v>
      </c>
      <c r="J41" s="92" t="s">
        <v>799</v>
      </c>
      <c r="K41" s="92"/>
      <c r="L41" s="249"/>
      <c r="M41" s="246"/>
      <c r="N41" s="22" t="s">
        <v>2410</v>
      </c>
      <c r="O41" s="22" t="s">
        <v>6109</v>
      </c>
      <c r="P41" s="22" t="s">
        <v>2410</v>
      </c>
      <c r="Q41" s="243" t="s">
        <v>3114</v>
      </c>
      <c r="R41" s="243" t="s">
        <v>3133</v>
      </c>
      <c r="S41" s="247">
        <v>80000</v>
      </c>
      <c r="T41" s="247">
        <v>80000</v>
      </c>
      <c r="U41" s="247">
        <f t="shared" si="2"/>
        <v>0</v>
      </c>
      <c r="V41" s="248">
        <v>73846.52</v>
      </c>
      <c r="X41" s="243" t="str">
        <f t="shared" si="1"/>
        <v>Enterprise voice support</v>
      </c>
      <c r="Y41" s="243" t="s">
        <v>5794</v>
      </c>
    </row>
    <row r="42" spans="1:25" hidden="1" x14ac:dyDescent="0.25">
      <c r="A42" s="22" t="s">
        <v>2055</v>
      </c>
      <c r="C42" s="243">
        <v>68427709</v>
      </c>
      <c r="D42" s="244" t="s">
        <v>28</v>
      </c>
      <c r="E42" s="243" t="s">
        <v>29</v>
      </c>
      <c r="F42" s="22" t="s">
        <v>46</v>
      </c>
      <c r="G42" s="245" t="s">
        <v>3308</v>
      </c>
      <c r="H42" s="243" t="s">
        <v>3309</v>
      </c>
      <c r="I42" s="243">
        <v>187516</v>
      </c>
      <c r="J42" s="92" t="s">
        <v>799</v>
      </c>
      <c r="K42" s="92"/>
      <c r="L42" s="249"/>
      <c r="M42" s="246"/>
      <c r="N42" s="22" t="s">
        <v>2410</v>
      </c>
      <c r="O42" s="22" t="s">
        <v>6109</v>
      </c>
      <c r="P42" s="22" t="s">
        <v>2410</v>
      </c>
      <c r="Q42" s="243" t="s">
        <v>3114</v>
      </c>
      <c r="R42" s="243" t="s">
        <v>3133</v>
      </c>
      <c r="S42" s="247">
        <v>50000</v>
      </c>
      <c r="T42" s="247">
        <v>50000</v>
      </c>
      <c r="U42" s="247">
        <f t="shared" si="2"/>
        <v>0</v>
      </c>
      <c r="V42" s="248">
        <v>46154.07</v>
      </c>
      <c r="X42" s="243" t="str">
        <f t="shared" si="1"/>
        <v>Enterprise voice support - NSSRs or minor modifications</v>
      </c>
      <c r="Y42" s="243" t="s">
        <v>5794</v>
      </c>
    </row>
    <row r="43" spans="1:25" hidden="1" x14ac:dyDescent="0.25">
      <c r="A43" s="243" t="s">
        <v>3673</v>
      </c>
      <c r="B43" s="243" t="s">
        <v>3607</v>
      </c>
      <c r="C43" s="243">
        <v>68427709</v>
      </c>
      <c r="D43" s="244" t="s">
        <v>28</v>
      </c>
      <c r="E43" s="243" t="s">
        <v>29</v>
      </c>
      <c r="F43" s="243" t="s">
        <v>30</v>
      </c>
      <c r="G43" s="245" t="s">
        <v>3308</v>
      </c>
      <c r="H43" s="243" t="s">
        <v>3672</v>
      </c>
      <c r="I43" s="243">
        <v>129450</v>
      </c>
      <c r="J43" s="243" t="s">
        <v>768</v>
      </c>
      <c r="L43" s="243">
        <v>5401024382</v>
      </c>
      <c r="M43" s="246">
        <v>10</v>
      </c>
      <c r="N43" s="22" t="s">
        <v>2410</v>
      </c>
      <c r="O43" s="22" t="s">
        <v>6109</v>
      </c>
      <c r="P43" s="22" t="s">
        <v>2410</v>
      </c>
      <c r="Q43" s="243" t="s">
        <v>3114</v>
      </c>
      <c r="R43" s="243" t="s">
        <v>3133</v>
      </c>
      <c r="S43" s="247">
        <v>24960</v>
      </c>
      <c r="T43" s="247">
        <v>24960</v>
      </c>
      <c r="U43" s="247">
        <f t="shared" si="2"/>
        <v>0</v>
      </c>
      <c r="V43" s="248">
        <v>23040.11</v>
      </c>
      <c r="X43" s="243" t="str">
        <f t="shared" si="1"/>
        <v>Teams direct routing NSSRS</v>
      </c>
      <c r="Y43" s="243" t="s">
        <v>5794</v>
      </c>
    </row>
    <row r="44" spans="1:25" hidden="1" x14ac:dyDescent="0.25">
      <c r="A44" s="243" t="s">
        <v>2929</v>
      </c>
      <c r="B44" s="243" t="s">
        <v>3340</v>
      </c>
      <c r="C44" s="243">
        <v>68427709</v>
      </c>
      <c r="D44" s="244" t="s">
        <v>28</v>
      </c>
      <c r="E44" s="243" t="s">
        <v>29</v>
      </c>
      <c r="F44" s="243" t="s">
        <v>30</v>
      </c>
      <c r="G44" s="245" t="s">
        <v>3308</v>
      </c>
      <c r="H44" s="243" t="s">
        <v>2272</v>
      </c>
      <c r="I44" s="243">
        <v>192033</v>
      </c>
      <c r="J44" s="243" t="s">
        <v>3341</v>
      </c>
      <c r="L44" s="246">
        <v>5400985298</v>
      </c>
      <c r="M44" s="246">
        <v>10</v>
      </c>
      <c r="N44" s="22" t="s">
        <v>2410</v>
      </c>
      <c r="O44" s="22" t="s">
        <v>6109</v>
      </c>
      <c r="P44" s="22" t="s">
        <v>2410</v>
      </c>
      <c r="Q44" s="243" t="s">
        <v>3114</v>
      </c>
      <c r="R44" s="243" t="s">
        <v>3133</v>
      </c>
      <c r="S44" s="247">
        <v>30000</v>
      </c>
      <c r="T44" s="247">
        <v>0</v>
      </c>
      <c r="U44" s="247">
        <f t="shared" si="2"/>
        <v>-30000</v>
      </c>
      <c r="V44" s="248">
        <v>0</v>
      </c>
      <c r="X44" s="243" t="str">
        <f t="shared" si="1"/>
        <v>Genesys PureConnect SSRs &amp; NSSRs</v>
      </c>
      <c r="Y44" s="243" t="s">
        <v>1800</v>
      </c>
    </row>
    <row r="45" spans="1:25" hidden="1" x14ac:dyDescent="0.25">
      <c r="A45" s="243" t="s">
        <v>2931</v>
      </c>
      <c r="B45" s="243" t="s">
        <v>3340</v>
      </c>
      <c r="C45" s="243">
        <v>68427709</v>
      </c>
      <c r="D45" s="244" t="s">
        <v>28</v>
      </c>
      <c r="E45" s="243" t="s">
        <v>29</v>
      </c>
      <c r="F45" s="243" t="s">
        <v>30</v>
      </c>
      <c r="G45" s="245" t="s">
        <v>3308</v>
      </c>
      <c r="H45" s="243" t="s">
        <v>2272</v>
      </c>
      <c r="I45" s="243">
        <v>192033</v>
      </c>
      <c r="J45" s="243" t="s">
        <v>3341</v>
      </c>
      <c r="L45" s="246">
        <v>5400985298</v>
      </c>
      <c r="M45" s="246">
        <v>10</v>
      </c>
      <c r="N45" s="22" t="s">
        <v>2410</v>
      </c>
      <c r="O45" s="22" t="s">
        <v>6109</v>
      </c>
      <c r="P45" s="22" t="s">
        <v>2410</v>
      </c>
      <c r="Q45" s="243" t="s">
        <v>3114</v>
      </c>
      <c r="R45" s="243" t="s">
        <v>3133</v>
      </c>
      <c r="S45" s="247">
        <v>180000</v>
      </c>
      <c r="T45" s="247">
        <v>0</v>
      </c>
      <c r="U45" s="247">
        <f t="shared" si="2"/>
        <v>-180000</v>
      </c>
      <c r="V45" s="248">
        <v>0</v>
      </c>
      <c r="X45" s="243" t="str">
        <f t="shared" si="1"/>
        <v>Genesys PureConnect support</v>
      </c>
      <c r="Y45" s="243" t="s">
        <v>1800</v>
      </c>
    </row>
    <row r="46" spans="1:25" hidden="1" x14ac:dyDescent="0.25">
      <c r="A46" s="243" t="s">
        <v>2673</v>
      </c>
      <c r="B46" s="243" t="s">
        <v>3674</v>
      </c>
      <c r="C46" s="243">
        <v>68427709</v>
      </c>
      <c r="D46" s="244" t="s">
        <v>28</v>
      </c>
      <c r="E46" s="243" t="s">
        <v>29</v>
      </c>
      <c r="F46" s="243" t="s">
        <v>30</v>
      </c>
      <c r="G46" s="245" t="s">
        <v>3308</v>
      </c>
      <c r="H46" s="252" t="s">
        <v>3675</v>
      </c>
      <c r="I46" s="243">
        <v>168422</v>
      </c>
      <c r="J46" s="243" t="s">
        <v>114</v>
      </c>
      <c r="L46" s="246">
        <v>5400960037</v>
      </c>
      <c r="M46" s="246">
        <v>10</v>
      </c>
      <c r="N46" s="22" t="s">
        <v>2410</v>
      </c>
      <c r="O46" s="22" t="s">
        <v>6109</v>
      </c>
      <c r="P46" s="22" t="s">
        <v>2410</v>
      </c>
      <c r="Q46" s="243" t="s">
        <v>3114</v>
      </c>
      <c r="R46" s="243" t="s">
        <v>3133</v>
      </c>
      <c r="S46" s="247">
        <v>35000</v>
      </c>
      <c r="T46" s="247">
        <v>0</v>
      </c>
      <c r="U46" s="247">
        <f t="shared" si="2"/>
        <v>-35000</v>
      </c>
      <c r="V46" s="248">
        <v>0</v>
      </c>
      <c r="X46" s="243" t="str">
        <f t="shared" si="1"/>
        <v>TelcoView</v>
      </c>
      <c r="Y46" s="243" t="s">
        <v>1800</v>
      </c>
    </row>
    <row r="47" spans="1:25" hidden="1" x14ac:dyDescent="0.25">
      <c r="A47" s="92" t="s">
        <v>3180</v>
      </c>
      <c r="B47" s="243" t="s">
        <v>6115</v>
      </c>
      <c r="C47" s="243">
        <v>68427709</v>
      </c>
      <c r="D47" s="244" t="s">
        <v>31</v>
      </c>
      <c r="E47" s="243" t="s">
        <v>32</v>
      </c>
      <c r="F47" s="92" t="s">
        <v>33</v>
      </c>
      <c r="G47" s="245" t="s">
        <v>3096</v>
      </c>
      <c r="H47" s="243" t="s">
        <v>3152</v>
      </c>
      <c r="I47" s="92">
        <v>120252</v>
      </c>
      <c r="J47" s="92" t="s">
        <v>657</v>
      </c>
      <c r="K47" s="92"/>
      <c r="L47" s="243">
        <v>5401023590</v>
      </c>
      <c r="M47" s="93">
        <v>10</v>
      </c>
      <c r="N47" s="92" t="s">
        <v>2870</v>
      </c>
      <c r="O47" s="92" t="s">
        <v>6109</v>
      </c>
      <c r="P47" s="92" t="s">
        <v>2870</v>
      </c>
      <c r="Q47" s="92" t="s">
        <v>3104</v>
      </c>
      <c r="R47" s="92" t="s">
        <v>3098</v>
      </c>
      <c r="S47" s="247">
        <v>2100000</v>
      </c>
      <c r="T47" s="247">
        <v>1900000</v>
      </c>
      <c r="U47" s="247">
        <f t="shared" si="2"/>
        <v>-200000</v>
      </c>
      <c r="V47" s="248">
        <v>1753854.77</v>
      </c>
      <c r="X47" s="243" t="str">
        <f t="shared" si="1"/>
        <v>Atos SAP Operations, Storage &amp; Batch Management</v>
      </c>
      <c r="Y47" s="243" t="s">
        <v>5792</v>
      </c>
    </row>
    <row r="48" spans="1:25" hidden="1" x14ac:dyDescent="0.25">
      <c r="A48" s="92" t="s">
        <v>3067</v>
      </c>
      <c r="C48" s="243">
        <v>68427709</v>
      </c>
      <c r="D48" s="244" t="s">
        <v>31</v>
      </c>
      <c r="E48" s="243" t="s">
        <v>32</v>
      </c>
      <c r="F48" s="92" t="s">
        <v>33</v>
      </c>
      <c r="G48" s="245" t="s">
        <v>3096</v>
      </c>
      <c r="H48" s="243" t="s">
        <v>3152</v>
      </c>
      <c r="I48" s="92">
        <v>120252</v>
      </c>
      <c r="J48" s="92" t="s">
        <v>657</v>
      </c>
      <c r="K48" s="92"/>
      <c r="L48" s="246"/>
      <c r="M48" s="246"/>
      <c r="N48" s="22" t="s">
        <v>2870</v>
      </c>
      <c r="O48" s="22" t="s">
        <v>6109</v>
      </c>
      <c r="P48" s="22" t="s">
        <v>3015</v>
      </c>
      <c r="Q48" s="243" t="s">
        <v>3104</v>
      </c>
      <c r="R48" s="92" t="s">
        <v>3098</v>
      </c>
      <c r="S48" s="247">
        <v>100000</v>
      </c>
      <c r="T48" s="247">
        <v>100000</v>
      </c>
      <c r="U48" s="247">
        <f t="shared" si="2"/>
        <v>0</v>
      </c>
      <c r="V48" s="248">
        <v>92308.15</v>
      </c>
      <c r="X48" s="243" t="str">
        <f t="shared" si="1"/>
        <v>SPSS Upgrade landscape</v>
      </c>
      <c r="Y48" s="243" t="s">
        <v>5794</v>
      </c>
    </row>
    <row r="49" spans="1:25" hidden="1" x14ac:dyDescent="0.25">
      <c r="A49" s="92" t="s">
        <v>474</v>
      </c>
      <c r="B49" s="243" t="s">
        <v>6115</v>
      </c>
      <c r="C49" s="243">
        <v>68427709</v>
      </c>
      <c r="D49" s="244" t="s">
        <v>31</v>
      </c>
      <c r="E49" s="243" t="s">
        <v>32</v>
      </c>
      <c r="F49" s="92" t="s">
        <v>33</v>
      </c>
      <c r="G49" s="245" t="s">
        <v>3603</v>
      </c>
      <c r="H49" s="243" t="s">
        <v>3604</v>
      </c>
      <c r="I49" s="92">
        <v>120252</v>
      </c>
      <c r="J49" s="243" t="s">
        <v>657</v>
      </c>
      <c r="L49" s="243">
        <v>5401023592</v>
      </c>
      <c r="M49" s="32">
        <v>10</v>
      </c>
      <c r="N49" s="92" t="s">
        <v>2870</v>
      </c>
      <c r="O49" s="92" t="s">
        <v>6109</v>
      </c>
      <c r="P49" s="92" t="s">
        <v>2870</v>
      </c>
      <c r="Q49" s="92" t="s">
        <v>3104</v>
      </c>
      <c r="R49" s="92" t="s">
        <v>3098</v>
      </c>
      <c r="S49" s="247">
        <v>60000</v>
      </c>
      <c r="T49" s="247">
        <v>60000</v>
      </c>
      <c r="U49" s="247">
        <f t="shared" si="2"/>
        <v>0</v>
      </c>
      <c r="V49" s="248">
        <v>55384.89</v>
      </c>
      <c r="X49" s="243" t="str">
        <f t="shared" si="1"/>
        <v>SAP SSR &amp; NSSR</v>
      </c>
      <c r="Y49" s="243" t="s">
        <v>5794</v>
      </c>
    </row>
    <row r="50" spans="1:25" hidden="1" x14ac:dyDescent="0.25">
      <c r="A50" s="22" t="s">
        <v>3220</v>
      </c>
      <c r="C50" s="243">
        <v>68427709</v>
      </c>
      <c r="D50" s="244" t="s">
        <v>36</v>
      </c>
      <c r="E50" s="243" t="s">
        <v>37</v>
      </c>
      <c r="F50" s="92" t="s">
        <v>33</v>
      </c>
      <c r="G50" s="245" t="s">
        <v>3177</v>
      </c>
      <c r="H50" s="243" t="s">
        <v>3178</v>
      </c>
      <c r="I50" s="243">
        <v>187516</v>
      </c>
      <c r="J50" s="243" t="s">
        <v>119</v>
      </c>
      <c r="L50" s="243">
        <v>5401020905</v>
      </c>
      <c r="M50" s="246">
        <v>10</v>
      </c>
      <c r="N50" s="92" t="s">
        <v>2410</v>
      </c>
      <c r="O50" s="92" t="s">
        <v>6109</v>
      </c>
      <c r="P50" s="22" t="s">
        <v>2410</v>
      </c>
      <c r="Q50" s="243" t="s">
        <v>3114</v>
      </c>
      <c r="R50" s="243" t="s">
        <v>3133</v>
      </c>
      <c r="S50" s="247">
        <v>125000</v>
      </c>
      <c r="T50" s="247">
        <v>125000</v>
      </c>
      <c r="U50" s="247">
        <f t="shared" si="2"/>
        <v>0</v>
      </c>
      <c r="V50" s="248">
        <v>115385.18</v>
      </c>
      <c r="X50" s="243" t="str">
        <f t="shared" si="1"/>
        <v>CCoE platfrom support (Azure WAF Landing Zone support)</v>
      </c>
      <c r="Y50" s="243" t="s">
        <v>5794</v>
      </c>
    </row>
    <row r="51" spans="1:25" hidden="1" x14ac:dyDescent="0.25">
      <c r="A51" s="22" t="s">
        <v>2680</v>
      </c>
      <c r="C51" s="243">
        <v>68427709</v>
      </c>
      <c r="D51" s="244" t="s">
        <v>36</v>
      </c>
      <c r="E51" s="243" t="s">
        <v>37</v>
      </c>
      <c r="F51" s="92" t="s">
        <v>33</v>
      </c>
      <c r="G51" s="245" t="s">
        <v>3177</v>
      </c>
      <c r="H51" s="243" t="s">
        <v>3178</v>
      </c>
      <c r="I51" s="243">
        <v>187516</v>
      </c>
      <c r="J51" s="243" t="s">
        <v>799</v>
      </c>
      <c r="L51" s="249"/>
      <c r="M51" s="246"/>
      <c r="N51" s="92" t="s">
        <v>2410</v>
      </c>
      <c r="O51" s="92" t="s">
        <v>6109</v>
      </c>
      <c r="P51" s="22" t="s">
        <v>2410</v>
      </c>
      <c r="Q51" s="243" t="s">
        <v>3114</v>
      </c>
      <c r="R51" s="243" t="s">
        <v>3133</v>
      </c>
      <c r="S51" s="247">
        <v>125000</v>
      </c>
      <c r="T51" s="247">
        <v>125000</v>
      </c>
      <c r="U51" s="247">
        <f t="shared" si="2"/>
        <v>0</v>
      </c>
      <c r="V51" s="248">
        <v>115385.18</v>
      </c>
      <c r="X51" s="243" t="str">
        <f t="shared" si="1"/>
        <v>Azure connectivity hub</v>
      </c>
      <c r="Y51" s="243" t="s">
        <v>5794</v>
      </c>
    </row>
    <row r="52" spans="1:25" hidden="1" x14ac:dyDescent="0.25">
      <c r="A52" s="243" t="s">
        <v>2273</v>
      </c>
      <c r="B52" s="243" t="s">
        <v>6115</v>
      </c>
      <c r="C52" s="243">
        <v>68427709</v>
      </c>
      <c r="D52" s="244" t="s">
        <v>36</v>
      </c>
      <c r="E52" s="243" t="s">
        <v>37</v>
      </c>
      <c r="F52" s="243" t="s">
        <v>33</v>
      </c>
      <c r="G52" s="245"/>
      <c r="H52" s="243" t="s">
        <v>2272</v>
      </c>
      <c r="I52" s="243">
        <v>120252</v>
      </c>
      <c r="J52" s="243" t="s">
        <v>657</v>
      </c>
      <c r="L52" s="246">
        <v>5401023588</v>
      </c>
      <c r="M52" s="246">
        <v>10</v>
      </c>
      <c r="N52" s="22" t="s">
        <v>2870</v>
      </c>
      <c r="O52" s="22" t="s">
        <v>6109</v>
      </c>
      <c r="P52" s="22" t="s">
        <v>2870</v>
      </c>
      <c r="Q52" s="243" t="s">
        <v>3114</v>
      </c>
      <c r="R52" s="243" t="s">
        <v>3133</v>
      </c>
      <c r="S52" s="247">
        <v>103300</v>
      </c>
      <c r="T52" s="247">
        <v>103300</v>
      </c>
      <c r="U52" s="247">
        <f t="shared" si="2"/>
        <v>0</v>
      </c>
      <c r="V52" s="248">
        <v>95354.31</v>
      </c>
      <c r="X52" s="243" t="str">
        <f t="shared" si="1"/>
        <v>Infra Cost Genesys PureConnect</v>
      </c>
      <c r="Y52" s="243" t="s">
        <v>5794</v>
      </c>
    </row>
    <row r="53" spans="1:25" hidden="1" x14ac:dyDescent="0.25">
      <c r="A53" s="243" t="s">
        <v>2216</v>
      </c>
      <c r="B53" s="243" t="s">
        <v>6115</v>
      </c>
      <c r="C53" s="243">
        <v>68427709</v>
      </c>
      <c r="D53" s="244" t="s">
        <v>36</v>
      </c>
      <c r="E53" s="243" t="s">
        <v>37</v>
      </c>
      <c r="F53" s="243" t="s">
        <v>33</v>
      </c>
      <c r="G53" s="245"/>
      <c r="H53" s="243" t="s">
        <v>2215</v>
      </c>
      <c r="I53" s="243">
        <v>120252</v>
      </c>
      <c r="J53" s="243" t="s">
        <v>657</v>
      </c>
      <c r="L53" s="246">
        <v>5401023588</v>
      </c>
      <c r="M53" s="246">
        <v>10</v>
      </c>
      <c r="N53" s="22" t="s">
        <v>2870</v>
      </c>
      <c r="O53" s="22" t="s">
        <v>6109</v>
      </c>
      <c r="P53" s="22" t="s">
        <v>2870</v>
      </c>
      <c r="Q53" s="253" t="s">
        <v>3124</v>
      </c>
      <c r="R53" s="243" t="s">
        <v>3133</v>
      </c>
      <c r="S53" s="247">
        <v>62000</v>
      </c>
      <c r="T53" s="247">
        <v>62000</v>
      </c>
      <c r="U53" s="247">
        <f t="shared" si="2"/>
        <v>0</v>
      </c>
      <c r="V53" s="248">
        <v>57231.05</v>
      </c>
      <c r="X53" s="243" t="str">
        <f t="shared" si="1"/>
        <v>Infra Cost RFGEN Global Instance 1</v>
      </c>
      <c r="Y53" s="243" t="s">
        <v>5794</v>
      </c>
    </row>
    <row r="54" spans="1:25" hidden="1" x14ac:dyDescent="0.25">
      <c r="A54" s="243" t="s">
        <v>3395</v>
      </c>
      <c r="B54" s="243" t="s">
        <v>3307</v>
      </c>
      <c r="C54" s="243">
        <v>68427709</v>
      </c>
      <c r="D54" s="244" t="s">
        <v>36</v>
      </c>
      <c r="E54" s="243" t="s">
        <v>37</v>
      </c>
      <c r="F54" s="243" t="s">
        <v>33</v>
      </c>
      <c r="G54" s="245" t="s">
        <v>3177</v>
      </c>
      <c r="H54" s="243" t="s">
        <v>3178</v>
      </c>
      <c r="I54" s="243">
        <v>187516</v>
      </c>
      <c r="J54" s="243" t="s">
        <v>799</v>
      </c>
      <c r="L54" s="246"/>
      <c r="M54" s="246"/>
      <c r="N54" s="22" t="s">
        <v>2410</v>
      </c>
      <c r="O54" s="22" t="s">
        <v>6109</v>
      </c>
      <c r="P54" s="22" t="s">
        <v>2410</v>
      </c>
      <c r="Q54" s="243" t="s">
        <v>3114</v>
      </c>
      <c r="R54" s="243" t="s">
        <v>3133</v>
      </c>
      <c r="S54" s="247">
        <v>100000</v>
      </c>
      <c r="T54" s="247">
        <v>52500</v>
      </c>
      <c r="U54" s="247">
        <f t="shared" si="2"/>
        <v>-47500</v>
      </c>
      <c r="V54" s="248">
        <v>48461.78</v>
      </c>
      <c r="X54" s="243" t="str">
        <f t="shared" si="1"/>
        <v>Infrastructureservices: Servers</v>
      </c>
      <c r="Y54" s="243" t="s">
        <v>5792</v>
      </c>
    </row>
    <row r="55" spans="1:25" hidden="1" x14ac:dyDescent="0.25">
      <c r="A55" s="243" t="s">
        <v>3394</v>
      </c>
      <c r="B55" s="243" t="s">
        <v>3307</v>
      </c>
      <c r="C55" s="243">
        <v>68427709</v>
      </c>
      <c r="D55" s="244" t="s">
        <v>36</v>
      </c>
      <c r="E55" s="243" t="s">
        <v>37</v>
      </c>
      <c r="F55" s="243" t="s">
        <v>33</v>
      </c>
      <c r="G55" s="245" t="s">
        <v>3177</v>
      </c>
      <c r="H55" s="243" t="s">
        <v>3178</v>
      </c>
      <c r="I55" s="243">
        <v>187516</v>
      </c>
      <c r="J55" s="243" t="s">
        <v>799</v>
      </c>
      <c r="L55" s="246"/>
      <c r="M55" s="246"/>
      <c r="N55" s="22" t="s">
        <v>2410</v>
      </c>
      <c r="O55" s="22" t="s">
        <v>6109</v>
      </c>
      <c r="P55" s="22" t="s">
        <v>2410</v>
      </c>
      <c r="Q55" s="243" t="s">
        <v>3114</v>
      </c>
      <c r="R55" s="243" t="s">
        <v>3133</v>
      </c>
      <c r="S55" s="247">
        <v>50000</v>
      </c>
      <c r="T55" s="247">
        <v>50000</v>
      </c>
      <c r="U55" s="247">
        <f t="shared" si="2"/>
        <v>0</v>
      </c>
      <c r="V55" s="248">
        <v>46154.07</v>
      </c>
      <c r="X55" s="243" t="str">
        <f t="shared" si="1"/>
        <v>Infrastructure services: Servers &amp; Storage</v>
      </c>
      <c r="Y55" s="243" t="s">
        <v>5794</v>
      </c>
    </row>
    <row r="56" spans="1:25" hidden="1" x14ac:dyDescent="0.25">
      <c r="A56" s="243" t="s">
        <v>2202</v>
      </c>
      <c r="B56" s="243" t="s">
        <v>6115</v>
      </c>
      <c r="C56" s="243">
        <v>68427709</v>
      </c>
      <c r="D56" s="244" t="s">
        <v>36</v>
      </c>
      <c r="E56" s="243" t="s">
        <v>37</v>
      </c>
      <c r="F56" s="243" t="s">
        <v>33</v>
      </c>
      <c r="G56" s="245"/>
      <c r="H56" s="243" t="s">
        <v>2201</v>
      </c>
      <c r="I56" s="243">
        <v>120252</v>
      </c>
      <c r="J56" s="243" t="s">
        <v>657</v>
      </c>
      <c r="L56" s="246">
        <v>5401023588</v>
      </c>
      <c r="M56" s="246">
        <v>10</v>
      </c>
      <c r="N56" s="22" t="s">
        <v>2870</v>
      </c>
      <c r="O56" s="22" t="s">
        <v>6109</v>
      </c>
      <c r="P56" s="22" t="s">
        <v>2870</v>
      </c>
      <c r="Q56" s="243" t="s">
        <v>3114</v>
      </c>
      <c r="R56" s="243" t="s">
        <v>3133</v>
      </c>
      <c r="S56" s="247">
        <v>41400</v>
      </c>
      <c r="T56" s="247">
        <v>41400</v>
      </c>
      <c r="U56" s="247">
        <f t="shared" si="2"/>
        <v>0</v>
      </c>
      <c r="V56" s="248">
        <v>38215.57</v>
      </c>
      <c r="X56" s="243" t="str">
        <f t="shared" si="1"/>
        <v>Infra Cost BCC</v>
      </c>
      <c r="Y56" s="243" t="s">
        <v>5794</v>
      </c>
    </row>
    <row r="57" spans="1:25" hidden="1" x14ac:dyDescent="0.25">
      <c r="A57" s="243" t="s">
        <v>2204</v>
      </c>
      <c r="B57" s="243" t="s">
        <v>6115</v>
      </c>
      <c r="C57" s="243">
        <v>68427709</v>
      </c>
      <c r="D57" s="244" t="s">
        <v>36</v>
      </c>
      <c r="E57" s="243" t="s">
        <v>37</v>
      </c>
      <c r="F57" s="243" t="s">
        <v>33</v>
      </c>
      <c r="G57" s="245"/>
      <c r="H57" s="243" t="s">
        <v>2203</v>
      </c>
      <c r="I57" s="243">
        <v>120252</v>
      </c>
      <c r="J57" s="243" t="s">
        <v>657</v>
      </c>
      <c r="L57" s="246">
        <v>5401023588</v>
      </c>
      <c r="M57" s="246">
        <v>10</v>
      </c>
      <c r="N57" s="22" t="s">
        <v>2870</v>
      </c>
      <c r="O57" s="22" t="s">
        <v>6109</v>
      </c>
      <c r="P57" s="22" t="s">
        <v>2870</v>
      </c>
      <c r="Q57" s="243" t="s">
        <v>3114</v>
      </c>
      <c r="R57" s="243" t="s">
        <v>3133</v>
      </c>
      <c r="S57" s="247">
        <v>41400</v>
      </c>
      <c r="T57" s="247">
        <v>41400</v>
      </c>
      <c r="U57" s="247">
        <f t="shared" si="2"/>
        <v>0</v>
      </c>
      <c r="V57" s="248">
        <v>38215.57</v>
      </c>
      <c r="X57" s="243" t="str">
        <f t="shared" si="1"/>
        <v>Infra Cost Accolade (R&amp;D)</v>
      </c>
      <c r="Y57" s="243" t="s">
        <v>5794</v>
      </c>
    </row>
    <row r="58" spans="1:25" hidden="1" x14ac:dyDescent="0.25">
      <c r="A58" s="243" t="s">
        <v>2265</v>
      </c>
      <c r="B58" s="243" t="s">
        <v>6115</v>
      </c>
      <c r="C58" s="243">
        <v>68427709</v>
      </c>
      <c r="D58" s="244" t="s">
        <v>36</v>
      </c>
      <c r="E58" s="243" t="s">
        <v>37</v>
      </c>
      <c r="F58" s="243" t="s">
        <v>33</v>
      </c>
      <c r="G58" s="245"/>
      <c r="H58" s="243" t="s">
        <v>2264</v>
      </c>
      <c r="I58" s="243">
        <v>120252</v>
      </c>
      <c r="J58" s="243" t="s">
        <v>657</v>
      </c>
      <c r="L58" s="246">
        <v>5401023588</v>
      </c>
      <c r="M58" s="246">
        <v>10</v>
      </c>
      <c r="N58" s="22" t="s">
        <v>2870</v>
      </c>
      <c r="O58" s="22" t="s">
        <v>6109</v>
      </c>
      <c r="P58" s="22" t="s">
        <v>2870</v>
      </c>
      <c r="Q58" s="218" t="s">
        <v>3170</v>
      </c>
      <c r="R58" s="243" t="s">
        <v>3133</v>
      </c>
      <c r="S58" s="247">
        <v>41400</v>
      </c>
      <c r="T58" s="247">
        <v>41400</v>
      </c>
      <c r="U58" s="247">
        <f t="shared" si="2"/>
        <v>0</v>
      </c>
      <c r="V58" s="248">
        <v>38215.57</v>
      </c>
      <c r="X58" s="243" t="str">
        <f t="shared" si="1"/>
        <v>Infra Cost i21(iRely)</v>
      </c>
      <c r="Y58" s="243" t="s">
        <v>5794</v>
      </c>
    </row>
    <row r="59" spans="1:25" hidden="1" x14ac:dyDescent="0.25">
      <c r="A59" s="243" t="s">
        <v>2271</v>
      </c>
      <c r="B59" s="243" t="s">
        <v>6115</v>
      </c>
      <c r="C59" s="243">
        <v>68427709</v>
      </c>
      <c r="D59" s="244" t="s">
        <v>36</v>
      </c>
      <c r="E59" s="243" t="s">
        <v>37</v>
      </c>
      <c r="F59" s="243" t="s">
        <v>33</v>
      </c>
      <c r="G59" s="245"/>
      <c r="H59" s="243" t="s">
        <v>2270</v>
      </c>
      <c r="I59" s="243">
        <v>120252</v>
      </c>
      <c r="J59" s="243" t="s">
        <v>657</v>
      </c>
      <c r="L59" s="246">
        <v>5401023588</v>
      </c>
      <c r="M59" s="246">
        <v>10</v>
      </c>
      <c r="N59" s="22" t="s">
        <v>2870</v>
      </c>
      <c r="O59" s="22" t="s">
        <v>6109</v>
      </c>
      <c r="P59" s="22" t="s">
        <v>2870</v>
      </c>
      <c r="Q59" s="243" t="s">
        <v>3114</v>
      </c>
      <c r="R59" s="243" t="s">
        <v>3133</v>
      </c>
      <c r="S59" s="247">
        <v>41400</v>
      </c>
      <c r="T59" s="247">
        <v>41400</v>
      </c>
      <c r="U59" s="247">
        <f t="shared" si="2"/>
        <v>0</v>
      </c>
      <c r="V59" s="248">
        <v>38215.57</v>
      </c>
      <c r="X59" s="243" t="str">
        <f t="shared" si="1"/>
        <v>Infra Cost SNOW Software Asset Management</v>
      </c>
      <c r="Y59" s="243" t="s">
        <v>5794</v>
      </c>
    </row>
    <row r="60" spans="1:25" hidden="1" x14ac:dyDescent="0.25">
      <c r="A60" s="243" t="s">
        <v>2275</v>
      </c>
      <c r="B60" s="243" t="s">
        <v>6115</v>
      </c>
      <c r="C60" s="243">
        <v>68427709</v>
      </c>
      <c r="D60" s="244" t="s">
        <v>36</v>
      </c>
      <c r="E60" s="243" t="s">
        <v>37</v>
      </c>
      <c r="F60" s="243" t="s">
        <v>33</v>
      </c>
      <c r="G60" s="245"/>
      <c r="H60" s="243" t="s">
        <v>2274</v>
      </c>
      <c r="I60" s="243">
        <v>120252</v>
      </c>
      <c r="J60" s="243" t="s">
        <v>657</v>
      </c>
      <c r="L60" s="246">
        <v>5401023588</v>
      </c>
      <c r="M60" s="246">
        <v>10</v>
      </c>
      <c r="N60" s="22" t="s">
        <v>2870</v>
      </c>
      <c r="O60" s="22" t="s">
        <v>6109</v>
      </c>
      <c r="P60" s="22" t="s">
        <v>2870</v>
      </c>
      <c r="Q60" s="253" t="s">
        <v>3097</v>
      </c>
      <c r="R60" s="243" t="s">
        <v>3133</v>
      </c>
      <c r="S60" s="247">
        <v>41400</v>
      </c>
      <c r="T60" s="247">
        <v>41400</v>
      </c>
      <c r="U60" s="247">
        <f t="shared" si="2"/>
        <v>0</v>
      </c>
      <c r="V60" s="248">
        <v>38215.57</v>
      </c>
      <c r="X60" s="243" t="str">
        <f t="shared" si="1"/>
        <v>Infra Cost XTEL</v>
      </c>
      <c r="Y60" s="243" t="s">
        <v>5794</v>
      </c>
    </row>
    <row r="61" spans="1:25" hidden="1" x14ac:dyDescent="0.25">
      <c r="A61" s="243" t="s">
        <v>2655</v>
      </c>
      <c r="B61" s="243" t="s">
        <v>6115</v>
      </c>
      <c r="C61" s="243">
        <v>68427709</v>
      </c>
      <c r="D61" s="244" t="s">
        <v>36</v>
      </c>
      <c r="E61" s="243" t="s">
        <v>37</v>
      </c>
      <c r="F61" s="243" t="s">
        <v>33</v>
      </c>
      <c r="G61" s="245" t="s">
        <v>3177</v>
      </c>
      <c r="H61" s="243" t="s">
        <v>3178</v>
      </c>
      <c r="I61" s="243">
        <v>120252</v>
      </c>
      <c r="J61" s="243" t="s">
        <v>657</v>
      </c>
      <c r="L61" s="243">
        <v>5401023591</v>
      </c>
      <c r="M61" s="246">
        <v>10</v>
      </c>
      <c r="N61" s="22" t="s">
        <v>2410</v>
      </c>
      <c r="O61" s="22" t="s">
        <v>6109</v>
      </c>
      <c r="P61" s="22" t="s">
        <v>2410</v>
      </c>
      <c r="Q61" s="243" t="s">
        <v>3114</v>
      </c>
      <c r="R61" s="243" t="s">
        <v>3133</v>
      </c>
      <c r="S61" s="247">
        <v>61500</v>
      </c>
      <c r="T61" s="247">
        <v>40000</v>
      </c>
      <c r="U61" s="247">
        <f t="shared" si="2"/>
        <v>-21500</v>
      </c>
      <c r="V61" s="248">
        <v>36923.26</v>
      </c>
      <c r="X61" s="243" t="str">
        <f t="shared" si="1"/>
        <v>Non-SAP Operations SSR's &amp; NSSR's</v>
      </c>
      <c r="Y61" s="243" t="s">
        <v>5792</v>
      </c>
    </row>
    <row r="62" spans="1:25" hidden="1" x14ac:dyDescent="0.25">
      <c r="A62" s="243" t="s">
        <v>2261</v>
      </c>
      <c r="B62" s="243" t="s">
        <v>6115</v>
      </c>
      <c r="C62" s="243">
        <v>68427709</v>
      </c>
      <c r="D62" s="244" t="s">
        <v>36</v>
      </c>
      <c r="E62" s="243" t="s">
        <v>37</v>
      </c>
      <c r="F62" s="243" t="s">
        <v>33</v>
      </c>
      <c r="G62" s="245"/>
      <c r="H62" s="243" t="s">
        <v>2260</v>
      </c>
      <c r="I62" s="243">
        <v>120252</v>
      </c>
      <c r="J62" s="243" t="s">
        <v>657</v>
      </c>
      <c r="L62" s="246">
        <v>5401023588</v>
      </c>
      <c r="M62" s="246">
        <v>10</v>
      </c>
      <c r="N62" s="22" t="s">
        <v>2870</v>
      </c>
      <c r="O62" s="22" t="s">
        <v>6109</v>
      </c>
      <c r="P62" s="22" t="s">
        <v>2870</v>
      </c>
      <c r="Q62" s="243" t="s">
        <v>3114</v>
      </c>
      <c r="R62" s="243" t="s">
        <v>3133</v>
      </c>
      <c r="S62" s="247">
        <v>31000</v>
      </c>
      <c r="T62" s="247">
        <v>31000</v>
      </c>
      <c r="U62" s="247">
        <f t="shared" si="2"/>
        <v>0</v>
      </c>
      <c r="V62" s="248">
        <v>28615.53</v>
      </c>
      <c r="X62" s="243" t="str">
        <f t="shared" si="1"/>
        <v>Infra Cost RFGEN/ NiceLabel Coffee Utrecht</v>
      </c>
      <c r="Y62" s="243" t="s">
        <v>5794</v>
      </c>
    </row>
    <row r="63" spans="1:25" hidden="1" x14ac:dyDescent="0.25">
      <c r="A63" s="243" t="s">
        <v>2281</v>
      </c>
      <c r="B63" s="243" t="s">
        <v>6115</v>
      </c>
      <c r="C63" s="243">
        <v>68427709</v>
      </c>
      <c r="D63" s="244" t="s">
        <v>36</v>
      </c>
      <c r="E63" s="243" t="s">
        <v>37</v>
      </c>
      <c r="F63" s="243" t="s">
        <v>33</v>
      </c>
      <c r="G63" s="245"/>
      <c r="H63" s="243" t="s">
        <v>2280</v>
      </c>
      <c r="I63" s="243">
        <v>120252</v>
      </c>
      <c r="J63" s="243" t="s">
        <v>657</v>
      </c>
      <c r="L63" s="246">
        <v>5401023588</v>
      </c>
      <c r="M63" s="246">
        <v>10</v>
      </c>
      <c r="N63" s="22" t="s">
        <v>2870</v>
      </c>
      <c r="O63" s="22" t="s">
        <v>6109</v>
      </c>
      <c r="P63" s="22" t="s">
        <v>2870</v>
      </c>
      <c r="Q63" s="253" t="s">
        <v>3124</v>
      </c>
      <c r="R63" s="243" t="s">
        <v>3133</v>
      </c>
      <c r="S63" s="247">
        <v>31000</v>
      </c>
      <c r="T63" s="247">
        <v>31000</v>
      </c>
      <c r="U63" s="247">
        <f t="shared" si="2"/>
        <v>0</v>
      </c>
      <c r="V63" s="248">
        <v>28615.53</v>
      </c>
      <c r="X63" s="243" t="str">
        <f t="shared" si="1"/>
        <v>Infra Cost Point.X Global Instance</v>
      </c>
      <c r="Y63" s="243" t="s">
        <v>5794</v>
      </c>
    </row>
    <row r="64" spans="1:25" hidden="1" x14ac:dyDescent="0.25">
      <c r="A64" s="243" t="s">
        <v>2283</v>
      </c>
      <c r="B64" s="243" t="s">
        <v>6115</v>
      </c>
      <c r="C64" s="243">
        <v>68427709</v>
      </c>
      <c r="D64" s="244" t="s">
        <v>36</v>
      </c>
      <c r="E64" s="243" t="s">
        <v>37</v>
      </c>
      <c r="F64" s="243" t="s">
        <v>33</v>
      </c>
      <c r="G64" s="245"/>
      <c r="H64" s="243" t="s">
        <v>2282</v>
      </c>
      <c r="I64" s="243">
        <v>120252</v>
      </c>
      <c r="J64" s="243" t="s">
        <v>657</v>
      </c>
      <c r="L64" s="246">
        <v>5401023588</v>
      </c>
      <c r="M64" s="246">
        <v>10</v>
      </c>
      <c r="N64" s="22" t="s">
        <v>2870</v>
      </c>
      <c r="O64" s="22" t="s">
        <v>6109</v>
      </c>
      <c r="P64" s="22" t="s">
        <v>2870</v>
      </c>
      <c r="Q64" s="243" t="s">
        <v>3114</v>
      </c>
      <c r="R64" s="243" t="s">
        <v>3133</v>
      </c>
      <c r="S64" s="247">
        <v>31000</v>
      </c>
      <c r="T64" s="247">
        <v>31000</v>
      </c>
      <c r="U64" s="247">
        <f t="shared" si="2"/>
        <v>0</v>
      </c>
      <c r="V64" s="248">
        <v>28615.53</v>
      </c>
      <c r="X64" s="243" t="str">
        <f t="shared" si="1"/>
        <v>Infra Cost AGVR AGV Joure</v>
      </c>
      <c r="Y64" s="243" t="s">
        <v>5794</v>
      </c>
    </row>
    <row r="65" spans="1:25" hidden="1" x14ac:dyDescent="0.25">
      <c r="A65" s="243" t="s">
        <v>2438</v>
      </c>
      <c r="B65" s="243" t="s">
        <v>3307</v>
      </c>
      <c r="C65" s="243">
        <v>68427709</v>
      </c>
      <c r="D65" s="244" t="s">
        <v>36</v>
      </c>
      <c r="E65" s="243" t="s">
        <v>37</v>
      </c>
      <c r="F65" s="243" t="s">
        <v>33</v>
      </c>
      <c r="G65" s="245" t="s">
        <v>2445</v>
      </c>
      <c r="H65" s="243" t="s">
        <v>3116</v>
      </c>
      <c r="I65" s="243">
        <v>187516</v>
      </c>
      <c r="J65" s="243" t="s">
        <v>799</v>
      </c>
      <c r="L65" s="246"/>
      <c r="M65" s="246"/>
      <c r="N65" s="22" t="s">
        <v>2410</v>
      </c>
      <c r="O65" s="22" t="s">
        <v>6109</v>
      </c>
      <c r="P65" s="22" t="s">
        <v>2410</v>
      </c>
      <c r="Q65" s="243" t="s">
        <v>3114</v>
      </c>
      <c r="R65" s="243" t="s">
        <v>3133</v>
      </c>
      <c r="S65" s="247">
        <v>50000</v>
      </c>
      <c r="T65" s="247">
        <v>25000</v>
      </c>
      <c r="U65" s="247">
        <f t="shared" ref="U65:U96" si="3">T65-S65</f>
        <v>-25000</v>
      </c>
      <c r="V65" s="248">
        <v>23077.040000000001</v>
      </c>
      <c r="X65" s="243" t="str">
        <f t="shared" ref="X65:X128" si="4">A65</f>
        <v>T&amp;M hours, based on RFCs (Infra)</v>
      </c>
      <c r="Y65" s="243" t="s">
        <v>5792</v>
      </c>
    </row>
    <row r="66" spans="1:25" hidden="1" x14ac:dyDescent="0.25">
      <c r="A66" s="243" t="s">
        <v>2932</v>
      </c>
      <c r="B66" s="243" t="s">
        <v>3474</v>
      </c>
      <c r="C66" s="243">
        <v>68427709</v>
      </c>
      <c r="D66" s="244" t="s">
        <v>36</v>
      </c>
      <c r="E66" s="243" t="s">
        <v>37</v>
      </c>
      <c r="F66" s="243" t="s">
        <v>33</v>
      </c>
      <c r="G66" s="245" t="s">
        <v>2445</v>
      </c>
      <c r="H66" s="243" t="s">
        <v>3116</v>
      </c>
      <c r="J66" s="243" t="s">
        <v>2049</v>
      </c>
      <c r="L66" s="246"/>
      <c r="M66" s="246"/>
      <c r="N66" s="22" t="s">
        <v>2410</v>
      </c>
      <c r="O66" s="22" t="s">
        <v>6109</v>
      </c>
      <c r="P66" s="22" t="s">
        <v>2410</v>
      </c>
      <c r="Q66" s="243" t="s">
        <v>3114</v>
      </c>
      <c r="R66" s="243" t="s">
        <v>3133</v>
      </c>
      <c r="S66" s="247">
        <v>48544</v>
      </c>
      <c r="T66" s="247">
        <v>25000</v>
      </c>
      <c r="U66" s="247">
        <f t="shared" si="3"/>
        <v>-23544</v>
      </c>
      <c r="V66" s="248">
        <v>23077.040000000001</v>
      </c>
      <c r="X66" s="243" t="str">
        <f t="shared" si="4"/>
        <v>Non-Standard Services (StoreOnce )</v>
      </c>
      <c r="Y66" s="243" t="s">
        <v>5792</v>
      </c>
    </row>
    <row r="67" spans="1:25" hidden="1" x14ac:dyDescent="0.25">
      <c r="A67" s="243" t="s">
        <v>2212</v>
      </c>
      <c r="B67" s="243" t="s">
        <v>6115</v>
      </c>
      <c r="C67" s="243">
        <v>68427709</v>
      </c>
      <c r="D67" s="244" t="s">
        <v>36</v>
      </c>
      <c r="E67" s="243" t="s">
        <v>37</v>
      </c>
      <c r="F67" s="243" t="s">
        <v>33</v>
      </c>
      <c r="G67" s="245"/>
      <c r="H67" s="243" t="s">
        <v>2211</v>
      </c>
      <c r="I67" s="243">
        <v>120252</v>
      </c>
      <c r="J67" s="243" t="s">
        <v>657</v>
      </c>
      <c r="L67" s="246">
        <v>5401023588</v>
      </c>
      <c r="M67" s="246">
        <v>10</v>
      </c>
      <c r="N67" s="22" t="s">
        <v>2870</v>
      </c>
      <c r="O67" s="22" t="s">
        <v>6109</v>
      </c>
      <c r="P67" s="22" t="s">
        <v>2870</v>
      </c>
      <c r="Q67" s="253" t="s">
        <v>3170</v>
      </c>
      <c r="R67" s="243" t="s">
        <v>3133</v>
      </c>
      <c r="S67" s="247">
        <v>20700</v>
      </c>
      <c r="T67" s="247">
        <v>20700</v>
      </c>
      <c r="U67" s="247">
        <f t="shared" si="3"/>
        <v>0</v>
      </c>
      <c r="V67" s="248">
        <v>19107.79</v>
      </c>
      <c r="X67" s="243" t="str">
        <f t="shared" si="4"/>
        <v>Infra Cost Goldfire</v>
      </c>
      <c r="Y67" s="243" t="s">
        <v>5794</v>
      </c>
    </row>
    <row r="68" spans="1:25" hidden="1" x14ac:dyDescent="0.25">
      <c r="A68" s="243" t="s">
        <v>2220</v>
      </c>
      <c r="B68" s="243" t="s">
        <v>6115</v>
      </c>
      <c r="C68" s="243">
        <v>68427709</v>
      </c>
      <c r="D68" s="244" t="s">
        <v>36</v>
      </c>
      <c r="E68" s="243" t="s">
        <v>37</v>
      </c>
      <c r="F68" s="243" t="s">
        <v>33</v>
      </c>
      <c r="G68" s="245"/>
      <c r="H68" s="243" t="s">
        <v>2219</v>
      </c>
      <c r="I68" s="243">
        <v>120252</v>
      </c>
      <c r="J68" s="243" t="s">
        <v>657</v>
      </c>
      <c r="L68" s="246">
        <v>5401023588</v>
      </c>
      <c r="M68" s="246">
        <v>10</v>
      </c>
      <c r="N68" s="22" t="s">
        <v>2870</v>
      </c>
      <c r="O68" s="22" t="s">
        <v>6109</v>
      </c>
      <c r="P68" s="22" t="s">
        <v>2870</v>
      </c>
      <c r="Q68" s="243" t="s">
        <v>3114</v>
      </c>
      <c r="R68" s="243" t="s">
        <v>3133</v>
      </c>
      <c r="S68" s="247">
        <v>20700</v>
      </c>
      <c r="T68" s="247">
        <v>20700</v>
      </c>
      <c r="U68" s="247">
        <f t="shared" si="3"/>
        <v>0</v>
      </c>
      <c r="V68" s="248">
        <v>19107.79</v>
      </c>
      <c r="X68" s="243" t="str">
        <f t="shared" si="4"/>
        <v>Infra Cost Rantsoen</v>
      </c>
      <c r="Y68" s="243" t="s">
        <v>5794</v>
      </c>
    </row>
    <row r="69" spans="1:25" hidden="1" x14ac:dyDescent="0.25">
      <c r="A69" s="243" t="s">
        <v>2228</v>
      </c>
      <c r="B69" s="243" t="s">
        <v>6115</v>
      </c>
      <c r="C69" s="243">
        <v>68427709</v>
      </c>
      <c r="D69" s="244" t="s">
        <v>36</v>
      </c>
      <c r="E69" s="243" t="s">
        <v>37</v>
      </c>
      <c r="F69" s="243" t="s">
        <v>33</v>
      </c>
      <c r="G69" s="245"/>
      <c r="H69" s="243" t="s">
        <v>3178</v>
      </c>
      <c r="I69" s="243">
        <v>120252</v>
      </c>
      <c r="J69" s="243" t="s">
        <v>657</v>
      </c>
      <c r="L69" s="246">
        <v>5401023588</v>
      </c>
      <c r="M69" s="246">
        <v>10</v>
      </c>
      <c r="N69" s="22" t="s">
        <v>2870</v>
      </c>
      <c r="O69" s="22" t="s">
        <v>6109</v>
      </c>
      <c r="P69" s="22" t="s">
        <v>2870</v>
      </c>
      <c r="Q69" s="243" t="s">
        <v>3114</v>
      </c>
      <c r="R69" s="243" t="s">
        <v>3133</v>
      </c>
      <c r="S69" s="247">
        <v>20700</v>
      </c>
      <c r="T69" s="247">
        <v>20700</v>
      </c>
      <c r="U69" s="247">
        <f t="shared" si="3"/>
        <v>0</v>
      </c>
      <c r="V69" s="248">
        <v>19107.79</v>
      </c>
      <c r="X69" s="243" t="str">
        <f t="shared" si="4"/>
        <v>Infra Cost SAFIR (Romania)</v>
      </c>
      <c r="Y69" s="243" t="s">
        <v>5794</v>
      </c>
    </row>
    <row r="70" spans="1:25" hidden="1" x14ac:dyDescent="0.25">
      <c r="A70" s="243" t="s">
        <v>2230</v>
      </c>
      <c r="B70" s="243" t="s">
        <v>6115</v>
      </c>
      <c r="C70" s="243">
        <v>68427709</v>
      </c>
      <c r="D70" s="244" t="s">
        <v>36</v>
      </c>
      <c r="E70" s="243" t="s">
        <v>37</v>
      </c>
      <c r="F70" s="243" t="s">
        <v>33</v>
      </c>
      <c r="G70" s="245"/>
      <c r="H70" s="243" t="s">
        <v>2229</v>
      </c>
      <c r="I70" s="243">
        <v>120252</v>
      </c>
      <c r="J70" s="243" t="s">
        <v>657</v>
      </c>
      <c r="L70" s="246">
        <v>5401023588</v>
      </c>
      <c r="M70" s="246">
        <v>10</v>
      </c>
      <c r="N70" s="22" t="s">
        <v>2870</v>
      </c>
      <c r="O70" s="22" t="s">
        <v>6109</v>
      </c>
      <c r="P70" s="22" t="s">
        <v>2870</v>
      </c>
      <c r="Q70" s="243" t="s">
        <v>3114</v>
      </c>
      <c r="R70" s="243" t="s">
        <v>3133</v>
      </c>
      <c r="S70" s="247">
        <v>20700</v>
      </c>
      <c r="T70" s="247">
        <v>20700</v>
      </c>
      <c r="U70" s="247">
        <f t="shared" si="3"/>
        <v>0</v>
      </c>
      <c r="V70" s="248">
        <v>19107.79</v>
      </c>
      <c r="X70" s="243" t="str">
        <f t="shared" si="4"/>
        <v>Infra Cost Solidworks (UK)</v>
      </c>
      <c r="Y70" s="243" t="s">
        <v>5794</v>
      </c>
    </row>
    <row r="71" spans="1:25" hidden="1" x14ac:dyDescent="0.25">
      <c r="A71" s="243" t="s">
        <v>2234</v>
      </c>
      <c r="B71" s="243" t="s">
        <v>6115</v>
      </c>
      <c r="C71" s="243">
        <v>68427709</v>
      </c>
      <c r="D71" s="244" t="s">
        <v>36</v>
      </c>
      <c r="E71" s="243" t="s">
        <v>37</v>
      </c>
      <c r="F71" s="243" t="s">
        <v>33</v>
      </c>
      <c r="G71" s="245"/>
      <c r="H71" s="254" t="s">
        <v>3178</v>
      </c>
      <c r="I71" s="243">
        <v>120252</v>
      </c>
      <c r="J71" s="243" t="s">
        <v>657</v>
      </c>
      <c r="L71" s="246">
        <v>5401023588</v>
      </c>
      <c r="M71" s="246">
        <v>10</v>
      </c>
      <c r="N71" s="22" t="s">
        <v>2870</v>
      </c>
      <c r="O71" s="22" t="s">
        <v>6109</v>
      </c>
      <c r="P71" s="22" t="s">
        <v>2870</v>
      </c>
      <c r="Q71" s="243" t="s">
        <v>3114</v>
      </c>
      <c r="R71" s="243" t="s">
        <v>3133</v>
      </c>
      <c r="S71" s="247">
        <v>20700</v>
      </c>
      <c r="T71" s="247">
        <v>20700</v>
      </c>
      <c r="U71" s="247">
        <f t="shared" si="3"/>
        <v>0</v>
      </c>
      <c r="V71" s="248">
        <v>19107.79</v>
      </c>
      <c r="X71" s="243" t="str">
        <f t="shared" si="4"/>
        <v>Infra Cost !mpuls</v>
      </c>
      <c r="Y71" s="243" t="s">
        <v>5794</v>
      </c>
    </row>
    <row r="72" spans="1:25" hidden="1" x14ac:dyDescent="0.25">
      <c r="A72" s="243" t="s">
        <v>2236</v>
      </c>
      <c r="B72" s="243" t="s">
        <v>6115</v>
      </c>
      <c r="C72" s="243">
        <v>68427709</v>
      </c>
      <c r="D72" s="244" t="s">
        <v>36</v>
      </c>
      <c r="E72" s="243" t="s">
        <v>37</v>
      </c>
      <c r="F72" s="243" t="s">
        <v>33</v>
      </c>
      <c r="G72" s="245"/>
      <c r="H72" s="254" t="s">
        <v>3178</v>
      </c>
      <c r="I72" s="243">
        <v>120252</v>
      </c>
      <c r="J72" s="243" t="s">
        <v>657</v>
      </c>
      <c r="L72" s="246">
        <v>5401023588</v>
      </c>
      <c r="M72" s="246">
        <v>10</v>
      </c>
      <c r="N72" s="22" t="s">
        <v>2870</v>
      </c>
      <c r="O72" s="22" t="s">
        <v>6109</v>
      </c>
      <c r="P72" s="22" t="s">
        <v>2870</v>
      </c>
      <c r="Q72" s="243" t="s">
        <v>3114</v>
      </c>
      <c r="R72" s="243" t="s">
        <v>3133</v>
      </c>
      <c r="S72" s="247">
        <v>20700</v>
      </c>
      <c r="T72" s="247">
        <v>20700</v>
      </c>
      <c r="U72" s="247">
        <f t="shared" si="3"/>
        <v>0</v>
      </c>
      <c r="V72" s="248">
        <v>19107.79</v>
      </c>
      <c r="X72" s="243" t="str">
        <f t="shared" si="4"/>
        <v>Infra Cost Janus - SQL DB AFH-MDP EU-3021</v>
      </c>
      <c r="Y72" s="243" t="s">
        <v>5794</v>
      </c>
    </row>
    <row r="73" spans="1:25" hidden="1" x14ac:dyDescent="0.25">
      <c r="A73" s="243" t="s">
        <v>2238</v>
      </c>
      <c r="B73" s="243" t="s">
        <v>6115</v>
      </c>
      <c r="C73" s="243">
        <v>68427709</v>
      </c>
      <c r="D73" s="244" t="s">
        <v>36</v>
      </c>
      <c r="E73" s="243" t="s">
        <v>37</v>
      </c>
      <c r="F73" s="243" t="s">
        <v>33</v>
      </c>
      <c r="G73" s="245"/>
      <c r="H73" s="243" t="s">
        <v>2237</v>
      </c>
      <c r="I73" s="243">
        <v>120252</v>
      </c>
      <c r="J73" s="243" t="s">
        <v>657</v>
      </c>
      <c r="L73" s="246">
        <v>5401023588</v>
      </c>
      <c r="M73" s="246">
        <v>10</v>
      </c>
      <c r="N73" s="22" t="s">
        <v>2870</v>
      </c>
      <c r="O73" s="22" t="s">
        <v>6109</v>
      </c>
      <c r="P73" s="22" t="s">
        <v>2870</v>
      </c>
      <c r="Q73" s="243" t="s">
        <v>3114</v>
      </c>
      <c r="R73" s="243" t="s">
        <v>3133</v>
      </c>
      <c r="S73" s="247">
        <v>20700</v>
      </c>
      <c r="T73" s="247">
        <v>20700</v>
      </c>
      <c r="U73" s="247">
        <f t="shared" si="3"/>
        <v>0</v>
      </c>
      <c r="V73" s="248">
        <v>19107.79</v>
      </c>
      <c r="X73" s="243" t="str">
        <f t="shared" si="4"/>
        <v>Infra Cost Interflex (Germany)</v>
      </c>
      <c r="Y73" s="243" t="s">
        <v>5794</v>
      </c>
    </row>
    <row r="74" spans="1:25" hidden="1" x14ac:dyDescent="0.25">
      <c r="A74" s="243" t="s">
        <v>2255</v>
      </c>
      <c r="B74" s="243" t="s">
        <v>6115</v>
      </c>
      <c r="C74" s="243">
        <v>68427709</v>
      </c>
      <c r="D74" s="244" t="s">
        <v>36</v>
      </c>
      <c r="E74" s="243" t="s">
        <v>37</v>
      </c>
      <c r="F74" s="243" t="s">
        <v>33</v>
      </c>
      <c r="G74" s="245"/>
      <c r="H74" s="243" t="s">
        <v>2254</v>
      </c>
      <c r="I74" s="243">
        <v>120252</v>
      </c>
      <c r="J74" s="243" t="s">
        <v>657</v>
      </c>
      <c r="L74" s="246">
        <v>5401023588</v>
      </c>
      <c r="M74" s="246">
        <v>10</v>
      </c>
      <c r="N74" s="22" t="s">
        <v>2870</v>
      </c>
      <c r="O74" s="22" t="s">
        <v>6109</v>
      </c>
      <c r="P74" s="22" t="s">
        <v>2870</v>
      </c>
      <c r="Q74" s="243" t="s">
        <v>3114</v>
      </c>
      <c r="R74" s="243" t="s">
        <v>3133</v>
      </c>
      <c r="S74" s="247">
        <v>20700</v>
      </c>
      <c r="T74" s="247">
        <v>20700</v>
      </c>
      <c r="U74" s="247">
        <f t="shared" si="3"/>
        <v>0</v>
      </c>
      <c r="V74" s="248">
        <v>19107.79</v>
      </c>
      <c r="X74" s="243" t="str">
        <f t="shared" si="4"/>
        <v>Infra Cost BOARD</v>
      </c>
      <c r="Y74" s="243" t="s">
        <v>5794</v>
      </c>
    </row>
    <row r="75" spans="1:25" hidden="1" x14ac:dyDescent="0.25">
      <c r="A75" s="243" t="s">
        <v>2257</v>
      </c>
      <c r="B75" s="243" t="s">
        <v>6115</v>
      </c>
      <c r="C75" s="243">
        <v>68427709</v>
      </c>
      <c r="D75" s="244" t="s">
        <v>36</v>
      </c>
      <c r="E75" s="243" t="s">
        <v>37</v>
      </c>
      <c r="F75" s="243" t="s">
        <v>33</v>
      </c>
      <c r="G75" s="245"/>
      <c r="H75" s="254" t="s">
        <v>3178</v>
      </c>
      <c r="I75" s="243">
        <v>120252</v>
      </c>
      <c r="J75" s="243" t="s">
        <v>657</v>
      </c>
      <c r="L75" s="246">
        <v>5401023588</v>
      </c>
      <c r="M75" s="246">
        <v>10</v>
      </c>
      <c r="N75" s="22" t="s">
        <v>2870</v>
      </c>
      <c r="O75" s="22" t="s">
        <v>6109</v>
      </c>
      <c r="P75" s="22" t="s">
        <v>2870</v>
      </c>
      <c r="Q75" s="243" t="s">
        <v>3114</v>
      </c>
      <c r="R75" s="243" t="s">
        <v>3133</v>
      </c>
      <c r="S75" s="247">
        <v>20700</v>
      </c>
      <c r="T75" s="247">
        <v>20700</v>
      </c>
      <c r="U75" s="247">
        <f t="shared" si="3"/>
        <v>0</v>
      </c>
      <c r="V75" s="248">
        <v>19107.79</v>
      </c>
      <c r="X75" s="243" t="str">
        <f t="shared" si="4"/>
        <v>Infra Cost Honeywell</v>
      </c>
      <c r="Y75" s="243" t="s">
        <v>5794</v>
      </c>
    </row>
    <row r="76" spans="1:25" hidden="1" x14ac:dyDescent="0.25">
      <c r="A76" s="243" t="s">
        <v>2263</v>
      </c>
      <c r="B76" s="243" t="s">
        <v>6115</v>
      </c>
      <c r="C76" s="243">
        <v>68427709</v>
      </c>
      <c r="D76" s="244" t="s">
        <v>36</v>
      </c>
      <c r="E76" s="243" t="s">
        <v>37</v>
      </c>
      <c r="F76" s="243" t="s">
        <v>33</v>
      </c>
      <c r="G76" s="245"/>
      <c r="H76" s="243" t="s">
        <v>2262</v>
      </c>
      <c r="I76" s="243">
        <v>120252</v>
      </c>
      <c r="J76" s="243" t="s">
        <v>657</v>
      </c>
      <c r="L76" s="246">
        <v>5401023588</v>
      </c>
      <c r="M76" s="246">
        <v>10</v>
      </c>
      <c r="N76" s="22" t="s">
        <v>2870</v>
      </c>
      <c r="O76" s="22" t="s">
        <v>6109</v>
      </c>
      <c r="P76" s="22" t="s">
        <v>2870</v>
      </c>
      <c r="Q76" s="253" t="s">
        <v>3104</v>
      </c>
      <c r="R76" s="243" t="s">
        <v>3133</v>
      </c>
      <c r="S76" s="247">
        <v>20700</v>
      </c>
      <c r="T76" s="247">
        <v>20700</v>
      </c>
      <c r="U76" s="247">
        <f t="shared" si="3"/>
        <v>0</v>
      </c>
      <c r="V76" s="248">
        <v>19107.79</v>
      </c>
      <c r="X76" s="243" t="str">
        <f t="shared" si="4"/>
        <v>Infra Cost IXOS</v>
      </c>
      <c r="Y76" s="243" t="s">
        <v>5794</v>
      </c>
    </row>
    <row r="77" spans="1:25" hidden="1" x14ac:dyDescent="0.25">
      <c r="A77" s="243" t="s">
        <v>2289</v>
      </c>
      <c r="B77" s="243" t="s">
        <v>6115</v>
      </c>
      <c r="C77" s="243">
        <v>68427709</v>
      </c>
      <c r="D77" s="244" t="s">
        <v>36</v>
      </c>
      <c r="E77" s="243" t="s">
        <v>37</v>
      </c>
      <c r="F77" s="243" t="s">
        <v>33</v>
      </c>
      <c r="G77" s="245"/>
      <c r="H77" s="243" t="s">
        <v>2288</v>
      </c>
      <c r="I77" s="243">
        <v>120252</v>
      </c>
      <c r="J77" s="243" t="s">
        <v>657</v>
      </c>
      <c r="L77" s="246">
        <v>5401023588</v>
      </c>
      <c r="M77" s="246">
        <v>10</v>
      </c>
      <c r="N77" s="22" t="s">
        <v>2870</v>
      </c>
      <c r="O77" s="22" t="s">
        <v>6109</v>
      </c>
      <c r="P77" s="22" t="s">
        <v>2870</v>
      </c>
      <c r="Q77" s="253" t="s">
        <v>3150</v>
      </c>
      <c r="R77" s="243" t="s">
        <v>3133</v>
      </c>
      <c r="S77" s="247">
        <v>20700</v>
      </c>
      <c r="T77" s="247">
        <v>20700</v>
      </c>
      <c r="U77" s="247">
        <f t="shared" si="3"/>
        <v>0</v>
      </c>
      <c r="V77" s="248">
        <v>19107.79</v>
      </c>
      <c r="X77" s="243" t="str">
        <f t="shared" si="4"/>
        <v>Infra Cost Alteryx Designer</v>
      </c>
      <c r="Y77" s="243" t="s">
        <v>5794</v>
      </c>
    </row>
    <row r="78" spans="1:25" hidden="1" x14ac:dyDescent="0.25">
      <c r="A78" s="243" t="s">
        <v>2210</v>
      </c>
      <c r="B78" s="243" t="s">
        <v>6115</v>
      </c>
      <c r="C78" s="243">
        <v>68427709</v>
      </c>
      <c r="D78" s="244" t="s">
        <v>36</v>
      </c>
      <c r="E78" s="243" t="s">
        <v>37</v>
      </c>
      <c r="F78" s="243" t="s">
        <v>33</v>
      </c>
      <c r="G78" s="245"/>
      <c r="H78" s="243" t="s">
        <v>2209</v>
      </c>
      <c r="I78" s="243">
        <v>120252</v>
      </c>
      <c r="J78" s="243" t="s">
        <v>657</v>
      </c>
      <c r="L78" s="246">
        <v>5401023588</v>
      </c>
      <c r="M78" s="246">
        <v>10</v>
      </c>
      <c r="N78" s="22" t="s">
        <v>2870</v>
      </c>
      <c r="O78" s="22" t="s">
        <v>6109</v>
      </c>
      <c r="P78" s="22" t="s">
        <v>2870</v>
      </c>
      <c r="Q78" s="243" t="s">
        <v>3114</v>
      </c>
      <c r="R78" s="243" t="s">
        <v>3133</v>
      </c>
      <c r="S78" s="247">
        <v>10400</v>
      </c>
      <c r="T78" s="247">
        <v>10400</v>
      </c>
      <c r="U78" s="247">
        <f t="shared" si="3"/>
        <v>0</v>
      </c>
      <c r="V78" s="248">
        <v>9600.0499999999993</v>
      </c>
      <c r="X78" s="243" t="str">
        <f t="shared" si="4"/>
        <v>Infra Cost Zylab ONE</v>
      </c>
      <c r="Y78" s="243" t="s">
        <v>5794</v>
      </c>
    </row>
    <row r="79" spans="1:25" hidden="1" x14ac:dyDescent="0.25">
      <c r="A79" s="243" t="s">
        <v>2218</v>
      </c>
      <c r="B79" s="243" t="s">
        <v>6115</v>
      </c>
      <c r="C79" s="243">
        <v>68427709</v>
      </c>
      <c r="D79" s="244" t="s">
        <v>36</v>
      </c>
      <c r="E79" s="243" t="s">
        <v>37</v>
      </c>
      <c r="F79" s="243" t="s">
        <v>33</v>
      </c>
      <c r="G79" s="245"/>
      <c r="H79" s="243" t="s">
        <v>2217</v>
      </c>
      <c r="I79" s="243">
        <v>120252</v>
      </c>
      <c r="J79" s="243" t="s">
        <v>657</v>
      </c>
      <c r="L79" s="246">
        <v>5401023588</v>
      </c>
      <c r="M79" s="246">
        <v>10</v>
      </c>
      <c r="N79" s="22" t="s">
        <v>2870</v>
      </c>
      <c r="O79" s="22" t="s">
        <v>6109</v>
      </c>
      <c r="P79" s="22" t="s">
        <v>2870</v>
      </c>
      <c r="Q79" s="243" t="s">
        <v>3114</v>
      </c>
      <c r="R79" s="243" t="s">
        <v>3133</v>
      </c>
      <c r="S79" s="247">
        <v>10400</v>
      </c>
      <c r="T79" s="247">
        <v>10400</v>
      </c>
      <c r="U79" s="247">
        <f t="shared" si="3"/>
        <v>0</v>
      </c>
      <c r="V79" s="248">
        <v>9600.0499999999993</v>
      </c>
      <c r="X79" s="243" t="str">
        <f t="shared" si="4"/>
        <v>Infra Cost QIS Utrecht - NL</v>
      </c>
      <c r="Y79" s="243" t="s">
        <v>5794</v>
      </c>
    </row>
    <row r="80" spans="1:25" hidden="1" x14ac:dyDescent="0.25">
      <c r="A80" s="243" t="s">
        <v>3057</v>
      </c>
      <c r="B80" s="243" t="s">
        <v>6115</v>
      </c>
      <c r="C80" s="243">
        <v>68427709</v>
      </c>
      <c r="D80" s="244" t="s">
        <v>36</v>
      </c>
      <c r="E80" s="243" t="s">
        <v>37</v>
      </c>
      <c r="F80" s="243" t="s">
        <v>33</v>
      </c>
      <c r="G80" s="245"/>
      <c r="H80" s="254" t="s">
        <v>3178</v>
      </c>
      <c r="I80" s="243">
        <v>120252</v>
      </c>
      <c r="J80" s="243" t="s">
        <v>657</v>
      </c>
      <c r="L80" s="246">
        <v>5401023588</v>
      </c>
      <c r="M80" s="246">
        <v>10</v>
      </c>
      <c r="N80" s="22" t="s">
        <v>2870</v>
      </c>
      <c r="O80" s="22" t="s">
        <v>6109</v>
      </c>
      <c r="P80" s="22" t="s">
        <v>2870</v>
      </c>
      <c r="Q80" s="243" t="s">
        <v>3114</v>
      </c>
      <c r="R80" s="243" t="s">
        <v>3133</v>
      </c>
      <c r="S80" s="247">
        <v>10400</v>
      </c>
      <c r="T80" s="247">
        <v>10400</v>
      </c>
      <c r="U80" s="247">
        <f t="shared" si="3"/>
        <v>0</v>
      </c>
      <c r="V80" s="248">
        <v>9600.0499999999993</v>
      </c>
      <c r="X80" s="243" t="str">
        <f t="shared" si="4"/>
        <v>Infra Cost Proxxes</v>
      </c>
      <c r="Y80" s="243" t="s">
        <v>5794</v>
      </c>
    </row>
    <row r="81" spans="1:25" hidden="1" x14ac:dyDescent="0.25">
      <c r="A81" s="243" t="s">
        <v>2226</v>
      </c>
      <c r="B81" s="243" t="s">
        <v>6115</v>
      </c>
      <c r="C81" s="243">
        <v>68427709</v>
      </c>
      <c r="D81" s="244" t="s">
        <v>36</v>
      </c>
      <c r="E81" s="243" t="s">
        <v>37</v>
      </c>
      <c r="F81" s="243" t="s">
        <v>33</v>
      </c>
      <c r="G81" s="245"/>
      <c r="H81" s="243" t="s">
        <v>2225</v>
      </c>
      <c r="I81" s="243">
        <v>120252</v>
      </c>
      <c r="J81" s="243" t="s">
        <v>657</v>
      </c>
      <c r="L81" s="246">
        <v>5401023588</v>
      </c>
      <c r="M81" s="246">
        <v>10</v>
      </c>
      <c r="N81" s="22" t="s">
        <v>2870</v>
      </c>
      <c r="O81" s="22" t="s">
        <v>6109</v>
      </c>
      <c r="P81" s="22" t="s">
        <v>2870</v>
      </c>
      <c r="Q81" s="253" t="s">
        <v>3170</v>
      </c>
      <c r="R81" s="243" t="s">
        <v>3133</v>
      </c>
      <c r="S81" s="247">
        <v>10400</v>
      </c>
      <c r="T81" s="247">
        <v>10400</v>
      </c>
      <c r="U81" s="247">
        <f t="shared" si="3"/>
        <v>0</v>
      </c>
      <c r="V81" s="248">
        <v>9600.0499999999993</v>
      </c>
      <c r="X81" s="243" t="str">
        <f t="shared" si="4"/>
        <v>Infra Cost CAPEPACK</v>
      </c>
      <c r="Y81" s="243" t="s">
        <v>5794</v>
      </c>
    </row>
    <row r="82" spans="1:25" hidden="1" x14ac:dyDescent="0.25">
      <c r="A82" s="243" t="s">
        <v>2232</v>
      </c>
      <c r="B82" s="243" t="s">
        <v>6115</v>
      </c>
      <c r="C82" s="243">
        <v>68427709</v>
      </c>
      <c r="D82" s="244" t="s">
        <v>36</v>
      </c>
      <c r="E82" s="243" t="s">
        <v>37</v>
      </c>
      <c r="F82" s="243" t="s">
        <v>33</v>
      </c>
      <c r="G82" s="245"/>
      <c r="H82" s="243" t="s">
        <v>2231</v>
      </c>
      <c r="I82" s="243">
        <v>120252</v>
      </c>
      <c r="J82" s="243" t="s">
        <v>657</v>
      </c>
      <c r="L82" s="246">
        <v>5401023588</v>
      </c>
      <c r="M82" s="246">
        <v>10</v>
      </c>
      <c r="N82" s="22" t="s">
        <v>2870</v>
      </c>
      <c r="O82" s="22" t="s">
        <v>6109</v>
      </c>
      <c r="P82" s="22" t="s">
        <v>2870</v>
      </c>
      <c r="Q82" s="243" t="s">
        <v>3114</v>
      </c>
      <c r="R82" s="243" t="s">
        <v>3133</v>
      </c>
      <c r="S82" s="247">
        <v>10400</v>
      </c>
      <c r="T82" s="247">
        <v>10400</v>
      </c>
      <c r="U82" s="247">
        <f t="shared" si="3"/>
        <v>0</v>
      </c>
      <c r="V82" s="248">
        <v>9600.0499999999993</v>
      </c>
      <c r="X82" s="243" t="str">
        <f t="shared" si="4"/>
        <v>Infra Cost XLSTAT</v>
      </c>
      <c r="Y82" s="243" t="s">
        <v>5794</v>
      </c>
    </row>
    <row r="83" spans="1:25" hidden="1" x14ac:dyDescent="0.25">
      <c r="A83" s="243" t="s">
        <v>2240</v>
      </c>
      <c r="B83" s="243" t="s">
        <v>6115</v>
      </c>
      <c r="C83" s="243">
        <v>68427709</v>
      </c>
      <c r="D83" s="244" t="s">
        <v>36</v>
      </c>
      <c r="E83" s="243" t="s">
        <v>37</v>
      </c>
      <c r="F83" s="243" t="s">
        <v>33</v>
      </c>
      <c r="G83" s="245"/>
      <c r="H83" s="243" t="s">
        <v>2239</v>
      </c>
      <c r="I83" s="243">
        <v>120252</v>
      </c>
      <c r="J83" s="243" t="s">
        <v>657</v>
      </c>
      <c r="L83" s="246">
        <v>5401023588</v>
      </c>
      <c r="M83" s="246">
        <v>10</v>
      </c>
      <c r="N83" s="22" t="s">
        <v>2870</v>
      </c>
      <c r="O83" s="22" t="s">
        <v>6109</v>
      </c>
      <c r="P83" s="22" t="s">
        <v>2870</v>
      </c>
      <c r="Q83" s="243" t="s">
        <v>3114</v>
      </c>
      <c r="R83" s="243" t="s">
        <v>3133</v>
      </c>
      <c r="S83" s="247">
        <v>10400</v>
      </c>
      <c r="T83" s="247">
        <v>10400</v>
      </c>
      <c r="U83" s="247">
        <f t="shared" si="3"/>
        <v>0</v>
      </c>
      <c r="V83" s="248">
        <v>9600.0499999999993</v>
      </c>
      <c r="X83" s="243" t="str">
        <f t="shared" si="4"/>
        <v>Infra Cost AIS</v>
      </c>
      <c r="Y83" s="243" t="s">
        <v>5794</v>
      </c>
    </row>
    <row r="84" spans="1:25" hidden="1" x14ac:dyDescent="0.25">
      <c r="A84" s="243" t="s">
        <v>2242</v>
      </c>
      <c r="B84" s="243" t="s">
        <v>6115</v>
      </c>
      <c r="C84" s="243">
        <v>68427709</v>
      </c>
      <c r="D84" s="244" t="s">
        <v>36</v>
      </c>
      <c r="E84" s="243" t="s">
        <v>37</v>
      </c>
      <c r="F84" s="243" t="s">
        <v>33</v>
      </c>
      <c r="G84" s="245"/>
      <c r="H84" s="243" t="s">
        <v>2241</v>
      </c>
      <c r="I84" s="243">
        <v>120252</v>
      </c>
      <c r="J84" s="243" t="s">
        <v>657</v>
      </c>
      <c r="L84" s="246">
        <v>5401023588</v>
      </c>
      <c r="M84" s="246">
        <v>10</v>
      </c>
      <c r="N84" s="22" t="s">
        <v>2870</v>
      </c>
      <c r="O84" s="22" t="s">
        <v>6109</v>
      </c>
      <c r="P84" s="22" t="s">
        <v>2870</v>
      </c>
      <c r="Q84" s="243" t="s">
        <v>3114</v>
      </c>
      <c r="R84" s="243" t="s">
        <v>3133</v>
      </c>
      <c r="S84" s="247">
        <v>10400</v>
      </c>
      <c r="T84" s="247">
        <v>10400</v>
      </c>
      <c r="U84" s="247">
        <f t="shared" si="3"/>
        <v>0</v>
      </c>
      <c r="V84" s="248">
        <v>9600.0499999999993</v>
      </c>
      <c r="X84" s="243" t="str">
        <f t="shared" si="4"/>
        <v>Infra Cost Bonsai</v>
      </c>
      <c r="Y84" s="243" t="s">
        <v>5794</v>
      </c>
    </row>
    <row r="85" spans="1:25" hidden="1" x14ac:dyDescent="0.25">
      <c r="A85" s="243" t="s">
        <v>2244</v>
      </c>
      <c r="B85" s="243" t="s">
        <v>6115</v>
      </c>
      <c r="C85" s="243">
        <v>68427709</v>
      </c>
      <c r="D85" s="244" t="s">
        <v>36</v>
      </c>
      <c r="E85" s="243" t="s">
        <v>37</v>
      </c>
      <c r="F85" s="243" t="s">
        <v>33</v>
      </c>
      <c r="G85" s="245"/>
      <c r="H85" s="243" t="s">
        <v>2243</v>
      </c>
      <c r="I85" s="243">
        <v>120252</v>
      </c>
      <c r="J85" s="243" t="s">
        <v>657</v>
      </c>
      <c r="L85" s="246">
        <v>5401023588</v>
      </c>
      <c r="M85" s="246">
        <v>10</v>
      </c>
      <c r="N85" s="22" t="s">
        <v>2870</v>
      </c>
      <c r="O85" s="22" t="s">
        <v>6109</v>
      </c>
      <c r="P85" s="22" t="s">
        <v>2870</v>
      </c>
      <c r="Q85" s="243" t="s">
        <v>3114</v>
      </c>
      <c r="R85" s="243" t="s">
        <v>3133</v>
      </c>
      <c r="S85" s="247">
        <v>10400</v>
      </c>
      <c r="T85" s="247">
        <v>10400</v>
      </c>
      <c r="U85" s="247">
        <f t="shared" si="3"/>
        <v>0</v>
      </c>
      <c r="V85" s="248">
        <v>9600.0499999999993</v>
      </c>
      <c r="X85" s="243" t="str">
        <f t="shared" si="4"/>
        <v>Infra Cost Honeywell EBI</v>
      </c>
      <c r="Y85" s="243" t="s">
        <v>5794</v>
      </c>
    </row>
    <row r="86" spans="1:25" hidden="1" x14ac:dyDescent="0.25">
      <c r="A86" s="243" t="s">
        <v>2251</v>
      </c>
      <c r="B86" s="243" t="s">
        <v>6115</v>
      </c>
      <c r="C86" s="243">
        <v>68427709</v>
      </c>
      <c r="D86" s="244" t="s">
        <v>36</v>
      </c>
      <c r="E86" s="243" t="s">
        <v>37</v>
      </c>
      <c r="F86" s="243" t="s">
        <v>33</v>
      </c>
      <c r="G86" s="245"/>
      <c r="H86" s="243" t="s">
        <v>2250</v>
      </c>
      <c r="I86" s="243">
        <v>120252</v>
      </c>
      <c r="J86" s="243" t="s">
        <v>657</v>
      </c>
      <c r="L86" s="246">
        <v>5401023588</v>
      </c>
      <c r="M86" s="246">
        <v>10</v>
      </c>
      <c r="N86" s="22" t="s">
        <v>2870</v>
      </c>
      <c r="O86" s="22" t="s">
        <v>6109</v>
      </c>
      <c r="P86" s="22" t="s">
        <v>2870</v>
      </c>
      <c r="Q86" s="243" t="s">
        <v>3114</v>
      </c>
      <c r="R86" s="243" t="s">
        <v>3133</v>
      </c>
      <c r="S86" s="247">
        <v>10400</v>
      </c>
      <c r="T86" s="247">
        <v>10400</v>
      </c>
      <c r="U86" s="247">
        <f t="shared" si="3"/>
        <v>0</v>
      </c>
      <c r="V86" s="248">
        <v>9600.0499999999993</v>
      </c>
      <c r="X86" s="243" t="str">
        <f t="shared" si="4"/>
        <v>Infra Cost Proxsafe</v>
      </c>
      <c r="Y86" s="243" t="s">
        <v>5794</v>
      </c>
    </row>
    <row r="87" spans="1:25" hidden="1" x14ac:dyDescent="0.25">
      <c r="A87" s="243" t="s">
        <v>2253</v>
      </c>
      <c r="B87" s="243" t="s">
        <v>6115</v>
      </c>
      <c r="C87" s="243">
        <v>68427709</v>
      </c>
      <c r="D87" s="244" t="s">
        <v>36</v>
      </c>
      <c r="E87" s="243" t="s">
        <v>37</v>
      </c>
      <c r="F87" s="243" t="s">
        <v>33</v>
      </c>
      <c r="G87" s="245"/>
      <c r="H87" s="243" t="s">
        <v>2252</v>
      </c>
      <c r="I87" s="243">
        <v>120252</v>
      </c>
      <c r="J87" s="243" t="s">
        <v>657</v>
      </c>
      <c r="L87" s="246">
        <v>5401023588</v>
      </c>
      <c r="M87" s="246">
        <v>10</v>
      </c>
      <c r="N87" s="22" t="s">
        <v>2870</v>
      </c>
      <c r="O87" s="22" t="s">
        <v>6109</v>
      </c>
      <c r="P87" s="22" t="s">
        <v>2870</v>
      </c>
      <c r="Q87" s="243" t="s">
        <v>3114</v>
      </c>
      <c r="R87" s="243" t="s">
        <v>3133</v>
      </c>
      <c r="S87" s="247">
        <v>10400</v>
      </c>
      <c r="T87" s="247">
        <v>10400</v>
      </c>
      <c r="U87" s="247">
        <f t="shared" si="3"/>
        <v>0</v>
      </c>
      <c r="V87" s="248">
        <v>9600.0499999999993</v>
      </c>
      <c r="X87" s="243" t="str">
        <f t="shared" si="4"/>
        <v>Infra Cost DEP CRM - Obrazovka</v>
      </c>
      <c r="Y87" s="243" t="s">
        <v>5794</v>
      </c>
    </row>
    <row r="88" spans="1:25" hidden="1" x14ac:dyDescent="0.25">
      <c r="A88" s="243" t="s">
        <v>2259</v>
      </c>
      <c r="B88" s="243" t="s">
        <v>6115</v>
      </c>
      <c r="C88" s="243">
        <v>68427709</v>
      </c>
      <c r="D88" s="244" t="s">
        <v>36</v>
      </c>
      <c r="E88" s="243" t="s">
        <v>37</v>
      </c>
      <c r="F88" s="243" t="s">
        <v>33</v>
      </c>
      <c r="G88" s="245"/>
      <c r="H88" s="243" t="s">
        <v>2258</v>
      </c>
      <c r="I88" s="243">
        <v>120252</v>
      </c>
      <c r="J88" s="243" t="s">
        <v>657</v>
      </c>
      <c r="L88" s="246">
        <v>5401023588</v>
      </c>
      <c r="M88" s="246">
        <v>10</v>
      </c>
      <c r="N88" s="22" t="s">
        <v>2870</v>
      </c>
      <c r="O88" s="22" t="s">
        <v>6109</v>
      </c>
      <c r="P88" s="22" t="s">
        <v>2870</v>
      </c>
      <c r="Q88" s="243" t="s">
        <v>3114</v>
      </c>
      <c r="R88" s="243" t="s">
        <v>3133</v>
      </c>
      <c r="S88" s="247">
        <v>10400</v>
      </c>
      <c r="T88" s="247">
        <v>10400</v>
      </c>
      <c r="U88" s="247">
        <f t="shared" si="3"/>
        <v>0</v>
      </c>
      <c r="V88" s="248">
        <v>9600.0499999999993</v>
      </c>
      <c r="X88" s="243" t="str">
        <f t="shared" si="4"/>
        <v>Infra Cost Tax(VAT) reporting application</v>
      </c>
      <c r="Y88" s="243" t="s">
        <v>5794</v>
      </c>
    </row>
    <row r="89" spans="1:25" hidden="1" x14ac:dyDescent="0.25">
      <c r="A89" s="243" t="s">
        <v>2267</v>
      </c>
      <c r="B89" s="243" t="s">
        <v>6115</v>
      </c>
      <c r="C89" s="243">
        <v>68427709</v>
      </c>
      <c r="D89" s="244" t="s">
        <v>36</v>
      </c>
      <c r="E89" s="243" t="s">
        <v>37</v>
      </c>
      <c r="F89" s="243" t="s">
        <v>33</v>
      </c>
      <c r="G89" s="245"/>
      <c r="H89" s="243" t="s">
        <v>2266</v>
      </c>
      <c r="I89" s="243">
        <v>120252</v>
      </c>
      <c r="J89" s="243" t="s">
        <v>657</v>
      </c>
      <c r="L89" s="246">
        <v>5401023588</v>
      </c>
      <c r="M89" s="246">
        <v>10</v>
      </c>
      <c r="N89" s="22" t="s">
        <v>2870</v>
      </c>
      <c r="O89" s="22" t="s">
        <v>6109</v>
      </c>
      <c r="P89" s="22" t="s">
        <v>2870</v>
      </c>
      <c r="Q89" s="22" t="s">
        <v>3104</v>
      </c>
      <c r="R89" s="243" t="s">
        <v>3133</v>
      </c>
      <c r="S89" s="247">
        <v>10400</v>
      </c>
      <c r="T89" s="247">
        <v>10400</v>
      </c>
      <c r="U89" s="247">
        <f t="shared" si="3"/>
        <v>0</v>
      </c>
      <c r="V89" s="248">
        <v>9600.0499999999993</v>
      </c>
      <c r="X89" s="243" t="str">
        <f t="shared" si="4"/>
        <v>Infra Cost Winshuttle</v>
      </c>
      <c r="Y89" s="243" t="s">
        <v>5794</v>
      </c>
    </row>
    <row r="90" spans="1:25" hidden="1" x14ac:dyDescent="0.25">
      <c r="A90" s="243" t="s">
        <v>2269</v>
      </c>
      <c r="B90" s="243" t="s">
        <v>6115</v>
      </c>
      <c r="C90" s="243">
        <v>68427709</v>
      </c>
      <c r="D90" s="244" t="s">
        <v>36</v>
      </c>
      <c r="E90" s="243" t="s">
        <v>37</v>
      </c>
      <c r="F90" s="243" t="s">
        <v>33</v>
      </c>
      <c r="G90" s="245"/>
      <c r="H90" s="243" t="s">
        <v>2268</v>
      </c>
      <c r="I90" s="243">
        <v>120252</v>
      </c>
      <c r="J90" s="243" t="s">
        <v>657</v>
      </c>
      <c r="L90" s="246">
        <v>5401023588</v>
      </c>
      <c r="M90" s="246">
        <v>10</v>
      </c>
      <c r="N90" s="22" t="s">
        <v>2870</v>
      </c>
      <c r="O90" s="22" t="s">
        <v>6109</v>
      </c>
      <c r="P90" s="22" t="s">
        <v>2870</v>
      </c>
      <c r="Q90" s="243" t="s">
        <v>3114</v>
      </c>
      <c r="R90" s="243" t="s">
        <v>3133</v>
      </c>
      <c r="S90" s="247">
        <v>10400</v>
      </c>
      <c r="T90" s="247">
        <v>10400</v>
      </c>
      <c r="U90" s="247">
        <f t="shared" si="3"/>
        <v>0</v>
      </c>
      <c r="V90" s="248">
        <v>9600.0499999999993</v>
      </c>
      <c r="X90" s="243" t="str">
        <f t="shared" si="4"/>
        <v>Infra Cost Salesforce Sales Cloud Retail</v>
      </c>
      <c r="Y90" s="243" t="s">
        <v>5794</v>
      </c>
    </row>
    <row r="91" spans="1:25" hidden="1" x14ac:dyDescent="0.25">
      <c r="A91" s="243" t="s">
        <v>2277</v>
      </c>
      <c r="B91" s="243" t="s">
        <v>6115</v>
      </c>
      <c r="C91" s="243">
        <v>68427709</v>
      </c>
      <c r="D91" s="244" t="s">
        <v>36</v>
      </c>
      <c r="E91" s="243" t="s">
        <v>37</v>
      </c>
      <c r="F91" s="243" t="s">
        <v>33</v>
      </c>
      <c r="G91" s="245"/>
      <c r="H91" s="243" t="s">
        <v>2276</v>
      </c>
      <c r="I91" s="243">
        <v>120252</v>
      </c>
      <c r="J91" s="243" t="s">
        <v>657</v>
      </c>
      <c r="L91" s="246">
        <v>5401023588</v>
      </c>
      <c r="M91" s="246">
        <v>10</v>
      </c>
      <c r="N91" s="22" t="s">
        <v>2870</v>
      </c>
      <c r="O91" s="22" t="s">
        <v>6109</v>
      </c>
      <c r="P91" s="22" t="s">
        <v>2870</v>
      </c>
      <c r="Q91" s="243" t="s">
        <v>3114</v>
      </c>
      <c r="R91" s="243" t="s">
        <v>3133</v>
      </c>
      <c r="S91" s="247">
        <v>10400</v>
      </c>
      <c r="T91" s="247">
        <v>10400</v>
      </c>
      <c r="U91" s="247">
        <f t="shared" si="3"/>
        <v>0</v>
      </c>
      <c r="V91" s="248">
        <v>9600.0499999999993</v>
      </c>
      <c r="X91" s="243" t="str">
        <f t="shared" si="4"/>
        <v>Infra Cost Baylo AGV UK</v>
      </c>
      <c r="Y91" s="243" t="s">
        <v>5794</v>
      </c>
    </row>
    <row r="92" spans="1:25" hidden="1" x14ac:dyDescent="0.25">
      <c r="A92" s="243" t="s">
        <v>2279</v>
      </c>
      <c r="B92" s="243" t="s">
        <v>6115</v>
      </c>
      <c r="C92" s="243">
        <v>68427709</v>
      </c>
      <c r="D92" s="244" t="s">
        <v>36</v>
      </c>
      <c r="E92" s="243" t="s">
        <v>37</v>
      </c>
      <c r="F92" s="243" t="s">
        <v>33</v>
      </c>
      <c r="G92" s="245"/>
      <c r="H92" s="254" t="s">
        <v>3178</v>
      </c>
      <c r="I92" s="243">
        <v>120252</v>
      </c>
      <c r="J92" s="243" t="s">
        <v>657</v>
      </c>
      <c r="L92" s="246">
        <v>5401023588</v>
      </c>
      <c r="M92" s="246">
        <v>10</v>
      </c>
      <c r="N92" s="22" t="s">
        <v>2870</v>
      </c>
      <c r="O92" s="22" t="s">
        <v>6109</v>
      </c>
      <c r="P92" s="22" t="s">
        <v>2870</v>
      </c>
      <c r="Q92" s="243" t="s">
        <v>3114</v>
      </c>
      <c r="R92" s="243" t="s">
        <v>3133</v>
      </c>
      <c r="S92" s="247">
        <v>10400</v>
      </c>
      <c r="T92" s="247">
        <v>10400</v>
      </c>
      <c r="U92" s="247">
        <f t="shared" si="3"/>
        <v>0</v>
      </c>
      <c r="V92" s="248">
        <v>9600.0499999999993</v>
      </c>
      <c r="X92" s="243" t="str">
        <f t="shared" si="4"/>
        <v>Infra Cost RFGEN Global Instance 2</v>
      </c>
      <c r="Y92" s="243" t="s">
        <v>5794</v>
      </c>
    </row>
    <row r="93" spans="1:25" hidden="1" x14ac:dyDescent="0.25">
      <c r="A93" s="243" t="s">
        <v>2285</v>
      </c>
      <c r="B93" s="243" t="s">
        <v>6115</v>
      </c>
      <c r="C93" s="243">
        <v>68427709</v>
      </c>
      <c r="D93" s="244" t="s">
        <v>36</v>
      </c>
      <c r="E93" s="243" t="s">
        <v>37</v>
      </c>
      <c r="F93" s="243" t="s">
        <v>33</v>
      </c>
      <c r="G93" s="245"/>
      <c r="H93" s="243" t="s">
        <v>2284</v>
      </c>
      <c r="I93" s="243">
        <v>120252</v>
      </c>
      <c r="J93" s="243" t="s">
        <v>657</v>
      </c>
      <c r="L93" s="246">
        <v>5401023588</v>
      </c>
      <c r="M93" s="246">
        <v>10</v>
      </c>
      <c r="N93" s="22" t="s">
        <v>2870</v>
      </c>
      <c r="O93" s="22" t="s">
        <v>6109</v>
      </c>
      <c r="P93" s="22" t="s">
        <v>2870</v>
      </c>
      <c r="Q93" s="243" t="s">
        <v>3114</v>
      </c>
      <c r="R93" s="243" t="s">
        <v>3133</v>
      </c>
      <c r="S93" s="247">
        <v>10400</v>
      </c>
      <c r="T93" s="247">
        <v>10400</v>
      </c>
      <c r="U93" s="247">
        <f t="shared" si="3"/>
        <v>0</v>
      </c>
      <c r="V93" s="248">
        <v>9600.0499999999993</v>
      </c>
      <c r="X93" s="243" t="str">
        <f t="shared" si="4"/>
        <v>Infra Cost PwC Invoicing Tool</v>
      </c>
      <c r="Y93" s="243" t="s">
        <v>5794</v>
      </c>
    </row>
    <row r="94" spans="1:25" hidden="1" x14ac:dyDescent="0.25">
      <c r="A94" s="243" t="s">
        <v>2287</v>
      </c>
      <c r="B94" s="243" t="s">
        <v>6115</v>
      </c>
      <c r="C94" s="243">
        <v>68427709</v>
      </c>
      <c r="D94" s="244" t="s">
        <v>36</v>
      </c>
      <c r="E94" s="243" t="s">
        <v>37</v>
      </c>
      <c r="F94" s="243" t="s">
        <v>33</v>
      </c>
      <c r="G94" s="245"/>
      <c r="H94" s="243" t="s">
        <v>2286</v>
      </c>
      <c r="I94" s="243">
        <v>120252</v>
      </c>
      <c r="J94" s="243" t="s">
        <v>657</v>
      </c>
      <c r="L94" s="246">
        <v>5401023588</v>
      </c>
      <c r="M94" s="246">
        <v>10</v>
      </c>
      <c r="N94" s="22" t="s">
        <v>2870</v>
      </c>
      <c r="O94" s="22" t="s">
        <v>6109</v>
      </c>
      <c r="P94" s="22" t="s">
        <v>2870</v>
      </c>
      <c r="Q94" s="243" t="s">
        <v>3114</v>
      </c>
      <c r="R94" s="243" t="s">
        <v>3133</v>
      </c>
      <c r="S94" s="247">
        <v>10400</v>
      </c>
      <c r="T94" s="247">
        <v>10400</v>
      </c>
      <c r="U94" s="247">
        <f t="shared" si="3"/>
        <v>0</v>
      </c>
      <c r="V94" s="248">
        <v>9600.0499999999993</v>
      </c>
      <c r="X94" s="243" t="str">
        <f t="shared" si="4"/>
        <v>Infra Cost Comscale</v>
      </c>
      <c r="Y94" s="243" t="s">
        <v>5794</v>
      </c>
    </row>
    <row r="95" spans="1:25" hidden="1" x14ac:dyDescent="0.25">
      <c r="A95" s="243" t="s">
        <v>2291</v>
      </c>
      <c r="B95" s="243" t="s">
        <v>6115</v>
      </c>
      <c r="C95" s="243">
        <v>68427709</v>
      </c>
      <c r="D95" s="244" t="s">
        <v>36</v>
      </c>
      <c r="E95" s="243" t="s">
        <v>37</v>
      </c>
      <c r="F95" s="243" t="s">
        <v>33</v>
      </c>
      <c r="G95" s="245"/>
      <c r="H95" s="243" t="s">
        <v>2290</v>
      </c>
      <c r="I95" s="243">
        <v>120252</v>
      </c>
      <c r="J95" s="243" t="s">
        <v>657</v>
      </c>
      <c r="L95" s="246">
        <v>5401023588</v>
      </c>
      <c r="M95" s="246">
        <v>10</v>
      </c>
      <c r="N95" s="22" t="s">
        <v>2870</v>
      </c>
      <c r="O95" s="22" t="s">
        <v>6109</v>
      </c>
      <c r="P95" s="22" t="s">
        <v>2870</v>
      </c>
      <c r="Q95" s="243" t="s">
        <v>3114</v>
      </c>
      <c r="R95" s="243" t="s">
        <v>3133</v>
      </c>
      <c r="S95" s="247">
        <v>10400</v>
      </c>
      <c r="T95" s="247">
        <v>10400</v>
      </c>
      <c r="U95" s="247">
        <f t="shared" si="3"/>
        <v>0</v>
      </c>
      <c r="V95" s="248">
        <v>9600.0499999999993</v>
      </c>
      <c r="X95" s="243" t="str">
        <f t="shared" si="4"/>
        <v>Infra Cost HarvesterStore (Nordics)</v>
      </c>
      <c r="Y95" s="243" t="s">
        <v>5794</v>
      </c>
    </row>
    <row r="96" spans="1:25" hidden="1" x14ac:dyDescent="0.25">
      <c r="A96" s="243" t="s">
        <v>2206</v>
      </c>
      <c r="B96" s="243" t="s">
        <v>6115</v>
      </c>
      <c r="C96" s="243">
        <v>68427709</v>
      </c>
      <c r="D96" s="244" t="s">
        <v>36</v>
      </c>
      <c r="E96" s="243" t="s">
        <v>37</v>
      </c>
      <c r="F96" s="243" t="s">
        <v>33</v>
      </c>
      <c r="G96" s="245"/>
      <c r="H96" s="243" t="s">
        <v>2205</v>
      </c>
      <c r="I96" s="243">
        <v>120252</v>
      </c>
      <c r="J96" s="243" t="s">
        <v>657</v>
      </c>
      <c r="L96" s="246"/>
      <c r="M96" s="246"/>
      <c r="N96" s="22" t="s">
        <v>2870</v>
      </c>
      <c r="O96" s="22" t="s">
        <v>6109</v>
      </c>
      <c r="P96" s="22" t="s">
        <v>2870</v>
      </c>
      <c r="Q96" s="243" t="s">
        <v>3114</v>
      </c>
      <c r="R96" s="243" t="s">
        <v>3133</v>
      </c>
      <c r="S96" s="247">
        <v>0</v>
      </c>
      <c r="T96" s="247">
        <v>0</v>
      </c>
      <c r="U96" s="247">
        <f t="shared" si="3"/>
        <v>0</v>
      </c>
      <c r="V96" s="248">
        <v>0</v>
      </c>
      <c r="X96" s="243" t="str">
        <f t="shared" si="4"/>
        <v>Infra Cost PLM4Process (Kalypso)</v>
      </c>
      <c r="Y96" s="243" t="s">
        <v>5794</v>
      </c>
    </row>
    <row r="97" spans="1:25" hidden="1" x14ac:dyDescent="0.25">
      <c r="A97" s="243" t="s">
        <v>2208</v>
      </c>
      <c r="B97" s="243" t="s">
        <v>6115</v>
      </c>
      <c r="C97" s="243">
        <v>68427709</v>
      </c>
      <c r="D97" s="244" t="s">
        <v>36</v>
      </c>
      <c r="E97" s="243" t="s">
        <v>37</v>
      </c>
      <c r="F97" s="243" t="s">
        <v>33</v>
      </c>
      <c r="G97" s="245"/>
      <c r="H97" s="243" t="s">
        <v>2207</v>
      </c>
      <c r="I97" s="243">
        <v>120252</v>
      </c>
      <c r="J97" s="243" t="s">
        <v>657</v>
      </c>
      <c r="L97" s="246"/>
      <c r="M97" s="246"/>
      <c r="N97" s="22" t="s">
        <v>2870</v>
      </c>
      <c r="O97" s="22" t="s">
        <v>6109</v>
      </c>
      <c r="P97" s="22" t="s">
        <v>2870</v>
      </c>
      <c r="Q97" s="243" t="s">
        <v>3114</v>
      </c>
      <c r="R97" s="243" t="s">
        <v>3133</v>
      </c>
      <c r="S97" s="247">
        <v>0</v>
      </c>
      <c r="T97" s="247">
        <v>0</v>
      </c>
      <c r="U97" s="247">
        <f t="shared" ref="U97:U116" si="5">T97-S97</f>
        <v>0</v>
      </c>
      <c r="V97" s="248">
        <v>0</v>
      </c>
      <c r="X97" s="243" t="str">
        <f t="shared" si="4"/>
        <v>Infra Cost Concur Expense</v>
      </c>
      <c r="Y97" s="243" t="s">
        <v>5794</v>
      </c>
    </row>
    <row r="98" spans="1:25" hidden="1" x14ac:dyDescent="0.25">
      <c r="A98" s="243" t="s">
        <v>2214</v>
      </c>
      <c r="B98" s="243" t="s">
        <v>6115</v>
      </c>
      <c r="C98" s="243">
        <v>68427709</v>
      </c>
      <c r="D98" s="244" t="s">
        <v>36</v>
      </c>
      <c r="E98" s="243" t="s">
        <v>37</v>
      </c>
      <c r="F98" s="243" t="s">
        <v>33</v>
      </c>
      <c r="G98" s="245"/>
      <c r="H98" s="243" t="s">
        <v>2213</v>
      </c>
      <c r="I98" s="243">
        <v>120252</v>
      </c>
      <c r="J98" s="243" t="s">
        <v>657</v>
      </c>
      <c r="L98" s="246"/>
      <c r="M98" s="246"/>
      <c r="N98" s="22" t="s">
        <v>2870</v>
      </c>
      <c r="O98" s="22" t="s">
        <v>6109</v>
      </c>
      <c r="P98" s="22" t="s">
        <v>2870</v>
      </c>
      <c r="Q98" s="243" t="s">
        <v>3114</v>
      </c>
      <c r="R98" s="243" t="s">
        <v>3133</v>
      </c>
      <c r="S98" s="247">
        <v>0</v>
      </c>
      <c r="T98" s="247">
        <v>0</v>
      </c>
      <c r="U98" s="247">
        <f t="shared" si="5"/>
        <v>0</v>
      </c>
      <c r="V98" s="248">
        <v>0</v>
      </c>
      <c r="X98" s="243" t="str">
        <f t="shared" si="4"/>
        <v>Infra Cost TAS</v>
      </c>
      <c r="Y98" s="243" t="s">
        <v>5794</v>
      </c>
    </row>
    <row r="99" spans="1:25" hidden="1" x14ac:dyDescent="0.25">
      <c r="A99" s="243" t="s">
        <v>2222</v>
      </c>
      <c r="B99" s="243" t="s">
        <v>6115</v>
      </c>
      <c r="C99" s="243">
        <v>68427709</v>
      </c>
      <c r="D99" s="244" t="s">
        <v>36</v>
      </c>
      <c r="E99" s="243" t="s">
        <v>37</v>
      </c>
      <c r="F99" s="243" t="s">
        <v>33</v>
      </c>
      <c r="G99" s="245"/>
      <c r="H99" s="243" t="s">
        <v>2221</v>
      </c>
      <c r="I99" s="243">
        <v>120252</v>
      </c>
      <c r="J99" s="243" t="s">
        <v>657</v>
      </c>
      <c r="L99" s="246">
        <v>5401023588</v>
      </c>
      <c r="M99" s="246">
        <v>10</v>
      </c>
      <c r="N99" s="22" t="s">
        <v>2870</v>
      </c>
      <c r="O99" s="22" t="s">
        <v>6109</v>
      </c>
      <c r="P99" s="22" t="s">
        <v>2870</v>
      </c>
      <c r="Q99" s="243" t="s">
        <v>3114</v>
      </c>
      <c r="R99" s="243" t="s">
        <v>3133</v>
      </c>
      <c r="S99" s="247">
        <v>31000</v>
      </c>
      <c r="T99" s="247">
        <v>0</v>
      </c>
      <c r="U99" s="247">
        <f t="shared" si="5"/>
        <v>-31000</v>
      </c>
      <c r="V99" s="248">
        <v>0</v>
      </c>
      <c r="X99" s="243" t="str">
        <f t="shared" si="4"/>
        <v>Infra Cost Qlikview</v>
      </c>
      <c r="Y99" s="243" t="s">
        <v>1800</v>
      </c>
    </row>
    <row r="100" spans="1:25" hidden="1" x14ac:dyDescent="0.25">
      <c r="A100" s="243" t="s">
        <v>2246</v>
      </c>
      <c r="B100" s="243" t="s">
        <v>6115</v>
      </c>
      <c r="C100" s="243">
        <v>68427709</v>
      </c>
      <c r="D100" s="244" t="s">
        <v>36</v>
      </c>
      <c r="E100" s="243" t="s">
        <v>37</v>
      </c>
      <c r="F100" s="243" t="s">
        <v>33</v>
      </c>
      <c r="G100" s="245"/>
      <c r="H100" s="243" t="s">
        <v>2245</v>
      </c>
      <c r="I100" s="243">
        <v>120252</v>
      </c>
      <c r="J100" s="243" t="s">
        <v>657</v>
      </c>
      <c r="L100" s="246">
        <v>5401023588</v>
      </c>
      <c r="M100" s="246">
        <v>10</v>
      </c>
      <c r="N100" s="22" t="s">
        <v>2870</v>
      </c>
      <c r="O100" s="22" t="s">
        <v>6109</v>
      </c>
      <c r="P100" s="22" t="s">
        <v>2870</v>
      </c>
      <c r="Q100" s="243" t="s">
        <v>3114</v>
      </c>
      <c r="R100" s="243" t="s">
        <v>3133</v>
      </c>
      <c r="S100" s="247">
        <v>10400</v>
      </c>
      <c r="T100" s="247">
        <v>0</v>
      </c>
      <c r="U100" s="247">
        <f t="shared" si="5"/>
        <v>-10400</v>
      </c>
      <c r="V100" s="248">
        <v>0</v>
      </c>
      <c r="X100" s="243" t="str">
        <f t="shared" si="4"/>
        <v>Infra Cost PDM</v>
      </c>
      <c r="Y100" s="243" t="s">
        <v>1800</v>
      </c>
    </row>
    <row r="101" spans="1:25" hidden="1" x14ac:dyDescent="0.25">
      <c r="A101" s="243" t="s">
        <v>2293</v>
      </c>
      <c r="B101" s="243" t="s">
        <v>6115</v>
      </c>
      <c r="C101" s="243">
        <v>68427709</v>
      </c>
      <c r="D101" s="244" t="s">
        <v>36</v>
      </c>
      <c r="E101" s="243" t="s">
        <v>37</v>
      </c>
      <c r="F101" s="243" t="s">
        <v>33</v>
      </c>
      <c r="G101" s="245"/>
      <c r="H101" s="243" t="s">
        <v>2292</v>
      </c>
      <c r="I101" s="243">
        <v>120252</v>
      </c>
      <c r="J101" s="243" t="s">
        <v>657</v>
      </c>
      <c r="L101" s="246">
        <v>5401023588</v>
      </c>
      <c r="M101" s="246">
        <v>10</v>
      </c>
      <c r="N101" s="243" t="s">
        <v>2870</v>
      </c>
      <c r="O101" s="243" t="s">
        <v>6109</v>
      </c>
      <c r="P101" s="92" t="s">
        <v>2870</v>
      </c>
      <c r="Q101" s="243" t="s">
        <v>3114</v>
      </c>
      <c r="R101" s="243" t="s">
        <v>3133</v>
      </c>
      <c r="S101" s="247">
        <v>10400</v>
      </c>
      <c r="T101" s="247">
        <v>0</v>
      </c>
      <c r="U101" s="247">
        <f t="shared" si="5"/>
        <v>-10400</v>
      </c>
      <c r="V101" s="248">
        <v>0</v>
      </c>
      <c r="X101" s="243" t="str">
        <f t="shared" si="4"/>
        <v>Infra Cost KEVOX</v>
      </c>
      <c r="Y101" s="243" t="s">
        <v>1800</v>
      </c>
    </row>
    <row r="102" spans="1:25" hidden="1" x14ac:dyDescent="0.25">
      <c r="A102" s="243" t="s">
        <v>2435</v>
      </c>
      <c r="B102" s="243" t="s">
        <v>6115</v>
      </c>
      <c r="C102" s="243">
        <v>68427709</v>
      </c>
      <c r="D102" s="244" t="s">
        <v>36</v>
      </c>
      <c r="E102" s="243" t="s">
        <v>37</v>
      </c>
      <c r="F102" s="243" t="s">
        <v>33</v>
      </c>
      <c r="G102" s="245" t="s">
        <v>3177</v>
      </c>
      <c r="H102" s="243" t="s">
        <v>3178</v>
      </c>
      <c r="I102" s="243">
        <v>120252</v>
      </c>
      <c r="J102" s="243" t="s">
        <v>657</v>
      </c>
      <c r="L102" s="243">
        <v>5401023588</v>
      </c>
      <c r="M102" s="246">
        <v>10</v>
      </c>
      <c r="N102" s="22" t="s">
        <v>2410</v>
      </c>
      <c r="O102" s="22" t="s">
        <v>6109</v>
      </c>
      <c r="P102" s="22" t="s">
        <v>2410</v>
      </c>
      <c r="Q102" s="243" t="s">
        <v>3114</v>
      </c>
      <c r="R102" s="243" t="s">
        <v>3133</v>
      </c>
      <c r="S102" s="247">
        <v>100000</v>
      </c>
      <c r="T102" s="247">
        <v>0</v>
      </c>
      <c r="U102" s="247">
        <f t="shared" si="5"/>
        <v>-100000</v>
      </c>
      <c r="V102" s="248">
        <v>0</v>
      </c>
      <c r="X102" s="243" t="str">
        <f t="shared" si="4"/>
        <v>Non-SAP Operations, Storage, VoC Hotel &amp; Service Management</v>
      </c>
      <c r="Y102" s="243" t="s">
        <v>1800</v>
      </c>
    </row>
    <row r="103" spans="1:25" hidden="1" x14ac:dyDescent="0.25">
      <c r="A103" s="243" t="s">
        <v>2495</v>
      </c>
      <c r="B103" s="243" t="s">
        <v>6115</v>
      </c>
      <c r="C103" s="243">
        <v>68427709</v>
      </c>
      <c r="D103" s="244" t="s">
        <v>36</v>
      </c>
      <c r="E103" s="243" t="s">
        <v>37</v>
      </c>
      <c r="F103" s="243" t="s">
        <v>33</v>
      </c>
      <c r="G103" s="245" t="s">
        <v>3177</v>
      </c>
      <c r="H103" s="243" t="s">
        <v>3178</v>
      </c>
      <c r="I103" s="243">
        <v>120252</v>
      </c>
      <c r="J103" s="243" t="s">
        <v>657</v>
      </c>
      <c r="L103" s="246"/>
      <c r="M103" s="246">
        <v>10</v>
      </c>
      <c r="N103" s="92" t="s">
        <v>2870</v>
      </c>
      <c r="O103" s="92" t="s">
        <v>6109</v>
      </c>
      <c r="P103" s="92" t="s">
        <v>2870</v>
      </c>
      <c r="Q103" s="243" t="s">
        <v>3114</v>
      </c>
      <c r="R103" s="243" t="s">
        <v>3098</v>
      </c>
      <c r="S103" s="247">
        <v>0</v>
      </c>
      <c r="T103" s="247">
        <v>0</v>
      </c>
      <c r="U103" s="247">
        <f t="shared" si="5"/>
        <v>0</v>
      </c>
      <c r="V103" s="248">
        <v>0</v>
      </c>
      <c r="X103" s="243" t="str">
        <f t="shared" si="4"/>
        <v>Atos Bonus</v>
      </c>
      <c r="Y103" s="243" t="s">
        <v>5794</v>
      </c>
    </row>
    <row r="104" spans="1:25" hidden="1" x14ac:dyDescent="0.25">
      <c r="A104" s="22" t="s">
        <v>1626</v>
      </c>
      <c r="C104" s="243">
        <v>68427709</v>
      </c>
      <c r="D104" s="244" t="s">
        <v>38</v>
      </c>
      <c r="E104" s="243" t="s">
        <v>39</v>
      </c>
      <c r="F104" s="92" t="s">
        <v>33</v>
      </c>
      <c r="G104" s="245" t="s">
        <v>2448</v>
      </c>
      <c r="H104" s="243" t="s">
        <v>3189</v>
      </c>
      <c r="I104" s="243">
        <v>187516</v>
      </c>
      <c r="J104" s="243" t="s">
        <v>799</v>
      </c>
      <c r="L104" s="249"/>
      <c r="M104" s="246"/>
      <c r="N104" s="92" t="s">
        <v>2410</v>
      </c>
      <c r="O104" s="92" t="s">
        <v>6109</v>
      </c>
      <c r="P104" s="22" t="s">
        <v>2410</v>
      </c>
      <c r="Q104" s="253" t="s">
        <v>3124</v>
      </c>
      <c r="R104" s="243" t="s">
        <v>3133</v>
      </c>
      <c r="S104" s="247">
        <v>50000</v>
      </c>
      <c r="T104" s="247">
        <v>50000</v>
      </c>
      <c r="U104" s="247">
        <f t="shared" si="5"/>
        <v>0</v>
      </c>
      <c r="V104" s="248">
        <v>46154.07</v>
      </c>
      <c r="X104" s="243" t="str">
        <f t="shared" si="4"/>
        <v>MICR support fee (Data protector)</v>
      </c>
      <c r="Y104" s="243" t="s">
        <v>5794</v>
      </c>
    </row>
    <row r="105" spans="1:25" hidden="1" x14ac:dyDescent="0.25">
      <c r="A105" s="243" t="s">
        <v>2927</v>
      </c>
      <c r="B105" s="243" t="s">
        <v>3307</v>
      </c>
      <c r="C105" s="243">
        <v>68427709</v>
      </c>
      <c r="D105" s="244" t="s">
        <v>38</v>
      </c>
      <c r="E105" s="243" t="s">
        <v>39</v>
      </c>
      <c r="F105" s="243" t="s">
        <v>33</v>
      </c>
      <c r="G105" s="245" t="s">
        <v>2445</v>
      </c>
      <c r="H105" s="243" t="s">
        <v>3116</v>
      </c>
      <c r="I105" s="243">
        <v>187516</v>
      </c>
      <c r="J105" s="243" t="s">
        <v>799</v>
      </c>
      <c r="L105" s="246"/>
      <c r="M105" s="246"/>
      <c r="N105" s="22" t="s">
        <v>2410</v>
      </c>
      <c r="O105" s="22" t="s">
        <v>6109</v>
      </c>
      <c r="P105" s="22" t="s">
        <v>2410</v>
      </c>
      <c r="Q105" s="243" t="s">
        <v>3114</v>
      </c>
      <c r="R105" s="243" t="s">
        <v>3133</v>
      </c>
      <c r="S105" s="247">
        <v>50000</v>
      </c>
      <c r="T105" s="247">
        <v>25000</v>
      </c>
      <c r="U105" s="247">
        <f t="shared" si="5"/>
        <v>-25000</v>
      </c>
      <c r="V105" s="248">
        <v>23077.040000000001</v>
      </c>
      <c r="X105" s="243" t="str">
        <f t="shared" si="4"/>
        <v>T&amp;M Infrastructure changes; VDI, adding DNS records, modifying volumes (Infra)</v>
      </c>
      <c r="Y105" s="243" t="s">
        <v>5792</v>
      </c>
    </row>
    <row r="106" spans="1:25" hidden="1" x14ac:dyDescent="0.25">
      <c r="A106" s="243" t="s">
        <v>2928</v>
      </c>
      <c r="B106" s="243" t="s">
        <v>3307</v>
      </c>
      <c r="C106" s="243">
        <v>68427709</v>
      </c>
      <c r="D106" s="244" t="s">
        <v>38</v>
      </c>
      <c r="E106" s="243" t="s">
        <v>39</v>
      </c>
      <c r="F106" s="243" t="s">
        <v>33</v>
      </c>
      <c r="G106" s="245" t="s">
        <v>2445</v>
      </c>
      <c r="H106" s="243" t="s">
        <v>3116</v>
      </c>
      <c r="I106" s="243">
        <v>187516</v>
      </c>
      <c r="J106" s="243" t="s">
        <v>799</v>
      </c>
      <c r="L106" s="246"/>
      <c r="M106" s="246"/>
      <c r="N106" s="22" t="s">
        <v>2410</v>
      </c>
      <c r="O106" s="22" t="s">
        <v>6109</v>
      </c>
      <c r="P106" s="22" t="s">
        <v>2410</v>
      </c>
      <c r="Q106" s="243" t="s">
        <v>3114</v>
      </c>
      <c r="R106" s="243" t="s">
        <v>3133</v>
      </c>
      <c r="S106" s="247">
        <v>49920</v>
      </c>
      <c r="T106" s="247">
        <v>25000</v>
      </c>
      <c r="U106" s="247">
        <f t="shared" si="5"/>
        <v>-24920</v>
      </c>
      <c r="V106" s="248">
        <v>23077.040000000001</v>
      </c>
      <c r="X106" s="243" t="str">
        <f t="shared" si="4"/>
        <v>T&amp;M Maintenance Projects, interfacing (Infra)</v>
      </c>
      <c r="Y106" s="243" t="s">
        <v>5792</v>
      </c>
    </row>
    <row r="107" spans="1:25" hidden="1" x14ac:dyDescent="0.25">
      <c r="A107" s="243" t="s">
        <v>1574</v>
      </c>
      <c r="C107" s="243">
        <v>68427709</v>
      </c>
      <c r="D107" s="244" t="s">
        <v>38</v>
      </c>
      <c r="E107" s="243" t="s">
        <v>39</v>
      </c>
      <c r="F107" s="243" t="s">
        <v>33</v>
      </c>
      <c r="G107" s="245" t="s">
        <v>2445</v>
      </c>
      <c r="H107" s="243" t="s">
        <v>3116</v>
      </c>
      <c r="J107" s="243" t="s">
        <v>1575</v>
      </c>
      <c r="M107" s="246"/>
      <c r="N107" s="22" t="s">
        <v>2410</v>
      </c>
      <c r="O107" s="22" t="s">
        <v>6109</v>
      </c>
      <c r="P107" s="22" t="s">
        <v>2410</v>
      </c>
      <c r="Q107" s="243" t="s">
        <v>3114</v>
      </c>
      <c r="R107" s="243" t="s">
        <v>3133</v>
      </c>
      <c r="S107" s="247">
        <v>25000</v>
      </c>
      <c r="T107" s="247">
        <v>25000</v>
      </c>
      <c r="U107" s="247">
        <f t="shared" si="5"/>
        <v>0</v>
      </c>
      <c r="V107" s="248">
        <v>23077.040000000001</v>
      </c>
      <c r="X107" s="243" t="str">
        <f t="shared" si="4"/>
        <v>Software assurance (StoreOnce)</v>
      </c>
      <c r="Y107" s="243" t="s">
        <v>5794</v>
      </c>
    </row>
    <row r="108" spans="1:25" hidden="1" x14ac:dyDescent="0.25">
      <c r="A108" s="22" t="s">
        <v>2687</v>
      </c>
      <c r="C108" s="243">
        <v>68427709</v>
      </c>
      <c r="D108" s="244" t="s">
        <v>38</v>
      </c>
      <c r="E108" s="243" t="s">
        <v>39</v>
      </c>
      <c r="F108" s="92" t="s">
        <v>33</v>
      </c>
      <c r="G108" s="245" t="s">
        <v>2448</v>
      </c>
      <c r="H108" s="243" t="s">
        <v>3189</v>
      </c>
      <c r="I108" s="243">
        <v>187516</v>
      </c>
      <c r="J108" s="243" t="s">
        <v>799</v>
      </c>
      <c r="L108" s="249"/>
      <c r="M108" s="246"/>
      <c r="N108" s="92" t="s">
        <v>2410</v>
      </c>
      <c r="O108" s="92" t="s">
        <v>6109</v>
      </c>
      <c r="P108" s="22" t="s">
        <v>2410</v>
      </c>
      <c r="Q108" s="253" t="s">
        <v>3124</v>
      </c>
      <c r="R108" s="243" t="s">
        <v>3133</v>
      </c>
      <c r="S108" s="247">
        <v>12500</v>
      </c>
      <c r="T108" s="247">
        <v>12500</v>
      </c>
      <c r="U108" s="247">
        <f t="shared" si="5"/>
        <v>0</v>
      </c>
      <c r="V108" s="248">
        <v>11538.52</v>
      </c>
      <c r="X108" s="243" t="str">
        <f t="shared" si="4"/>
        <v>Software assurance (StoreOnce or another backup solution)</v>
      </c>
      <c r="Y108" s="243" t="s">
        <v>5794</v>
      </c>
    </row>
    <row r="109" spans="1:25" hidden="1" x14ac:dyDescent="0.25">
      <c r="A109" s="243" t="s">
        <v>1569</v>
      </c>
      <c r="C109" s="243">
        <v>68427709</v>
      </c>
      <c r="D109" s="244" t="s">
        <v>38</v>
      </c>
      <c r="E109" s="243" t="s">
        <v>39</v>
      </c>
      <c r="F109" s="243" t="s">
        <v>33</v>
      </c>
      <c r="G109" s="245" t="s">
        <v>2448</v>
      </c>
      <c r="H109" s="243" t="s">
        <v>3189</v>
      </c>
      <c r="I109" s="243">
        <v>187516</v>
      </c>
      <c r="J109" s="243" t="s">
        <v>799</v>
      </c>
      <c r="L109" s="246"/>
      <c r="M109" s="246"/>
      <c r="N109" s="22" t="s">
        <v>2410</v>
      </c>
      <c r="O109" s="22" t="s">
        <v>6109</v>
      </c>
      <c r="P109" s="22" t="s">
        <v>2410</v>
      </c>
      <c r="Q109" s="253" t="s">
        <v>3124</v>
      </c>
      <c r="R109" s="243" t="s">
        <v>3133</v>
      </c>
      <c r="S109" s="247">
        <v>20000</v>
      </c>
      <c r="T109" s="247">
        <v>10000</v>
      </c>
      <c r="U109" s="247">
        <f t="shared" si="5"/>
        <v>-10000</v>
      </c>
      <c r="V109" s="248">
        <v>9230.81</v>
      </c>
      <c r="X109" s="243" t="str">
        <f t="shared" si="4"/>
        <v>MU NSSR support</v>
      </c>
      <c r="Y109" s="243" t="s">
        <v>5792</v>
      </c>
    </row>
    <row r="110" spans="1:25" hidden="1" x14ac:dyDescent="0.25">
      <c r="A110" s="22" t="s">
        <v>2685</v>
      </c>
      <c r="C110" s="243">
        <v>68427709</v>
      </c>
      <c r="D110" s="244" t="s">
        <v>38</v>
      </c>
      <c r="E110" s="243" t="s">
        <v>39</v>
      </c>
      <c r="F110" s="92" t="s">
        <v>33</v>
      </c>
      <c r="G110" s="245" t="s">
        <v>2448</v>
      </c>
      <c r="H110" s="243" t="s">
        <v>3189</v>
      </c>
      <c r="I110" s="243">
        <v>187516</v>
      </c>
      <c r="J110" s="243" t="s">
        <v>799</v>
      </c>
      <c r="L110" s="249"/>
      <c r="M110" s="246"/>
      <c r="N110" s="92" t="s">
        <v>2410</v>
      </c>
      <c r="O110" s="92" t="s">
        <v>6109</v>
      </c>
      <c r="P110" s="22" t="s">
        <v>2410</v>
      </c>
      <c r="Q110" s="253" t="s">
        <v>3124</v>
      </c>
      <c r="R110" s="243" t="s">
        <v>3133</v>
      </c>
      <c r="S110" s="247">
        <v>10000</v>
      </c>
      <c r="T110" s="247">
        <v>10000</v>
      </c>
      <c r="U110" s="247">
        <f t="shared" si="5"/>
        <v>0</v>
      </c>
      <c r="V110" s="248">
        <v>9230.81</v>
      </c>
      <c r="X110" s="243" t="str">
        <f t="shared" si="4"/>
        <v>Non-Standard Services (StoreOnce or another backup solution )</v>
      </c>
      <c r="Y110" s="243" t="s">
        <v>5794</v>
      </c>
    </row>
    <row r="111" spans="1:25" x14ac:dyDescent="0.25">
      <c r="A111" s="92" t="s">
        <v>3129</v>
      </c>
      <c r="C111" s="243">
        <v>68427709</v>
      </c>
      <c r="D111" s="244" t="s">
        <v>44</v>
      </c>
      <c r="E111" s="92" t="s">
        <v>75</v>
      </c>
      <c r="F111" s="92" t="s">
        <v>46</v>
      </c>
      <c r="G111" s="245" t="s">
        <v>3096</v>
      </c>
      <c r="H111" s="243" t="s">
        <v>3128</v>
      </c>
      <c r="I111" s="243">
        <v>187516</v>
      </c>
      <c r="J111" s="92" t="s">
        <v>799</v>
      </c>
      <c r="K111" s="92"/>
      <c r="L111" s="93"/>
      <c r="M111" s="93"/>
      <c r="N111" s="243" t="s">
        <v>2843</v>
      </c>
      <c r="O111" s="243" t="s">
        <v>6109</v>
      </c>
      <c r="P111" s="92" t="s">
        <v>2843</v>
      </c>
      <c r="Q111" s="219" t="s">
        <v>3104</v>
      </c>
      <c r="R111" s="92" t="s">
        <v>42</v>
      </c>
      <c r="S111" s="247">
        <v>150000</v>
      </c>
      <c r="T111" s="247">
        <v>150000</v>
      </c>
      <c r="U111" s="247">
        <f t="shared" si="5"/>
        <v>0</v>
      </c>
      <c r="V111" s="248">
        <v>138462.22</v>
      </c>
      <c r="X111" s="243" t="str">
        <f t="shared" si="4"/>
        <v>Ad hoc support compliance (AMS)</v>
      </c>
      <c r="Y111" s="243" t="s">
        <v>5794</v>
      </c>
    </row>
    <row r="112" spans="1:25" x14ac:dyDescent="0.25">
      <c r="A112" s="243" t="s">
        <v>2845</v>
      </c>
      <c r="B112" s="243" t="s">
        <v>3185</v>
      </c>
      <c r="C112" s="243">
        <v>68427709</v>
      </c>
      <c r="D112" s="244" t="s">
        <v>59</v>
      </c>
      <c r="E112" s="243" t="s">
        <v>60</v>
      </c>
      <c r="F112" s="243" t="s">
        <v>46</v>
      </c>
      <c r="G112" s="245" t="s">
        <v>3144</v>
      </c>
      <c r="H112" s="243" t="s">
        <v>3186</v>
      </c>
      <c r="I112" s="243">
        <v>192268</v>
      </c>
      <c r="J112" s="243" t="s">
        <v>3187</v>
      </c>
      <c r="L112" s="246">
        <v>5400864541</v>
      </c>
      <c r="M112" s="246">
        <v>30</v>
      </c>
      <c r="N112" s="243" t="s">
        <v>2843</v>
      </c>
      <c r="O112" s="243" t="s">
        <v>6109</v>
      </c>
      <c r="P112" s="22" t="s">
        <v>2843</v>
      </c>
      <c r="Q112" s="243" t="s">
        <v>3114</v>
      </c>
      <c r="R112" s="243" t="s">
        <v>42</v>
      </c>
      <c r="S112" s="247">
        <v>10700</v>
      </c>
      <c r="T112" s="247">
        <v>11000</v>
      </c>
      <c r="U112" s="247">
        <f t="shared" si="5"/>
        <v>300</v>
      </c>
      <c r="V112" s="248">
        <v>10153.9</v>
      </c>
      <c r="X112" s="243" t="str">
        <f t="shared" si="4"/>
        <v>Avecto</v>
      </c>
      <c r="Y112" s="243" t="s">
        <v>5793</v>
      </c>
    </row>
    <row r="113" spans="1:25" x14ac:dyDescent="0.25">
      <c r="A113" s="243" t="s">
        <v>1746</v>
      </c>
      <c r="C113" s="243">
        <v>68427709</v>
      </c>
      <c r="D113" s="244" t="s">
        <v>40</v>
      </c>
      <c r="E113" s="243" t="s">
        <v>42</v>
      </c>
      <c r="F113" s="243" t="s">
        <v>42</v>
      </c>
      <c r="G113" s="245" t="s">
        <v>2445</v>
      </c>
      <c r="H113" s="243" t="s">
        <v>3116</v>
      </c>
      <c r="I113" s="22"/>
      <c r="J113" s="22"/>
      <c r="K113" s="22"/>
      <c r="L113" s="249"/>
      <c r="M113" s="246"/>
      <c r="N113" s="243" t="s">
        <v>2843</v>
      </c>
      <c r="O113" s="243" t="s">
        <v>6109</v>
      </c>
      <c r="P113" s="243" t="s">
        <v>2843</v>
      </c>
      <c r="Q113" s="243" t="s">
        <v>3114</v>
      </c>
      <c r="R113" s="243" t="s">
        <v>42</v>
      </c>
      <c r="S113" s="247">
        <v>70000</v>
      </c>
      <c r="T113" s="247">
        <v>70000</v>
      </c>
      <c r="U113" s="247">
        <f t="shared" si="5"/>
        <v>0</v>
      </c>
      <c r="V113" s="248">
        <v>64615.7</v>
      </c>
      <c r="X113" s="243" t="str">
        <f t="shared" si="4"/>
        <v>Awareness Campaign</v>
      </c>
      <c r="Y113" s="243" t="s">
        <v>5794</v>
      </c>
    </row>
    <row r="114" spans="1:25" x14ac:dyDescent="0.25">
      <c r="A114" s="243" t="s">
        <v>689</v>
      </c>
      <c r="B114" s="243" t="s">
        <v>6117</v>
      </c>
      <c r="C114" s="243">
        <v>68427709</v>
      </c>
      <c r="D114" s="244" t="s">
        <v>40</v>
      </c>
      <c r="E114" s="243" t="s">
        <v>42</v>
      </c>
      <c r="F114" s="243" t="s">
        <v>46</v>
      </c>
      <c r="G114" s="245" t="s">
        <v>2445</v>
      </c>
      <c r="H114" s="243" t="s">
        <v>3116</v>
      </c>
      <c r="I114" s="255">
        <v>195870</v>
      </c>
      <c r="J114" s="243" t="s">
        <v>131</v>
      </c>
      <c r="L114" s="255">
        <v>5401030717</v>
      </c>
      <c r="M114" s="246">
        <v>10</v>
      </c>
      <c r="N114" s="243" t="s">
        <v>2843</v>
      </c>
      <c r="O114" s="243" t="s">
        <v>6109</v>
      </c>
      <c r="P114" s="22" t="s">
        <v>2843</v>
      </c>
      <c r="Q114" s="243" t="s">
        <v>3114</v>
      </c>
      <c r="R114" s="243" t="s">
        <v>42</v>
      </c>
      <c r="S114" s="247">
        <v>80000</v>
      </c>
      <c r="T114" s="247">
        <v>80000</v>
      </c>
      <c r="U114" s="247">
        <f t="shared" si="5"/>
        <v>0</v>
      </c>
      <c r="V114" s="248">
        <v>73846.52</v>
      </c>
      <c r="X114" s="243" t="str">
        <f t="shared" si="4"/>
        <v>Awareness standard e-training subscription</v>
      </c>
      <c r="Y114" s="243" t="s">
        <v>5794</v>
      </c>
    </row>
    <row r="115" spans="1:25" x14ac:dyDescent="0.25">
      <c r="A115" s="243" t="s">
        <v>1177</v>
      </c>
      <c r="B115" s="243" t="s">
        <v>6119</v>
      </c>
      <c r="C115" s="243">
        <v>68427709</v>
      </c>
      <c r="D115" s="244" t="s">
        <v>40</v>
      </c>
      <c r="E115" s="243" t="s">
        <v>42</v>
      </c>
      <c r="F115" s="243" t="s">
        <v>42</v>
      </c>
      <c r="G115" s="245" t="s">
        <v>2445</v>
      </c>
      <c r="H115" s="243" t="s">
        <v>3116</v>
      </c>
      <c r="I115" s="243">
        <v>187516</v>
      </c>
      <c r="J115" s="243" t="s">
        <v>799</v>
      </c>
      <c r="L115" s="246">
        <v>5400881922</v>
      </c>
      <c r="M115" s="246">
        <v>10</v>
      </c>
      <c r="N115" s="243" t="s">
        <v>2843</v>
      </c>
      <c r="O115" s="243" t="s">
        <v>6109</v>
      </c>
      <c r="P115" s="243" t="s">
        <v>2843</v>
      </c>
      <c r="Q115" s="243" t="s">
        <v>3114</v>
      </c>
      <c r="R115" s="243" t="s">
        <v>42</v>
      </c>
      <c r="S115" s="247">
        <v>30000</v>
      </c>
      <c r="T115" s="247">
        <v>31500</v>
      </c>
      <c r="U115" s="247">
        <f t="shared" si="5"/>
        <v>1500</v>
      </c>
      <c r="V115" s="248">
        <v>29077.07</v>
      </c>
      <c r="X115" s="243" t="str">
        <f t="shared" si="4"/>
        <v>Bitsight subscription</v>
      </c>
      <c r="Y115" s="243" t="s">
        <v>5793</v>
      </c>
    </row>
    <row r="116" spans="1:25" x14ac:dyDescent="0.25">
      <c r="A116" s="22" t="s">
        <v>3004</v>
      </c>
      <c r="C116" s="243">
        <v>68427709</v>
      </c>
      <c r="D116" s="244" t="s">
        <v>40</v>
      </c>
      <c r="E116" s="243" t="s">
        <v>42</v>
      </c>
      <c r="F116" s="243" t="s">
        <v>42</v>
      </c>
      <c r="G116" s="245"/>
      <c r="H116" s="243" t="s">
        <v>3275</v>
      </c>
      <c r="J116" s="22"/>
      <c r="K116" s="22"/>
      <c r="L116" s="249"/>
      <c r="M116" s="246"/>
      <c r="N116" s="92" t="s">
        <v>2843</v>
      </c>
      <c r="O116" s="92" t="s">
        <v>6109</v>
      </c>
      <c r="P116" s="22" t="s">
        <v>2843</v>
      </c>
      <c r="Q116" s="243" t="s">
        <v>3114</v>
      </c>
      <c r="R116" s="243" t="s">
        <v>42</v>
      </c>
      <c r="S116" s="247"/>
      <c r="T116" s="247">
        <v>100000</v>
      </c>
      <c r="U116" s="247">
        <f t="shared" si="5"/>
        <v>100000</v>
      </c>
      <c r="V116" s="248">
        <v>92308.15</v>
      </c>
      <c r="X116" s="243" t="str">
        <f t="shared" si="4"/>
        <v>Cyberark</v>
      </c>
      <c r="Y116" s="243" t="s">
        <v>1829</v>
      </c>
    </row>
    <row r="117" spans="1:25" x14ac:dyDescent="0.25">
      <c r="A117" s="312" t="s">
        <v>11</v>
      </c>
      <c r="B117" s="312" t="s">
        <v>3070</v>
      </c>
      <c r="C117" s="314" t="s">
        <v>299</v>
      </c>
      <c r="D117" s="312" t="s">
        <v>10</v>
      </c>
      <c r="E117" s="312" t="s">
        <v>3071</v>
      </c>
      <c r="F117" s="312" t="s">
        <v>3072</v>
      </c>
      <c r="G117" s="312" t="s">
        <v>3073</v>
      </c>
      <c r="H117" s="312" t="s">
        <v>3074</v>
      </c>
      <c r="I117" s="312" t="s">
        <v>3075</v>
      </c>
      <c r="J117" s="312" t="s">
        <v>3076</v>
      </c>
      <c r="K117" s="312" t="s">
        <v>6106</v>
      </c>
      <c r="L117" s="312" t="s">
        <v>3077</v>
      </c>
      <c r="M117" s="312" t="s">
        <v>3078</v>
      </c>
      <c r="N117" s="312" t="s">
        <v>3079</v>
      </c>
      <c r="O117" s="312" t="s">
        <v>6107</v>
      </c>
      <c r="P117" s="312" t="s">
        <v>3080</v>
      </c>
      <c r="Q117" s="312" t="s">
        <v>3081</v>
      </c>
      <c r="R117" s="320" t="s">
        <v>3082</v>
      </c>
      <c r="S117" s="322" t="s">
        <v>3084</v>
      </c>
      <c r="T117" s="322" t="s">
        <v>3085</v>
      </c>
      <c r="U117" s="322" t="s">
        <v>3086</v>
      </c>
      <c r="V117" s="314" t="s">
        <v>6108</v>
      </c>
      <c r="X117" s="243" t="str">
        <f t="shared" si="4"/>
        <v>Description</v>
      </c>
      <c r="Y117" s="243" t="s">
        <v>3069</v>
      </c>
    </row>
    <row r="118" spans="1:25" x14ac:dyDescent="0.25">
      <c r="A118" s="22" t="s">
        <v>2653</v>
      </c>
      <c r="C118" s="243">
        <v>68427709</v>
      </c>
      <c r="D118" s="244" t="s">
        <v>40</v>
      </c>
      <c r="E118" s="243" t="s">
        <v>42</v>
      </c>
      <c r="F118" s="243" t="s">
        <v>42</v>
      </c>
      <c r="G118" s="245" t="s">
        <v>2445</v>
      </c>
      <c r="H118" s="243" t="s">
        <v>3116</v>
      </c>
      <c r="I118" s="243">
        <v>187516</v>
      </c>
      <c r="J118" s="92" t="s">
        <v>799</v>
      </c>
      <c r="K118" s="92"/>
      <c r="L118" s="246">
        <v>5400912390</v>
      </c>
      <c r="M118" s="246">
        <v>10</v>
      </c>
      <c r="N118" s="243" t="s">
        <v>2843</v>
      </c>
      <c r="O118" s="243" t="s">
        <v>6109</v>
      </c>
      <c r="P118" s="92" t="s">
        <v>2843</v>
      </c>
      <c r="Q118" s="243" t="s">
        <v>3114</v>
      </c>
      <c r="R118" s="92" t="s">
        <v>42</v>
      </c>
      <c r="S118" s="247">
        <v>141000</v>
      </c>
      <c r="T118" s="247">
        <v>141000</v>
      </c>
      <c r="U118" s="247">
        <f t="shared" ref="U118:U181" si="6">T118-S118</f>
        <v>0</v>
      </c>
      <c r="V118" s="248">
        <v>130154.49</v>
      </c>
      <c r="X118" s="243" t="str">
        <f t="shared" si="4"/>
        <v>E5 Support contract (EUC)</v>
      </c>
      <c r="Y118" s="243" t="s">
        <v>5794</v>
      </c>
    </row>
    <row r="119" spans="1:25" x14ac:dyDescent="0.25">
      <c r="A119" s="22" t="s">
        <v>3305</v>
      </c>
      <c r="C119" s="243">
        <v>68427709</v>
      </c>
      <c r="D119" s="244" t="s">
        <v>40</v>
      </c>
      <c r="E119" s="243" t="s">
        <v>42</v>
      </c>
      <c r="F119" s="243" t="s">
        <v>42</v>
      </c>
      <c r="G119" s="245" t="s">
        <v>2445</v>
      </c>
      <c r="H119" s="243" t="s">
        <v>3116</v>
      </c>
      <c r="I119" s="22"/>
      <c r="J119" s="243" t="s">
        <v>6116</v>
      </c>
      <c r="L119" s="249">
        <v>5400913325</v>
      </c>
      <c r="M119" s="246">
        <v>20</v>
      </c>
      <c r="N119" s="243" t="s">
        <v>2843</v>
      </c>
      <c r="O119" s="243" t="s">
        <v>6109</v>
      </c>
      <c r="P119" s="92" t="s">
        <v>2843</v>
      </c>
      <c r="Q119" s="243" t="s">
        <v>3114</v>
      </c>
      <c r="R119" s="92" t="s">
        <v>42</v>
      </c>
      <c r="S119" s="247">
        <v>250000</v>
      </c>
      <c r="T119" s="247">
        <v>250000</v>
      </c>
      <c r="U119" s="247">
        <f t="shared" si="6"/>
        <v>0</v>
      </c>
      <c r="V119" s="248">
        <v>230770.37</v>
      </c>
      <c r="X119" s="243" t="str">
        <f t="shared" si="4"/>
        <v>Email Protection</v>
      </c>
      <c r="Y119" s="243" t="s">
        <v>5794</v>
      </c>
    </row>
    <row r="120" spans="1:25" x14ac:dyDescent="0.25">
      <c r="A120" s="243" t="s">
        <v>3367</v>
      </c>
      <c r="B120" s="243" t="s">
        <v>3368</v>
      </c>
      <c r="C120" s="243">
        <v>68427709</v>
      </c>
      <c r="D120" s="244" t="s">
        <v>54</v>
      </c>
      <c r="E120" s="243" t="s">
        <v>55</v>
      </c>
      <c r="F120" s="243" t="s">
        <v>46</v>
      </c>
      <c r="G120" s="245" t="s">
        <v>3096</v>
      </c>
      <c r="H120" s="243" t="s">
        <v>3369</v>
      </c>
      <c r="I120" s="243">
        <v>121208</v>
      </c>
      <c r="J120" s="243" t="s">
        <v>693</v>
      </c>
      <c r="L120" s="262">
        <v>5401018997</v>
      </c>
      <c r="M120" s="262">
        <v>10</v>
      </c>
      <c r="N120" s="243" t="s">
        <v>2843</v>
      </c>
      <c r="O120" s="243" t="s">
        <v>6109</v>
      </c>
      <c r="P120" s="22" t="s">
        <v>2843</v>
      </c>
      <c r="Q120" s="243" t="s">
        <v>3104</v>
      </c>
      <c r="R120" s="243" t="s">
        <v>42</v>
      </c>
      <c r="S120" s="247">
        <v>35000</v>
      </c>
      <c r="T120" s="247">
        <v>35000</v>
      </c>
      <c r="U120" s="247">
        <f t="shared" si="6"/>
        <v>0</v>
      </c>
      <c r="V120" s="248">
        <v>32307.85</v>
      </c>
      <c r="X120" s="243" t="str">
        <f t="shared" si="4"/>
        <v>GRC Access Controls</v>
      </c>
      <c r="Y120" s="243" t="s">
        <v>5794</v>
      </c>
    </row>
    <row r="121" spans="1:25" x14ac:dyDescent="0.25">
      <c r="A121" s="243" t="s">
        <v>3370</v>
      </c>
      <c r="B121" s="243" t="s">
        <v>3368</v>
      </c>
      <c r="C121" s="243">
        <v>68427709</v>
      </c>
      <c r="D121" s="244" t="s">
        <v>54</v>
      </c>
      <c r="E121" s="243" t="s">
        <v>55</v>
      </c>
      <c r="F121" s="243" t="s">
        <v>46</v>
      </c>
      <c r="G121" s="245" t="s">
        <v>3096</v>
      </c>
      <c r="H121" s="243" t="s">
        <v>3369</v>
      </c>
      <c r="I121" s="243">
        <v>121208</v>
      </c>
      <c r="J121" s="243" t="s">
        <v>693</v>
      </c>
      <c r="L121" s="262"/>
      <c r="M121" s="262">
        <v>10</v>
      </c>
      <c r="N121" s="243" t="s">
        <v>2843</v>
      </c>
      <c r="O121" s="243" t="s">
        <v>6109</v>
      </c>
      <c r="P121" s="22" t="s">
        <v>2843</v>
      </c>
      <c r="Q121" s="243" t="s">
        <v>3104</v>
      </c>
      <c r="R121" s="243" t="s">
        <v>42</v>
      </c>
      <c r="S121" s="247">
        <v>60000</v>
      </c>
      <c r="T121" s="247">
        <v>60000</v>
      </c>
      <c r="U121" s="247">
        <f t="shared" si="6"/>
        <v>0</v>
      </c>
      <c r="V121" s="248">
        <v>55384.89</v>
      </c>
      <c r="X121" s="243" t="str">
        <f t="shared" si="4"/>
        <v>GRC Process Control Support</v>
      </c>
      <c r="Y121" s="243" t="s">
        <v>5794</v>
      </c>
    </row>
    <row r="122" spans="1:25" x14ac:dyDescent="0.25">
      <c r="A122" s="22" t="s">
        <v>2962</v>
      </c>
      <c r="B122"/>
      <c r="C122">
        <v>68427709</v>
      </c>
      <c r="D122" s="91" t="s">
        <v>40</v>
      </c>
      <c r="E122" t="s">
        <v>42</v>
      </c>
      <c r="F122" t="s">
        <v>42</v>
      </c>
      <c r="G122" s="266" t="s">
        <v>2448</v>
      </c>
      <c r="H122" t="s">
        <v>2903</v>
      </c>
      <c r="I122"/>
      <c r="J122" s="22"/>
      <c r="K122" s="22"/>
      <c r="L122" s="203"/>
      <c r="M122" s="20"/>
      <c r="N122" s="267" t="s">
        <v>2843</v>
      </c>
      <c r="O122" t="s">
        <v>2903</v>
      </c>
      <c r="P122" t="s">
        <v>2843</v>
      </c>
      <c r="Q122" t="s">
        <v>3124</v>
      </c>
      <c r="R122" t="s">
        <v>2903</v>
      </c>
      <c r="S122" s="7"/>
      <c r="T122" s="7">
        <v>25000</v>
      </c>
      <c r="U122" s="247">
        <f t="shared" si="6"/>
        <v>25000</v>
      </c>
      <c r="V122" s="248">
        <v>25000</v>
      </c>
      <c r="W122"/>
      <c r="X122" s="243" t="str">
        <f t="shared" si="4"/>
        <v>ICAP File scanning Managed Service</v>
      </c>
      <c r="Y122" s="243" t="s">
        <v>1829</v>
      </c>
    </row>
    <row r="123" spans="1:25" x14ac:dyDescent="0.25">
      <c r="A123" s="243" t="s">
        <v>2850</v>
      </c>
      <c r="C123" s="243">
        <v>68427709</v>
      </c>
      <c r="D123" s="244" t="s">
        <v>44</v>
      </c>
      <c r="E123" s="92" t="s">
        <v>75</v>
      </c>
      <c r="F123" s="92" t="s">
        <v>46</v>
      </c>
      <c r="G123" s="245" t="s">
        <v>3096</v>
      </c>
      <c r="H123" s="243" t="s">
        <v>3128</v>
      </c>
      <c r="I123" s="243">
        <v>187516</v>
      </c>
      <c r="J123" s="243" t="s">
        <v>799</v>
      </c>
      <c r="L123" s="249"/>
      <c r="M123" s="246"/>
      <c r="N123" s="22" t="s">
        <v>2843</v>
      </c>
      <c r="O123" s="22" t="s">
        <v>6109</v>
      </c>
      <c r="P123" s="22" t="s">
        <v>2843</v>
      </c>
      <c r="Q123" s="22" t="s">
        <v>3104</v>
      </c>
      <c r="R123" s="243" t="s">
        <v>42</v>
      </c>
      <c r="S123" s="247"/>
      <c r="T123" s="247">
        <v>120000</v>
      </c>
      <c r="U123" s="247">
        <f t="shared" si="6"/>
        <v>120000</v>
      </c>
      <c r="V123" s="248">
        <v>110769.78</v>
      </c>
      <c r="X123" s="243" t="str">
        <f t="shared" si="4"/>
        <v>ICS (AMS) position)</v>
      </c>
      <c r="Y123" s="243" t="s">
        <v>1829</v>
      </c>
    </row>
    <row r="124" spans="1:25" hidden="1" x14ac:dyDescent="0.25">
      <c r="A124" s="92" t="s">
        <v>1067</v>
      </c>
      <c r="B124" s="243" t="s">
        <v>6121</v>
      </c>
      <c r="C124" s="243">
        <v>68427709</v>
      </c>
      <c r="D124" s="244" t="s">
        <v>44</v>
      </c>
      <c r="E124" s="92" t="s">
        <v>75</v>
      </c>
      <c r="F124" s="92" t="s">
        <v>46</v>
      </c>
      <c r="G124" s="245" t="s">
        <v>3096</v>
      </c>
      <c r="H124" s="243" t="s">
        <v>3128</v>
      </c>
      <c r="I124" s="243">
        <v>187516</v>
      </c>
      <c r="J124" s="92" t="s">
        <v>799</v>
      </c>
      <c r="K124" s="92"/>
      <c r="L124" s="256">
        <v>5401023508</v>
      </c>
      <c r="M124" s="93">
        <v>110</v>
      </c>
      <c r="N124" s="92" t="s">
        <v>2870</v>
      </c>
      <c r="O124" s="92" t="s">
        <v>6109</v>
      </c>
      <c r="P124" s="92" t="s">
        <v>3026</v>
      </c>
      <c r="Q124" s="92" t="s">
        <v>3104</v>
      </c>
      <c r="R124" s="92" t="s">
        <v>3098</v>
      </c>
      <c r="S124" s="247">
        <v>1331000</v>
      </c>
      <c r="T124" s="247">
        <v>924000</v>
      </c>
      <c r="U124" s="247">
        <f t="shared" si="6"/>
        <v>-407000</v>
      </c>
      <c r="V124" s="248">
        <v>852927.27</v>
      </c>
      <c r="X124" s="243" t="str">
        <f t="shared" si="4"/>
        <v>BAS Services</v>
      </c>
      <c r="Y124" s="243" t="s">
        <v>5792</v>
      </c>
    </row>
    <row r="125" spans="1:25" hidden="1" x14ac:dyDescent="0.25">
      <c r="A125" s="92" t="s">
        <v>3257</v>
      </c>
      <c r="B125" s="243" t="s">
        <v>6121</v>
      </c>
      <c r="C125" s="243">
        <v>68427709</v>
      </c>
      <c r="D125" s="244" t="s">
        <v>44</v>
      </c>
      <c r="E125" s="92" t="s">
        <v>75</v>
      </c>
      <c r="F125" s="92" t="s">
        <v>46</v>
      </c>
      <c r="G125" s="245" t="s">
        <v>3096</v>
      </c>
      <c r="H125" s="243" t="s">
        <v>3128</v>
      </c>
      <c r="I125" s="243">
        <v>187516</v>
      </c>
      <c r="J125" s="92" t="s">
        <v>799</v>
      </c>
      <c r="K125" s="92"/>
      <c r="L125" s="256">
        <v>5401023508</v>
      </c>
      <c r="M125" s="93">
        <v>40</v>
      </c>
      <c r="N125" s="92" t="s">
        <v>2870</v>
      </c>
      <c r="O125" s="92" t="s">
        <v>6109</v>
      </c>
      <c r="P125" s="92" t="s">
        <v>3026</v>
      </c>
      <c r="Q125" s="92" t="s">
        <v>3104</v>
      </c>
      <c r="R125" s="92" t="s">
        <v>3098</v>
      </c>
      <c r="S125" s="247">
        <v>675000</v>
      </c>
      <c r="T125" s="247">
        <v>736500</v>
      </c>
      <c r="U125" s="247">
        <f t="shared" si="6"/>
        <v>61500</v>
      </c>
      <c r="V125" s="248">
        <v>679849.5</v>
      </c>
      <c r="X125" s="243" t="str">
        <f t="shared" si="4"/>
        <v>Core AMS - Foundation Services</v>
      </c>
      <c r="Y125" s="243" t="s">
        <v>5793</v>
      </c>
    </row>
    <row r="126" spans="1:25" hidden="1" x14ac:dyDescent="0.25">
      <c r="A126" s="243" t="s">
        <v>1219</v>
      </c>
      <c r="B126" s="243" t="s">
        <v>3520</v>
      </c>
      <c r="C126" s="243">
        <v>68427719</v>
      </c>
      <c r="D126" s="244" t="s">
        <v>44</v>
      </c>
      <c r="E126" s="92" t="s">
        <v>75</v>
      </c>
      <c r="F126" s="243" t="s">
        <v>46</v>
      </c>
      <c r="G126" s="245"/>
      <c r="H126" s="243" t="s">
        <v>3247</v>
      </c>
      <c r="I126" s="243">
        <v>210046</v>
      </c>
      <c r="J126" s="243" t="s">
        <v>3521</v>
      </c>
      <c r="L126" s="246">
        <v>5401020917</v>
      </c>
      <c r="M126" s="246">
        <v>10</v>
      </c>
      <c r="N126" s="92" t="s">
        <v>2800</v>
      </c>
      <c r="O126" s="92" t="s">
        <v>2800</v>
      </c>
      <c r="P126" s="92" t="s">
        <v>2800</v>
      </c>
      <c r="Q126" s="243" t="s">
        <v>3249</v>
      </c>
      <c r="R126" s="243" t="s">
        <v>3207</v>
      </c>
      <c r="S126" s="247">
        <v>650000</v>
      </c>
      <c r="T126" s="247">
        <v>725000</v>
      </c>
      <c r="U126" s="247">
        <f t="shared" si="6"/>
        <v>75000</v>
      </c>
      <c r="V126" s="257">
        <f>S126</f>
        <v>650000</v>
      </c>
      <c r="W126" s="243" t="s">
        <v>6122</v>
      </c>
      <c r="X126" s="243" t="str">
        <f t="shared" si="4"/>
        <v>Professional DevOps - QTC</v>
      </c>
      <c r="Y126" s="243" t="s">
        <v>5793</v>
      </c>
    </row>
    <row r="127" spans="1:25" hidden="1" x14ac:dyDescent="0.25">
      <c r="A127" s="243" t="s">
        <v>3063</v>
      </c>
      <c r="B127" s="243" t="s">
        <v>3307</v>
      </c>
      <c r="C127" s="243">
        <v>68427709</v>
      </c>
      <c r="D127" s="244" t="s">
        <v>44</v>
      </c>
      <c r="E127" s="92" t="s">
        <v>75</v>
      </c>
      <c r="F127" s="92" t="s">
        <v>46</v>
      </c>
      <c r="G127" s="245"/>
      <c r="H127" s="243" t="s">
        <v>3254</v>
      </c>
      <c r="I127" s="243">
        <v>187516</v>
      </c>
      <c r="J127" s="243" t="s">
        <v>6123</v>
      </c>
      <c r="L127" s="246">
        <v>5400853128</v>
      </c>
      <c r="M127" s="246">
        <v>10</v>
      </c>
      <c r="N127" s="22" t="s">
        <v>1930</v>
      </c>
      <c r="O127" s="22" t="s">
        <v>6109</v>
      </c>
      <c r="P127" s="22" t="s">
        <v>1930</v>
      </c>
      <c r="Q127" s="243" t="s">
        <v>3114</v>
      </c>
      <c r="R127" s="243" t="s">
        <v>3098</v>
      </c>
      <c r="S127" s="247">
        <v>700000</v>
      </c>
      <c r="T127" s="247">
        <v>720000</v>
      </c>
      <c r="U127" s="247">
        <f t="shared" si="6"/>
        <v>20000</v>
      </c>
      <c r="V127" s="248">
        <v>664618.65</v>
      </c>
      <c r="X127" s="243" t="str">
        <f t="shared" si="4"/>
        <v>ServiceNow, service management and platform</v>
      </c>
      <c r="Y127" s="243" t="s">
        <v>5793</v>
      </c>
    </row>
    <row r="128" spans="1:25" hidden="1" x14ac:dyDescent="0.25">
      <c r="A128" s="243" t="s">
        <v>1215</v>
      </c>
      <c r="B128" s="243" t="s">
        <v>3520</v>
      </c>
      <c r="C128" s="243">
        <v>68427719</v>
      </c>
      <c r="D128" s="244" t="s">
        <v>44</v>
      </c>
      <c r="E128" s="92" t="s">
        <v>75</v>
      </c>
      <c r="F128" s="243" t="s">
        <v>46</v>
      </c>
      <c r="G128" s="245"/>
      <c r="H128" s="243" t="s">
        <v>3523</v>
      </c>
      <c r="I128" s="243">
        <v>209288</v>
      </c>
      <c r="J128" s="92" t="s">
        <v>3524</v>
      </c>
      <c r="K128" s="92"/>
      <c r="L128" s="256"/>
      <c r="M128" s="93"/>
      <c r="N128" s="92" t="s">
        <v>2800</v>
      </c>
      <c r="O128" s="92" t="s">
        <v>2800</v>
      </c>
      <c r="P128" s="92" t="s">
        <v>2800</v>
      </c>
      <c r="Q128" s="243" t="s">
        <v>3206</v>
      </c>
      <c r="R128" s="243" t="s">
        <v>3207</v>
      </c>
      <c r="S128" s="247">
        <v>625000</v>
      </c>
      <c r="T128" s="247">
        <v>695000</v>
      </c>
      <c r="U128" s="247">
        <f t="shared" si="6"/>
        <v>70000</v>
      </c>
      <c r="V128" s="257">
        <f>S128</f>
        <v>625000</v>
      </c>
      <c r="W128" s="243" t="s">
        <v>6122</v>
      </c>
      <c r="X128" s="243" t="str">
        <f t="shared" si="4"/>
        <v>Professional DevOps - S&amp;M</v>
      </c>
      <c r="Y128" s="243" t="s">
        <v>5793</v>
      </c>
    </row>
    <row r="129" spans="1:25" hidden="1" x14ac:dyDescent="0.25">
      <c r="A129" s="92" t="s">
        <v>1680</v>
      </c>
      <c r="B129" s="243" t="s">
        <v>6121</v>
      </c>
      <c r="C129" s="243">
        <v>68427709</v>
      </c>
      <c r="D129" s="244" t="s">
        <v>44</v>
      </c>
      <c r="E129" s="92" t="s">
        <v>75</v>
      </c>
      <c r="F129" s="92" t="s">
        <v>46</v>
      </c>
      <c r="G129" s="245" t="s">
        <v>3096</v>
      </c>
      <c r="H129" s="243" t="s">
        <v>3128</v>
      </c>
      <c r="I129" s="243">
        <v>187516</v>
      </c>
      <c r="J129" s="92" t="s">
        <v>799</v>
      </c>
      <c r="K129" s="92"/>
      <c r="L129" s="256">
        <v>5401023508</v>
      </c>
      <c r="M129" s="93">
        <v>70</v>
      </c>
      <c r="N129" s="92" t="s">
        <v>2870</v>
      </c>
      <c r="O129" s="92" t="s">
        <v>6109</v>
      </c>
      <c r="P129" s="92" t="s">
        <v>3026</v>
      </c>
      <c r="Q129" s="92" t="s">
        <v>3104</v>
      </c>
      <c r="R129" s="92" t="s">
        <v>3098</v>
      </c>
      <c r="S129" s="247">
        <v>650000</v>
      </c>
      <c r="T129" s="247">
        <v>650000</v>
      </c>
      <c r="U129" s="247">
        <f t="shared" si="6"/>
        <v>0</v>
      </c>
      <c r="V129" s="248">
        <v>600002.94999999995</v>
      </c>
      <c r="X129" s="243" t="str">
        <f t="shared" ref="X129:X192" si="7">A129</f>
        <v>Appl. Development Enhancement Services – SAP/NSA</v>
      </c>
      <c r="Y129" s="243" t="s">
        <v>5794</v>
      </c>
    </row>
    <row r="130" spans="1:25" hidden="1" x14ac:dyDescent="0.25">
      <c r="A130" s="92" t="s">
        <v>2633</v>
      </c>
      <c r="C130" s="243">
        <v>68427709</v>
      </c>
      <c r="D130" s="244" t="s">
        <v>44</v>
      </c>
      <c r="E130" s="92" t="s">
        <v>75</v>
      </c>
      <c r="F130" s="92" t="s">
        <v>46</v>
      </c>
      <c r="G130" s="245"/>
      <c r="H130" s="243" t="s">
        <v>3282</v>
      </c>
      <c r="I130" s="243">
        <v>187516</v>
      </c>
      <c r="J130" s="92" t="s">
        <v>799</v>
      </c>
      <c r="K130" s="92"/>
      <c r="L130" s="256">
        <v>5401023508</v>
      </c>
      <c r="M130" s="93">
        <v>170</v>
      </c>
      <c r="N130" s="92" t="s">
        <v>2870</v>
      </c>
      <c r="O130" s="92" t="s">
        <v>6109</v>
      </c>
      <c r="P130" s="92" t="s">
        <v>1984</v>
      </c>
      <c r="Q130" s="92" t="s">
        <v>3104</v>
      </c>
      <c r="R130" s="92" t="s">
        <v>3098</v>
      </c>
      <c r="S130" s="247">
        <v>470000</v>
      </c>
      <c r="T130" s="247">
        <v>545000</v>
      </c>
      <c r="U130" s="247">
        <f t="shared" si="6"/>
        <v>75000</v>
      </c>
      <c r="V130" s="248">
        <v>503079.4</v>
      </c>
      <c r="X130" s="243" t="str">
        <f t="shared" si="7"/>
        <v>iPaaS Dellboomi DevOps Support</v>
      </c>
      <c r="Y130" s="243" t="s">
        <v>5793</v>
      </c>
    </row>
    <row r="131" spans="1:25" hidden="1" x14ac:dyDescent="0.25">
      <c r="A131" s="92" t="s">
        <v>2764</v>
      </c>
      <c r="B131" s="243" t="s">
        <v>6121</v>
      </c>
      <c r="C131" s="243">
        <v>68427709</v>
      </c>
      <c r="D131" s="244" t="s">
        <v>44</v>
      </c>
      <c r="E131" s="92" t="s">
        <v>75</v>
      </c>
      <c r="F131" s="92" t="s">
        <v>46</v>
      </c>
      <c r="G131" s="245" t="s">
        <v>3096</v>
      </c>
      <c r="H131" s="243" t="s">
        <v>3128</v>
      </c>
      <c r="I131" s="243">
        <v>187516</v>
      </c>
      <c r="J131" s="92" t="s">
        <v>799</v>
      </c>
      <c r="K131" s="92"/>
      <c r="L131" s="256">
        <v>5401023508</v>
      </c>
      <c r="M131" s="93">
        <v>10</v>
      </c>
      <c r="N131" s="92" t="s">
        <v>2870</v>
      </c>
      <c r="O131" s="92" t="s">
        <v>6109</v>
      </c>
      <c r="P131" s="92" t="s">
        <v>3026</v>
      </c>
      <c r="Q131" s="92" t="s">
        <v>3104</v>
      </c>
      <c r="R131" s="92" t="s">
        <v>3098</v>
      </c>
      <c r="S131" s="247">
        <v>460000</v>
      </c>
      <c r="T131" s="247">
        <v>357000</v>
      </c>
      <c r="U131" s="247">
        <f t="shared" si="6"/>
        <v>-103000</v>
      </c>
      <c r="V131" s="248">
        <v>329540.08</v>
      </c>
      <c r="X131" s="243" t="str">
        <f t="shared" si="7"/>
        <v>Core AMS - Incident Management Services</v>
      </c>
      <c r="Y131" s="243" t="s">
        <v>5792</v>
      </c>
    </row>
    <row r="132" spans="1:25" hidden="1" x14ac:dyDescent="0.25">
      <c r="A132" s="243" t="s">
        <v>1078</v>
      </c>
      <c r="B132" s="243" t="s">
        <v>6121</v>
      </c>
      <c r="C132" s="243">
        <v>68427709</v>
      </c>
      <c r="D132" s="244" t="s">
        <v>44</v>
      </c>
      <c r="E132" s="92" t="s">
        <v>75</v>
      </c>
      <c r="F132" s="92" t="s">
        <v>46</v>
      </c>
      <c r="G132" s="258" t="s">
        <v>3144</v>
      </c>
      <c r="H132" s="243" t="s">
        <v>3688</v>
      </c>
      <c r="I132" s="243">
        <v>187516</v>
      </c>
      <c r="J132" s="92" t="s">
        <v>799</v>
      </c>
      <c r="K132" s="92"/>
      <c r="L132" s="243">
        <v>5401023508</v>
      </c>
      <c r="M132" s="246">
        <v>120</v>
      </c>
      <c r="N132" s="92" t="s">
        <v>2870</v>
      </c>
      <c r="O132" s="92" t="s">
        <v>6109</v>
      </c>
      <c r="P132" s="92" t="s">
        <v>2510</v>
      </c>
      <c r="Q132" s="92" t="s">
        <v>3114</v>
      </c>
      <c r="R132" s="92" t="s">
        <v>3098</v>
      </c>
      <c r="S132" s="247">
        <v>100000</v>
      </c>
      <c r="T132" s="247">
        <v>310000</v>
      </c>
      <c r="U132" s="247">
        <f t="shared" si="6"/>
        <v>210000</v>
      </c>
      <c r="V132" s="248">
        <v>286155.25</v>
      </c>
      <c r="X132" s="243" t="str">
        <f t="shared" si="7"/>
        <v>Robotics support AMS</v>
      </c>
      <c r="Y132" s="243" t="s">
        <v>5793</v>
      </c>
    </row>
    <row r="133" spans="1:25" hidden="1" x14ac:dyDescent="0.25">
      <c r="A133" s="243" t="s">
        <v>3616</v>
      </c>
      <c r="B133" s="243" t="s">
        <v>6121</v>
      </c>
      <c r="C133" s="243">
        <v>68427709</v>
      </c>
      <c r="D133" s="244" t="s">
        <v>44</v>
      </c>
      <c r="E133" s="92" t="s">
        <v>75</v>
      </c>
      <c r="F133" s="92" t="s">
        <v>46</v>
      </c>
      <c r="G133" s="245" t="s">
        <v>3096</v>
      </c>
      <c r="H133" s="243" t="s">
        <v>3128</v>
      </c>
      <c r="I133" s="243">
        <v>187516</v>
      </c>
      <c r="J133" s="243" t="s">
        <v>799</v>
      </c>
      <c r="L133" s="243">
        <v>5401023508</v>
      </c>
      <c r="M133" s="246">
        <v>140</v>
      </c>
      <c r="N133" s="22" t="s">
        <v>2870</v>
      </c>
      <c r="O133" s="22" t="s">
        <v>6109</v>
      </c>
      <c r="P133" s="22" t="s">
        <v>2870</v>
      </c>
      <c r="Q133" s="22" t="s">
        <v>3104</v>
      </c>
      <c r="R133" s="243" t="s">
        <v>3098</v>
      </c>
      <c r="S133" s="247">
        <v>305000</v>
      </c>
      <c r="T133" s="247">
        <v>305000</v>
      </c>
      <c r="U133" s="247">
        <f t="shared" si="6"/>
        <v>0</v>
      </c>
      <c r="V133" s="248">
        <v>281539.84999999998</v>
      </c>
      <c r="X133" s="243" t="str">
        <f t="shared" si="7"/>
        <v>Service Support 24 X 5 APAC &amp; ANZ</v>
      </c>
      <c r="Y133" s="243" t="s">
        <v>5794</v>
      </c>
    </row>
    <row r="134" spans="1:25" hidden="1" x14ac:dyDescent="0.25">
      <c r="A134" s="92" t="s">
        <v>1923</v>
      </c>
      <c r="C134" s="243">
        <v>68427709</v>
      </c>
      <c r="D134" s="244" t="s">
        <v>44</v>
      </c>
      <c r="E134" s="92" t="s">
        <v>75</v>
      </c>
      <c r="F134" s="92" t="s">
        <v>46</v>
      </c>
      <c r="G134" s="245"/>
      <c r="H134" s="243" t="s">
        <v>3153</v>
      </c>
      <c r="I134" s="243">
        <v>187516</v>
      </c>
      <c r="J134" s="92" t="s">
        <v>799</v>
      </c>
      <c r="K134" s="92"/>
      <c r="L134" s="246">
        <v>5401023508</v>
      </c>
      <c r="M134" s="246">
        <v>60</v>
      </c>
      <c r="N134" s="92" t="s">
        <v>2870</v>
      </c>
      <c r="O134" s="92" t="s">
        <v>2500</v>
      </c>
      <c r="P134" s="92" t="s">
        <v>2500</v>
      </c>
      <c r="Q134" s="243" t="s">
        <v>3114</v>
      </c>
      <c r="R134" s="92" t="s">
        <v>3175</v>
      </c>
      <c r="S134" s="247">
        <v>300000</v>
      </c>
      <c r="T134" s="247">
        <v>300000</v>
      </c>
      <c r="U134" s="247">
        <f t="shared" si="6"/>
        <v>0</v>
      </c>
      <c r="V134" s="248">
        <v>257856.98</v>
      </c>
      <c r="X134" s="243" t="str">
        <f t="shared" si="7"/>
        <v>Development team digital</v>
      </c>
      <c r="Y134" s="243" t="s">
        <v>5794</v>
      </c>
    </row>
    <row r="135" spans="1:25" hidden="1" x14ac:dyDescent="0.25">
      <c r="A135" s="92" t="s">
        <v>3680</v>
      </c>
      <c r="B135" s="243" t="s">
        <v>6121</v>
      </c>
      <c r="C135" s="243">
        <v>68427709</v>
      </c>
      <c r="D135" s="244" t="s">
        <v>44</v>
      </c>
      <c r="E135" s="92" t="s">
        <v>75</v>
      </c>
      <c r="F135" s="92" t="s">
        <v>46</v>
      </c>
      <c r="G135" s="245" t="s">
        <v>3096</v>
      </c>
      <c r="H135" s="243" t="s">
        <v>3128</v>
      </c>
      <c r="I135" s="243">
        <v>187516</v>
      </c>
      <c r="J135" s="92" t="s">
        <v>799</v>
      </c>
      <c r="K135" s="92"/>
      <c r="L135" s="256">
        <v>5401023508</v>
      </c>
      <c r="M135" s="246">
        <v>90</v>
      </c>
      <c r="N135" s="92" t="s">
        <v>2870</v>
      </c>
      <c r="O135" s="92" t="s">
        <v>6109</v>
      </c>
      <c r="P135" s="92" t="s">
        <v>2510</v>
      </c>
      <c r="Q135" s="92" t="s">
        <v>3104</v>
      </c>
      <c r="R135" s="92" t="s">
        <v>3098</v>
      </c>
      <c r="S135" s="247">
        <v>250000</v>
      </c>
      <c r="T135" s="247">
        <v>250000</v>
      </c>
      <c r="U135" s="247">
        <f t="shared" si="6"/>
        <v>0</v>
      </c>
      <c r="V135" s="248">
        <v>230770.37</v>
      </c>
      <c r="X135" s="243" t="str">
        <f t="shared" si="7"/>
        <v>Test Factory Services</v>
      </c>
      <c r="Y135" s="243" t="s">
        <v>5794</v>
      </c>
    </row>
    <row r="136" spans="1:25" hidden="1" x14ac:dyDescent="0.25">
      <c r="A136" s="243" t="s">
        <v>1218</v>
      </c>
      <c r="B136" s="243" t="s">
        <v>3520</v>
      </c>
      <c r="C136" s="243">
        <v>68427719</v>
      </c>
      <c r="D136" s="244" t="s">
        <v>44</v>
      </c>
      <c r="E136" s="92" t="s">
        <v>75</v>
      </c>
      <c r="F136" s="243" t="s">
        <v>46</v>
      </c>
      <c r="G136" s="245"/>
      <c r="H136" s="243" t="s">
        <v>3223</v>
      </c>
      <c r="I136" s="243">
        <v>209288</v>
      </c>
      <c r="J136" s="92" t="s">
        <v>3524</v>
      </c>
      <c r="K136" s="92"/>
      <c r="L136" s="256"/>
      <c r="M136" s="93"/>
      <c r="N136" s="92" t="s">
        <v>2800</v>
      </c>
      <c r="O136" s="92" t="s">
        <v>2800</v>
      </c>
      <c r="P136" s="92" t="s">
        <v>2800</v>
      </c>
      <c r="Q136" s="243" t="s">
        <v>3225</v>
      </c>
      <c r="R136" s="243" t="s">
        <v>3207</v>
      </c>
      <c r="S136" s="247">
        <v>200000</v>
      </c>
      <c r="T136" s="247">
        <v>230000</v>
      </c>
      <c r="U136" s="247">
        <f t="shared" si="6"/>
        <v>30000</v>
      </c>
      <c r="V136" s="257">
        <f>S136</f>
        <v>200000</v>
      </c>
      <c r="W136" s="243" t="s">
        <v>6122</v>
      </c>
      <c r="X136" s="243" t="str">
        <f t="shared" si="7"/>
        <v>Professional DevOps - TS</v>
      </c>
      <c r="Y136" s="243" t="s">
        <v>5793</v>
      </c>
    </row>
    <row r="137" spans="1:25" hidden="1" x14ac:dyDescent="0.25">
      <c r="A137" s="92" t="s">
        <v>2830</v>
      </c>
      <c r="B137" s="243" t="s">
        <v>6121</v>
      </c>
      <c r="C137" s="243">
        <v>68427709</v>
      </c>
      <c r="D137" s="244" t="s">
        <v>44</v>
      </c>
      <c r="E137" s="92" t="s">
        <v>75</v>
      </c>
      <c r="F137" s="92" t="s">
        <v>46</v>
      </c>
      <c r="G137" s="245"/>
      <c r="H137" s="243" t="s">
        <v>3285</v>
      </c>
      <c r="I137" s="243">
        <v>187516</v>
      </c>
      <c r="J137" s="92" t="s">
        <v>799</v>
      </c>
      <c r="K137" s="92"/>
      <c r="L137" s="243">
        <v>5401023508</v>
      </c>
      <c r="M137" s="93">
        <v>100</v>
      </c>
      <c r="N137" s="92" t="s">
        <v>2870</v>
      </c>
      <c r="O137" s="92" t="s">
        <v>2500</v>
      </c>
      <c r="P137" s="92" t="s">
        <v>2500</v>
      </c>
      <c r="Q137" s="243" t="s">
        <v>3114</v>
      </c>
      <c r="R137" s="92" t="s">
        <v>3175</v>
      </c>
      <c r="S137" s="247">
        <v>136000</v>
      </c>
      <c r="T137" s="247">
        <v>206000</v>
      </c>
      <c r="U137" s="247">
        <f t="shared" si="6"/>
        <v>70000</v>
      </c>
      <c r="V137" s="250">
        <v>136000</v>
      </c>
      <c r="W137" s="251" t="s">
        <v>6124</v>
      </c>
      <c r="X137" s="243" t="str">
        <f t="shared" si="7"/>
        <v>DevOps SFDC - DTC</v>
      </c>
      <c r="Y137" s="243" t="s">
        <v>5794</v>
      </c>
    </row>
    <row r="138" spans="1:25" hidden="1" x14ac:dyDescent="0.25">
      <c r="A138" s="92" t="s">
        <v>3250</v>
      </c>
      <c r="B138" s="243" t="s">
        <v>6125</v>
      </c>
      <c r="C138" s="243">
        <v>68427719</v>
      </c>
      <c r="D138" s="244" t="s">
        <v>44</v>
      </c>
      <c r="E138" s="92" t="s">
        <v>75</v>
      </c>
      <c r="F138" s="92" t="s">
        <v>46</v>
      </c>
      <c r="G138" s="188"/>
      <c r="H138" s="92" t="s">
        <v>3252</v>
      </c>
      <c r="I138" s="92">
        <v>196055</v>
      </c>
      <c r="J138" s="92" t="s">
        <v>1459</v>
      </c>
      <c r="K138" s="92"/>
      <c r="L138" s="243">
        <v>5401019020</v>
      </c>
      <c r="M138" s="246">
        <v>10</v>
      </c>
      <c r="N138" s="92" t="s">
        <v>2870</v>
      </c>
      <c r="O138" s="92" t="s">
        <v>2800</v>
      </c>
      <c r="P138" s="92" t="s">
        <v>2356</v>
      </c>
      <c r="Q138" s="92" t="s">
        <v>3114</v>
      </c>
      <c r="R138" s="243" t="s">
        <v>3207</v>
      </c>
      <c r="S138" s="247">
        <v>165000</v>
      </c>
      <c r="T138" s="247">
        <v>165000</v>
      </c>
      <c r="U138" s="247">
        <f t="shared" si="6"/>
        <v>0</v>
      </c>
      <c r="V138" s="257">
        <f>S138</f>
        <v>165000</v>
      </c>
      <c r="W138" s="243" t="s">
        <v>6122</v>
      </c>
      <c r="X138" s="243" t="str">
        <f t="shared" si="7"/>
        <v>Connected Coffee Machine Support</v>
      </c>
      <c r="Y138" s="243" t="s">
        <v>5794</v>
      </c>
    </row>
    <row r="139" spans="1:25" x14ac:dyDescent="0.25">
      <c r="A139" s="243" t="s">
        <v>833</v>
      </c>
      <c r="B139" s="243" t="s">
        <v>6131</v>
      </c>
      <c r="C139" s="243">
        <v>68427709</v>
      </c>
      <c r="D139" s="244" t="s">
        <v>54</v>
      </c>
      <c r="E139" s="243" t="s">
        <v>55</v>
      </c>
      <c r="F139" s="92" t="s">
        <v>46</v>
      </c>
      <c r="G139" s="245"/>
      <c r="H139" s="92" t="s">
        <v>3388</v>
      </c>
      <c r="I139" s="243">
        <v>198668</v>
      </c>
      <c r="J139" s="243" t="s">
        <v>3389</v>
      </c>
      <c r="L139" s="243">
        <v>5400958294</v>
      </c>
      <c r="M139" s="246">
        <v>20</v>
      </c>
      <c r="N139" s="22" t="s">
        <v>2843</v>
      </c>
      <c r="O139" s="22" t="s">
        <v>6109</v>
      </c>
      <c r="P139" s="22" t="s">
        <v>2843</v>
      </c>
      <c r="Q139" s="243" t="s">
        <v>3114</v>
      </c>
      <c r="R139" s="243" t="s">
        <v>42</v>
      </c>
      <c r="S139" s="247">
        <v>362000</v>
      </c>
      <c r="T139" s="247">
        <v>362000</v>
      </c>
      <c r="U139" s="247">
        <f t="shared" si="6"/>
        <v>0</v>
      </c>
      <c r="V139" s="248">
        <v>334155.49</v>
      </c>
      <c r="X139" s="243" t="str">
        <f t="shared" si="7"/>
        <v>Identity &amp; Access mgt tool Savyint</v>
      </c>
      <c r="Y139" s="243" t="s">
        <v>5794</v>
      </c>
    </row>
    <row r="140" spans="1:25" hidden="1" x14ac:dyDescent="0.25">
      <c r="A140" s="243" t="s">
        <v>2696</v>
      </c>
      <c r="C140" s="243">
        <v>68427709</v>
      </c>
      <c r="D140" s="244" t="s">
        <v>44</v>
      </c>
      <c r="E140" s="92" t="s">
        <v>75</v>
      </c>
      <c r="F140" s="92" t="s">
        <v>46</v>
      </c>
      <c r="G140" s="245" t="s">
        <v>3096</v>
      </c>
      <c r="H140" s="22" t="s">
        <v>3128</v>
      </c>
      <c r="I140" s="243">
        <v>187516</v>
      </c>
      <c r="J140" s="92" t="s">
        <v>799</v>
      </c>
      <c r="K140" s="92"/>
      <c r="L140" s="249"/>
      <c r="M140" s="246"/>
      <c r="N140" s="92" t="s">
        <v>2870</v>
      </c>
      <c r="O140" s="92" t="s">
        <v>6109</v>
      </c>
      <c r="P140" s="22" t="s">
        <v>3026</v>
      </c>
      <c r="Q140" s="92" t="s">
        <v>3104</v>
      </c>
      <c r="R140" s="243" t="s">
        <v>3098</v>
      </c>
      <c r="S140" s="247">
        <v>250000</v>
      </c>
      <c r="T140" s="247">
        <v>150000</v>
      </c>
      <c r="U140" s="247">
        <f t="shared" si="6"/>
        <v>-100000</v>
      </c>
      <c r="V140" s="248">
        <v>138462.22</v>
      </c>
      <c r="X140" s="243" t="str">
        <f t="shared" si="7"/>
        <v>Additional budget outsourcing requests core functions</v>
      </c>
      <c r="Y140" s="243" t="s">
        <v>5792</v>
      </c>
    </row>
    <row r="141" spans="1:25" hidden="1" x14ac:dyDescent="0.25">
      <c r="A141" s="243" t="s">
        <v>3660</v>
      </c>
      <c r="B141" s="243" t="s">
        <v>6126</v>
      </c>
      <c r="C141" s="243">
        <v>68427709</v>
      </c>
      <c r="D141" s="244" t="s">
        <v>44</v>
      </c>
      <c r="E141" s="243" t="s">
        <v>75</v>
      </c>
      <c r="F141" s="243" t="s">
        <v>46</v>
      </c>
      <c r="G141" s="245"/>
      <c r="H141" s="243" t="s">
        <v>3659</v>
      </c>
      <c r="I141" s="243">
        <v>187516</v>
      </c>
      <c r="J141" s="22" t="s">
        <v>799</v>
      </c>
      <c r="K141" s="22"/>
      <c r="L141" s="249">
        <v>5401023508</v>
      </c>
      <c r="M141" s="246">
        <v>180</v>
      </c>
      <c r="N141" s="22" t="s">
        <v>2870</v>
      </c>
      <c r="O141" s="22" t="s">
        <v>6109</v>
      </c>
      <c r="P141" s="22" t="s">
        <v>3026</v>
      </c>
      <c r="Q141" s="253" t="s">
        <v>3114</v>
      </c>
      <c r="R141" s="243" t="s">
        <v>3098</v>
      </c>
      <c r="S141" s="247">
        <v>140000</v>
      </c>
      <c r="T141" s="247">
        <v>140000</v>
      </c>
      <c r="U141" s="247">
        <f t="shared" si="6"/>
        <v>0</v>
      </c>
      <c r="V141" s="248">
        <v>129231.4</v>
      </c>
      <c r="X141" s="243" t="str">
        <f t="shared" si="7"/>
        <v>SuccessFactors Support</v>
      </c>
      <c r="Y141" s="243" t="s">
        <v>5794</v>
      </c>
    </row>
    <row r="142" spans="1:25" x14ac:dyDescent="0.25">
      <c r="A142" s="22" t="s">
        <v>2314</v>
      </c>
      <c r="C142" s="243">
        <v>68427709</v>
      </c>
      <c r="D142" s="244" t="s">
        <v>40</v>
      </c>
      <c r="E142" s="243" t="s">
        <v>42</v>
      </c>
      <c r="F142" s="243" t="s">
        <v>42</v>
      </c>
      <c r="G142" s="245" t="s">
        <v>2445</v>
      </c>
      <c r="H142" s="243" t="s">
        <v>3116</v>
      </c>
      <c r="I142" s="22">
        <v>209773</v>
      </c>
      <c r="J142" s="22" t="s">
        <v>6118</v>
      </c>
      <c r="K142" s="22"/>
      <c r="L142" s="246">
        <v>5401041896</v>
      </c>
      <c r="M142" s="246">
        <v>10</v>
      </c>
      <c r="N142" s="243" t="s">
        <v>2843</v>
      </c>
      <c r="O142" s="243" t="s">
        <v>6109</v>
      </c>
      <c r="P142" s="92" t="s">
        <v>2843</v>
      </c>
      <c r="Q142" s="243" t="s">
        <v>3114</v>
      </c>
      <c r="R142" s="92" t="s">
        <v>42</v>
      </c>
      <c r="S142" s="247">
        <v>74000</v>
      </c>
      <c r="T142" s="247">
        <v>74000</v>
      </c>
      <c r="U142" s="247">
        <f t="shared" si="6"/>
        <v>0</v>
      </c>
      <c r="V142" s="248">
        <v>68308.03</v>
      </c>
      <c r="X142" s="243" t="str">
        <f t="shared" si="7"/>
        <v>Mandiant Incident Response</v>
      </c>
      <c r="Y142" s="243" t="s">
        <v>5794</v>
      </c>
    </row>
    <row r="143" spans="1:25" hidden="1" x14ac:dyDescent="0.25">
      <c r="A143" s="92" t="s">
        <v>3630</v>
      </c>
      <c r="C143" s="243">
        <v>68427709</v>
      </c>
      <c r="D143" s="244" t="s">
        <v>44</v>
      </c>
      <c r="E143" s="92" t="s">
        <v>75</v>
      </c>
      <c r="F143" s="92" t="s">
        <v>46</v>
      </c>
      <c r="G143" s="245" t="s">
        <v>3096</v>
      </c>
      <c r="H143" s="243" t="s">
        <v>3128</v>
      </c>
      <c r="I143" s="243">
        <v>187516</v>
      </c>
      <c r="J143" s="92" t="s">
        <v>799</v>
      </c>
      <c r="K143" s="92"/>
      <c r="L143" s="93">
        <v>5401023610</v>
      </c>
      <c r="M143" s="93">
        <v>10</v>
      </c>
      <c r="N143" s="92" t="s">
        <v>2870</v>
      </c>
      <c r="O143" s="92" t="s">
        <v>6109</v>
      </c>
      <c r="P143" s="22" t="s">
        <v>2870</v>
      </c>
      <c r="Q143" s="22" t="s">
        <v>3104</v>
      </c>
      <c r="R143" s="243" t="s">
        <v>3098</v>
      </c>
      <c r="S143" s="247">
        <v>128000</v>
      </c>
      <c r="T143" s="247">
        <v>128000</v>
      </c>
      <c r="U143" s="247">
        <f t="shared" si="6"/>
        <v>0</v>
      </c>
      <c r="V143" s="248">
        <v>118154.43</v>
      </c>
      <c r="X143" s="243" t="str">
        <f t="shared" si="7"/>
        <v>Small projects funding (support)</v>
      </c>
      <c r="Y143" s="243" t="s">
        <v>5794</v>
      </c>
    </row>
    <row r="144" spans="1:25" hidden="1" x14ac:dyDescent="0.25">
      <c r="A144" s="92" t="s">
        <v>2462</v>
      </c>
      <c r="B144" s="243" t="s">
        <v>6121</v>
      </c>
      <c r="C144" s="243">
        <v>68427709</v>
      </c>
      <c r="D144" s="244" t="s">
        <v>44</v>
      </c>
      <c r="E144" s="92" t="s">
        <v>75</v>
      </c>
      <c r="F144" s="92" t="s">
        <v>46</v>
      </c>
      <c r="G144" s="245" t="s">
        <v>3096</v>
      </c>
      <c r="H144" s="243" t="s">
        <v>3128</v>
      </c>
      <c r="I144" s="243">
        <v>187516</v>
      </c>
      <c r="J144" s="92" t="s">
        <v>799</v>
      </c>
      <c r="K144" s="92"/>
      <c r="L144" s="256">
        <v>5401023508</v>
      </c>
      <c r="M144" s="246">
        <v>50</v>
      </c>
      <c r="N144" s="92" t="s">
        <v>2870</v>
      </c>
      <c r="O144" s="92" t="s">
        <v>6109</v>
      </c>
      <c r="P144" s="92" t="s">
        <v>3026</v>
      </c>
      <c r="Q144" s="92" t="s">
        <v>3104</v>
      </c>
      <c r="R144" s="92" t="s">
        <v>3098</v>
      </c>
      <c r="S144" s="247">
        <v>120000</v>
      </c>
      <c r="T144" s="247">
        <v>120000</v>
      </c>
      <c r="U144" s="247">
        <f t="shared" si="6"/>
        <v>0</v>
      </c>
      <c r="V144" s="248">
        <v>110769.78</v>
      </c>
      <c r="X144" s="243" t="str">
        <f t="shared" si="7"/>
        <v>Core AMS - Enhancement Services – AM – SAP/NSA</v>
      </c>
      <c r="Y144" s="243" t="s">
        <v>5794</v>
      </c>
    </row>
    <row r="145" spans="1:25" x14ac:dyDescent="0.25">
      <c r="A145" s="22" t="s">
        <v>2984</v>
      </c>
      <c r="B145"/>
      <c r="C145">
        <v>68427709</v>
      </c>
      <c r="D145" s="91" t="s">
        <v>40</v>
      </c>
      <c r="E145" t="s">
        <v>42</v>
      </c>
      <c r="F145" t="s">
        <v>42</v>
      </c>
      <c r="G145" s="266" t="s">
        <v>2448</v>
      </c>
      <c r="H145" t="s">
        <v>2903</v>
      </c>
      <c r="I145"/>
      <c r="J145" s="22"/>
      <c r="K145" s="22"/>
      <c r="L145" s="203"/>
      <c r="M145" s="20"/>
      <c r="N145" s="267" t="s">
        <v>2843</v>
      </c>
      <c r="O145" t="s">
        <v>2903</v>
      </c>
      <c r="P145" t="s">
        <v>2843</v>
      </c>
      <c r="Q145" t="s">
        <v>3124</v>
      </c>
      <c r="R145" t="s">
        <v>2903</v>
      </c>
      <c r="S145" s="7"/>
      <c r="T145" s="7">
        <v>12000</v>
      </c>
      <c r="U145" s="247">
        <f t="shared" si="6"/>
        <v>12000</v>
      </c>
      <c r="V145" s="248">
        <v>12000</v>
      </c>
      <c r="W145"/>
      <c r="X145" s="243" t="str">
        <f t="shared" si="7"/>
        <v>OT RAS - (Tech. Account Man.)</v>
      </c>
      <c r="Y145" s="243" t="s">
        <v>1829</v>
      </c>
    </row>
    <row r="146" spans="1:25" hidden="1" x14ac:dyDescent="0.25">
      <c r="A146" s="22" t="s">
        <v>3065</v>
      </c>
      <c r="C146" s="243">
        <v>68427709</v>
      </c>
      <c r="D146" s="244" t="s">
        <v>44</v>
      </c>
      <c r="E146" s="92" t="s">
        <v>75</v>
      </c>
      <c r="F146" s="92" t="s">
        <v>46</v>
      </c>
      <c r="G146" s="245" t="s">
        <v>3096</v>
      </c>
      <c r="H146" s="243" t="s">
        <v>3128</v>
      </c>
      <c r="I146" s="243">
        <v>187516</v>
      </c>
      <c r="J146" s="22" t="s">
        <v>799</v>
      </c>
      <c r="K146" s="22"/>
      <c r="L146" s="246"/>
      <c r="M146" s="246"/>
      <c r="N146" s="22" t="s">
        <v>2870</v>
      </c>
      <c r="O146" s="22" t="s">
        <v>6109</v>
      </c>
      <c r="P146" s="22" t="s">
        <v>3015</v>
      </c>
      <c r="Q146" s="243" t="s">
        <v>3104</v>
      </c>
      <c r="R146" s="243" t="s">
        <v>3098</v>
      </c>
      <c r="S146" s="247">
        <v>110000</v>
      </c>
      <c r="T146" s="247">
        <v>110000</v>
      </c>
      <c r="U146" s="247">
        <f t="shared" si="6"/>
        <v>0</v>
      </c>
      <c r="V146" s="248">
        <v>101538.96</v>
      </c>
      <c r="X146" s="243" t="str">
        <f t="shared" si="7"/>
        <v>SPSS Upgrade</v>
      </c>
      <c r="Y146" s="243" t="s">
        <v>5794</v>
      </c>
    </row>
    <row r="147" spans="1:25" hidden="1" x14ac:dyDescent="0.25">
      <c r="A147" s="92" t="s">
        <v>2525</v>
      </c>
      <c r="C147" s="243">
        <v>68427709</v>
      </c>
      <c r="D147" s="244" t="s">
        <v>44</v>
      </c>
      <c r="E147" s="92" t="s">
        <v>75</v>
      </c>
      <c r="F147" s="92" t="s">
        <v>46</v>
      </c>
      <c r="G147" s="245"/>
      <c r="H147" s="243" t="s">
        <v>3254</v>
      </c>
      <c r="I147" s="243">
        <v>187516</v>
      </c>
      <c r="J147" s="92" t="s">
        <v>799</v>
      </c>
      <c r="K147" s="92"/>
      <c r="L147" s="93"/>
      <c r="M147" s="93"/>
      <c r="N147" s="92" t="s">
        <v>1930</v>
      </c>
      <c r="O147" s="92" t="s">
        <v>6109</v>
      </c>
      <c r="P147" s="22" t="s">
        <v>1930</v>
      </c>
      <c r="Q147" s="243" t="s">
        <v>3114</v>
      </c>
      <c r="R147" s="243" t="s">
        <v>3098</v>
      </c>
      <c r="S147" s="247">
        <v>100000</v>
      </c>
      <c r="T147" s="247">
        <v>100000</v>
      </c>
      <c r="U147" s="247">
        <f t="shared" si="6"/>
        <v>0</v>
      </c>
      <c r="V147" s="248">
        <v>92308.15</v>
      </c>
      <c r="X147" s="243" t="str">
        <f t="shared" si="7"/>
        <v>ITSM SIAMS / EUC</v>
      </c>
      <c r="Y147" s="243" t="s">
        <v>5794</v>
      </c>
    </row>
    <row r="148" spans="1:25" hidden="1" x14ac:dyDescent="0.25">
      <c r="A148" s="92" t="s">
        <v>3487</v>
      </c>
      <c r="B148" s="243" t="s">
        <v>6121</v>
      </c>
      <c r="C148" s="243">
        <v>68427709</v>
      </c>
      <c r="D148" s="244" t="s">
        <v>44</v>
      </c>
      <c r="E148" s="92" t="s">
        <v>75</v>
      </c>
      <c r="F148" s="92" t="s">
        <v>46</v>
      </c>
      <c r="G148" s="245" t="s">
        <v>3096</v>
      </c>
      <c r="H148" s="243" t="s">
        <v>3128</v>
      </c>
      <c r="I148" s="243">
        <v>187516</v>
      </c>
      <c r="J148" s="92" t="s">
        <v>799</v>
      </c>
      <c r="K148" s="92"/>
      <c r="L148" s="256">
        <v>5401023508</v>
      </c>
      <c r="M148" s="93">
        <v>190</v>
      </c>
      <c r="N148" s="92" t="s">
        <v>2870</v>
      </c>
      <c r="O148" s="92" t="s">
        <v>6109</v>
      </c>
      <c r="P148" s="92" t="s">
        <v>3026</v>
      </c>
      <c r="Q148" s="92" t="s">
        <v>3104</v>
      </c>
      <c r="R148" s="92" t="s">
        <v>3098</v>
      </c>
      <c r="S148" s="247">
        <v>100000</v>
      </c>
      <c r="T148" s="247">
        <v>100000</v>
      </c>
      <c r="U148" s="247">
        <f t="shared" si="6"/>
        <v>0</v>
      </c>
      <c r="V148" s="248">
        <v>92308.15</v>
      </c>
      <c r="X148" s="243" t="str">
        <f t="shared" si="7"/>
        <v>Other services/ bonus</v>
      </c>
      <c r="Y148" s="243" t="s">
        <v>5794</v>
      </c>
    </row>
    <row r="149" spans="1:25" hidden="1" x14ac:dyDescent="0.25">
      <c r="A149" s="243" t="s">
        <v>3602</v>
      </c>
      <c r="B149" s="243" t="s">
        <v>6115</v>
      </c>
      <c r="C149" s="243">
        <v>68427709</v>
      </c>
      <c r="D149" s="244" t="s">
        <v>44</v>
      </c>
      <c r="E149" s="243" t="s">
        <v>75</v>
      </c>
      <c r="F149" s="243" t="s">
        <v>46</v>
      </c>
      <c r="G149" s="245" t="s">
        <v>3096</v>
      </c>
      <c r="H149" s="243" t="s">
        <v>3128</v>
      </c>
      <c r="I149" s="243">
        <v>187516</v>
      </c>
      <c r="J149" s="243" t="s">
        <v>799</v>
      </c>
      <c r="L149" s="249"/>
      <c r="M149" s="246"/>
      <c r="N149" s="22" t="s">
        <v>2870</v>
      </c>
      <c r="O149" s="22" t="s">
        <v>6109</v>
      </c>
      <c r="P149" s="22" t="s">
        <v>2870</v>
      </c>
      <c r="Q149" s="22" t="s">
        <v>3104</v>
      </c>
      <c r="R149" s="243" t="s">
        <v>3098</v>
      </c>
      <c r="S149" s="247">
        <v>100000</v>
      </c>
      <c r="T149" s="247">
        <v>100000</v>
      </c>
      <c r="U149" s="247">
        <f t="shared" si="6"/>
        <v>0</v>
      </c>
      <c r="V149" s="248">
        <v>92308.15</v>
      </c>
      <c r="X149" s="243" t="str">
        <f t="shared" si="7"/>
        <v>SAP Lifecycle Management</v>
      </c>
      <c r="Y149" s="243" t="s">
        <v>5794</v>
      </c>
    </row>
    <row r="150" spans="1:25" hidden="1" x14ac:dyDescent="0.25">
      <c r="A150" s="92" t="s">
        <v>2767</v>
      </c>
      <c r="B150" s="243" t="s">
        <v>6121</v>
      </c>
      <c r="C150" s="243">
        <v>68427709</v>
      </c>
      <c r="D150" s="244" t="s">
        <v>44</v>
      </c>
      <c r="E150" s="92" t="s">
        <v>75</v>
      </c>
      <c r="F150" s="92" t="s">
        <v>46</v>
      </c>
      <c r="G150" s="245"/>
      <c r="H150" s="243" t="s">
        <v>3153</v>
      </c>
      <c r="I150" s="243">
        <v>187516</v>
      </c>
      <c r="J150" s="92" t="s">
        <v>799</v>
      </c>
      <c r="K150" s="92"/>
      <c r="L150" s="256">
        <v>5401023508</v>
      </c>
      <c r="M150" s="93">
        <v>30</v>
      </c>
      <c r="N150" s="92" t="s">
        <v>2870</v>
      </c>
      <c r="O150" s="92" t="s">
        <v>6109</v>
      </c>
      <c r="P150" s="92" t="s">
        <v>3026</v>
      </c>
      <c r="Q150" s="92" t="s">
        <v>3114</v>
      </c>
      <c r="R150" s="92" t="s">
        <v>3098</v>
      </c>
      <c r="S150" s="247">
        <v>270000</v>
      </c>
      <c r="T150" s="247">
        <v>70000</v>
      </c>
      <c r="U150" s="247">
        <f t="shared" si="6"/>
        <v>-200000</v>
      </c>
      <c r="V150" s="248">
        <v>64615.7</v>
      </c>
      <c r="X150" s="243" t="str">
        <f t="shared" si="7"/>
        <v>Core AMS - Websites</v>
      </c>
      <c r="Y150" s="243" t="s">
        <v>5792</v>
      </c>
    </row>
    <row r="151" spans="1:25" hidden="1" x14ac:dyDescent="0.25">
      <c r="A151" s="92" t="s">
        <v>3615</v>
      </c>
      <c r="B151" s="243" t="s">
        <v>6121</v>
      </c>
      <c r="C151" s="243">
        <v>68427709</v>
      </c>
      <c r="D151" s="244" t="s">
        <v>44</v>
      </c>
      <c r="E151" s="92" t="s">
        <v>75</v>
      </c>
      <c r="F151" s="92" t="s">
        <v>46</v>
      </c>
      <c r="G151" s="245" t="s">
        <v>3096</v>
      </c>
      <c r="H151" s="243" t="s">
        <v>3128</v>
      </c>
      <c r="I151" s="243">
        <v>187516</v>
      </c>
      <c r="J151" s="92" t="s">
        <v>799</v>
      </c>
      <c r="K151" s="92"/>
      <c r="L151" s="256">
        <v>5401023508</v>
      </c>
      <c r="M151" s="93">
        <v>130</v>
      </c>
      <c r="N151" s="92" t="s">
        <v>2870</v>
      </c>
      <c r="O151" s="92" t="s">
        <v>6109</v>
      </c>
      <c r="P151" s="92" t="s">
        <v>3026</v>
      </c>
      <c r="Q151" s="92" t="s">
        <v>3104</v>
      </c>
      <c r="R151" s="92" t="s">
        <v>3098</v>
      </c>
      <c r="S151" s="247">
        <v>69000</v>
      </c>
      <c r="T151" s="247">
        <v>69000</v>
      </c>
      <c r="U151" s="247">
        <f t="shared" si="6"/>
        <v>0</v>
      </c>
      <c r="V151" s="248">
        <v>63692.62</v>
      </c>
      <c r="X151" s="243" t="str">
        <f t="shared" si="7"/>
        <v>Service Reliability Engineers (SRE)</v>
      </c>
      <c r="Y151" s="243" t="s">
        <v>5794</v>
      </c>
    </row>
    <row r="152" spans="1:25" hidden="1" x14ac:dyDescent="0.25">
      <c r="A152" s="92" t="s">
        <v>3260</v>
      </c>
      <c r="B152" s="243" t="s">
        <v>6121</v>
      </c>
      <c r="C152" s="243">
        <v>68427709</v>
      </c>
      <c r="D152" s="244" t="s">
        <v>44</v>
      </c>
      <c r="E152" s="92" t="s">
        <v>75</v>
      </c>
      <c r="F152" s="92" t="s">
        <v>46</v>
      </c>
      <c r="G152" s="245" t="s">
        <v>3096</v>
      </c>
      <c r="H152" s="243" t="s">
        <v>3128</v>
      </c>
      <c r="I152" s="243">
        <v>187516</v>
      </c>
      <c r="J152" s="92" t="s">
        <v>799</v>
      </c>
      <c r="K152" s="92"/>
      <c r="L152" s="256">
        <v>5401023508</v>
      </c>
      <c r="M152" s="93">
        <v>20</v>
      </c>
      <c r="N152" s="92" t="s">
        <v>2870</v>
      </c>
      <c r="O152" s="92" t="s">
        <v>6109</v>
      </c>
      <c r="P152" s="92" t="s">
        <v>3026</v>
      </c>
      <c r="Q152" s="92" t="s">
        <v>3104</v>
      </c>
      <c r="R152" s="92" t="s">
        <v>3098</v>
      </c>
      <c r="S152" s="247">
        <v>65000</v>
      </c>
      <c r="T152" s="247">
        <v>65000</v>
      </c>
      <c r="U152" s="247">
        <f t="shared" si="6"/>
        <v>0</v>
      </c>
      <c r="V152" s="248">
        <v>60000.29</v>
      </c>
      <c r="X152" s="243" t="str">
        <f t="shared" si="7"/>
        <v>Core AMS - User Management Services</v>
      </c>
      <c r="Y152" s="243" t="s">
        <v>5794</v>
      </c>
    </row>
    <row r="153" spans="1:25" hidden="1" x14ac:dyDescent="0.25">
      <c r="A153" s="22" t="s">
        <v>3575</v>
      </c>
      <c r="C153" s="243">
        <v>68427709</v>
      </c>
      <c r="D153" s="244" t="s">
        <v>44</v>
      </c>
      <c r="E153" s="92" t="s">
        <v>75</v>
      </c>
      <c r="F153" s="92" t="s">
        <v>46</v>
      </c>
      <c r="G153" s="245" t="s">
        <v>3096</v>
      </c>
      <c r="H153" s="22" t="s">
        <v>3573</v>
      </c>
      <c r="I153" s="243">
        <v>187516</v>
      </c>
      <c r="J153" s="92" t="s">
        <v>799</v>
      </c>
      <c r="K153" s="92"/>
      <c r="L153" s="249"/>
      <c r="M153" s="246"/>
      <c r="N153" s="92" t="s">
        <v>2870</v>
      </c>
      <c r="O153" s="92" t="s">
        <v>6109</v>
      </c>
      <c r="P153" s="22" t="s">
        <v>3026</v>
      </c>
      <c r="Q153" s="254" t="s">
        <v>6127</v>
      </c>
      <c r="R153" s="243" t="s">
        <v>3098</v>
      </c>
      <c r="S153" s="247">
        <v>65000</v>
      </c>
      <c r="T153" s="247">
        <v>65000</v>
      </c>
      <c r="U153" s="247">
        <f t="shared" si="6"/>
        <v>0</v>
      </c>
      <c r="V153" s="248">
        <v>60000.29</v>
      </c>
      <c r="X153" s="243" t="str">
        <f t="shared" si="7"/>
        <v>SAP C4C Support</v>
      </c>
      <c r="Y153" s="243" t="s">
        <v>5794</v>
      </c>
    </row>
    <row r="154" spans="1:25" hidden="1" x14ac:dyDescent="0.25">
      <c r="A154" s="243" t="s">
        <v>1582</v>
      </c>
      <c r="B154" s="243" t="s">
        <v>6121</v>
      </c>
      <c r="C154" s="243">
        <v>68427709</v>
      </c>
      <c r="D154" s="244" t="s">
        <v>44</v>
      </c>
      <c r="E154" s="92" t="s">
        <v>75</v>
      </c>
      <c r="F154" s="92" t="s">
        <v>46</v>
      </c>
      <c r="G154" s="245" t="s">
        <v>3096</v>
      </c>
      <c r="H154" s="243" t="s">
        <v>3152</v>
      </c>
      <c r="I154" s="243">
        <v>187516</v>
      </c>
      <c r="J154" s="22" t="s">
        <v>799</v>
      </c>
      <c r="K154" s="22"/>
      <c r="L154" s="249"/>
      <c r="M154" s="246"/>
      <c r="N154" s="22" t="s">
        <v>2870</v>
      </c>
      <c r="O154" s="22" t="s">
        <v>6109</v>
      </c>
      <c r="P154" s="22" t="s">
        <v>3026</v>
      </c>
      <c r="Q154" s="243" t="s">
        <v>3104</v>
      </c>
      <c r="R154" s="243" t="s">
        <v>3098</v>
      </c>
      <c r="S154" s="247">
        <v>50000</v>
      </c>
      <c r="T154" s="247">
        <v>50000</v>
      </c>
      <c r="U154" s="247">
        <f t="shared" si="6"/>
        <v>0</v>
      </c>
      <c r="V154" s="248">
        <v>46154.07</v>
      </c>
      <c r="X154" s="243" t="str">
        <f t="shared" si="7"/>
        <v>AMS / Service Desk Onboarding</v>
      </c>
      <c r="Y154" s="243" t="s">
        <v>5794</v>
      </c>
    </row>
    <row r="155" spans="1:25" hidden="1" x14ac:dyDescent="0.25">
      <c r="A155" s="22" t="s">
        <v>3413</v>
      </c>
      <c r="C155" s="243">
        <v>68427709</v>
      </c>
      <c r="D155" s="244" t="s">
        <v>44</v>
      </c>
      <c r="E155" s="92" t="s">
        <v>75</v>
      </c>
      <c r="F155" s="92" t="s">
        <v>46</v>
      </c>
      <c r="G155" s="260" t="s">
        <v>3144</v>
      </c>
      <c r="H155" s="22" t="s">
        <v>3411</v>
      </c>
      <c r="I155" s="243">
        <v>187516</v>
      </c>
      <c r="J155" s="92" t="s">
        <v>799</v>
      </c>
      <c r="K155" s="92"/>
      <c r="L155" s="249"/>
      <c r="M155" s="246"/>
      <c r="N155" s="92" t="s">
        <v>2870</v>
      </c>
      <c r="O155" s="92" t="s">
        <v>6109</v>
      </c>
      <c r="P155" s="22" t="s">
        <v>3026</v>
      </c>
      <c r="Q155" s="243" t="s">
        <v>3114</v>
      </c>
      <c r="R155" s="243" t="s">
        <v>3098</v>
      </c>
      <c r="S155" s="247">
        <v>65000</v>
      </c>
      <c r="T155" s="247">
        <v>38000</v>
      </c>
      <c r="U155" s="247">
        <f t="shared" si="6"/>
        <v>-27000</v>
      </c>
      <c r="V155" s="248">
        <v>35077.1</v>
      </c>
      <c r="X155" s="243" t="str">
        <f t="shared" si="7"/>
        <v>Jira Support</v>
      </c>
      <c r="Y155" s="243" t="s">
        <v>5792</v>
      </c>
    </row>
    <row r="156" spans="1:25" hidden="1" x14ac:dyDescent="0.25">
      <c r="A156" s="22" t="s">
        <v>3642</v>
      </c>
      <c r="C156" s="243">
        <v>68427709</v>
      </c>
      <c r="D156" s="244" t="s">
        <v>44</v>
      </c>
      <c r="E156" s="92" t="s">
        <v>75</v>
      </c>
      <c r="F156" s="92" t="s">
        <v>46</v>
      </c>
      <c r="G156" s="245"/>
      <c r="H156" s="243" t="s">
        <v>3644</v>
      </c>
      <c r="I156" s="243">
        <v>187516</v>
      </c>
      <c r="J156" s="92" t="s">
        <v>799</v>
      </c>
      <c r="K156" s="92"/>
      <c r="L156" s="249">
        <v>5400976834</v>
      </c>
      <c r="M156" s="246">
        <v>10</v>
      </c>
      <c r="N156" s="22" t="s">
        <v>2870</v>
      </c>
      <c r="O156" s="22" t="s">
        <v>6109</v>
      </c>
      <c r="P156" s="22" t="s">
        <v>2870</v>
      </c>
      <c r="Q156" s="243" t="s">
        <v>3114</v>
      </c>
      <c r="R156" s="243" t="s">
        <v>3098</v>
      </c>
      <c r="S156" s="247">
        <v>25000</v>
      </c>
      <c r="T156" s="247">
        <v>25000</v>
      </c>
      <c r="U156" s="247">
        <f t="shared" si="6"/>
        <v>0</v>
      </c>
      <c r="V156" s="248">
        <v>23077.040000000001</v>
      </c>
      <c r="X156" s="243" t="str">
        <f t="shared" si="7"/>
        <v>Splunk Monitoring</v>
      </c>
      <c r="Y156" s="243" t="s">
        <v>5794</v>
      </c>
    </row>
    <row r="157" spans="1:25" hidden="1" x14ac:dyDescent="0.25">
      <c r="A157" s="92" t="s">
        <v>1682</v>
      </c>
      <c r="B157" s="243" t="s">
        <v>6121</v>
      </c>
      <c r="C157" s="243">
        <v>68427709</v>
      </c>
      <c r="D157" s="244" t="s">
        <v>44</v>
      </c>
      <c r="E157" s="92" t="s">
        <v>75</v>
      </c>
      <c r="F157" s="92" t="s">
        <v>46</v>
      </c>
      <c r="G157" s="245"/>
      <c r="H157" s="243" t="s">
        <v>3153</v>
      </c>
      <c r="I157" s="243">
        <v>187516</v>
      </c>
      <c r="J157" s="92" t="s">
        <v>799</v>
      </c>
      <c r="K157" s="92"/>
      <c r="L157" s="256">
        <v>5401023508</v>
      </c>
      <c r="M157" s="93">
        <v>80</v>
      </c>
      <c r="N157" s="92" t="s">
        <v>2870</v>
      </c>
      <c r="O157" s="92" t="s">
        <v>6109</v>
      </c>
      <c r="P157" s="92" t="s">
        <v>3026</v>
      </c>
      <c r="Q157" s="92" t="s">
        <v>3114</v>
      </c>
      <c r="R157" s="92" t="s">
        <v>3098</v>
      </c>
      <c r="S157" s="247">
        <v>180000</v>
      </c>
      <c r="T157" s="247">
        <v>0</v>
      </c>
      <c r="U157" s="247">
        <f t="shared" si="6"/>
        <v>-180000</v>
      </c>
      <c r="V157" s="248">
        <v>0</v>
      </c>
      <c r="X157" s="243" t="str">
        <f t="shared" si="7"/>
        <v>Appl. Development Enhancement Services – Digital</v>
      </c>
      <c r="Y157" s="243" t="s">
        <v>1800</v>
      </c>
    </row>
    <row r="158" spans="1:25" hidden="1" x14ac:dyDescent="0.25">
      <c r="A158" s="92" t="s">
        <v>1679</v>
      </c>
      <c r="B158" s="243" t="s">
        <v>6121</v>
      </c>
      <c r="C158" s="243">
        <v>68427709</v>
      </c>
      <c r="D158" s="244" t="s">
        <v>44</v>
      </c>
      <c r="E158" s="92" t="s">
        <v>75</v>
      </c>
      <c r="F158" s="92" t="s">
        <v>46</v>
      </c>
      <c r="G158" s="245"/>
      <c r="H158" s="243" t="s">
        <v>3153</v>
      </c>
      <c r="I158" s="243">
        <v>187516</v>
      </c>
      <c r="J158" s="92" t="s">
        <v>799</v>
      </c>
      <c r="K158" s="92"/>
      <c r="L158" s="256">
        <v>5401023508</v>
      </c>
      <c r="M158" s="246">
        <v>60</v>
      </c>
      <c r="N158" s="92" t="s">
        <v>2870</v>
      </c>
      <c r="O158" s="92" t="s">
        <v>6109</v>
      </c>
      <c r="P158" s="92" t="s">
        <v>3026</v>
      </c>
      <c r="Q158" s="92" t="s">
        <v>3114</v>
      </c>
      <c r="R158" s="92" t="s">
        <v>3098</v>
      </c>
      <c r="S158" s="247">
        <v>45000</v>
      </c>
      <c r="T158" s="247">
        <v>0</v>
      </c>
      <c r="U158" s="247">
        <f t="shared" si="6"/>
        <v>-45000</v>
      </c>
      <c r="V158" s="248">
        <v>0</v>
      </c>
      <c r="X158" s="243" t="str">
        <f t="shared" si="7"/>
        <v>Core AMS - Enhancement Services – AM – Digital</v>
      </c>
      <c r="Y158" s="243" t="s">
        <v>1800</v>
      </c>
    </row>
    <row r="159" spans="1:25" hidden="1" x14ac:dyDescent="0.25">
      <c r="A159" s="243" t="s">
        <v>3200</v>
      </c>
      <c r="B159" s="243" t="s">
        <v>6121</v>
      </c>
      <c r="C159" s="243">
        <v>68427709</v>
      </c>
      <c r="D159" s="244" t="s">
        <v>44</v>
      </c>
      <c r="E159" s="92" t="s">
        <v>75</v>
      </c>
      <c r="F159" s="92" t="s">
        <v>46</v>
      </c>
      <c r="G159" s="245"/>
      <c r="H159" s="243" t="s">
        <v>3153</v>
      </c>
      <c r="I159" s="243">
        <v>187516</v>
      </c>
      <c r="J159" s="92" t="s">
        <v>799</v>
      </c>
      <c r="K159" s="92"/>
      <c r="L159" s="246"/>
      <c r="M159" s="246"/>
      <c r="N159" s="92" t="s">
        <v>2870</v>
      </c>
      <c r="O159" s="92" t="s">
        <v>6109</v>
      </c>
      <c r="P159" s="92" t="s">
        <v>2870</v>
      </c>
      <c r="Q159" s="92" t="s">
        <v>3114</v>
      </c>
      <c r="R159" s="92" t="s">
        <v>3098</v>
      </c>
      <c r="S159" s="247">
        <v>0</v>
      </c>
      <c r="T159" s="247">
        <v>0</v>
      </c>
      <c r="U159" s="247">
        <f t="shared" si="6"/>
        <v>0</v>
      </c>
      <c r="V159" s="248">
        <v>0</v>
      </c>
      <c r="X159" s="243" t="str">
        <f t="shared" si="7"/>
        <v>Azure Cloud Monitoring &amp; Support</v>
      </c>
      <c r="Y159" s="243" t="s">
        <v>5794</v>
      </c>
    </row>
    <row r="160" spans="1:25" hidden="1" x14ac:dyDescent="0.25">
      <c r="A160" s="243" t="s">
        <v>2832</v>
      </c>
      <c r="B160" s="243" t="s">
        <v>6121</v>
      </c>
      <c r="C160" s="243">
        <v>68427709</v>
      </c>
      <c r="D160" s="244" t="s">
        <v>44</v>
      </c>
      <c r="E160" s="92" t="s">
        <v>75</v>
      </c>
      <c r="F160" s="92" t="s">
        <v>46</v>
      </c>
      <c r="G160" s="245"/>
      <c r="H160" s="243" t="s">
        <v>3232</v>
      </c>
      <c r="I160" s="243">
        <v>187516</v>
      </c>
      <c r="J160" s="92" t="s">
        <v>799</v>
      </c>
      <c r="K160" s="92"/>
      <c r="L160" s="246"/>
      <c r="M160" s="246"/>
      <c r="N160" s="92" t="s">
        <v>2870</v>
      </c>
      <c r="O160" s="92" t="s">
        <v>2864</v>
      </c>
      <c r="P160" s="22" t="s">
        <v>423</v>
      </c>
      <c r="Q160" s="92" t="s">
        <v>3170</v>
      </c>
      <c r="R160" s="92" t="s">
        <v>3120</v>
      </c>
      <c r="S160" s="247">
        <v>8000</v>
      </c>
      <c r="T160" s="247">
        <v>0</v>
      </c>
      <c r="U160" s="247">
        <f t="shared" si="6"/>
        <v>-8000</v>
      </c>
      <c r="V160" s="248">
        <v>0</v>
      </c>
      <c r="X160" s="243" t="str">
        <f t="shared" si="7"/>
        <v>Coffee Care Support (Pega) Upgrade budget</v>
      </c>
      <c r="Y160" s="243" t="s">
        <v>1800</v>
      </c>
    </row>
    <row r="161" spans="1:25" hidden="1" x14ac:dyDescent="0.25">
      <c r="A161" s="22" t="s">
        <v>2606</v>
      </c>
      <c r="C161" s="243">
        <v>68427709</v>
      </c>
      <c r="D161" s="244" t="s">
        <v>44</v>
      </c>
      <c r="E161" s="92" t="s">
        <v>75</v>
      </c>
      <c r="F161" s="92" t="s">
        <v>46</v>
      </c>
      <c r="G161" s="245"/>
      <c r="H161" s="243" t="s">
        <v>3296</v>
      </c>
      <c r="I161" s="22"/>
      <c r="J161" s="22"/>
      <c r="K161" s="22"/>
      <c r="L161" s="249"/>
      <c r="M161" s="246"/>
      <c r="N161" s="22" t="s">
        <v>2870</v>
      </c>
      <c r="O161" s="22" t="s">
        <v>2500</v>
      </c>
      <c r="P161" s="22" t="s">
        <v>2500</v>
      </c>
      <c r="Q161" s="243" t="s">
        <v>3170</v>
      </c>
      <c r="R161" s="243" t="s">
        <v>517</v>
      </c>
      <c r="S161" s="247">
        <v>0</v>
      </c>
      <c r="T161" s="247">
        <v>0</v>
      </c>
      <c r="U161" s="247">
        <f t="shared" si="6"/>
        <v>0</v>
      </c>
      <c r="V161" s="248">
        <v>0</v>
      </c>
      <c r="X161" s="243" t="str">
        <f t="shared" si="7"/>
        <v>Ecommerce Application Support</v>
      </c>
      <c r="Y161" s="243" t="s">
        <v>5794</v>
      </c>
    </row>
    <row r="162" spans="1:25" hidden="1" x14ac:dyDescent="0.25">
      <c r="A162" s="243" t="s">
        <v>2361</v>
      </c>
      <c r="B162" s="243" t="s">
        <v>6128</v>
      </c>
      <c r="C162" s="243">
        <v>68427719</v>
      </c>
      <c r="D162" s="244" t="s">
        <v>54</v>
      </c>
      <c r="E162" s="243" t="s">
        <v>55</v>
      </c>
      <c r="F162" s="243" t="s">
        <v>46</v>
      </c>
      <c r="G162" s="245"/>
      <c r="H162" s="243" t="s">
        <v>3523</v>
      </c>
      <c r="I162" s="243">
        <v>193275</v>
      </c>
      <c r="J162" s="243" t="s">
        <v>3224</v>
      </c>
      <c r="L162" s="243">
        <v>5400972346</v>
      </c>
      <c r="M162" s="246">
        <v>10</v>
      </c>
      <c r="N162" s="92" t="s">
        <v>2800</v>
      </c>
      <c r="O162" s="92" t="s">
        <v>2800</v>
      </c>
      <c r="P162" s="92" t="s">
        <v>2800</v>
      </c>
      <c r="Q162" s="243" t="s">
        <v>3206</v>
      </c>
      <c r="R162" s="243" t="s">
        <v>3207</v>
      </c>
      <c r="S162" s="247">
        <v>2320000</v>
      </c>
      <c r="T162" s="247">
        <v>2445000</v>
      </c>
      <c r="U162" s="247">
        <f t="shared" si="6"/>
        <v>125000</v>
      </c>
      <c r="V162" s="257">
        <f>T162+130000</f>
        <v>2575000</v>
      </c>
      <c r="W162" s="243" t="s">
        <v>6122</v>
      </c>
      <c r="X162" s="243" t="str">
        <f t="shared" si="7"/>
        <v>SalesForce Annual Subscription + Support Professional</v>
      </c>
      <c r="Y162" s="243" t="s">
        <v>5793</v>
      </c>
    </row>
    <row r="163" spans="1:25" hidden="1" x14ac:dyDescent="0.25">
      <c r="A163" s="243" t="s">
        <v>3280</v>
      </c>
      <c r="B163" s="243" t="s">
        <v>3277</v>
      </c>
      <c r="C163" s="243">
        <v>68427709</v>
      </c>
      <c r="D163" s="96" t="s">
        <v>54</v>
      </c>
      <c r="E163" s="92" t="s">
        <v>55</v>
      </c>
      <c r="F163" s="92" t="s">
        <v>46</v>
      </c>
      <c r="G163" s="245" t="s">
        <v>3096</v>
      </c>
      <c r="H163" s="261" t="s">
        <v>3128</v>
      </c>
      <c r="I163" s="243">
        <v>142582</v>
      </c>
      <c r="J163" s="243" t="s">
        <v>143</v>
      </c>
      <c r="L163" s="246">
        <v>5401023799</v>
      </c>
      <c r="M163" s="246">
        <v>10</v>
      </c>
      <c r="N163" s="92" t="s">
        <v>2870</v>
      </c>
      <c r="O163" s="92" t="s">
        <v>6109</v>
      </c>
      <c r="P163" s="92" t="s">
        <v>3149</v>
      </c>
      <c r="Q163" s="22" t="s">
        <v>3104</v>
      </c>
      <c r="R163" s="92" t="s">
        <v>1046</v>
      </c>
      <c r="S163" s="247">
        <v>1716000</v>
      </c>
      <c r="T163" s="247">
        <v>1797000</v>
      </c>
      <c r="U163" s="247">
        <f t="shared" si="6"/>
        <v>81000</v>
      </c>
      <c r="V163" s="248">
        <v>1658777.38</v>
      </c>
      <c r="X163" s="243" t="str">
        <f t="shared" si="7"/>
        <v>D&amp;A Retail Support</v>
      </c>
      <c r="Y163" s="243" t="s">
        <v>5793</v>
      </c>
    </row>
    <row r="164" spans="1:25" hidden="1" x14ac:dyDescent="0.25">
      <c r="A164" s="243" t="s">
        <v>3245</v>
      </c>
      <c r="B164" s="243" t="s">
        <v>3246</v>
      </c>
      <c r="C164" s="243">
        <v>68427719</v>
      </c>
      <c r="D164" s="244" t="s">
        <v>54</v>
      </c>
      <c r="E164" s="243" t="s">
        <v>55</v>
      </c>
      <c r="F164" s="243" t="s">
        <v>46</v>
      </c>
      <c r="G164" s="245"/>
      <c r="H164" s="243" t="s">
        <v>3247</v>
      </c>
      <c r="I164" s="243">
        <v>188873</v>
      </c>
      <c r="J164" s="243" t="s">
        <v>3248</v>
      </c>
      <c r="L164" s="243">
        <v>5400962069</v>
      </c>
      <c r="M164" s="246">
        <v>20</v>
      </c>
      <c r="N164" s="92" t="s">
        <v>2800</v>
      </c>
      <c r="O164" s="92" t="s">
        <v>2800</v>
      </c>
      <c r="P164" s="92" t="s">
        <v>2800</v>
      </c>
      <c r="Q164" s="243" t="s">
        <v>3249</v>
      </c>
      <c r="R164" s="243" t="s">
        <v>3207</v>
      </c>
      <c r="S164" s="247">
        <v>1291000</v>
      </c>
      <c r="T164" s="247">
        <v>1400000</v>
      </c>
      <c r="U164" s="247">
        <f t="shared" si="6"/>
        <v>109000</v>
      </c>
      <c r="V164" s="257">
        <f>S164</f>
        <v>1291000</v>
      </c>
      <c r="W164" s="243" t="s">
        <v>6122</v>
      </c>
      <c r="X164" s="243" t="str">
        <f t="shared" si="7"/>
        <v>Conga Annual Subscription + Support</v>
      </c>
      <c r="Y164" s="243" t="s">
        <v>5793</v>
      </c>
    </row>
    <row r="165" spans="1:25" hidden="1" x14ac:dyDescent="0.25">
      <c r="A165" s="92" t="s">
        <v>2657</v>
      </c>
      <c r="B165" s="243" t="s">
        <v>6110</v>
      </c>
      <c r="C165" s="243">
        <v>68427709</v>
      </c>
      <c r="D165" s="244" t="s">
        <v>54</v>
      </c>
      <c r="E165" s="243" t="s">
        <v>20</v>
      </c>
      <c r="F165" s="243" t="s">
        <v>16</v>
      </c>
      <c r="G165" s="245"/>
      <c r="H165" s="253" t="s">
        <v>3451</v>
      </c>
      <c r="I165" s="243">
        <v>166304</v>
      </c>
      <c r="J165" s="92" t="s">
        <v>97</v>
      </c>
      <c r="K165" s="92"/>
      <c r="L165" s="243">
        <v>5400878308</v>
      </c>
      <c r="M165" s="93">
        <v>20</v>
      </c>
      <c r="N165" s="92" t="s">
        <v>2410</v>
      </c>
      <c r="O165" s="92" t="s">
        <v>6109</v>
      </c>
      <c r="P165" s="22" t="s">
        <v>2410</v>
      </c>
      <c r="Q165" s="243" t="s">
        <v>3114</v>
      </c>
      <c r="R165" s="92" t="s">
        <v>3133</v>
      </c>
      <c r="S165" s="247">
        <v>235000</v>
      </c>
      <c r="T165" s="247">
        <v>550000</v>
      </c>
      <c r="U165" s="247">
        <f t="shared" si="6"/>
        <v>315000</v>
      </c>
      <c r="V165" s="248">
        <v>507694.8</v>
      </c>
      <c r="X165" s="243" t="str">
        <f t="shared" si="7"/>
        <v>Microsoft Azure : Data &amp; Analytics</v>
      </c>
      <c r="Y165" s="243" t="s">
        <v>5793</v>
      </c>
    </row>
    <row r="166" spans="1:25" hidden="1" x14ac:dyDescent="0.25">
      <c r="A166" s="243" t="s">
        <v>2708</v>
      </c>
      <c r="B166" s="243" t="s">
        <v>3704</v>
      </c>
      <c r="C166" s="243">
        <v>68427709</v>
      </c>
      <c r="D166" s="244" t="s">
        <v>54</v>
      </c>
      <c r="E166" s="243" t="s">
        <v>55</v>
      </c>
      <c r="F166" s="243" t="s">
        <v>46</v>
      </c>
      <c r="G166" s="245"/>
      <c r="H166" s="243" t="s">
        <v>2274</v>
      </c>
      <c r="I166" s="243">
        <v>191793</v>
      </c>
      <c r="J166" s="243" t="s">
        <v>6129</v>
      </c>
      <c r="L166" s="243">
        <v>5401023517</v>
      </c>
      <c r="M166" s="246">
        <v>10</v>
      </c>
      <c r="N166" s="243" t="s">
        <v>2870</v>
      </c>
      <c r="O166" s="243" t="s">
        <v>2135</v>
      </c>
      <c r="P166" s="243" t="s">
        <v>2135</v>
      </c>
      <c r="Q166" s="243" t="s">
        <v>3097</v>
      </c>
      <c r="R166" s="243" t="s">
        <v>3574</v>
      </c>
      <c r="S166" s="247">
        <v>308000</v>
      </c>
      <c r="T166" s="247">
        <v>438000</v>
      </c>
      <c r="U166" s="247">
        <f t="shared" si="6"/>
        <v>130000</v>
      </c>
      <c r="V166" s="248">
        <v>405591.07</v>
      </c>
      <c r="X166" s="243" t="str">
        <f t="shared" si="7"/>
        <v>Xtel Application AMS Support</v>
      </c>
      <c r="Y166" s="243" t="s">
        <v>5793</v>
      </c>
    </row>
    <row r="167" spans="1:25" hidden="1" x14ac:dyDescent="0.25">
      <c r="A167" s="92" t="s">
        <v>2638</v>
      </c>
      <c r="B167" s="243" t="s">
        <v>6130</v>
      </c>
      <c r="C167" s="243">
        <v>68427709</v>
      </c>
      <c r="D167" s="244" t="s">
        <v>54</v>
      </c>
      <c r="E167" s="243" t="s">
        <v>55</v>
      </c>
      <c r="F167" s="92" t="s">
        <v>46</v>
      </c>
      <c r="G167" s="245"/>
      <c r="H167" s="243" t="s">
        <v>3479</v>
      </c>
      <c r="I167" s="92">
        <v>168933</v>
      </c>
      <c r="J167" s="92" t="s">
        <v>149</v>
      </c>
      <c r="K167" s="92"/>
      <c r="L167" s="93">
        <v>5400963483</v>
      </c>
      <c r="M167" s="93">
        <v>29</v>
      </c>
      <c r="N167" s="92" t="s">
        <v>2870</v>
      </c>
      <c r="O167" s="92" t="s">
        <v>6109</v>
      </c>
      <c r="P167" s="92" t="s">
        <v>1984</v>
      </c>
      <c r="Q167" s="243" t="s">
        <v>3114</v>
      </c>
      <c r="R167" s="92" t="s">
        <v>3284</v>
      </c>
      <c r="S167" s="247">
        <v>281000</v>
      </c>
      <c r="T167" s="247">
        <v>365000</v>
      </c>
      <c r="U167" s="247">
        <f t="shared" si="6"/>
        <v>84000</v>
      </c>
      <c r="V167" s="248">
        <v>336924.73</v>
      </c>
      <c r="X167" s="243" t="str">
        <f t="shared" si="7"/>
        <v>Open Text Business Network (VAN)</v>
      </c>
      <c r="Y167" s="243" t="s">
        <v>5793</v>
      </c>
    </row>
    <row r="168" spans="1:25" x14ac:dyDescent="0.25">
      <c r="A168" s="22" t="s">
        <v>2981</v>
      </c>
      <c r="B168"/>
      <c r="C168">
        <v>68427709</v>
      </c>
      <c r="D168" s="91" t="s">
        <v>40</v>
      </c>
      <c r="E168" t="s">
        <v>42</v>
      </c>
      <c r="F168" t="s">
        <v>42</v>
      </c>
      <c r="G168" s="266" t="s">
        <v>2448</v>
      </c>
      <c r="H168" t="s">
        <v>2903</v>
      </c>
      <c r="I168"/>
      <c r="J168" s="22"/>
      <c r="K168" s="22"/>
      <c r="L168" s="203"/>
      <c r="M168" s="20"/>
      <c r="N168" s="268" t="s">
        <v>2843</v>
      </c>
      <c r="O168" t="s">
        <v>2903</v>
      </c>
      <c r="P168" t="s">
        <v>2843</v>
      </c>
      <c r="Q168" t="s">
        <v>3124</v>
      </c>
      <c r="R168" t="s">
        <v>2903</v>
      </c>
      <c r="S168" s="7"/>
      <c r="T168" s="7">
        <v>1221</v>
      </c>
      <c r="U168" s="247">
        <f t="shared" si="6"/>
        <v>1221</v>
      </c>
      <c r="V168" s="248">
        <v>1221</v>
      </c>
      <c r="W168"/>
      <c r="X168" s="243" t="str">
        <f t="shared" si="7"/>
        <v>OT RAS - BeyondTrust Appliance B Series-VM Subscription</v>
      </c>
      <c r="Y168" s="243" t="s">
        <v>1829</v>
      </c>
    </row>
    <row r="169" spans="1:25" hidden="1" x14ac:dyDescent="0.25">
      <c r="A169" s="243" t="s">
        <v>1168</v>
      </c>
      <c r="B169" s="243" t="s">
        <v>3635</v>
      </c>
      <c r="C169" s="243">
        <v>68427709</v>
      </c>
      <c r="D169" s="244" t="s">
        <v>54</v>
      </c>
      <c r="E169" s="243" t="s">
        <v>55</v>
      </c>
      <c r="F169" s="243" t="s">
        <v>46</v>
      </c>
      <c r="G169" s="245"/>
      <c r="H169" s="243" t="s">
        <v>2270</v>
      </c>
      <c r="I169" s="243">
        <v>189203</v>
      </c>
      <c r="J169" s="243" t="s">
        <v>153</v>
      </c>
      <c r="L169" s="246">
        <v>5400904915</v>
      </c>
      <c r="M169" s="246">
        <v>40</v>
      </c>
      <c r="N169" s="243" t="s">
        <v>2994</v>
      </c>
      <c r="O169" s="243" t="s">
        <v>6109</v>
      </c>
      <c r="P169" s="22" t="s">
        <v>2843</v>
      </c>
      <c r="Q169" s="243" t="s">
        <v>3114</v>
      </c>
      <c r="R169" s="243" t="s">
        <v>42</v>
      </c>
      <c r="S169" s="247">
        <v>310000</v>
      </c>
      <c r="T169" s="247">
        <v>356500</v>
      </c>
      <c r="U169" s="247">
        <f t="shared" si="6"/>
        <v>46500</v>
      </c>
      <c r="V169" s="248">
        <v>329078.53999999998</v>
      </c>
      <c r="X169" s="243" t="str">
        <f t="shared" si="7"/>
        <v>Snow Managed Service + Hosting</v>
      </c>
      <c r="Y169" s="243" t="s">
        <v>5793</v>
      </c>
    </row>
    <row r="170" spans="1:25" hidden="1" x14ac:dyDescent="0.25">
      <c r="A170" s="243" t="s">
        <v>2630</v>
      </c>
      <c r="B170" s="243" t="s">
        <v>6128</v>
      </c>
      <c r="C170" s="243">
        <v>68427709</v>
      </c>
      <c r="D170" s="244" t="s">
        <v>54</v>
      </c>
      <c r="E170" s="243" t="s">
        <v>55</v>
      </c>
      <c r="F170" s="243" t="s">
        <v>46</v>
      </c>
      <c r="G170" s="245"/>
      <c r="H170" s="243" t="s">
        <v>3285</v>
      </c>
      <c r="I170" s="243">
        <v>193275</v>
      </c>
      <c r="J170" s="243" t="s">
        <v>376</v>
      </c>
      <c r="L170" s="246">
        <v>5400972346</v>
      </c>
      <c r="M170" s="246">
        <v>10</v>
      </c>
      <c r="N170" s="243" t="s">
        <v>2870</v>
      </c>
      <c r="O170" s="243" t="s">
        <v>2500</v>
      </c>
      <c r="P170" s="243" t="s">
        <v>2500</v>
      </c>
      <c r="Q170" s="243" t="s">
        <v>3114</v>
      </c>
      <c r="R170" s="243" t="s">
        <v>3175</v>
      </c>
      <c r="S170" s="247">
        <v>333000</v>
      </c>
      <c r="T170" s="247">
        <v>333000</v>
      </c>
      <c r="U170" s="247">
        <f t="shared" si="6"/>
        <v>0</v>
      </c>
      <c r="V170" s="248">
        <v>286221.25</v>
      </c>
      <c r="X170" s="243" t="str">
        <f t="shared" si="7"/>
        <v>Salesforce Marketing / Sales Cloud licenses Retail</v>
      </c>
      <c r="Y170" s="243" t="s">
        <v>5794</v>
      </c>
    </row>
    <row r="171" spans="1:25" hidden="1" x14ac:dyDescent="0.25">
      <c r="A171" s="243" t="s">
        <v>2089</v>
      </c>
      <c r="B171" s="243" t="s">
        <v>6132</v>
      </c>
      <c r="C171" s="243">
        <v>68427719</v>
      </c>
      <c r="D171" s="244" t="s">
        <v>54</v>
      </c>
      <c r="E171" s="243" t="s">
        <v>55</v>
      </c>
      <c r="F171" s="243" t="s">
        <v>46</v>
      </c>
      <c r="G171" s="245"/>
      <c r="H171" s="243" t="s">
        <v>3223</v>
      </c>
      <c r="I171" s="243">
        <v>193275</v>
      </c>
      <c r="J171" s="243" t="s">
        <v>3224</v>
      </c>
      <c r="L171" s="246">
        <v>5400972346</v>
      </c>
      <c r="M171" s="246">
        <v>70</v>
      </c>
      <c r="N171" s="92" t="s">
        <v>2800</v>
      </c>
      <c r="O171" s="92" t="s">
        <v>2800</v>
      </c>
      <c r="P171" s="92" t="s">
        <v>2800</v>
      </c>
      <c r="Q171" s="243" t="s">
        <v>3225</v>
      </c>
      <c r="R171" s="92" t="s">
        <v>3207</v>
      </c>
      <c r="S171" s="247">
        <v>262000</v>
      </c>
      <c r="T171" s="247">
        <v>262000</v>
      </c>
      <c r="U171" s="247">
        <f t="shared" si="6"/>
        <v>0</v>
      </c>
      <c r="V171" s="257">
        <f>S171</f>
        <v>262000</v>
      </c>
      <c r="W171" s="243" t="s">
        <v>6122</v>
      </c>
      <c r="X171" s="243" t="str">
        <f t="shared" si="7"/>
        <v>Click Annual Subscription</v>
      </c>
      <c r="Y171" s="243" t="s">
        <v>5794</v>
      </c>
    </row>
    <row r="172" spans="1:25" hidden="1" x14ac:dyDescent="0.25">
      <c r="A172" s="243" t="s">
        <v>3276</v>
      </c>
      <c r="B172" s="243" t="s">
        <v>3277</v>
      </c>
      <c r="C172" s="243">
        <v>68427719</v>
      </c>
      <c r="D172" s="96" t="s">
        <v>54</v>
      </c>
      <c r="E172" s="92" t="s">
        <v>55</v>
      </c>
      <c r="F172" s="92" t="s">
        <v>46</v>
      </c>
      <c r="G172" s="245"/>
      <c r="H172" s="243" t="s">
        <v>3278</v>
      </c>
      <c r="I172" s="243">
        <v>142582</v>
      </c>
      <c r="J172" s="22" t="s">
        <v>143</v>
      </c>
      <c r="K172" s="22"/>
      <c r="L172" s="93">
        <v>5401023573</v>
      </c>
      <c r="M172" s="93">
        <v>10</v>
      </c>
      <c r="N172" s="92" t="s">
        <v>3149</v>
      </c>
      <c r="O172" s="92" t="s">
        <v>2800</v>
      </c>
      <c r="P172" s="92" t="s">
        <v>2356</v>
      </c>
      <c r="Q172" s="92" t="s">
        <v>3206</v>
      </c>
      <c r="R172" s="92" t="s">
        <v>3207</v>
      </c>
      <c r="S172" s="247">
        <v>215000</v>
      </c>
      <c r="T172" s="247">
        <v>237000</v>
      </c>
      <c r="U172" s="247">
        <f t="shared" si="6"/>
        <v>22000</v>
      </c>
      <c r="V172" s="257">
        <f>S172</f>
        <v>215000</v>
      </c>
      <c r="W172" s="243" t="s">
        <v>6122</v>
      </c>
      <c r="X172" s="243" t="str">
        <f t="shared" si="7"/>
        <v>D&amp;A Prof Support</v>
      </c>
      <c r="Y172" s="243" t="s">
        <v>5793</v>
      </c>
    </row>
    <row r="173" spans="1:25" hidden="1" x14ac:dyDescent="0.25">
      <c r="A173" s="22" t="s">
        <v>3380</v>
      </c>
      <c r="B173" s="243" t="s">
        <v>3381</v>
      </c>
      <c r="C173" s="243">
        <v>68427709</v>
      </c>
      <c r="D173" s="244" t="s">
        <v>54</v>
      </c>
      <c r="E173" s="243" t="s">
        <v>55</v>
      </c>
      <c r="F173" s="22" t="s">
        <v>46</v>
      </c>
      <c r="G173" s="245"/>
      <c r="H173" s="243" t="s">
        <v>2264</v>
      </c>
      <c r="I173" s="22">
        <v>188831</v>
      </c>
      <c r="J173" s="22" t="s">
        <v>407</v>
      </c>
      <c r="K173" s="22"/>
      <c r="L173" s="243">
        <v>5401024595</v>
      </c>
      <c r="M173" s="24">
        <v>10</v>
      </c>
      <c r="N173" s="22" t="s">
        <v>2870</v>
      </c>
      <c r="O173" s="22" t="s">
        <v>2864</v>
      </c>
      <c r="P173" s="22" t="s">
        <v>1479</v>
      </c>
      <c r="Q173" s="22" t="s">
        <v>3170</v>
      </c>
      <c r="R173" s="22" t="s">
        <v>3230</v>
      </c>
      <c r="S173" s="247">
        <v>200000</v>
      </c>
      <c r="T173" s="247">
        <v>200000</v>
      </c>
      <c r="U173" s="247">
        <f t="shared" si="6"/>
        <v>0</v>
      </c>
      <c r="V173" s="248">
        <v>193222.38</v>
      </c>
      <c r="X173" s="243" t="str">
        <f t="shared" si="7"/>
        <v>i21 Maintenance</v>
      </c>
      <c r="Y173" s="243" t="s">
        <v>5794</v>
      </c>
    </row>
    <row r="174" spans="1:25" hidden="1" x14ac:dyDescent="0.25">
      <c r="A174" s="92" t="s">
        <v>1714</v>
      </c>
      <c r="B174" s="243" t="s">
        <v>3121</v>
      </c>
      <c r="C174" s="243">
        <v>68427709</v>
      </c>
      <c r="D174" s="244" t="s">
        <v>54</v>
      </c>
      <c r="E174" s="243" t="s">
        <v>55</v>
      </c>
      <c r="F174" s="92" t="s">
        <v>46</v>
      </c>
      <c r="G174" s="245"/>
      <c r="H174" s="243" t="s">
        <v>2215</v>
      </c>
      <c r="I174" s="92">
        <v>115995</v>
      </c>
      <c r="J174" s="92" t="s">
        <v>3122</v>
      </c>
      <c r="K174" s="92"/>
      <c r="L174" s="93">
        <v>5400996763</v>
      </c>
      <c r="M174" s="93">
        <v>10</v>
      </c>
      <c r="N174" s="92" t="s">
        <v>2870</v>
      </c>
      <c r="O174" s="92" t="s">
        <v>6109</v>
      </c>
      <c r="P174" s="22" t="s">
        <v>3123</v>
      </c>
      <c r="Q174" s="253" t="s">
        <v>3124</v>
      </c>
      <c r="R174" s="92" t="s">
        <v>3125</v>
      </c>
      <c r="S174" s="247">
        <v>160000</v>
      </c>
      <c r="T174" s="247">
        <v>172000</v>
      </c>
      <c r="U174" s="247">
        <f t="shared" si="6"/>
        <v>12000</v>
      </c>
      <c r="V174" s="248">
        <v>158770.01</v>
      </c>
      <c r="X174" s="243" t="str">
        <f t="shared" si="7"/>
        <v>Actemium - Mobile scanning RFGEN</v>
      </c>
      <c r="Y174" s="243" t="s">
        <v>5793</v>
      </c>
    </row>
    <row r="175" spans="1:25" hidden="1" x14ac:dyDescent="0.25">
      <c r="A175" s="22" t="s">
        <v>2470</v>
      </c>
      <c r="B175" s="243" t="s">
        <v>3670</v>
      </c>
      <c r="C175" s="243">
        <v>68427709</v>
      </c>
      <c r="D175" s="96" t="s">
        <v>54</v>
      </c>
      <c r="E175" s="92" t="s">
        <v>55</v>
      </c>
      <c r="F175" s="22" t="s">
        <v>46</v>
      </c>
      <c r="G175" s="245"/>
      <c r="H175" s="243" t="s">
        <v>3492</v>
      </c>
      <c r="I175" s="145">
        <v>192202</v>
      </c>
      <c r="J175" s="22" t="s">
        <v>159</v>
      </c>
      <c r="K175" s="22"/>
      <c r="L175" s="246">
        <v>5401040711</v>
      </c>
      <c r="M175" s="246">
        <v>10</v>
      </c>
      <c r="N175" s="22" t="s">
        <v>2870</v>
      </c>
      <c r="O175" s="22" t="s">
        <v>2864</v>
      </c>
      <c r="P175" s="22" t="s">
        <v>3183</v>
      </c>
      <c r="Q175" s="243" t="s">
        <v>3114</v>
      </c>
      <c r="R175" s="243" t="s">
        <v>3120</v>
      </c>
      <c r="S175" s="247">
        <v>165000</v>
      </c>
      <c r="T175" s="247">
        <v>165000</v>
      </c>
      <c r="U175" s="247">
        <f t="shared" si="6"/>
        <v>0</v>
      </c>
      <c r="V175" s="248">
        <v>159408.47</v>
      </c>
      <c r="X175" s="243" t="str">
        <f t="shared" si="7"/>
        <v>Syncforce support</v>
      </c>
      <c r="Y175" s="243" t="s">
        <v>5794</v>
      </c>
    </row>
    <row r="176" spans="1:25" hidden="1" x14ac:dyDescent="0.25">
      <c r="A176" s="243" t="s">
        <v>2710</v>
      </c>
      <c r="B176" s="243" t="s">
        <v>3706</v>
      </c>
      <c r="C176" s="243">
        <v>68427709</v>
      </c>
      <c r="D176" s="96" t="s">
        <v>54</v>
      </c>
      <c r="E176" s="92" t="s">
        <v>55</v>
      </c>
      <c r="F176" s="22" t="s">
        <v>46</v>
      </c>
      <c r="G176" s="245"/>
      <c r="H176" s="243" t="s">
        <v>2274</v>
      </c>
      <c r="I176" s="243">
        <v>191793</v>
      </c>
      <c r="J176" s="243" t="s">
        <v>6129</v>
      </c>
      <c r="L176" s="243">
        <v>5400904702</v>
      </c>
      <c r="M176" s="246">
        <v>30</v>
      </c>
      <c r="N176" s="243" t="s">
        <v>2870</v>
      </c>
      <c r="O176" s="243" t="s">
        <v>2135</v>
      </c>
      <c r="P176" s="22" t="s">
        <v>2135</v>
      </c>
      <c r="Q176" s="243" t="s">
        <v>3097</v>
      </c>
      <c r="R176" s="92" t="s">
        <v>3574</v>
      </c>
      <c r="S176" s="247">
        <v>302000</v>
      </c>
      <c r="T176" s="247">
        <v>152000</v>
      </c>
      <c r="U176" s="247">
        <f t="shared" si="6"/>
        <v>-150000</v>
      </c>
      <c r="V176" s="248">
        <v>140753.06</v>
      </c>
      <c r="X176" s="243" t="str">
        <f t="shared" si="7"/>
        <v>Xtel Maintenance Fee</v>
      </c>
      <c r="Y176" s="243" t="s">
        <v>5792</v>
      </c>
    </row>
    <row r="177" spans="1:25" hidden="1" x14ac:dyDescent="0.25">
      <c r="A177" s="243" t="s">
        <v>2821</v>
      </c>
      <c r="C177" s="243">
        <v>68427709</v>
      </c>
      <c r="D177" s="244" t="s">
        <v>54</v>
      </c>
      <c r="E177" s="243" t="s">
        <v>55</v>
      </c>
      <c r="F177" s="243" t="s">
        <v>46</v>
      </c>
      <c r="G177" s="245"/>
      <c r="H177" s="243" t="s">
        <v>3627</v>
      </c>
      <c r="I177" s="243">
        <v>187516</v>
      </c>
      <c r="J177" s="92" t="s">
        <v>3629</v>
      </c>
      <c r="K177" s="92"/>
      <c r="L177" s="246"/>
      <c r="M177" s="246"/>
      <c r="N177" s="243" t="s">
        <v>2870</v>
      </c>
      <c r="O177" s="243" t="s">
        <v>2500</v>
      </c>
      <c r="P177" s="92" t="s">
        <v>2500</v>
      </c>
      <c r="Q177" s="253" t="s">
        <v>3184</v>
      </c>
      <c r="R177" s="243" t="s">
        <v>3175</v>
      </c>
      <c r="S177" s="247">
        <v>432000</v>
      </c>
      <c r="T177" s="247">
        <v>125000</v>
      </c>
      <c r="U177" s="247">
        <f t="shared" si="6"/>
        <v>-307000</v>
      </c>
      <c r="V177" s="248">
        <v>107440.41</v>
      </c>
      <c r="X177" s="243" t="str">
        <f t="shared" si="7"/>
        <v>Sitecore Support</v>
      </c>
      <c r="Y177" s="243" t="s">
        <v>5792</v>
      </c>
    </row>
    <row r="178" spans="1:25" hidden="1" x14ac:dyDescent="0.25">
      <c r="A178" s="22" t="s">
        <v>2613</v>
      </c>
      <c r="C178" s="243">
        <v>68427709</v>
      </c>
      <c r="D178" s="244" t="s">
        <v>54</v>
      </c>
      <c r="E178" s="243" t="s">
        <v>55</v>
      </c>
      <c r="F178" s="243" t="s">
        <v>46</v>
      </c>
      <c r="G178" s="245"/>
      <c r="H178" s="243" t="s">
        <v>3174</v>
      </c>
      <c r="I178" s="92">
        <v>197254</v>
      </c>
      <c r="J178" s="92" t="s">
        <v>167</v>
      </c>
      <c r="K178" s="92"/>
      <c r="L178" s="246">
        <v>5401034435</v>
      </c>
      <c r="M178" s="246">
        <v>10</v>
      </c>
      <c r="N178" s="92" t="s">
        <v>2870</v>
      </c>
      <c r="O178" s="92" t="s">
        <v>2500</v>
      </c>
      <c r="P178" s="22" t="s">
        <v>2500</v>
      </c>
      <c r="Q178" s="243" t="s">
        <v>3114</v>
      </c>
      <c r="R178" s="243" t="s">
        <v>3175</v>
      </c>
      <c r="S178" s="247">
        <v>105000</v>
      </c>
      <c r="T178" s="247">
        <v>105000</v>
      </c>
      <c r="U178" s="247">
        <f t="shared" si="6"/>
        <v>0</v>
      </c>
      <c r="V178" s="248">
        <v>90249.94</v>
      </c>
      <c r="X178" s="243" t="str">
        <f t="shared" si="7"/>
        <v>Artefact support (GA/GTM/OT) Digital</v>
      </c>
      <c r="Y178" s="243" t="s">
        <v>5794</v>
      </c>
    </row>
    <row r="179" spans="1:25" hidden="1" x14ac:dyDescent="0.25">
      <c r="A179" s="22" t="s">
        <v>2615</v>
      </c>
      <c r="C179" s="243">
        <v>68427709</v>
      </c>
      <c r="D179" s="244" t="s">
        <v>54</v>
      </c>
      <c r="E179" s="243" t="s">
        <v>55</v>
      </c>
      <c r="F179" s="243" t="s">
        <v>46</v>
      </c>
      <c r="G179" s="245"/>
      <c r="H179" s="243" t="s">
        <v>3174</v>
      </c>
      <c r="I179" s="92">
        <v>197254</v>
      </c>
      <c r="J179" s="92" t="s">
        <v>167</v>
      </c>
      <c r="K179" s="92"/>
      <c r="L179" s="249">
        <v>5401034435</v>
      </c>
      <c r="M179" s="246">
        <v>10</v>
      </c>
      <c r="N179" s="92" t="s">
        <v>2870</v>
      </c>
      <c r="O179" s="92" t="s">
        <v>2500</v>
      </c>
      <c r="P179" s="22" t="s">
        <v>2500</v>
      </c>
      <c r="Q179" s="253" t="s">
        <v>3114</v>
      </c>
      <c r="R179" s="243" t="s">
        <v>517</v>
      </c>
      <c r="S179" s="247">
        <v>105000</v>
      </c>
      <c r="T179" s="247">
        <v>105000</v>
      </c>
      <c r="U179" s="247">
        <f t="shared" si="6"/>
        <v>0</v>
      </c>
      <c r="V179" s="248">
        <v>90249.94</v>
      </c>
      <c r="X179" s="243" t="str">
        <f t="shared" si="7"/>
        <v>Artefact support (GA/GTM/OT) eCommerce</v>
      </c>
      <c r="Y179" s="243" t="s">
        <v>5794</v>
      </c>
    </row>
    <row r="180" spans="1:25" hidden="1" x14ac:dyDescent="0.25">
      <c r="A180" s="22" t="s">
        <v>2894</v>
      </c>
      <c r="C180" s="243">
        <v>68427709</v>
      </c>
      <c r="D180" s="244" t="s">
        <v>54</v>
      </c>
      <c r="E180" s="243" t="s">
        <v>55</v>
      </c>
      <c r="F180" s="92" t="s">
        <v>46</v>
      </c>
      <c r="G180" s="245"/>
      <c r="H180" s="22" t="s">
        <v>3192</v>
      </c>
      <c r="I180" s="243">
        <v>193317</v>
      </c>
      <c r="J180" s="22" t="s">
        <v>161</v>
      </c>
      <c r="K180" s="22"/>
      <c r="L180" s="259">
        <v>5401023807</v>
      </c>
      <c r="M180" s="246">
        <v>10</v>
      </c>
      <c r="N180" s="92" t="s">
        <v>2870</v>
      </c>
      <c r="O180" s="92" t="s">
        <v>2864</v>
      </c>
      <c r="P180" s="22" t="s">
        <v>1819</v>
      </c>
      <c r="Q180" s="243" t="s">
        <v>3124</v>
      </c>
      <c r="R180" s="243" t="s">
        <v>3125</v>
      </c>
      <c r="S180" s="247">
        <v>110000</v>
      </c>
      <c r="T180" s="247">
        <v>105000</v>
      </c>
      <c r="U180" s="247">
        <f t="shared" si="6"/>
        <v>-5000</v>
      </c>
      <c r="V180" s="248">
        <v>101441.75</v>
      </c>
      <c r="X180" s="243" t="str">
        <f t="shared" si="7"/>
        <v>Aveva - 24/7 support</v>
      </c>
      <c r="Y180" s="243" t="s">
        <v>5792</v>
      </c>
    </row>
    <row r="181" spans="1:25" hidden="1" x14ac:dyDescent="0.25">
      <c r="A181" s="92" t="s">
        <v>3404</v>
      </c>
      <c r="B181" s="243" t="s">
        <v>3405</v>
      </c>
      <c r="C181" s="243">
        <v>68427709</v>
      </c>
      <c r="D181" s="244" t="s">
        <v>54</v>
      </c>
      <c r="E181" s="243" t="s">
        <v>55</v>
      </c>
      <c r="F181" s="92" t="s">
        <v>46</v>
      </c>
      <c r="G181" s="245"/>
      <c r="H181" s="243" t="s">
        <v>2262</v>
      </c>
      <c r="I181" s="92">
        <v>165589</v>
      </c>
      <c r="J181" s="92" t="s">
        <v>3406</v>
      </c>
      <c r="K181" s="92"/>
      <c r="L181" s="93">
        <v>5401014604</v>
      </c>
      <c r="M181" s="93">
        <v>10</v>
      </c>
      <c r="N181" s="92" t="s">
        <v>2870</v>
      </c>
      <c r="O181" s="92" t="s">
        <v>6109</v>
      </c>
      <c r="P181" s="92" t="s">
        <v>3015</v>
      </c>
      <c r="Q181" s="243" t="s">
        <v>3104</v>
      </c>
      <c r="R181" s="92" t="s">
        <v>3098</v>
      </c>
      <c r="S181" s="247">
        <v>85000</v>
      </c>
      <c r="T181" s="247">
        <v>85000</v>
      </c>
      <c r="U181" s="247">
        <f t="shared" si="6"/>
        <v>0</v>
      </c>
      <c r="V181" s="248">
        <v>78461.919999999998</v>
      </c>
      <c r="X181" s="243" t="str">
        <f t="shared" si="7"/>
        <v xml:space="preserve">IXOS Support </v>
      </c>
      <c r="Y181" s="243" t="s">
        <v>5794</v>
      </c>
    </row>
    <row r="182" spans="1:25" hidden="1" x14ac:dyDescent="0.25">
      <c r="A182" s="243" t="s">
        <v>6133</v>
      </c>
      <c r="B182" s="243" t="s">
        <v>3509</v>
      </c>
      <c r="C182" s="243">
        <v>68427709</v>
      </c>
      <c r="D182" s="244" t="s">
        <v>54</v>
      </c>
      <c r="E182" s="243" t="s">
        <v>55</v>
      </c>
      <c r="F182" s="243" t="s">
        <v>46</v>
      </c>
      <c r="G182" s="245" t="s">
        <v>3144</v>
      </c>
      <c r="H182" s="243" t="s">
        <v>3254</v>
      </c>
      <c r="I182" s="243">
        <v>193174</v>
      </c>
      <c r="J182" s="243" t="s">
        <v>469</v>
      </c>
      <c r="L182" s="243">
        <v>5400861908</v>
      </c>
      <c r="M182" s="246">
        <v>30</v>
      </c>
      <c r="N182" s="243" t="s">
        <v>1930</v>
      </c>
      <c r="O182" s="243" t="s">
        <v>6109</v>
      </c>
      <c r="P182" s="22" t="s">
        <v>1930</v>
      </c>
      <c r="Q182" s="243" t="s">
        <v>3114</v>
      </c>
      <c r="R182" s="243" t="s">
        <v>3098</v>
      </c>
      <c r="S182" s="247">
        <v>80000</v>
      </c>
      <c r="T182" s="247">
        <v>80000</v>
      </c>
      <c r="U182" s="247">
        <f t="shared" ref="U182:U245" si="8">T182-S182</f>
        <v>0</v>
      </c>
      <c r="V182" s="248">
        <v>73846.52</v>
      </c>
      <c r="X182" s="243" t="str">
        <f t="shared" si="7"/>
        <v>Platform fee &amp; managed service</v>
      </c>
      <c r="Y182" s="243" t="s">
        <v>5794</v>
      </c>
    </row>
    <row r="183" spans="1:25" hidden="1" x14ac:dyDescent="0.25">
      <c r="A183" s="92" t="s">
        <v>3212</v>
      </c>
      <c r="B183" s="243" t="s">
        <v>3213</v>
      </c>
      <c r="C183" s="243">
        <v>68427709</v>
      </c>
      <c r="D183" s="244" t="s">
        <v>54</v>
      </c>
      <c r="E183" s="243" t="s">
        <v>55</v>
      </c>
      <c r="F183" s="92" t="s">
        <v>46</v>
      </c>
      <c r="G183" s="245" t="s">
        <v>3096</v>
      </c>
      <c r="H183" s="243" t="s">
        <v>3214</v>
      </c>
      <c r="I183" s="92">
        <v>167557</v>
      </c>
      <c r="J183" s="92" t="s">
        <v>1299</v>
      </c>
      <c r="K183" s="92"/>
      <c r="L183" s="93">
        <v>5401024330</v>
      </c>
      <c r="M183" s="93">
        <v>10</v>
      </c>
      <c r="N183" s="92" t="s">
        <v>2870</v>
      </c>
      <c r="O183" s="92" t="s">
        <v>6109</v>
      </c>
      <c r="P183" s="92" t="s">
        <v>3149</v>
      </c>
      <c r="Q183" s="92" t="s">
        <v>3104</v>
      </c>
      <c r="R183" s="92" t="s">
        <v>1046</v>
      </c>
      <c r="S183" s="247">
        <v>70000</v>
      </c>
      <c r="T183" s="247">
        <v>70000</v>
      </c>
      <c r="U183" s="247">
        <f t="shared" si="8"/>
        <v>0</v>
      </c>
      <c r="V183" s="248">
        <v>64615.7</v>
      </c>
      <c r="X183" s="243" t="str">
        <f t="shared" si="7"/>
        <v>BPC Support</v>
      </c>
      <c r="Y183" s="243" t="s">
        <v>5794</v>
      </c>
    </row>
    <row r="184" spans="1:25" hidden="1" x14ac:dyDescent="0.25">
      <c r="A184" s="22" t="s">
        <v>3700</v>
      </c>
      <c r="B184" s="243" t="s">
        <v>3701</v>
      </c>
      <c r="C184" s="243">
        <v>68427709</v>
      </c>
      <c r="D184" s="244" t="s">
        <v>54</v>
      </c>
      <c r="E184" s="243" t="s">
        <v>55</v>
      </c>
      <c r="F184" s="22" t="s">
        <v>46</v>
      </c>
      <c r="G184" s="245"/>
      <c r="H184" s="243" t="s">
        <v>2266</v>
      </c>
      <c r="I184" s="22">
        <v>189205</v>
      </c>
      <c r="J184" s="22" t="s">
        <v>155</v>
      </c>
      <c r="K184" s="22"/>
      <c r="L184" s="24">
        <v>5401006892</v>
      </c>
      <c r="M184" s="24">
        <v>10</v>
      </c>
      <c r="N184" s="22" t="s">
        <v>2870</v>
      </c>
      <c r="O184" s="22" t="s">
        <v>2864</v>
      </c>
      <c r="P184" s="22" t="s">
        <v>1421</v>
      </c>
      <c r="Q184" s="22" t="s">
        <v>3104</v>
      </c>
      <c r="R184" s="22" t="s">
        <v>3141</v>
      </c>
      <c r="S184" s="247">
        <v>60000</v>
      </c>
      <c r="T184" s="247">
        <v>60000</v>
      </c>
      <c r="U184" s="247">
        <f t="shared" si="8"/>
        <v>0</v>
      </c>
      <c r="V184" s="248">
        <v>57966.720000000001</v>
      </c>
      <c r="X184" s="243" t="str">
        <f t="shared" si="7"/>
        <v>Winshuttle Maintenance + Support</v>
      </c>
      <c r="Y184" s="243" t="s">
        <v>5794</v>
      </c>
    </row>
    <row r="185" spans="1:25" hidden="1" x14ac:dyDescent="0.25">
      <c r="A185" s="243" t="s">
        <v>2709</v>
      </c>
      <c r="B185" s="243" t="s">
        <v>3704</v>
      </c>
      <c r="C185" s="243">
        <v>68427709</v>
      </c>
      <c r="D185" s="244" t="s">
        <v>54</v>
      </c>
      <c r="E185" s="243" t="s">
        <v>55</v>
      </c>
      <c r="F185" s="243" t="s">
        <v>46</v>
      </c>
      <c r="G185" s="245"/>
      <c r="H185" s="243" t="s">
        <v>2274</v>
      </c>
      <c r="I185" s="243">
        <v>191793</v>
      </c>
      <c r="J185" s="243" t="s">
        <v>6129</v>
      </c>
      <c r="L185" s="246">
        <v>5401023517</v>
      </c>
      <c r="M185" s="246">
        <v>10</v>
      </c>
      <c r="N185" s="243" t="s">
        <v>2870</v>
      </c>
      <c r="O185" s="243" t="s">
        <v>2135</v>
      </c>
      <c r="P185" s="243" t="s">
        <v>2135</v>
      </c>
      <c r="Q185" s="243" t="s">
        <v>3097</v>
      </c>
      <c r="R185" s="243" t="s">
        <v>3574</v>
      </c>
      <c r="S185" s="247">
        <v>60000</v>
      </c>
      <c r="T185" s="247">
        <v>60000</v>
      </c>
      <c r="U185" s="247">
        <f t="shared" si="8"/>
        <v>0</v>
      </c>
      <c r="V185" s="248">
        <v>55560.42</v>
      </c>
      <c r="X185" s="243" t="str">
        <f t="shared" si="7"/>
        <v xml:space="preserve">Xtel Application RFQ / Change budget </v>
      </c>
      <c r="Y185" s="243" t="s">
        <v>5794</v>
      </c>
    </row>
    <row r="186" spans="1:25" x14ac:dyDescent="0.25">
      <c r="A186" s="22" t="s">
        <v>3486</v>
      </c>
      <c r="B186"/>
      <c r="C186">
        <v>68427709</v>
      </c>
      <c r="D186" s="91" t="s">
        <v>40</v>
      </c>
      <c r="E186" t="s">
        <v>42</v>
      </c>
      <c r="F186" t="s">
        <v>42</v>
      </c>
      <c r="G186" s="266" t="s">
        <v>2448</v>
      </c>
      <c r="H186" t="s">
        <v>2903</v>
      </c>
      <c r="I186"/>
      <c r="J186" s="22"/>
      <c r="K186" s="22"/>
      <c r="L186" s="203"/>
      <c r="M186" s="20"/>
      <c r="N186" s="268" t="s">
        <v>2843</v>
      </c>
      <c r="O186" t="s">
        <v>2903</v>
      </c>
      <c r="P186" t="s">
        <v>2843</v>
      </c>
      <c r="Q186" t="s">
        <v>3124</v>
      </c>
      <c r="R186" t="s">
        <v>2903</v>
      </c>
      <c r="S186" s="7"/>
      <c r="T186" s="7">
        <v>57025</v>
      </c>
      <c r="U186" s="247">
        <f t="shared" si="8"/>
        <v>57025</v>
      </c>
      <c r="V186" s="248">
        <v>57025</v>
      </c>
      <c r="W186"/>
      <c r="X186" s="243" t="str">
        <f t="shared" si="7"/>
        <v>OT RAS - BeyondTrust licenses Priviledged Remote Access (PRA)</v>
      </c>
      <c r="Y186" s="243" t="s">
        <v>1829</v>
      </c>
    </row>
    <row r="187" spans="1:25" hidden="1" x14ac:dyDescent="0.25">
      <c r="A187" s="92" t="s">
        <v>2466</v>
      </c>
      <c r="B187" s="243" t="s">
        <v>6134</v>
      </c>
      <c r="C187" s="243">
        <v>68427709</v>
      </c>
      <c r="D187" s="244" t="s">
        <v>54</v>
      </c>
      <c r="E187" s="243" t="s">
        <v>55</v>
      </c>
      <c r="F187" s="92" t="s">
        <v>46</v>
      </c>
      <c r="G187" s="245"/>
      <c r="H187" s="243" t="s">
        <v>2215</v>
      </c>
      <c r="I187" s="92">
        <v>115995</v>
      </c>
      <c r="J187" s="22" t="s">
        <v>3122</v>
      </c>
      <c r="K187" s="22"/>
      <c r="L187" s="263">
        <v>5401014598</v>
      </c>
      <c r="M187" s="246">
        <v>10</v>
      </c>
      <c r="N187" s="22" t="s">
        <v>2870</v>
      </c>
      <c r="O187" s="22" t="s">
        <v>6109</v>
      </c>
      <c r="P187" s="22" t="s">
        <v>3123</v>
      </c>
      <c r="Q187" s="253" t="s">
        <v>3124</v>
      </c>
      <c r="R187" s="92" t="s">
        <v>3125</v>
      </c>
      <c r="S187" s="247">
        <v>45000</v>
      </c>
      <c r="T187" s="247">
        <v>50000</v>
      </c>
      <c r="U187" s="247">
        <f t="shared" si="8"/>
        <v>5000</v>
      </c>
      <c r="V187" s="248">
        <v>46154.07</v>
      </c>
      <c r="X187" s="243" t="str">
        <f t="shared" si="7"/>
        <v>Actemium - Strippenkaart</v>
      </c>
      <c r="Y187" s="243" t="s">
        <v>5793</v>
      </c>
    </row>
    <row r="188" spans="1:25" hidden="1" x14ac:dyDescent="0.25">
      <c r="A188" s="243" t="s">
        <v>3301</v>
      </c>
      <c r="B188" s="243" t="s">
        <v>3302</v>
      </c>
      <c r="C188" s="243">
        <v>68427709</v>
      </c>
      <c r="D188" s="244" t="s">
        <v>54</v>
      </c>
      <c r="E188" s="243" t="s">
        <v>55</v>
      </c>
      <c r="F188" s="243" t="s">
        <v>46</v>
      </c>
      <c r="G188" s="245"/>
      <c r="H188" s="243" t="s">
        <v>3303</v>
      </c>
      <c r="I188" s="243">
        <v>121566</v>
      </c>
      <c r="J188" s="243" t="s">
        <v>3304</v>
      </c>
      <c r="L188" s="246">
        <v>5401001836</v>
      </c>
      <c r="M188" s="246">
        <v>10</v>
      </c>
      <c r="N188" s="243" t="s">
        <v>2870</v>
      </c>
      <c r="O188" s="243" t="s">
        <v>2864</v>
      </c>
      <c r="P188" s="243" t="s">
        <v>1479</v>
      </c>
      <c r="Q188" s="243" t="s">
        <v>3114</v>
      </c>
      <c r="R188" s="92" t="s">
        <v>3136</v>
      </c>
      <c r="S188" s="247">
        <v>33000</v>
      </c>
      <c r="T188" s="247">
        <v>46000</v>
      </c>
      <c r="U188" s="247">
        <f t="shared" si="8"/>
        <v>13000</v>
      </c>
      <c r="V188" s="248">
        <v>44441.15</v>
      </c>
      <c r="X188" s="243" t="str">
        <f t="shared" si="7"/>
        <v>Effacts | Legisway</v>
      </c>
      <c r="Y188" s="243" t="s">
        <v>5793</v>
      </c>
    </row>
    <row r="189" spans="1:25" hidden="1" x14ac:dyDescent="0.25">
      <c r="A189" s="243" t="s">
        <v>3683</v>
      </c>
      <c r="B189" s="243" t="s">
        <v>3684</v>
      </c>
      <c r="C189" s="243">
        <v>68427709</v>
      </c>
      <c r="D189" s="244" t="s">
        <v>54</v>
      </c>
      <c r="E189" s="243" t="s">
        <v>55</v>
      </c>
      <c r="F189" s="243" t="s">
        <v>46</v>
      </c>
      <c r="G189" s="245"/>
      <c r="H189" s="243" t="s">
        <v>3685</v>
      </c>
      <c r="I189" s="243">
        <v>169089</v>
      </c>
      <c r="J189" s="243" t="s">
        <v>3686</v>
      </c>
      <c r="L189" s="243">
        <v>5401024321</v>
      </c>
      <c r="M189" s="262">
        <v>10</v>
      </c>
      <c r="N189" s="243" t="s">
        <v>2870</v>
      </c>
      <c r="O189" s="243" t="s">
        <v>2864</v>
      </c>
      <c r="P189" s="243" t="s">
        <v>423</v>
      </c>
      <c r="Q189" s="253" t="s">
        <v>3124</v>
      </c>
      <c r="R189" s="92" t="s">
        <v>3125</v>
      </c>
      <c r="S189" s="247">
        <v>37000</v>
      </c>
      <c r="T189" s="247">
        <v>37000</v>
      </c>
      <c r="U189" s="247">
        <f t="shared" si="8"/>
        <v>0</v>
      </c>
      <c r="V189" s="248">
        <v>35746.14</v>
      </c>
      <c r="X189" s="243" t="str">
        <f t="shared" si="7"/>
        <v>TraceIT</v>
      </c>
      <c r="Y189" s="243" t="s">
        <v>5794</v>
      </c>
    </row>
    <row r="190" spans="1:25" x14ac:dyDescent="0.25">
      <c r="A190" s="22" t="s">
        <v>2982</v>
      </c>
      <c r="B190"/>
      <c r="C190">
        <v>68427709</v>
      </c>
      <c r="D190" s="91" t="s">
        <v>40</v>
      </c>
      <c r="E190" t="s">
        <v>42</v>
      </c>
      <c r="F190" t="s">
        <v>42</v>
      </c>
      <c r="G190" s="266" t="s">
        <v>2448</v>
      </c>
      <c r="H190" t="s">
        <v>2903</v>
      </c>
      <c r="I190"/>
      <c r="J190" s="22"/>
      <c r="K190" s="22"/>
      <c r="L190" s="203"/>
      <c r="M190" s="20"/>
      <c r="N190" s="268" t="s">
        <v>2843</v>
      </c>
      <c r="O190" t="s">
        <v>2903</v>
      </c>
      <c r="P190" t="s">
        <v>2843</v>
      </c>
      <c r="Q190" t="s">
        <v>3124</v>
      </c>
      <c r="R190" t="s">
        <v>2903</v>
      </c>
      <c r="S190" s="7"/>
      <c r="T190" s="7">
        <v>4757</v>
      </c>
      <c r="U190" s="247">
        <f t="shared" si="8"/>
        <v>4757</v>
      </c>
      <c r="V190" s="248">
        <v>4757</v>
      </c>
      <c r="W190"/>
      <c r="X190" s="243" t="str">
        <f t="shared" si="7"/>
        <v>OT RAS - SIEM Tool Integration Subscription (PRA) &amp; Advanced Web Access Subscription</v>
      </c>
      <c r="Y190" s="243" t="s">
        <v>1829</v>
      </c>
    </row>
    <row r="191" spans="1:25" hidden="1" x14ac:dyDescent="0.25">
      <c r="A191" s="243" t="s">
        <v>3350</v>
      </c>
      <c r="B191" s="243" t="s">
        <v>3351</v>
      </c>
      <c r="C191" s="243">
        <v>68427709</v>
      </c>
      <c r="D191" s="244" t="s">
        <v>54</v>
      </c>
      <c r="E191" s="243" t="s">
        <v>55</v>
      </c>
      <c r="F191" s="243" t="s">
        <v>46</v>
      </c>
      <c r="G191" s="245" t="s">
        <v>3144</v>
      </c>
      <c r="H191" s="243" t="s">
        <v>3352</v>
      </c>
      <c r="I191" s="243">
        <v>166304</v>
      </c>
      <c r="J191" s="243" t="s">
        <v>97</v>
      </c>
      <c r="L191" s="246">
        <v>5400995538</v>
      </c>
      <c r="M191" s="246">
        <v>10</v>
      </c>
      <c r="N191" s="243" t="s">
        <v>2870</v>
      </c>
      <c r="O191" s="243" t="s">
        <v>6109</v>
      </c>
      <c r="P191" s="22" t="s">
        <v>2870</v>
      </c>
      <c r="Q191" s="243" t="s">
        <v>3114</v>
      </c>
      <c r="R191" s="243" t="s">
        <v>3098</v>
      </c>
      <c r="S191" s="247">
        <v>30000</v>
      </c>
      <c r="T191" s="247">
        <v>30000</v>
      </c>
      <c r="U191" s="247">
        <f t="shared" si="8"/>
        <v>0</v>
      </c>
      <c r="V191" s="248">
        <v>27692.44</v>
      </c>
      <c r="X191" s="243" t="str">
        <f t="shared" si="7"/>
        <v>Github Annual Subscription + Support</v>
      </c>
      <c r="Y191" s="243" t="s">
        <v>5794</v>
      </c>
    </row>
    <row r="192" spans="1:25" hidden="1" x14ac:dyDescent="0.25">
      <c r="A192" s="92" t="s">
        <v>2596</v>
      </c>
      <c r="C192" s="243">
        <v>68427709</v>
      </c>
      <c r="D192" s="244" t="s">
        <v>54</v>
      </c>
      <c r="E192" s="92" t="s">
        <v>55</v>
      </c>
      <c r="F192" s="92" t="s">
        <v>46</v>
      </c>
      <c r="G192" s="245"/>
      <c r="H192" s="243" t="s">
        <v>3296</v>
      </c>
      <c r="I192" s="22">
        <v>196742</v>
      </c>
      <c r="J192" s="92" t="s">
        <v>1616</v>
      </c>
      <c r="K192" s="92"/>
      <c r="L192" s="93">
        <v>5400965900</v>
      </c>
      <c r="M192" s="93">
        <v>10</v>
      </c>
      <c r="N192" s="92" t="s">
        <v>2870</v>
      </c>
      <c r="O192" s="92" t="s">
        <v>2500</v>
      </c>
      <c r="P192" s="22" t="s">
        <v>2500</v>
      </c>
      <c r="Q192" s="92" t="s">
        <v>3170</v>
      </c>
      <c r="R192" s="92" t="s">
        <v>517</v>
      </c>
      <c r="S192" s="247">
        <v>48600</v>
      </c>
      <c r="T192" s="247">
        <v>20500</v>
      </c>
      <c r="U192" s="247">
        <f t="shared" si="8"/>
        <v>-28100</v>
      </c>
      <c r="V192" s="248">
        <v>17620.23</v>
      </c>
      <c r="X192" s="243" t="str">
        <f t="shared" si="7"/>
        <v>Vaimo Application support</v>
      </c>
      <c r="Y192" s="243" t="s">
        <v>5792</v>
      </c>
    </row>
    <row r="193" spans="1:25" hidden="1" x14ac:dyDescent="0.25">
      <c r="A193" s="92" t="s">
        <v>3536</v>
      </c>
      <c r="C193" s="243">
        <v>68427709</v>
      </c>
      <c r="D193" s="244" t="s">
        <v>54</v>
      </c>
      <c r="E193" s="243" t="s">
        <v>55</v>
      </c>
      <c r="F193" s="243" t="s">
        <v>46</v>
      </c>
      <c r="G193" s="245"/>
      <c r="H193" s="243" t="s">
        <v>3535</v>
      </c>
      <c r="I193" s="243">
        <v>204075</v>
      </c>
      <c r="J193" s="243" t="s">
        <v>171</v>
      </c>
      <c r="L193" s="249">
        <v>5401030709</v>
      </c>
      <c r="M193" s="246">
        <v>10</v>
      </c>
      <c r="N193" s="22" t="s">
        <v>2870</v>
      </c>
      <c r="O193" s="22" t="s">
        <v>2864</v>
      </c>
      <c r="P193" s="22" t="s">
        <v>2781</v>
      </c>
      <c r="Q193" s="243" t="s">
        <v>3114</v>
      </c>
      <c r="R193" s="243" t="s">
        <v>3136</v>
      </c>
      <c r="S193" s="247">
        <v>12500</v>
      </c>
      <c r="T193" s="247">
        <v>12500</v>
      </c>
      <c r="U193" s="247">
        <f t="shared" si="8"/>
        <v>0</v>
      </c>
      <c r="V193" s="248">
        <v>12076.4</v>
      </c>
      <c r="X193" s="243" t="str">
        <f t="shared" ref="X193:X256" si="9">A193</f>
        <v>Qualtrics support</v>
      </c>
      <c r="Y193" s="243" t="s">
        <v>5794</v>
      </c>
    </row>
    <row r="194" spans="1:25" hidden="1" x14ac:dyDescent="0.25">
      <c r="A194" s="243" t="s">
        <v>2623</v>
      </c>
      <c r="B194" s="243" t="s">
        <v>3102</v>
      </c>
      <c r="C194" s="243">
        <v>68427709</v>
      </c>
      <c r="D194" s="244" t="s">
        <v>54</v>
      </c>
      <c r="E194" s="243" t="s">
        <v>55</v>
      </c>
      <c r="F194" s="243" t="s">
        <v>46</v>
      </c>
      <c r="G194" s="245" t="s">
        <v>3096</v>
      </c>
      <c r="H194" s="252" t="s">
        <v>3103</v>
      </c>
      <c r="I194" s="243">
        <v>118054</v>
      </c>
      <c r="J194" s="243" t="s">
        <v>1096</v>
      </c>
      <c r="L194" s="246">
        <v>5401052877</v>
      </c>
      <c r="M194" s="246">
        <v>10</v>
      </c>
      <c r="N194" s="243" t="s">
        <v>2870</v>
      </c>
      <c r="O194" s="243" t="s">
        <v>6109</v>
      </c>
      <c r="P194" s="243" t="s">
        <v>2870</v>
      </c>
      <c r="Q194" s="243" t="s">
        <v>3104</v>
      </c>
      <c r="R194" s="243" t="s">
        <v>3098</v>
      </c>
      <c r="S194" s="247">
        <v>7100</v>
      </c>
      <c r="T194" s="247">
        <v>7100</v>
      </c>
      <c r="U194" s="247">
        <f t="shared" si="8"/>
        <v>0</v>
      </c>
      <c r="V194" s="248">
        <v>6553.88</v>
      </c>
      <c r="X194" s="243" t="str">
        <f t="shared" si="9"/>
        <v>15189452 Oracle Database Standard Edition 2 - Processor Perpetual</v>
      </c>
      <c r="Y194" s="243" t="s">
        <v>5794</v>
      </c>
    </row>
    <row r="195" spans="1:25" hidden="1" x14ac:dyDescent="0.25">
      <c r="A195" s="22" t="s">
        <v>3353</v>
      </c>
      <c r="B195" s="243" t="s">
        <v>3354</v>
      </c>
      <c r="C195" s="243">
        <v>68427709</v>
      </c>
      <c r="D195" s="244" t="s">
        <v>54</v>
      </c>
      <c r="E195" s="22" t="s">
        <v>60</v>
      </c>
      <c r="F195" s="22" t="s">
        <v>46</v>
      </c>
      <c r="G195" s="245"/>
      <c r="H195" s="243" t="s">
        <v>3355</v>
      </c>
      <c r="I195" s="22">
        <v>210231</v>
      </c>
      <c r="J195" s="22" t="s">
        <v>3356</v>
      </c>
      <c r="K195" s="22"/>
      <c r="L195" s="246">
        <v>5401024377</v>
      </c>
      <c r="M195" s="24">
        <v>10</v>
      </c>
      <c r="N195" s="22" t="s">
        <v>2870</v>
      </c>
      <c r="O195" s="22" t="s">
        <v>2864</v>
      </c>
      <c r="P195" s="22" t="s">
        <v>341</v>
      </c>
      <c r="Q195" s="22" t="s">
        <v>3114</v>
      </c>
      <c r="R195" s="22" t="s">
        <v>3098</v>
      </c>
      <c r="S195" s="247">
        <v>6000</v>
      </c>
      <c r="T195" s="247">
        <v>6000</v>
      </c>
      <c r="U195" s="247">
        <f t="shared" si="8"/>
        <v>0</v>
      </c>
      <c r="V195" s="248">
        <v>5796.67</v>
      </c>
      <c r="X195" s="243" t="str">
        <f t="shared" si="9"/>
        <v>Global Efax tool</v>
      </c>
      <c r="Y195" s="243" t="s">
        <v>5794</v>
      </c>
    </row>
    <row r="196" spans="1:25" hidden="1" x14ac:dyDescent="0.25">
      <c r="A196" s="243" t="s">
        <v>3365</v>
      </c>
      <c r="C196" s="243">
        <v>68427709</v>
      </c>
      <c r="D196" s="244" t="s">
        <v>54</v>
      </c>
      <c r="E196" s="243" t="s">
        <v>55</v>
      </c>
      <c r="F196" s="243" t="s">
        <v>46</v>
      </c>
      <c r="G196" s="245"/>
      <c r="H196" s="243" t="s">
        <v>3366</v>
      </c>
      <c r="I196" s="92">
        <v>120252</v>
      </c>
      <c r="J196" s="243" t="s">
        <v>657</v>
      </c>
      <c r="L196" s="246">
        <v>5401023593</v>
      </c>
      <c r="M196" s="246">
        <v>10</v>
      </c>
      <c r="N196" s="243" t="s">
        <v>2870</v>
      </c>
      <c r="O196" s="243" t="s">
        <v>2864</v>
      </c>
      <c r="P196" s="92" t="s">
        <v>423</v>
      </c>
      <c r="Q196" s="254" t="s">
        <v>3114</v>
      </c>
      <c r="R196" s="243" t="s">
        <v>3120</v>
      </c>
      <c r="S196" s="247">
        <v>5300</v>
      </c>
      <c r="T196" s="247">
        <v>5300</v>
      </c>
      <c r="U196" s="247">
        <f t="shared" si="8"/>
        <v>0</v>
      </c>
      <c r="V196" s="248">
        <v>5120.3900000000003</v>
      </c>
      <c r="X196" s="243" t="str">
        <f t="shared" si="9"/>
        <v>Google Translate</v>
      </c>
      <c r="Y196" s="243" t="s">
        <v>5794</v>
      </c>
    </row>
    <row r="197" spans="1:25" hidden="1" x14ac:dyDescent="0.25">
      <c r="A197" s="243" t="s">
        <v>3297</v>
      </c>
      <c r="B197" s="243" t="s">
        <v>3298</v>
      </c>
      <c r="C197" s="243">
        <v>68427709</v>
      </c>
      <c r="D197" s="244" t="s">
        <v>54</v>
      </c>
      <c r="E197" s="243" t="s">
        <v>55</v>
      </c>
      <c r="F197" s="243" t="s">
        <v>46</v>
      </c>
      <c r="G197" s="245"/>
      <c r="H197" s="243" t="s">
        <v>3299</v>
      </c>
      <c r="I197" s="243">
        <v>169060</v>
      </c>
      <c r="J197" s="243" t="s">
        <v>3300</v>
      </c>
      <c r="L197" s="246">
        <v>5401024578</v>
      </c>
      <c r="M197" s="246">
        <v>10</v>
      </c>
      <c r="N197" s="243" t="s">
        <v>2870</v>
      </c>
      <c r="O197" s="243" t="s">
        <v>6109</v>
      </c>
      <c r="P197" s="243" t="s">
        <v>1984</v>
      </c>
      <c r="Q197" s="243" t="s">
        <v>3114</v>
      </c>
      <c r="R197" s="243" t="s">
        <v>3284</v>
      </c>
      <c r="S197" s="247">
        <v>2000</v>
      </c>
      <c r="T197" s="247">
        <v>2000</v>
      </c>
      <c r="U197" s="247">
        <f t="shared" si="8"/>
        <v>0</v>
      </c>
      <c r="V197" s="248">
        <v>1846.16</v>
      </c>
      <c r="X197" s="243" t="str">
        <f t="shared" si="9"/>
        <v>EDI: Comarch</v>
      </c>
      <c r="Y197" s="243" t="s">
        <v>5794</v>
      </c>
    </row>
    <row r="198" spans="1:25" hidden="1" x14ac:dyDescent="0.25">
      <c r="A198" s="92" t="s">
        <v>2105</v>
      </c>
      <c r="B198" s="243" t="s">
        <v>3357</v>
      </c>
      <c r="C198" s="243">
        <v>68427709</v>
      </c>
      <c r="D198" s="244" t="s">
        <v>54</v>
      </c>
      <c r="E198" s="243" t="s">
        <v>55</v>
      </c>
      <c r="F198" s="92" t="s">
        <v>46</v>
      </c>
      <c r="G198" s="245"/>
      <c r="H198" s="243" t="s">
        <v>3358</v>
      </c>
      <c r="I198" s="92">
        <v>178449</v>
      </c>
      <c r="J198" s="92" t="s">
        <v>3359</v>
      </c>
      <c r="K198" s="92"/>
      <c r="M198" s="93">
        <v>10</v>
      </c>
      <c r="N198" s="92" t="s">
        <v>2870</v>
      </c>
      <c r="O198" s="92" t="s">
        <v>2864</v>
      </c>
      <c r="P198" s="92" t="s">
        <v>423</v>
      </c>
      <c r="Q198" s="92" t="s">
        <v>3114</v>
      </c>
      <c r="R198" s="92" t="s">
        <v>3125</v>
      </c>
      <c r="S198" s="247">
        <v>40000</v>
      </c>
      <c r="T198" s="247">
        <v>0</v>
      </c>
      <c r="U198" s="247">
        <f t="shared" si="8"/>
        <v>-40000</v>
      </c>
      <c r="V198" s="248">
        <v>0</v>
      </c>
      <c r="X198" s="243" t="str">
        <f t="shared" si="9"/>
        <v>Global Water fall (GWF) + IQS</v>
      </c>
      <c r="Y198" s="243" t="s">
        <v>1800</v>
      </c>
    </row>
    <row r="199" spans="1:25" hidden="1" x14ac:dyDescent="0.25">
      <c r="A199" s="243" t="s">
        <v>3665</v>
      </c>
      <c r="B199" s="243" t="s">
        <v>3666</v>
      </c>
      <c r="C199" s="243">
        <v>68427709</v>
      </c>
      <c r="D199" s="244" t="s">
        <v>54</v>
      </c>
      <c r="E199" s="243" t="s">
        <v>55</v>
      </c>
      <c r="F199" s="92" t="s">
        <v>46</v>
      </c>
      <c r="G199" s="245"/>
      <c r="H199" s="243" t="s">
        <v>3264</v>
      </c>
      <c r="I199" s="147">
        <v>198740</v>
      </c>
      <c r="J199" s="92" t="s">
        <v>3667</v>
      </c>
      <c r="K199" s="92"/>
      <c r="L199" s="93"/>
      <c r="M199" s="93">
        <v>10</v>
      </c>
      <c r="N199" s="243" t="s">
        <v>2870</v>
      </c>
      <c r="O199" s="243" t="s">
        <v>2864</v>
      </c>
      <c r="P199" s="243" t="s">
        <v>2781</v>
      </c>
      <c r="Q199" s="243" t="s">
        <v>3114</v>
      </c>
      <c r="R199" s="92" t="s">
        <v>3136</v>
      </c>
      <c r="S199" s="247">
        <v>0</v>
      </c>
      <c r="T199" s="247">
        <v>0</v>
      </c>
      <c r="U199" s="247">
        <f t="shared" si="8"/>
        <v>0</v>
      </c>
      <c r="V199" s="248">
        <v>0</v>
      </c>
      <c r="X199" s="243" t="str">
        <f t="shared" si="9"/>
        <v>Support Cornerstone</v>
      </c>
      <c r="Y199" s="243" t="s">
        <v>5794</v>
      </c>
    </row>
    <row r="200" spans="1:25" hidden="1" x14ac:dyDescent="0.25">
      <c r="A200" s="261" t="s">
        <v>2883</v>
      </c>
      <c r="C200" s="243">
        <v>68427709</v>
      </c>
      <c r="D200" s="244" t="s">
        <v>54</v>
      </c>
      <c r="E200" s="243" t="s">
        <v>55</v>
      </c>
      <c r="F200" s="92" t="s">
        <v>46</v>
      </c>
      <c r="G200" s="245"/>
      <c r="H200" s="243" t="s">
        <v>3438</v>
      </c>
      <c r="I200" s="243">
        <v>179303</v>
      </c>
      <c r="J200" s="261" t="s">
        <v>540</v>
      </c>
      <c r="K200" s="261"/>
      <c r="L200" s="246">
        <v>5401026864</v>
      </c>
      <c r="M200" s="246">
        <v>10</v>
      </c>
      <c r="N200" s="22" t="s">
        <v>2870</v>
      </c>
      <c r="O200" s="22" t="s">
        <v>2864</v>
      </c>
      <c r="P200" s="243" t="s">
        <v>3195</v>
      </c>
      <c r="Q200" s="243" t="s">
        <v>3114</v>
      </c>
      <c r="R200" s="243" t="s">
        <v>3125</v>
      </c>
      <c r="S200" s="247">
        <v>24000</v>
      </c>
      <c r="T200" s="247">
        <v>0</v>
      </c>
      <c r="U200" s="247">
        <f t="shared" si="8"/>
        <v>-24000</v>
      </c>
      <c r="V200" s="248">
        <v>0</v>
      </c>
      <c r="X200" s="243" t="str">
        <f t="shared" si="9"/>
        <v>Manufacturing Dashboard Coffee en Tea</v>
      </c>
      <c r="Y200" s="243" t="s">
        <v>1800</v>
      </c>
    </row>
    <row r="201" spans="1:25" hidden="1" x14ac:dyDescent="0.25">
      <c r="A201" s="243" t="s">
        <v>2784</v>
      </c>
      <c r="B201" s="243" t="s">
        <v>6135</v>
      </c>
      <c r="C201" s="243">
        <v>68427709</v>
      </c>
      <c r="D201" s="244" t="s">
        <v>54</v>
      </c>
      <c r="E201" s="243" t="s">
        <v>55</v>
      </c>
      <c r="F201" s="243" t="s">
        <v>46</v>
      </c>
      <c r="G201" s="245"/>
      <c r="H201" s="243" t="s">
        <v>3343</v>
      </c>
      <c r="I201" s="243">
        <v>3000002</v>
      </c>
      <c r="J201" s="243" t="s">
        <v>3344</v>
      </c>
      <c r="L201" s="243">
        <v>5401018969</v>
      </c>
      <c r="M201" s="246">
        <v>20</v>
      </c>
      <c r="N201" s="243" t="s">
        <v>2870</v>
      </c>
      <c r="O201" s="243" t="s">
        <v>2864</v>
      </c>
      <c r="P201" s="243" t="s">
        <v>3244</v>
      </c>
      <c r="Q201" s="243" t="s">
        <v>3114</v>
      </c>
      <c r="R201" s="92" t="s">
        <v>3136</v>
      </c>
      <c r="S201" s="247">
        <v>10000</v>
      </c>
      <c r="T201" s="247">
        <v>0</v>
      </c>
      <c r="U201" s="247">
        <f t="shared" si="8"/>
        <v>-10000</v>
      </c>
      <c r="V201" s="248">
        <v>0</v>
      </c>
      <c r="X201" s="243" t="str">
        <f t="shared" si="9"/>
        <v>GeONE Excellent Support Bundle (NINTEX)</v>
      </c>
      <c r="Y201" s="243" t="s">
        <v>1800</v>
      </c>
    </row>
    <row r="202" spans="1:25" hidden="1" x14ac:dyDescent="0.25">
      <c r="A202" s="22" t="s">
        <v>1041</v>
      </c>
      <c r="B202" s="243" t="s">
        <v>3159</v>
      </c>
      <c r="C202" s="243">
        <v>68427709</v>
      </c>
      <c r="D202" s="244" t="s">
        <v>54</v>
      </c>
      <c r="E202" s="243" t="s">
        <v>55</v>
      </c>
      <c r="F202" s="92" t="s">
        <v>46</v>
      </c>
      <c r="G202" s="245" t="s">
        <v>3144</v>
      </c>
      <c r="H202" s="243" t="s">
        <v>3156</v>
      </c>
      <c r="I202" s="22">
        <v>199492</v>
      </c>
      <c r="J202" s="22" t="s">
        <v>3160</v>
      </c>
      <c r="K202" s="22"/>
      <c r="M202" s="246">
        <v>10</v>
      </c>
      <c r="N202" s="22" t="s">
        <v>2870</v>
      </c>
      <c r="O202" s="22" t="s">
        <v>2864</v>
      </c>
      <c r="P202" s="22" t="s">
        <v>3161</v>
      </c>
      <c r="Q202" s="243" t="s">
        <v>3114</v>
      </c>
      <c r="R202" s="243" t="s">
        <v>3098</v>
      </c>
      <c r="S202" s="247">
        <v>87000</v>
      </c>
      <c r="T202" s="247">
        <v>0</v>
      </c>
      <c r="U202" s="247">
        <f t="shared" si="8"/>
        <v>-87000</v>
      </c>
      <c r="V202" s="248">
        <v>0</v>
      </c>
      <c r="X202" s="243" t="str">
        <f t="shared" si="9"/>
        <v>Apttio Support TBM</v>
      </c>
      <c r="Y202" s="243" t="s">
        <v>1800</v>
      </c>
    </row>
    <row r="203" spans="1:25" hidden="1" x14ac:dyDescent="0.25">
      <c r="A203" s="92" t="s">
        <v>2594</v>
      </c>
      <c r="C203" s="243">
        <v>68427709</v>
      </c>
      <c r="D203" s="244" t="s">
        <v>54</v>
      </c>
      <c r="E203" s="92" t="s">
        <v>55</v>
      </c>
      <c r="F203" s="92" t="s">
        <v>46</v>
      </c>
      <c r="G203" s="245"/>
      <c r="H203" s="243" t="s">
        <v>3296</v>
      </c>
      <c r="I203" s="92">
        <v>205476</v>
      </c>
      <c r="J203" s="92" t="s">
        <v>1612</v>
      </c>
      <c r="K203" s="92"/>
      <c r="L203" s="93"/>
      <c r="M203" s="93">
        <v>10</v>
      </c>
      <c r="N203" s="92" t="s">
        <v>2870</v>
      </c>
      <c r="O203" s="92" t="s">
        <v>2500</v>
      </c>
      <c r="P203" s="22" t="s">
        <v>2500</v>
      </c>
      <c r="Q203" s="92" t="s">
        <v>3170</v>
      </c>
      <c r="R203" s="92" t="s">
        <v>517</v>
      </c>
      <c r="S203" s="247">
        <v>0</v>
      </c>
      <c r="T203" s="247">
        <v>0</v>
      </c>
      <c r="U203" s="247">
        <f t="shared" si="8"/>
        <v>0</v>
      </c>
      <c r="V203" s="248">
        <v>0</v>
      </c>
      <c r="X203" s="243" t="str">
        <f t="shared" si="9"/>
        <v>Platform.sh (Magento Hosting)</v>
      </c>
      <c r="Y203" s="243" t="s">
        <v>5794</v>
      </c>
    </row>
    <row r="204" spans="1:25" hidden="1" x14ac:dyDescent="0.25">
      <c r="A204" s="22" t="s">
        <v>3579</v>
      </c>
      <c r="B204" s="243" t="s">
        <v>3569</v>
      </c>
      <c r="C204" s="243">
        <v>68427709</v>
      </c>
      <c r="D204" s="97" t="s">
        <v>57</v>
      </c>
      <c r="E204" s="22" t="s">
        <v>58</v>
      </c>
      <c r="F204" s="22" t="s">
        <v>46</v>
      </c>
      <c r="G204" s="245" t="s">
        <v>3096</v>
      </c>
      <c r="H204" s="243" t="s">
        <v>3128</v>
      </c>
      <c r="I204" s="22">
        <v>117570</v>
      </c>
      <c r="J204" s="22" t="s">
        <v>633</v>
      </c>
      <c r="K204" s="22"/>
      <c r="L204" s="264">
        <v>5401024359</v>
      </c>
      <c r="M204" s="24">
        <v>110</v>
      </c>
      <c r="N204" s="22" t="s">
        <v>2870</v>
      </c>
      <c r="O204" s="22" t="s">
        <v>6109</v>
      </c>
      <c r="P204" s="22" t="s">
        <v>2870</v>
      </c>
      <c r="Q204" s="22" t="s">
        <v>3104</v>
      </c>
      <c r="R204" s="92" t="s">
        <v>3098</v>
      </c>
      <c r="S204" s="247">
        <v>1266493</v>
      </c>
      <c r="T204" s="247">
        <v>1266493</v>
      </c>
      <c r="U204" s="247">
        <f t="shared" si="8"/>
        <v>0</v>
      </c>
      <c r="V204" s="248">
        <v>1169076.21</v>
      </c>
      <c r="X204" s="243" t="str">
        <f t="shared" si="9"/>
        <v>Sap Ent. Support Appendix 11 : Sequoia Extension</v>
      </c>
      <c r="Y204" s="243" t="s">
        <v>5794</v>
      </c>
    </row>
    <row r="205" spans="1:25" hidden="1" x14ac:dyDescent="0.25">
      <c r="A205" s="22" t="s">
        <v>3577</v>
      </c>
      <c r="B205" s="243" t="s">
        <v>3569</v>
      </c>
      <c r="C205" s="243">
        <v>68427709</v>
      </c>
      <c r="D205" s="97" t="s">
        <v>57</v>
      </c>
      <c r="E205" s="22" t="s">
        <v>58</v>
      </c>
      <c r="F205" s="22" t="s">
        <v>46</v>
      </c>
      <c r="G205" s="245" t="s">
        <v>3096</v>
      </c>
      <c r="H205" s="243" t="s">
        <v>3128</v>
      </c>
      <c r="I205" s="22">
        <v>117570</v>
      </c>
      <c r="J205" s="22" t="s">
        <v>633</v>
      </c>
      <c r="K205" s="22"/>
      <c r="L205" s="264">
        <v>5401024359</v>
      </c>
      <c r="M205" s="24">
        <v>10</v>
      </c>
      <c r="N205" s="22" t="s">
        <v>2870</v>
      </c>
      <c r="O205" s="22" t="s">
        <v>6109</v>
      </c>
      <c r="P205" s="22" t="s">
        <v>2870</v>
      </c>
      <c r="Q205" s="22" t="s">
        <v>3104</v>
      </c>
      <c r="R205" s="92" t="s">
        <v>3098</v>
      </c>
      <c r="S205" s="247">
        <v>1232165</v>
      </c>
      <c r="T205" s="247">
        <v>1232165</v>
      </c>
      <c r="U205" s="247">
        <f t="shared" si="8"/>
        <v>0</v>
      </c>
      <c r="V205" s="248">
        <v>1137388.67</v>
      </c>
      <c r="X205" s="243" t="str">
        <f t="shared" si="9"/>
        <v>Sap Ent. Support Appendix 1 : Initial Scope</v>
      </c>
      <c r="Y205" s="243" t="s">
        <v>5794</v>
      </c>
    </row>
    <row r="206" spans="1:25" hidden="1" x14ac:dyDescent="0.25">
      <c r="A206" s="22" t="s">
        <v>3581</v>
      </c>
      <c r="B206" s="243" t="s">
        <v>3569</v>
      </c>
      <c r="C206" s="243">
        <v>68427709</v>
      </c>
      <c r="D206" s="97" t="s">
        <v>57</v>
      </c>
      <c r="E206" s="22" t="s">
        <v>58</v>
      </c>
      <c r="F206" s="22" t="s">
        <v>46</v>
      </c>
      <c r="G206" s="245" t="s">
        <v>3096</v>
      </c>
      <c r="H206" s="243" t="s">
        <v>3128</v>
      </c>
      <c r="I206" s="22">
        <v>117570</v>
      </c>
      <c r="J206" s="22" t="s">
        <v>633</v>
      </c>
      <c r="K206" s="22"/>
      <c r="L206" s="264">
        <v>5401024359</v>
      </c>
      <c r="M206" s="24">
        <v>130</v>
      </c>
      <c r="N206" s="22" t="s">
        <v>2870</v>
      </c>
      <c r="O206" s="22" t="s">
        <v>6109</v>
      </c>
      <c r="P206" s="22" t="s">
        <v>2870</v>
      </c>
      <c r="Q206" s="22" t="s">
        <v>3104</v>
      </c>
      <c r="R206" s="92" t="s">
        <v>3098</v>
      </c>
      <c r="S206" s="247">
        <v>958152</v>
      </c>
      <c r="T206" s="247">
        <v>958152</v>
      </c>
      <c r="U206" s="247">
        <f t="shared" si="8"/>
        <v>0</v>
      </c>
      <c r="V206" s="248">
        <v>884452.35</v>
      </c>
      <c r="X206" s="243" t="str">
        <f t="shared" si="9"/>
        <v>Sap Ent. Support Appendix 13 : Sequoia + HANA</v>
      </c>
      <c r="Y206" s="243" t="s">
        <v>5794</v>
      </c>
    </row>
    <row r="207" spans="1:25" hidden="1" x14ac:dyDescent="0.25">
      <c r="A207" s="243" t="s">
        <v>3571</v>
      </c>
      <c r="B207" s="243" t="s">
        <v>6136</v>
      </c>
      <c r="C207" s="243">
        <v>68427709</v>
      </c>
      <c r="D207" s="244" t="s">
        <v>57</v>
      </c>
      <c r="E207" s="243" t="s">
        <v>58</v>
      </c>
      <c r="F207" s="243" t="s">
        <v>46</v>
      </c>
      <c r="G207" s="245"/>
      <c r="H207" s="243" t="s">
        <v>3573</v>
      </c>
      <c r="I207" s="243">
        <v>117570</v>
      </c>
      <c r="J207" s="243" t="s">
        <v>633</v>
      </c>
      <c r="L207" s="243">
        <v>5401019012</v>
      </c>
      <c r="M207" s="246">
        <v>10</v>
      </c>
      <c r="N207" s="243" t="s">
        <v>2870</v>
      </c>
      <c r="O207" s="243" t="s">
        <v>2135</v>
      </c>
      <c r="P207" s="92" t="s">
        <v>2135</v>
      </c>
      <c r="Q207" s="254" t="s">
        <v>6127</v>
      </c>
      <c r="R207" s="92" t="s">
        <v>3574</v>
      </c>
      <c r="S207" s="247">
        <v>455000</v>
      </c>
      <c r="T207" s="247">
        <v>432000</v>
      </c>
      <c r="U207" s="247">
        <f t="shared" si="8"/>
        <v>-23000</v>
      </c>
      <c r="V207" s="248">
        <v>400035.03</v>
      </c>
      <c r="X207" s="243" t="str">
        <f t="shared" si="9"/>
        <v>Sap C4C Licenses</v>
      </c>
      <c r="Y207" s="243" t="s">
        <v>5792</v>
      </c>
    </row>
    <row r="208" spans="1:25" hidden="1" x14ac:dyDescent="0.25">
      <c r="A208" s="92" t="s">
        <v>2625</v>
      </c>
      <c r="B208" s="243" t="s">
        <v>3095</v>
      </c>
      <c r="C208" s="243">
        <v>68427709</v>
      </c>
      <c r="D208" s="96" t="s">
        <v>57</v>
      </c>
      <c r="E208" s="92" t="s">
        <v>58</v>
      </c>
      <c r="F208" s="92" t="s">
        <v>46</v>
      </c>
      <c r="G208" s="245" t="s">
        <v>3096</v>
      </c>
      <c r="H208" s="243" t="s">
        <v>2274</v>
      </c>
      <c r="I208" s="92">
        <v>118054</v>
      </c>
      <c r="J208" s="92" t="s">
        <v>1096</v>
      </c>
      <c r="K208" s="92"/>
      <c r="L208" s="93">
        <v>5400990636</v>
      </c>
      <c r="M208" s="93">
        <v>10</v>
      </c>
      <c r="N208" s="92" t="s">
        <v>2870</v>
      </c>
      <c r="O208" s="92" t="s">
        <v>6109</v>
      </c>
      <c r="P208" s="22" t="s">
        <v>2870</v>
      </c>
      <c r="Q208" s="253" t="s">
        <v>3097</v>
      </c>
      <c r="R208" s="92" t="s">
        <v>3098</v>
      </c>
      <c r="S208" s="247">
        <v>415640</v>
      </c>
      <c r="T208" s="247">
        <v>415640</v>
      </c>
      <c r="U208" s="247">
        <f t="shared" si="8"/>
        <v>0</v>
      </c>
      <c r="V208" s="248">
        <v>383669.58</v>
      </c>
      <c r="X208" s="243" t="str">
        <f t="shared" si="9"/>
        <v>10615492 Oracle Database Enterprise Edition - Processor Perpetual</v>
      </c>
      <c r="Y208" s="243" t="s">
        <v>5794</v>
      </c>
    </row>
    <row r="209" spans="1:25" hidden="1" x14ac:dyDescent="0.25">
      <c r="A209" s="22" t="s">
        <v>3584</v>
      </c>
      <c r="B209" s="243" t="s">
        <v>3569</v>
      </c>
      <c r="C209" s="243">
        <v>68427709</v>
      </c>
      <c r="D209" s="97" t="s">
        <v>57</v>
      </c>
      <c r="E209" s="22" t="s">
        <v>58</v>
      </c>
      <c r="F209" s="22" t="s">
        <v>46</v>
      </c>
      <c r="G209" s="245" t="s">
        <v>3096</v>
      </c>
      <c r="H209" s="243" t="s">
        <v>3128</v>
      </c>
      <c r="I209" s="22">
        <v>117570</v>
      </c>
      <c r="J209" s="22" t="s">
        <v>633</v>
      </c>
      <c r="K209" s="22"/>
      <c r="L209" s="264">
        <v>5401024359</v>
      </c>
      <c r="M209" s="24">
        <v>160</v>
      </c>
      <c r="N209" s="22" t="s">
        <v>2870</v>
      </c>
      <c r="O209" s="22" t="s">
        <v>6109</v>
      </c>
      <c r="P209" s="22" t="s">
        <v>2870</v>
      </c>
      <c r="Q209" s="22" t="s">
        <v>3104</v>
      </c>
      <c r="R209" s="92" t="s">
        <v>3098</v>
      </c>
      <c r="S209" s="247">
        <v>365000</v>
      </c>
      <c r="T209" s="247">
        <v>365000</v>
      </c>
      <c r="U209" s="247">
        <f t="shared" si="8"/>
        <v>0</v>
      </c>
      <c r="V209" s="248">
        <v>336924.73</v>
      </c>
      <c r="X209" s="243" t="str">
        <f t="shared" si="9"/>
        <v>Sap Ent. Support Appendix 16 : Native HANA + PO + AIF</v>
      </c>
      <c r="Y209" s="243" t="s">
        <v>5794</v>
      </c>
    </row>
    <row r="210" spans="1:25" hidden="1" x14ac:dyDescent="0.25">
      <c r="A210" s="22" t="s">
        <v>3583</v>
      </c>
      <c r="B210" s="243" t="s">
        <v>3569</v>
      </c>
      <c r="C210" s="243">
        <v>68427709</v>
      </c>
      <c r="D210" s="244" t="s">
        <v>57</v>
      </c>
      <c r="E210" s="243" t="s">
        <v>58</v>
      </c>
      <c r="F210" s="243" t="s">
        <v>46</v>
      </c>
      <c r="G210" s="245" t="s">
        <v>3096</v>
      </c>
      <c r="H210" s="243" t="s">
        <v>3128</v>
      </c>
      <c r="I210" s="22">
        <v>117570</v>
      </c>
      <c r="J210" s="22" t="s">
        <v>633</v>
      </c>
      <c r="K210" s="22"/>
      <c r="L210" s="264">
        <v>5401024359</v>
      </c>
      <c r="M210" s="24">
        <v>150</v>
      </c>
      <c r="N210" s="22" t="s">
        <v>2870</v>
      </c>
      <c r="O210" s="22" t="s">
        <v>6109</v>
      </c>
      <c r="P210" s="22" t="s">
        <v>2870</v>
      </c>
      <c r="Q210" s="22" t="s">
        <v>3104</v>
      </c>
      <c r="R210" s="92" t="s">
        <v>3098</v>
      </c>
      <c r="S210" s="247">
        <v>240000</v>
      </c>
      <c r="T210" s="247">
        <v>240000</v>
      </c>
      <c r="U210" s="247">
        <f t="shared" si="8"/>
        <v>0</v>
      </c>
      <c r="V210" s="248">
        <v>221539.55</v>
      </c>
      <c r="X210" s="243" t="str">
        <f t="shared" si="9"/>
        <v>Sap Ent. Support Appendix 15 : Cypress License Acquisition</v>
      </c>
      <c r="Y210" s="243" t="s">
        <v>5794</v>
      </c>
    </row>
    <row r="211" spans="1:25" hidden="1" x14ac:dyDescent="0.25">
      <c r="A211" s="22" t="s">
        <v>3028</v>
      </c>
      <c r="B211" s="243" t="s">
        <v>6137</v>
      </c>
      <c r="C211" s="243">
        <v>68427709</v>
      </c>
      <c r="D211" s="97" t="s">
        <v>57</v>
      </c>
      <c r="E211" s="22" t="s">
        <v>58</v>
      </c>
      <c r="F211" s="22" t="s">
        <v>46</v>
      </c>
      <c r="G211" s="245" t="s">
        <v>3096</v>
      </c>
      <c r="H211" s="243" t="s">
        <v>3128</v>
      </c>
      <c r="I211" s="22">
        <v>117570</v>
      </c>
      <c r="J211" s="22" t="s">
        <v>633</v>
      </c>
      <c r="K211" s="22"/>
      <c r="L211" s="24">
        <v>5400904056</v>
      </c>
      <c r="M211" s="24">
        <v>10</v>
      </c>
      <c r="N211" s="22" t="s">
        <v>2870</v>
      </c>
      <c r="O211" s="22" t="s">
        <v>6109</v>
      </c>
      <c r="P211" s="22" t="s">
        <v>2870</v>
      </c>
      <c r="Q211" s="22" t="s">
        <v>3104</v>
      </c>
      <c r="R211" s="92" t="s">
        <v>3098</v>
      </c>
      <c r="S211" s="247">
        <v>237000</v>
      </c>
      <c r="T211" s="247">
        <v>237000</v>
      </c>
      <c r="U211" s="247">
        <f t="shared" si="8"/>
        <v>0</v>
      </c>
      <c r="V211" s="248">
        <v>218770.31</v>
      </c>
      <c r="X211" s="243" t="str">
        <f t="shared" si="9"/>
        <v>Active Embedded Support</v>
      </c>
      <c r="Y211" s="243" t="s">
        <v>5794</v>
      </c>
    </row>
    <row r="212" spans="1:25" hidden="1" x14ac:dyDescent="0.25">
      <c r="A212" s="243" t="s">
        <v>3570</v>
      </c>
      <c r="B212" s="243" t="s">
        <v>6138</v>
      </c>
      <c r="C212" s="243">
        <v>68427709</v>
      </c>
      <c r="D212" s="244" t="s">
        <v>57</v>
      </c>
      <c r="E212" s="243" t="s">
        <v>58</v>
      </c>
      <c r="F212" s="243" t="s">
        <v>46</v>
      </c>
      <c r="G212" s="245"/>
      <c r="H212" s="243" t="s">
        <v>2262</v>
      </c>
      <c r="I212" s="243">
        <v>168933</v>
      </c>
      <c r="J212" s="243" t="s">
        <v>3483</v>
      </c>
      <c r="L212" s="246">
        <v>5401017896</v>
      </c>
      <c r="M212" s="246">
        <v>10</v>
      </c>
      <c r="N212" s="243" t="s">
        <v>2870</v>
      </c>
      <c r="O212" s="243" t="s">
        <v>6109</v>
      </c>
      <c r="P212" s="22" t="s">
        <v>2870</v>
      </c>
      <c r="Q212" s="243" t="s">
        <v>3104</v>
      </c>
      <c r="R212" s="92" t="s">
        <v>3098</v>
      </c>
      <c r="S212" s="247">
        <v>235000</v>
      </c>
      <c r="T212" s="247">
        <v>235000</v>
      </c>
      <c r="U212" s="247">
        <f t="shared" si="8"/>
        <v>0</v>
      </c>
      <c r="V212" s="248">
        <v>216924.14</v>
      </c>
      <c r="X212" s="243" t="str">
        <f t="shared" si="9"/>
        <v>SAP Archiving solution (OpenText)</v>
      </c>
      <c r="Y212" s="243" t="s">
        <v>5794</v>
      </c>
    </row>
    <row r="213" spans="1:25" hidden="1" x14ac:dyDescent="0.25">
      <c r="A213" s="92" t="s">
        <v>1449</v>
      </c>
      <c r="B213" s="243" t="s">
        <v>6139</v>
      </c>
      <c r="C213" s="243">
        <v>68427709</v>
      </c>
      <c r="D213" s="96" t="s">
        <v>57</v>
      </c>
      <c r="E213" s="92" t="s">
        <v>58</v>
      </c>
      <c r="F213" s="92" t="s">
        <v>46</v>
      </c>
      <c r="G213" s="245"/>
      <c r="H213" s="243" t="s">
        <v>3612</v>
      </c>
      <c r="I213" s="92">
        <v>151290</v>
      </c>
      <c r="J213" s="92" t="s">
        <v>659</v>
      </c>
      <c r="K213" s="92"/>
      <c r="L213" s="93">
        <v>5401024590</v>
      </c>
      <c r="M213" s="93">
        <v>10</v>
      </c>
      <c r="N213" s="92" t="s">
        <v>2870</v>
      </c>
      <c r="O213" s="92" t="s">
        <v>6109</v>
      </c>
      <c r="P213" s="92" t="s">
        <v>1984</v>
      </c>
      <c r="Q213" s="92" t="s">
        <v>3104</v>
      </c>
      <c r="R213" s="92" t="s">
        <v>3284</v>
      </c>
      <c r="S213" s="247">
        <v>224000</v>
      </c>
      <c r="T213" s="247">
        <v>224000</v>
      </c>
      <c r="U213" s="247">
        <f t="shared" si="8"/>
        <v>0</v>
      </c>
      <c r="V213" s="248">
        <v>206770.25</v>
      </c>
      <c r="X213" s="243" t="str">
        <f t="shared" si="9"/>
        <v xml:space="preserve">Seeburger RFC </v>
      </c>
      <c r="Y213" s="243" t="s">
        <v>5794</v>
      </c>
    </row>
    <row r="214" spans="1:25" hidden="1" x14ac:dyDescent="0.25">
      <c r="A214" s="243" t="s">
        <v>3589</v>
      </c>
      <c r="B214" s="243" t="s">
        <v>3569</v>
      </c>
      <c r="C214" s="243">
        <v>68427709</v>
      </c>
      <c r="D214" s="97" t="s">
        <v>57</v>
      </c>
      <c r="E214" s="22" t="s">
        <v>58</v>
      </c>
      <c r="F214" s="22" t="s">
        <v>46</v>
      </c>
      <c r="G214" s="245" t="s">
        <v>3096</v>
      </c>
      <c r="H214" s="243" t="s">
        <v>3590</v>
      </c>
      <c r="I214" s="243">
        <v>117570</v>
      </c>
      <c r="J214" s="243" t="s">
        <v>633</v>
      </c>
      <c r="L214" s="264">
        <v>5401024359</v>
      </c>
      <c r="M214" s="246">
        <v>200</v>
      </c>
      <c r="N214" s="243" t="s">
        <v>2870</v>
      </c>
      <c r="O214" s="243" t="s">
        <v>6109</v>
      </c>
      <c r="P214" s="22" t="s">
        <v>2870</v>
      </c>
      <c r="Q214" s="243" t="s">
        <v>3104</v>
      </c>
      <c r="R214" s="92" t="s">
        <v>3098</v>
      </c>
      <c r="S214" s="247">
        <v>219000</v>
      </c>
      <c r="T214" s="247">
        <v>219000</v>
      </c>
      <c r="U214" s="247">
        <f t="shared" si="8"/>
        <v>0</v>
      </c>
      <c r="V214" s="248">
        <v>202154.84</v>
      </c>
      <c r="X214" s="243" t="str">
        <f t="shared" si="9"/>
        <v>Sap Ent. Support Appendix 20 : Audit find LAE, BI</v>
      </c>
      <c r="Y214" s="243" t="s">
        <v>5794</v>
      </c>
    </row>
    <row r="215" spans="1:25" hidden="1" x14ac:dyDescent="0.25">
      <c r="A215" s="22" t="s">
        <v>3650</v>
      </c>
      <c r="B215" s="243" t="s">
        <v>3651</v>
      </c>
      <c r="C215" s="243">
        <v>68427709</v>
      </c>
      <c r="D215" s="97" t="s">
        <v>57</v>
      </c>
      <c r="E215" s="22" t="s">
        <v>58</v>
      </c>
      <c r="F215" s="22" t="s">
        <v>46</v>
      </c>
      <c r="G215" s="245"/>
      <c r="H215" s="243" t="s">
        <v>3652</v>
      </c>
      <c r="I215" s="22">
        <v>166350</v>
      </c>
      <c r="J215" s="22" t="s">
        <v>3653</v>
      </c>
      <c r="K215" s="22"/>
      <c r="L215" s="24">
        <v>5400945798</v>
      </c>
      <c r="M215" s="24">
        <v>10</v>
      </c>
      <c r="N215" s="22" t="s">
        <v>2870</v>
      </c>
      <c r="O215" s="22" t="s">
        <v>2864</v>
      </c>
      <c r="P215" s="22" t="s">
        <v>2731</v>
      </c>
      <c r="Q215" s="22" t="s">
        <v>3104</v>
      </c>
      <c r="R215" s="92" t="s">
        <v>3098</v>
      </c>
      <c r="S215" s="247">
        <v>175000</v>
      </c>
      <c r="T215" s="247">
        <v>175000</v>
      </c>
      <c r="U215" s="247">
        <f t="shared" si="8"/>
        <v>0</v>
      </c>
      <c r="V215" s="248">
        <v>169069.59</v>
      </c>
      <c r="X215" s="243" t="str">
        <f t="shared" si="9"/>
        <v>SRC (PDM) Contribution 1Sync</v>
      </c>
      <c r="Y215" s="243" t="s">
        <v>5794</v>
      </c>
    </row>
    <row r="216" spans="1:25" hidden="1" x14ac:dyDescent="0.25">
      <c r="A216" s="22" t="s">
        <v>3585</v>
      </c>
      <c r="B216" s="243" t="s">
        <v>3569</v>
      </c>
      <c r="C216" s="243">
        <v>68427709</v>
      </c>
      <c r="D216" s="97" t="s">
        <v>57</v>
      </c>
      <c r="E216" s="22" t="s">
        <v>58</v>
      </c>
      <c r="F216" s="22" t="s">
        <v>46</v>
      </c>
      <c r="G216" s="245" t="s">
        <v>3096</v>
      </c>
      <c r="H216" s="243" t="s">
        <v>3128</v>
      </c>
      <c r="I216" s="22">
        <v>117570</v>
      </c>
      <c r="J216" s="22" t="s">
        <v>633</v>
      </c>
      <c r="K216" s="22"/>
      <c r="L216" s="264">
        <v>5401024359</v>
      </c>
      <c r="M216" s="246">
        <v>170</v>
      </c>
      <c r="N216" s="22" t="s">
        <v>2870</v>
      </c>
      <c r="O216" s="22" t="s">
        <v>6109</v>
      </c>
      <c r="P216" s="22" t="s">
        <v>2870</v>
      </c>
      <c r="Q216" s="22" t="s">
        <v>3104</v>
      </c>
      <c r="R216" s="92" t="s">
        <v>3098</v>
      </c>
      <c r="S216" s="247">
        <v>164000</v>
      </c>
      <c r="T216" s="247">
        <v>164000</v>
      </c>
      <c r="U216" s="247">
        <f t="shared" si="8"/>
        <v>0</v>
      </c>
      <c r="V216" s="248">
        <v>151385.35999999999</v>
      </c>
      <c r="X216" s="243" t="str">
        <f t="shared" si="9"/>
        <v>Sap Ent. Support Appendix 17 : License audit</v>
      </c>
      <c r="Y216" s="243" t="s">
        <v>5794</v>
      </c>
    </row>
    <row r="217" spans="1:25" hidden="1" x14ac:dyDescent="0.25">
      <c r="A217" s="92" t="s">
        <v>3610</v>
      </c>
      <c r="B217" s="243" t="s">
        <v>6139</v>
      </c>
      <c r="C217" s="243">
        <v>68427709</v>
      </c>
      <c r="D217" s="96" t="s">
        <v>57</v>
      </c>
      <c r="E217" s="92" t="s">
        <v>58</v>
      </c>
      <c r="F217" s="92" t="s">
        <v>46</v>
      </c>
      <c r="G217" s="245"/>
      <c r="H217" s="243" t="s">
        <v>3612</v>
      </c>
      <c r="I217" s="92">
        <v>3000043</v>
      </c>
      <c r="J217" s="92" t="s">
        <v>659</v>
      </c>
      <c r="K217" s="92"/>
      <c r="L217" s="93">
        <v>5401020209</v>
      </c>
      <c r="M217" s="93">
        <v>10</v>
      </c>
      <c r="N217" s="92" t="s">
        <v>2870</v>
      </c>
      <c r="O217" s="92" t="s">
        <v>6109</v>
      </c>
      <c r="P217" s="92" t="s">
        <v>1984</v>
      </c>
      <c r="Q217" s="92" t="s">
        <v>3104</v>
      </c>
      <c r="R217" s="92" t="s">
        <v>3284</v>
      </c>
      <c r="S217" s="247">
        <v>120000</v>
      </c>
      <c r="T217" s="247">
        <v>160000</v>
      </c>
      <c r="U217" s="247">
        <f t="shared" si="8"/>
        <v>40000</v>
      </c>
      <c r="V217" s="248">
        <v>147693.03</v>
      </c>
      <c r="X217" s="243" t="str">
        <f t="shared" si="9"/>
        <v>Seeburger (EDI Connection)</v>
      </c>
      <c r="Y217" s="243" t="s">
        <v>5793</v>
      </c>
    </row>
    <row r="218" spans="1:25" hidden="1" x14ac:dyDescent="0.25">
      <c r="A218" s="22" t="s">
        <v>3596</v>
      </c>
      <c r="B218" s="243" t="s">
        <v>3569</v>
      </c>
      <c r="C218" s="243">
        <v>68427709</v>
      </c>
      <c r="D218" s="97" t="s">
        <v>57</v>
      </c>
      <c r="E218" s="22" t="s">
        <v>58</v>
      </c>
      <c r="F218" s="22" t="s">
        <v>46</v>
      </c>
      <c r="G218" s="245" t="s">
        <v>3096</v>
      </c>
      <c r="H218" s="243" t="s">
        <v>3128</v>
      </c>
      <c r="I218" s="22">
        <v>117570</v>
      </c>
      <c r="J218" s="22" t="s">
        <v>633</v>
      </c>
      <c r="K218" s="22"/>
      <c r="L218" s="264">
        <v>5401024359</v>
      </c>
      <c r="M218" s="24">
        <v>60</v>
      </c>
      <c r="N218" s="22" t="s">
        <v>2870</v>
      </c>
      <c r="O218" s="22" t="s">
        <v>6109</v>
      </c>
      <c r="P218" s="22" t="s">
        <v>2870</v>
      </c>
      <c r="Q218" s="22" t="s">
        <v>3104</v>
      </c>
      <c r="R218" s="92" t="s">
        <v>3098</v>
      </c>
      <c r="S218" s="247">
        <v>145587</v>
      </c>
      <c r="T218" s="247">
        <v>145587</v>
      </c>
      <c r="U218" s="247">
        <f t="shared" si="8"/>
        <v>0</v>
      </c>
      <c r="V218" s="248">
        <v>134388.66</v>
      </c>
      <c r="X218" s="243" t="str">
        <f t="shared" si="9"/>
        <v>Sap Ent. Support Appendix 6 : APO</v>
      </c>
      <c r="Y218" s="243" t="s">
        <v>5794</v>
      </c>
    </row>
    <row r="219" spans="1:25" hidden="1" x14ac:dyDescent="0.25">
      <c r="A219" s="243" t="s">
        <v>481</v>
      </c>
      <c r="B219" s="243" t="s">
        <v>6140</v>
      </c>
      <c r="C219" s="243">
        <v>68427709</v>
      </c>
      <c r="D219" s="244" t="s">
        <v>57</v>
      </c>
      <c r="E219" s="243" t="s">
        <v>58</v>
      </c>
      <c r="F219" s="243" t="s">
        <v>46</v>
      </c>
      <c r="G219" s="245"/>
      <c r="H219" s="243" t="s">
        <v>3168</v>
      </c>
      <c r="I219" s="243">
        <v>117570</v>
      </c>
      <c r="J219" s="243" t="s">
        <v>633</v>
      </c>
      <c r="L219" s="243">
        <v>5400880684</v>
      </c>
      <c r="M219" s="262">
        <v>30</v>
      </c>
      <c r="N219" s="243" t="s">
        <v>2870</v>
      </c>
      <c r="O219" s="243" t="s">
        <v>2864</v>
      </c>
      <c r="P219" s="22" t="s">
        <v>3169</v>
      </c>
      <c r="Q219" s="243" t="s">
        <v>3170</v>
      </c>
      <c r="R219" s="243" t="s">
        <v>3171</v>
      </c>
      <c r="S219" s="247">
        <v>130000</v>
      </c>
      <c r="T219" s="247">
        <v>85000</v>
      </c>
      <c r="U219" s="247">
        <f t="shared" si="8"/>
        <v>-45000</v>
      </c>
      <c r="V219" s="248">
        <v>82119.509999999995</v>
      </c>
      <c r="X219" s="243" t="str">
        <f t="shared" si="9"/>
        <v>Ariba</v>
      </c>
      <c r="Y219" s="243" t="s">
        <v>5794</v>
      </c>
    </row>
    <row r="220" spans="1:25" hidden="1" x14ac:dyDescent="0.25">
      <c r="A220" s="243" t="s">
        <v>481</v>
      </c>
      <c r="B220" s="243" t="s">
        <v>6140</v>
      </c>
      <c r="C220" s="243">
        <v>68427709</v>
      </c>
      <c r="D220" s="244" t="s">
        <v>57</v>
      </c>
      <c r="E220" s="243" t="s">
        <v>58</v>
      </c>
      <c r="F220" s="243" t="s">
        <v>46</v>
      </c>
      <c r="G220" s="245"/>
      <c r="H220" s="254" t="s">
        <v>6141</v>
      </c>
      <c r="I220" s="243">
        <v>117570</v>
      </c>
      <c r="J220" s="243" t="s">
        <v>633</v>
      </c>
      <c r="L220" s="243">
        <v>5400880684</v>
      </c>
      <c r="M220" s="262">
        <v>30</v>
      </c>
      <c r="N220" s="243" t="s">
        <v>2870</v>
      </c>
      <c r="O220" s="243" t="s">
        <v>2864</v>
      </c>
      <c r="P220" s="22" t="s">
        <v>3169</v>
      </c>
      <c r="Q220" s="22" t="s">
        <v>3104</v>
      </c>
      <c r="R220" s="243" t="s">
        <v>3171</v>
      </c>
      <c r="S220" s="247">
        <v>0</v>
      </c>
      <c r="T220" s="247">
        <v>45000</v>
      </c>
      <c r="U220" s="247">
        <f t="shared" si="8"/>
        <v>45000</v>
      </c>
      <c r="V220" s="248">
        <v>43475.040000000001</v>
      </c>
      <c r="X220" s="243" t="str">
        <f t="shared" si="9"/>
        <v>Ariba</v>
      </c>
      <c r="Y220" s="243" t="s">
        <v>5794</v>
      </c>
    </row>
    <row r="221" spans="1:25" hidden="1" x14ac:dyDescent="0.25">
      <c r="A221" s="22" t="s">
        <v>3593</v>
      </c>
      <c r="B221" s="243" t="s">
        <v>3569</v>
      </c>
      <c r="C221" s="243">
        <v>68427709</v>
      </c>
      <c r="D221" s="97" t="s">
        <v>57</v>
      </c>
      <c r="E221" s="22" t="s">
        <v>58</v>
      </c>
      <c r="F221" s="22" t="s">
        <v>46</v>
      </c>
      <c r="G221" s="245" t="s">
        <v>3096</v>
      </c>
      <c r="H221" s="243" t="s">
        <v>3214</v>
      </c>
      <c r="I221" s="22">
        <v>117570</v>
      </c>
      <c r="J221" s="22" t="s">
        <v>633</v>
      </c>
      <c r="K221" s="22"/>
      <c r="L221" s="264">
        <v>5401024359</v>
      </c>
      <c r="M221" s="24">
        <v>40</v>
      </c>
      <c r="N221" s="22" t="s">
        <v>2870</v>
      </c>
      <c r="O221" s="22" t="s">
        <v>6109</v>
      </c>
      <c r="P221" s="22" t="s">
        <v>2870</v>
      </c>
      <c r="Q221" s="22" t="s">
        <v>3104</v>
      </c>
      <c r="R221" s="92" t="s">
        <v>3098</v>
      </c>
      <c r="S221" s="247">
        <v>125272</v>
      </c>
      <c r="T221" s="247">
        <v>125272</v>
      </c>
      <c r="U221" s="247">
        <f t="shared" si="8"/>
        <v>0</v>
      </c>
      <c r="V221" s="248">
        <v>115636.26</v>
      </c>
      <c r="X221" s="243" t="str">
        <f t="shared" si="9"/>
        <v>Sap Ent. Support Appendix 4 : BPC, HANA, BO BI</v>
      </c>
      <c r="Y221" s="243" t="s">
        <v>5794</v>
      </c>
    </row>
    <row r="222" spans="1:25" hidden="1" x14ac:dyDescent="0.25">
      <c r="A222" s="22" t="s">
        <v>3580</v>
      </c>
      <c r="B222" s="243" t="s">
        <v>3569</v>
      </c>
      <c r="C222" s="243">
        <v>68427709</v>
      </c>
      <c r="D222" s="97" t="s">
        <v>57</v>
      </c>
      <c r="E222" s="22" t="s">
        <v>58</v>
      </c>
      <c r="F222" s="22" t="s">
        <v>46</v>
      </c>
      <c r="G222" s="245" t="s">
        <v>3096</v>
      </c>
      <c r="H222" s="243" t="s">
        <v>3128</v>
      </c>
      <c r="I222" s="22">
        <v>117570</v>
      </c>
      <c r="J222" s="22" t="s">
        <v>633</v>
      </c>
      <c r="K222" s="22"/>
      <c r="L222" s="264">
        <v>5401024359</v>
      </c>
      <c r="M222" s="24">
        <v>120</v>
      </c>
      <c r="N222" s="22" t="s">
        <v>2870</v>
      </c>
      <c r="O222" s="22" t="s">
        <v>6109</v>
      </c>
      <c r="P222" s="22" t="s">
        <v>2870</v>
      </c>
      <c r="Q222" s="22" t="s">
        <v>3104</v>
      </c>
      <c r="R222" s="92" t="s">
        <v>3098</v>
      </c>
      <c r="S222" s="247">
        <v>75263</v>
      </c>
      <c r="T222" s="247">
        <v>115263</v>
      </c>
      <c r="U222" s="247">
        <f t="shared" si="8"/>
        <v>40000</v>
      </c>
      <c r="V222" s="248">
        <v>106397.14</v>
      </c>
      <c r="X222" s="243" t="str">
        <f t="shared" si="9"/>
        <v>Sap Ent. Support Appendix 12 : CPS (Redwood) - changed to: Run my Jobs</v>
      </c>
      <c r="Y222" s="243" t="s">
        <v>5793</v>
      </c>
    </row>
    <row r="223" spans="1:25" hidden="1" x14ac:dyDescent="0.25">
      <c r="A223" s="22" t="s">
        <v>3582</v>
      </c>
      <c r="B223" s="243" t="s">
        <v>3569</v>
      </c>
      <c r="C223" s="243">
        <v>68427709</v>
      </c>
      <c r="D223" s="97" t="s">
        <v>57</v>
      </c>
      <c r="E223" s="22" t="s">
        <v>58</v>
      </c>
      <c r="F223" s="22" t="s">
        <v>46</v>
      </c>
      <c r="G223" s="245" t="s">
        <v>3096</v>
      </c>
      <c r="H223" s="243" t="s">
        <v>3128</v>
      </c>
      <c r="I223" s="22">
        <v>117570</v>
      </c>
      <c r="J223" s="22" t="s">
        <v>633</v>
      </c>
      <c r="K223" s="22"/>
      <c r="L223" s="264">
        <v>5401024359</v>
      </c>
      <c r="M223" s="24">
        <v>140</v>
      </c>
      <c r="N223" s="22" t="s">
        <v>2870</v>
      </c>
      <c r="O223" s="22" t="s">
        <v>6109</v>
      </c>
      <c r="P223" s="22" t="s">
        <v>2870</v>
      </c>
      <c r="Q223" s="22" t="s">
        <v>3104</v>
      </c>
      <c r="R223" s="92" t="s">
        <v>3098</v>
      </c>
      <c r="S223" s="247">
        <v>110084</v>
      </c>
      <c r="T223" s="247">
        <v>110084</v>
      </c>
      <c r="U223" s="247">
        <f t="shared" si="8"/>
        <v>0</v>
      </c>
      <c r="V223" s="248">
        <v>101616.5</v>
      </c>
      <c r="X223" s="243" t="str">
        <f t="shared" si="9"/>
        <v>Sap Ent. Support Appendix 14 : SAP TAO SDS</v>
      </c>
      <c r="Y223" s="243" t="s">
        <v>5794</v>
      </c>
    </row>
    <row r="224" spans="1:25" hidden="1" x14ac:dyDescent="0.25">
      <c r="A224" s="243" t="s">
        <v>3390</v>
      </c>
      <c r="B224" s="243" t="s">
        <v>6142</v>
      </c>
      <c r="C224" s="243">
        <v>68427709</v>
      </c>
      <c r="D224" s="244" t="s">
        <v>57</v>
      </c>
      <c r="E224" s="243" t="s">
        <v>58</v>
      </c>
      <c r="F224" s="243" t="s">
        <v>46</v>
      </c>
      <c r="G224" s="245"/>
      <c r="H224" s="243" t="s">
        <v>3392</v>
      </c>
      <c r="I224" s="243">
        <v>167392</v>
      </c>
      <c r="J224" s="243" t="s">
        <v>3393</v>
      </c>
      <c r="L224" s="246">
        <v>5401014593</v>
      </c>
      <c r="M224" s="246">
        <v>10</v>
      </c>
      <c r="N224" s="243" t="s">
        <v>2870</v>
      </c>
      <c r="O224" s="243" t="s">
        <v>2864</v>
      </c>
      <c r="P224" s="92" t="s">
        <v>2731</v>
      </c>
      <c r="Q224" s="243" t="s">
        <v>3104</v>
      </c>
      <c r="R224" s="92" t="s">
        <v>3333</v>
      </c>
      <c r="S224" s="247">
        <v>82000</v>
      </c>
      <c r="T224" s="247">
        <v>82000</v>
      </c>
      <c r="U224" s="247">
        <f t="shared" si="8"/>
        <v>0</v>
      </c>
      <c r="V224" s="248">
        <v>79221.179999999993</v>
      </c>
      <c r="X224" s="243" t="str">
        <f t="shared" si="9"/>
        <v>Influe / EWR</v>
      </c>
      <c r="Y224" s="243" t="s">
        <v>5794</v>
      </c>
    </row>
    <row r="225" spans="1:25" hidden="1" x14ac:dyDescent="0.25">
      <c r="A225" s="22" t="s">
        <v>3592</v>
      </c>
      <c r="C225" s="243">
        <v>68427709</v>
      </c>
      <c r="D225" s="97" t="s">
        <v>57</v>
      </c>
      <c r="E225" s="22" t="s">
        <v>58</v>
      </c>
      <c r="F225" s="22" t="s">
        <v>46</v>
      </c>
      <c r="G225" s="245" t="s">
        <v>3096</v>
      </c>
      <c r="H225" s="243" t="s">
        <v>3369</v>
      </c>
      <c r="I225" s="22">
        <v>117570</v>
      </c>
      <c r="J225" s="22" t="s">
        <v>633</v>
      </c>
      <c r="K225" s="22"/>
      <c r="L225" s="264">
        <v>5401024359</v>
      </c>
      <c r="M225" s="24">
        <v>30</v>
      </c>
      <c r="N225" s="22" t="s">
        <v>2870</v>
      </c>
      <c r="O225" s="22" t="s">
        <v>6109</v>
      </c>
      <c r="P225" s="22" t="s">
        <v>2870</v>
      </c>
      <c r="Q225" s="22" t="s">
        <v>3104</v>
      </c>
      <c r="R225" s="92" t="s">
        <v>3098</v>
      </c>
      <c r="S225" s="247">
        <v>65148</v>
      </c>
      <c r="T225" s="247">
        <v>65148</v>
      </c>
      <c r="U225" s="247">
        <f t="shared" si="8"/>
        <v>0</v>
      </c>
      <c r="V225" s="248">
        <v>60136.91</v>
      </c>
      <c r="X225" s="243" t="str">
        <f t="shared" si="9"/>
        <v>Sap Ent. Support Appendix 3 : GRC</v>
      </c>
      <c r="Y225" s="243" t="s">
        <v>5794</v>
      </c>
    </row>
    <row r="226" spans="1:25" hidden="1" x14ac:dyDescent="0.25">
      <c r="A226" s="22" t="s">
        <v>3594</v>
      </c>
      <c r="B226" s="243" t="s">
        <v>3569</v>
      </c>
      <c r="C226" s="243">
        <v>68427709</v>
      </c>
      <c r="D226" s="97" t="s">
        <v>57</v>
      </c>
      <c r="E226" s="22" t="s">
        <v>58</v>
      </c>
      <c r="F226" s="22" t="s">
        <v>46</v>
      </c>
      <c r="G226" s="245" t="s">
        <v>3096</v>
      </c>
      <c r="H226" s="22" t="s">
        <v>3595</v>
      </c>
      <c r="I226" s="22">
        <v>117570</v>
      </c>
      <c r="J226" s="22" t="s">
        <v>633</v>
      </c>
      <c r="K226" s="22"/>
      <c r="L226" s="264">
        <v>5401024359</v>
      </c>
      <c r="M226" s="24">
        <v>50</v>
      </c>
      <c r="N226" s="22" t="s">
        <v>2870</v>
      </c>
      <c r="O226" s="22" t="s">
        <v>6109</v>
      </c>
      <c r="P226" s="22" t="s">
        <v>2870</v>
      </c>
      <c r="Q226" s="22" t="s">
        <v>3104</v>
      </c>
      <c r="R226" s="92" t="s">
        <v>3098</v>
      </c>
      <c r="S226" s="247">
        <v>61486</v>
      </c>
      <c r="T226" s="247">
        <v>61486</v>
      </c>
      <c r="U226" s="247">
        <f t="shared" si="8"/>
        <v>0</v>
      </c>
      <c r="V226" s="248">
        <v>56756.59</v>
      </c>
      <c r="X226" s="243" t="str">
        <f t="shared" si="9"/>
        <v>Sap Ent. Support Appendix 5 : APO</v>
      </c>
      <c r="Y226" s="243" t="s">
        <v>5794</v>
      </c>
    </row>
    <row r="227" spans="1:25" hidden="1" x14ac:dyDescent="0.25">
      <c r="A227" s="22" t="s">
        <v>1824</v>
      </c>
      <c r="C227" s="243">
        <v>68427709</v>
      </c>
      <c r="D227" s="97" t="s">
        <v>57</v>
      </c>
      <c r="E227" s="22" t="s">
        <v>58</v>
      </c>
      <c r="F227" s="22" t="s">
        <v>46</v>
      </c>
      <c r="G227" s="245" t="s">
        <v>3096</v>
      </c>
      <c r="H227" s="243" t="s">
        <v>3128</v>
      </c>
      <c r="I227" s="243">
        <v>117570</v>
      </c>
      <c r="J227" s="243" t="s">
        <v>633</v>
      </c>
      <c r="L227" s="249">
        <v>5401024336</v>
      </c>
      <c r="M227" s="246">
        <v>10</v>
      </c>
      <c r="N227" s="22" t="s">
        <v>2870</v>
      </c>
      <c r="O227" s="22" t="s">
        <v>6109</v>
      </c>
      <c r="P227" s="22" t="s">
        <v>2870</v>
      </c>
      <c r="Q227" s="243" t="s">
        <v>3104</v>
      </c>
      <c r="R227" s="92" t="s">
        <v>3098</v>
      </c>
      <c r="S227" s="247">
        <v>29000</v>
      </c>
      <c r="T227" s="247">
        <v>29000</v>
      </c>
      <c r="U227" s="247">
        <f t="shared" si="8"/>
        <v>0</v>
      </c>
      <c r="V227" s="248">
        <v>26769.360000000001</v>
      </c>
      <c r="X227" s="243" t="str">
        <f t="shared" si="9"/>
        <v>SAP CDP Project Support</v>
      </c>
      <c r="Y227" s="243" t="s">
        <v>5794</v>
      </c>
    </row>
    <row r="228" spans="1:25" hidden="1" x14ac:dyDescent="0.25">
      <c r="A228" s="243" t="s">
        <v>3481</v>
      </c>
      <c r="B228" s="243" t="s">
        <v>6138</v>
      </c>
      <c r="C228" s="243">
        <v>68427709</v>
      </c>
      <c r="D228" s="244" t="s">
        <v>57</v>
      </c>
      <c r="E228" s="243" t="s">
        <v>58</v>
      </c>
      <c r="F228" s="243" t="s">
        <v>46</v>
      </c>
      <c r="G228" s="245" t="s">
        <v>3096</v>
      </c>
      <c r="H228" s="243" t="s">
        <v>3128</v>
      </c>
      <c r="I228" s="243">
        <v>168933</v>
      </c>
      <c r="J228" s="243" t="s">
        <v>3483</v>
      </c>
      <c r="L228" s="246">
        <v>5401017896</v>
      </c>
      <c r="M228" s="246">
        <v>10</v>
      </c>
      <c r="N228" s="243" t="s">
        <v>2870</v>
      </c>
      <c r="O228" s="243" t="s">
        <v>6109</v>
      </c>
      <c r="P228" s="22" t="s">
        <v>2870</v>
      </c>
      <c r="Q228" s="243" t="s">
        <v>3104</v>
      </c>
      <c r="R228" s="92" t="s">
        <v>3098</v>
      </c>
      <c r="S228" s="247">
        <v>28000</v>
      </c>
      <c r="T228" s="247">
        <v>28000</v>
      </c>
      <c r="U228" s="247">
        <f t="shared" si="8"/>
        <v>0</v>
      </c>
      <c r="V228" s="248">
        <v>25846.28</v>
      </c>
      <c r="X228" s="243" t="str">
        <f t="shared" si="9"/>
        <v>OpenText Maintenance Fee</v>
      </c>
      <c r="Y228" s="243" t="s">
        <v>5794</v>
      </c>
    </row>
    <row r="229" spans="1:25" hidden="1" x14ac:dyDescent="0.25">
      <c r="A229" s="22" t="s">
        <v>3599</v>
      </c>
      <c r="B229" s="243" t="s">
        <v>3569</v>
      </c>
      <c r="C229" s="243">
        <v>68427709</v>
      </c>
      <c r="D229" s="97" t="s">
        <v>57</v>
      </c>
      <c r="E229" s="22" t="s">
        <v>58</v>
      </c>
      <c r="F229" s="22" t="s">
        <v>46</v>
      </c>
      <c r="G229" s="245" t="s">
        <v>3096</v>
      </c>
      <c r="H229" s="243" t="s">
        <v>3128</v>
      </c>
      <c r="I229" s="22">
        <v>117570</v>
      </c>
      <c r="J229" s="22" t="s">
        <v>633</v>
      </c>
      <c r="K229" s="22"/>
      <c r="L229" s="264">
        <v>5401024359</v>
      </c>
      <c r="M229" s="24">
        <v>90</v>
      </c>
      <c r="N229" s="22" t="s">
        <v>2870</v>
      </c>
      <c r="O229" s="22" t="s">
        <v>6109</v>
      </c>
      <c r="P229" s="22" t="s">
        <v>2870</v>
      </c>
      <c r="Q229" s="22" t="s">
        <v>3104</v>
      </c>
      <c r="R229" s="92" t="s">
        <v>3098</v>
      </c>
      <c r="S229" s="247">
        <v>26059</v>
      </c>
      <c r="T229" s="247">
        <v>26059</v>
      </c>
      <c r="U229" s="247">
        <f t="shared" si="8"/>
        <v>0</v>
      </c>
      <c r="V229" s="248">
        <v>24054.58</v>
      </c>
      <c r="X229" s="243" t="str">
        <f t="shared" si="9"/>
        <v>Sap Ent. Support Appendix 9 : Open Text</v>
      </c>
      <c r="Y229" s="243" t="s">
        <v>5794</v>
      </c>
    </row>
    <row r="230" spans="1:25" hidden="1" x14ac:dyDescent="0.25">
      <c r="A230" s="243" t="s">
        <v>3314</v>
      </c>
      <c r="B230" s="243" t="s">
        <v>3315</v>
      </c>
      <c r="C230" s="243">
        <v>68427709</v>
      </c>
      <c r="D230" s="96" t="s">
        <v>57</v>
      </c>
      <c r="E230" s="243" t="s">
        <v>58</v>
      </c>
      <c r="F230" s="243" t="s">
        <v>46</v>
      </c>
      <c r="G230" s="245" t="s">
        <v>3096</v>
      </c>
      <c r="H230" s="243" t="s">
        <v>3316</v>
      </c>
      <c r="I230" s="243">
        <v>205005</v>
      </c>
      <c r="J230" s="243" t="s">
        <v>196</v>
      </c>
      <c r="L230" s="243">
        <v>5401032431</v>
      </c>
      <c r="M230" s="246">
        <v>10</v>
      </c>
      <c r="N230" s="243" t="s">
        <v>2870</v>
      </c>
      <c r="O230" s="243" t="s">
        <v>6109</v>
      </c>
      <c r="P230" s="92" t="s">
        <v>3015</v>
      </c>
      <c r="Q230" s="243" t="s">
        <v>3104</v>
      </c>
      <c r="R230" s="92" t="s">
        <v>3098</v>
      </c>
      <c r="S230" s="247">
        <v>24000</v>
      </c>
      <c r="T230" s="247">
        <v>24000</v>
      </c>
      <c r="U230" s="247">
        <f t="shared" si="8"/>
        <v>0</v>
      </c>
      <c r="V230" s="248">
        <v>22153.96</v>
      </c>
      <c r="X230" s="243" t="str">
        <f t="shared" si="9"/>
        <v>EPI-Use Maintenance</v>
      </c>
      <c r="Y230" s="243" t="s">
        <v>5794</v>
      </c>
    </row>
    <row r="231" spans="1:25" hidden="1" x14ac:dyDescent="0.25">
      <c r="A231" s="22" t="s">
        <v>3568</v>
      </c>
      <c r="C231" s="243">
        <v>68427709</v>
      </c>
      <c r="D231" s="97" t="s">
        <v>57</v>
      </c>
      <c r="E231" s="22" t="s">
        <v>58</v>
      </c>
      <c r="F231" s="22" t="s">
        <v>46</v>
      </c>
      <c r="G231" s="245" t="s">
        <v>3096</v>
      </c>
      <c r="H231" s="243" t="s">
        <v>3128</v>
      </c>
      <c r="I231" s="243">
        <v>117570</v>
      </c>
      <c r="J231" s="243" t="s">
        <v>633</v>
      </c>
      <c r="L231" s="249">
        <v>5401024359</v>
      </c>
      <c r="M231" s="246">
        <v>230</v>
      </c>
      <c r="N231" s="22" t="s">
        <v>2870</v>
      </c>
      <c r="O231" s="22" t="s">
        <v>6109</v>
      </c>
      <c r="P231" s="22" t="s">
        <v>2870</v>
      </c>
      <c r="Q231" s="243" t="s">
        <v>3104</v>
      </c>
      <c r="R231" s="92" t="s">
        <v>3098</v>
      </c>
      <c r="S231" s="247">
        <v>21250</v>
      </c>
      <c r="T231" s="247">
        <v>21250</v>
      </c>
      <c r="U231" s="247">
        <f t="shared" si="8"/>
        <v>0</v>
      </c>
      <c r="V231" s="248">
        <v>19615.48</v>
      </c>
      <c r="X231" s="243" t="str">
        <f t="shared" si="9"/>
        <v>SAP Appendix 23: Oracle/Hana fees</v>
      </c>
      <c r="Y231" s="243" t="s">
        <v>5794</v>
      </c>
    </row>
    <row r="232" spans="1:25" hidden="1" x14ac:dyDescent="0.25">
      <c r="A232" s="243" t="s">
        <v>3591</v>
      </c>
      <c r="B232" s="243" t="s">
        <v>3569</v>
      </c>
      <c r="C232" s="243">
        <v>68427709</v>
      </c>
      <c r="D232" s="97" t="s">
        <v>57</v>
      </c>
      <c r="E232" s="22" t="s">
        <v>58</v>
      </c>
      <c r="F232" s="243" t="s">
        <v>46</v>
      </c>
      <c r="G232" s="245" t="s">
        <v>3096</v>
      </c>
      <c r="H232" s="243" t="s">
        <v>3128</v>
      </c>
      <c r="I232" s="243">
        <v>117570</v>
      </c>
      <c r="J232" s="22" t="s">
        <v>633</v>
      </c>
      <c r="K232" s="22"/>
      <c r="L232" s="264">
        <v>5401024359</v>
      </c>
      <c r="M232" s="24">
        <v>210</v>
      </c>
      <c r="N232" s="22" t="s">
        <v>2870</v>
      </c>
      <c r="O232" s="22" t="s">
        <v>6109</v>
      </c>
      <c r="P232" s="22" t="s">
        <v>2870</v>
      </c>
      <c r="Q232" s="243" t="s">
        <v>3104</v>
      </c>
      <c r="R232" s="92" t="s">
        <v>3098</v>
      </c>
      <c r="S232" s="247">
        <v>18700</v>
      </c>
      <c r="T232" s="247">
        <v>18700</v>
      </c>
      <c r="U232" s="247">
        <f t="shared" si="8"/>
        <v>0</v>
      </c>
      <c r="V232" s="248">
        <v>17261.62</v>
      </c>
      <c r="X232" s="243" t="str">
        <f t="shared" si="9"/>
        <v>Sap Ent. Support Appendix 21 : SAP SSO 3.0</v>
      </c>
      <c r="Y232" s="243" t="s">
        <v>5794</v>
      </c>
    </row>
    <row r="233" spans="1:25" hidden="1" x14ac:dyDescent="0.25">
      <c r="A233" s="22" t="s">
        <v>3598</v>
      </c>
      <c r="B233" s="243" t="s">
        <v>3569</v>
      </c>
      <c r="C233" s="243">
        <v>68427709</v>
      </c>
      <c r="D233" s="97" t="s">
        <v>57</v>
      </c>
      <c r="E233" s="22" t="s">
        <v>58</v>
      </c>
      <c r="F233" s="22" t="s">
        <v>46</v>
      </c>
      <c r="G233" s="245" t="s">
        <v>3096</v>
      </c>
      <c r="H233" s="243" t="s">
        <v>3128</v>
      </c>
      <c r="I233" s="22">
        <v>117570</v>
      </c>
      <c r="J233" s="22" t="s">
        <v>633</v>
      </c>
      <c r="K233" s="22"/>
      <c r="L233" s="264">
        <v>5401024359</v>
      </c>
      <c r="M233" s="24">
        <v>80</v>
      </c>
      <c r="N233" s="22" t="s">
        <v>2870</v>
      </c>
      <c r="O233" s="22" t="s">
        <v>6109</v>
      </c>
      <c r="P233" s="22" t="s">
        <v>2870</v>
      </c>
      <c r="Q233" s="22" t="s">
        <v>3104</v>
      </c>
      <c r="R233" s="92" t="s">
        <v>3098</v>
      </c>
      <c r="S233" s="247">
        <v>18273</v>
      </c>
      <c r="T233" s="247">
        <v>18273</v>
      </c>
      <c r="U233" s="247">
        <f t="shared" si="8"/>
        <v>0</v>
      </c>
      <c r="V233" s="248">
        <v>16867.47</v>
      </c>
      <c r="X233" s="243" t="str">
        <f t="shared" si="9"/>
        <v>Sap Ent. Support Appendix 8 : Lease accounting Tickets (LAE)</v>
      </c>
      <c r="Y233" s="243" t="s">
        <v>5794</v>
      </c>
    </row>
    <row r="234" spans="1:25" hidden="1" x14ac:dyDescent="0.25">
      <c r="A234" s="22" t="s">
        <v>3587</v>
      </c>
      <c r="B234" s="243" t="s">
        <v>3569</v>
      </c>
      <c r="C234" s="243">
        <v>68427709</v>
      </c>
      <c r="D234" s="97" t="s">
        <v>57</v>
      </c>
      <c r="E234" s="22" t="s">
        <v>58</v>
      </c>
      <c r="F234" s="22" t="s">
        <v>46</v>
      </c>
      <c r="G234" s="245" t="s">
        <v>3096</v>
      </c>
      <c r="H234" s="22" t="s">
        <v>3128</v>
      </c>
      <c r="I234" s="22">
        <v>117570</v>
      </c>
      <c r="J234" s="22" t="s">
        <v>633</v>
      </c>
      <c r="K234" s="22"/>
      <c r="L234" s="264">
        <v>5401024359</v>
      </c>
      <c r="M234" s="24">
        <v>20</v>
      </c>
      <c r="N234" s="22" t="s">
        <v>2870</v>
      </c>
      <c r="O234" s="22" t="s">
        <v>6109</v>
      </c>
      <c r="P234" s="22" t="s">
        <v>2870</v>
      </c>
      <c r="Q234" s="22" t="s">
        <v>3104</v>
      </c>
      <c r="R234" s="92" t="s">
        <v>3098</v>
      </c>
      <c r="S234" s="247">
        <v>15961</v>
      </c>
      <c r="T234" s="247">
        <v>15961</v>
      </c>
      <c r="U234" s="247">
        <f t="shared" si="8"/>
        <v>0</v>
      </c>
      <c r="V234" s="248">
        <v>14733.3</v>
      </c>
      <c r="X234" s="243" t="str">
        <f t="shared" si="9"/>
        <v>Sap Ent. Support Appendix 2 : Identity Management (IDM)</v>
      </c>
      <c r="Y234" s="243" t="s">
        <v>5794</v>
      </c>
    </row>
    <row r="235" spans="1:25" hidden="1" x14ac:dyDescent="0.25">
      <c r="A235" s="92" t="s">
        <v>2627</v>
      </c>
      <c r="B235" s="243" t="s">
        <v>3111</v>
      </c>
      <c r="C235" s="243">
        <v>68427709</v>
      </c>
      <c r="D235" s="96" t="s">
        <v>57</v>
      </c>
      <c r="E235" s="92" t="s">
        <v>58</v>
      </c>
      <c r="F235" s="92" t="s">
        <v>46</v>
      </c>
      <c r="G235" s="245" t="s">
        <v>3096</v>
      </c>
      <c r="H235" s="252" t="s">
        <v>3103</v>
      </c>
      <c r="I235" s="92">
        <v>118054</v>
      </c>
      <c r="J235" s="92" t="s">
        <v>1096</v>
      </c>
      <c r="K235" s="92"/>
      <c r="L235" s="93">
        <v>5400990629</v>
      </c>
      <c r="M235" s="93">
        <v>10</v>
      </c>
      <c r="N235" s="92" t="s">
        <v>2870</v>
      </c>
      <c r="O235" s="92" t="s">
        <v>6109</v>
      </c>
      <c r="P235" s="92" t="s">
        <v>2870</v>
      </c>
      <c r="Q235" s="243" t="s">
        <v>3104</v>
      </c>
      <c r="R235" s="92" t="s">
        <v>3098</v>
      </c>
      <c r="S235" s="247">
        <v>13930</v>
      </c>
      <c r="T235" s="247">
        <v>13930</v>
      </c>
      <c r="U235" s="247">
        <f t="shared" si="8"/>
        <v>0</v>
      </c>
      <c r="V235" s="248">
        <v>12858.52</v>
      </c>
      <c r="X235" s="243" t="str">
        <f t="shared" si="9"/>
        <v>5950219 Oracle Database Enterprise Edition - Processor Perpetual</v>
      </c>
      <c r="Y235" s="243" t="s">
        <v>5794</v>
      </c>
    </row>
    <row r="236" spans="1:25" hidden="1" x14ac:dyDescent="0.25">
      <c r="A236" s="22" t="s">
        <v>1856</v>
      </c>
      <c r="C236" s="243">
        <v>68427709</v>
      </c>
      <c r="D236" s="97" t="s">
        <v>57</v>
      </c>
      <c r="E236" s="22" t="s">
        <v>58</v>
      </c>
      <c r="F236" s="22" t="s">
        <v>46</v>
      </c>
      <c r="G236" s="245" t="s">
        <v>3096</v>
      </c>
      <c r="H236" s="243" t="s">
        <v>3128</v>
      </c>
      <c r="I236" s="22">
        <v>117570</v>
      </c>
      <c r="J236" s="22" t="s">
        <v>633</v>
      </c>
      <c r="K236" s="22"/>
      <c r="L236" s="246">
        <v>5401050766</v>
      </c>
      <c r="M236" s="246">
        <v>10</v>
      </c>
      <c r="N236" s="22" t="s">
        <v>2870</v>
      </c>
      <c r="O236" s="22" t="s">
        <v>6109</v>
      </c>
      <c r="P236" s="92" t="s">
        <v>2870</v>
      </c>
      <c r="Q236" s="22" t="s">
        <v>3104</v>
      </c>
      <c r="R236" s="92" t="s">
        <v>3098</v>
      </c>
      <c r="S236" s="247">
        <v>10000</v>
      </c>
      <c r="T236" s="247">
        <v>10000</v>
      </c>
      <c r="U236" s="247">
        <f t="shared" si="8"/>
        <v>0</v>
      </c>
      <c r="V236" s="248">
        <v>9230.81</v>
      </c>
      <c r="X236" s="243" t="str">
        <f t="shared" si="9"/>
        <v>SAP Cloud Enterprise Agreement</v>
      </c>
      <c r="Y236" s="243" t="s">
        <v>5794</v>
      </c>
    </row>
    <row r="237" spans="1:25" hidden="1" x14ac:dyDescent="0.25">
      <c r="A237" s="92" t="s">
        <v>2626</v>
      </c>
      <c r="B237" s="243" t="s">
        <v>3109</v>
      </c>
      <c r="C237" s="243">
        <v>68427709</v>
      </c>
      <c r="D237" s="96" t="s">
        <v>57</v>
      </c>
      <c r="E237" s="92" t="s">
        <v>58</v>
      </c>
      <c r="F237" s="92" t="s">
        <v>46</v>
      </c>
      <c r="G237" s="245" t="s">
        <v>3096</v>
      </c>
      <c r="H237" s="252" t="s">
        <v>3103</v>
      </c>
      <c r="I237" s="92">
        <v>118054</v>
      </c>
      <c r="J237" s="92" t="s">
        <v>1096</v>
      </c>
      <c r="K237" s="92"/>
      <c r="L237" s="93">
        <v>5400988025</v>
      </c>
      <c r="M237" s="93">
        <v>10</v>
      </c>
      <c r="N237" s="92" t="s">
        <v>2870</v>
      </c>
      <c r="O237" s="92" t="s">
        <v>6109</v>
      </c>
      <c r="P237" s="92" t="s">
        <v>2870</v>
      </c>
      <c r="Q237" s="243" t="s">
        <v>3104</v>
      </c>
      <c r="R237" s="92" t="s">
        <v>3098</v>
      </c>
      <c r="S237" s="247">
        <v>6140</v>
      </c>
      <c r="T237" s="247">
        <v>6140</v>
      </c>
      <c r="U237" s="247">
        <f t="shared" si="8"/>
        <v>0</v>
      </c>
      <c r="V237" s="248">
        <v>5667.72</v>
      </c>
      <c r="X237" s="243" t="str">
        <f t="shared" si="9"/>
        <v>5850883 Oracle Database Enterprise Edition - Named user Plus</v>
      </c>
      <c r="Y237" s="243" t="s">
        <v>5794</v>
      </c>
    </row>
    <row r="238" spans="1:25" hidden="1" x14ac:dyDescent="0.25">
      <c r="A238" s="22" t="s">
        <v>3578</v>
      </c>
      <c r="B238" s="243" t="s">
        <v>3569</v>
      </c>
      <c r="C238" s="243">
        <v>68427709</v>
      </c>
      <c r="D238" s="97" t="s">
        <v>57</v>
      </c>
      <c r="E238" s="22" t="s">
        <v>58</v>
      </c>
      <c r="F238" s="22" t="s">
        <v>46</v>
      </c>
      <c r="G238" s="245" t="s">
        <v>3096</v>
      </c>
      <c r="H238" s="243" t="s">
        <v>3128</v>
      </c>
      <c r="I238" s="22">
        <v>117570</v>
      </c>
      <c r="J238" s="22" t="s">
        <v>633</v>
      </c>
      <c r="K238" s="22"/>
      <c r="L238" s="264">
        <v>5401024359</v>
      </c>
      <c r="M238" s="24">
        <v>100</v>
      </c>
      <c r="N238" s="22" t="s">
        <v>2870</v>
      </c>
      <c r="O238" s="22" t="s">
        <v>6109</v>
      </c>
      <c r="P238" s="22" t="s">
        <v>2870</v>
      </c>
      <c r="Q238" s="22" t="s">
        <v>3104</v>
      </c>
      <c r="R238" s="92" t="s">
        <v>3098</v>
      </c>
      <c r="S238" s="247">
        <v>5892</v>
      </c>
      <c r="T238" s="247">
        <v>5892</v>
      </c>
      <c r="U238" s="247">
        <f t="shared" si="8"/>
        <v>0</v>
      </c>
      <c r="V238" s="248">
        <v>5438.8</v>
      </c>
      <c r="X238" s="243" t="str">
        <f t="shared" si="9"/>
        <v>Sap Ent. Support Appendix 10 : OCR OpenText</v>
      </c>
      <c r="Y238" s="243" t="s">
        <v>5794</v>
      </c>
    </row>
    <row r="239" spans="1:25" hidden="1" x14ac:dyDescent="0.25">
      <c r="A239" s="92" t="s">
        <v>1810</v>
      </c>
      <c r="C239" s="243">
        <v>68427709</v>
      </c>
      <c r="D239" s="96" t="s">
        <v>57</v>
      </c>
      <c r="E239" s="92" t="s">
        <v>58</v>
      </c>
      <c r="F239" s="92" t="s">
        <v>46</v>
      </c>
      <c r="G239" s="245" t="s">
        <v>3096</v>
      </c>
      <c r="H239" s="252" t="s">
        <v>3103</v>
      </c>
      <c r="I239" s="92">
        <v>118054</v>
      </c>
      <c r="J239" s="92" t="s">
        <v>1096</v>
      </c>
      <c r="K239" s="92"/>
      <c r="L239" s="93">
        <v>5401001751</v>
      </c>
      <c r="M239" s="93">
        <v>10</v>
      </c>
      <c r="N239" s="92" t="s">
        <v>2870</v>
      </c>
      <c r="O239" s="92" t="s">
        <v>6109</v>
      </c>
      <c r="P239" s="92" t="s">
        <v>2870</v>
      </c>
      <c r="Q239" s="243" t="s">
        <v>3104</v>
      </c>
      <c r="R239" s="92" t="s">
        <v>3098</v>
      </c>
      <c r="S239" s="247">
        <v>1800</v>
      </c>
      <c r="T239" s="247">
        <v>1800</v>
      </c>
      <c r="U239" s="247">
        <f t="shared" si="8"/>
        <v>0</v>
      </c>
      <c r="V239" s="248">
        <v>1661.55</v>
      </c>
      <c r="X239" s="243" t="str">
        <f t="shared" si="9"/>
        <v>5651323 Oracle Database Standard Edition One - Oracle 1-Click Ordering Program - Processor Perpetual</v>
      </c>
      <c r="Y239" s="243" t="s">
        <v>5794</v>
      </c>
    </row>
    <row r="240" spans="1:25" hidden="1" x14ac:dyDescent="0.25">
      <c r="A240" s="22" t="s">
        <v>3597</v>
      </c>
      <c r="B240" s="243" t="s">
        <v>3569</v>
      </c>
      <c r="C240" s="243">
        <v>68427709</v>
      </c>
      <c r="D240" s="97" t="s">
        <v>57</v>
      </c>
      <c r="E240" s="22" t="s">
        <v>58</v>
      </c>
      <c r="F240" s="22" t="s">
        <v>46</v>
      </c>
      <c r="G240" s="245" t="s">
        <v>3096</v>
      </c>
      <c r="H240" s="243" t="s">
        <v>3128</v>
      </c>
      <c r="I240" s="22">
        <v>117570</v>
      </c>
      <c r="J240" s="22" t="s">
        <v>633</v>
      </c>
      <c r="K240" s="22"/>
      <c r="L240" s="264">
        <v>5401024359</v>
      </c>
      <c r="M240" s="24">
        <v>70</v>
      </c>
      <c r="N240" s="22" t="s">
        <v>2870</v>
      </c>
      <c r="O240" s="22" t="s">
        <v>6109</v>
      </c>
      <c r="P240" s="22" t="s">
        <v>2870</v>
      </c>
      <c r="Q240" s="22" t="s">
        <v>3104</v>
      </c>
      <c r="R240" s="92" t="s">
        <v>3098</v>
      </c>
      <c r="S240" s="247">
        <v>1253</v>
      </c>
      <c r="T240" s="247">
        <v>1253</v>
      </c>
      <c r="U240" s="247">
        <f t="shared" si="8"/>
        <v>0</v>
      </c>
      <c r="V240" s="248">
        <v>1156.6199999999999</v>
      </c>
      <c r="X240" s="243" t="str">
        <f t="shared" si="9"/>
        <v xml:space="preserve">Sap Ent. Support Appendix 7 : Sales orders </v>
      </c>
      <c r="Y240" s="243" t="s">
        <v>5794</v>
      </c>
    </row>
    <row r="241" spans="1:25" hidden="1" x14ac:dyDescent="0.25">
      <c r="A241" s="22" t="s">
        <v>3586</v>
      </c>
      <c r="B241" s="243" t="s">
        <v>3569</v>
      </c>
      <c r="C241" s="243">
        <v>68427709</v>
      </c>
      <c r="D241" s="97" t="s">
        <v>57</v>
      </c>
      <c r="E241" s="22" t="s">
        <v>58</v>
      </c>
      <c r="F241" s="22" t="s">
        <v>46</v>
      </c>
      <c r="G241" s="245" t="s">
        <v>3096</v>
      </c>
      <c r="H241" s="243" t="s">
        <v>3567</v>
      </c>
      <c r="I241" s="22">
        <v>117570</v>
      </c>
      <c r="J241" s="22" t="s">
        <v>633</v>
      </c>
      <c r="K241" s="22"/>
      <c r="L241" s="264">
        <v>5401024359</v>
      </c>
      <c r="M241" s="246">
        <v>180</v>
      </c>
      <c r="N241" s="22" t="s">
        <v>2870</v>
      </c>
      <c r="O241" s="22" t="s">
        <v>6109</v>
      </c>
      <c r="P241" s="22" t="s">
        <v>2870</v>
      </c>
      <c r="Q241" s="22" t="s">
        <v>3104</v>
      </c>
      <c r="R241" s="92" t="s">
        <v>3098</v>
      </c>
      <c r="S241" s="247">
        <v>1000</v>
      </c>
      <c r="T241" s="247">
        <v>1000</v>
      </c>
      <c r="U241" s="247">
        <f t="shared" si="8"/>
        <v>0</v>
      </c>
      <c r="V241" s="248">
        <v>923.08</v>
      </c>
      <c r="X241" s="243" t="str">
        <f t="shared" si="9"/>
        <v>Sap Ent. Support Appendix 18 : Lumira Licenses</v>
      </c>
      <c r="Y241" s="243" t="s">
        <v>5794</v>
      </c>
    </row>
    <row r="242" spans="1:25" hidden="1" x14ac:dyDescent="0.25">
      <c r="A242" s="92" t="s">
        <v>2718</v>
      </c>
      <c r="B242" s="243" t="s">
        <v>3107</v>
      </c>
      <c r="C242" s="243">
        <v>68427709</v>
      </c>
      <c r="D242" s="96" t="s">
        <v>57</v>
      </c>
      <c r="E242" s="92" t="s">
        <v>58</v>
      </c>
      <c r="F242" s="92" t="s">
        <v>46</v>
      </c>
      <c r="G242" s="245" t="s">
        <v>3096</v>
      </c>
      <c r="H242" s="252" t="s">
        <v>3103</v>
      </c>
      <c r="I242" s="92">
        <v>118054</v>
      </c>
      <c r="J242" s="92" t="s">
        <v>1096</v>
      </c>
      <c r="K242" s="92"/>
      <c r="L242" s="93">
        <v>5400973983</v>
      </c>
      <c r="M242" s="93">
        <v>10</v>
      </c>
      <c r="N242" s="92" t="s">
        <v>2870</v>
      </c>
      <c r="O242" s="92" t="s">
        <v>6109</v>
      </c>
      <c r="P242" s="92" t="s">
        <v>2870</v>
      </c>
      <c r="Q242" s="243" t="s">
        <v>3104</v>
      </c>
      <c r="R242" s="92" t="s">
        <v>3098</v>
      </c>
      <c r="S242" s="247">
        <v>70000</v>
      </c>
      <c r="T242" s="247">
        <v>0</v>
      </c>
      <c r="U242" s="247">
        <f t="shared" si="8"/>
        <v>-70000</v>
      </c>
      <c r="V242" s="248">
        <v>0</v>
      </c>
      <c r="X242" s="243" t="str">
        <f t="shared" si="9"/>
        <v>5829345 Oracle Database Enterprise Edition - Named User Plus Perpetual</v>
      </c>
      <c r="Y242" s="243" t="s">
        <v>1800</v>
      </c>
    </row>
    <row r="243" spans="1:25" hidden="1" x14ac:dyDescent="0.25">
      <c r="A243" s="22" t="s">
        <v>1495</v>
      </c>
      <c r="B243" s="243" t="s">
        <v>3566</v>
      </c>
      <c r="C243" s="243">
        <v>68427709</v>
      </c>
      <c r="D243" s="97" t="s">
        <v>57</v>
      </c>
      <c r="E243" s="22" t="s">
        <v>58</v>
      </c>
      <c r="F243" s="22" t="s">
        <v>46</v>
      </c>
      <c r="G243" s="245" t="s">
        <v>3096</v>
      </c>
      <c r="H243" s="243" t="s">
        <v>3567</v>
      </c>
      <c r="I243" s="22">
        <v>117570</v>
      </c>
      <c r="J243" s="22" t="s">
        <v>633</v>
      </c>
      <c r="K243" s="22"/>
      <c r="M243" s="246"/>
      <c r="N243" s="22" t="s">
        <v>2870</v>
      </c>
      <c r="O243" s="22" t="s">
        <v>6109</v>
      </c>
      <c r="P243" s="22" t="s">
        <v>3149</v>
      </c>
      <c r="Q243" s="22" t="s">
        <v>3104</v>
      </c>
      <c r="R243" s="92" t="s">
        <v>1046</v>
      </c>
      <c r="S243" s="247">
        <v>95000</v>
      </c>
      <c r="T243" s="247">
        <v>0</v>
      </c>
      <c r="U243" s="247">
        <f t="shared" si="8"/>
        <v>-95000</v>
      </c>
      <c r="V243" s="248">
        <v>0</v>
      </c>
      <c r="X243" s="243" t="str">
        <f t="shared" si="9"/>
        <v>SAP Analytics Hub</v>
      </c>
      <c r="Y243" s="243" t="s">
        <v>1800</v>
      </c>
    </row>
    <row r="244" spans="1:25" hidden="1" x14ac:dyDescent="0.25">
      <c r="A244" s="243" t="s">
        <v>949</v>
      </c>
      <c r="B244" s="243" t="s">
        <v>6143</v>
      </c>
      <c r="C244" s="243">
        <v>68427709</v>
      </c>
      <c r="D244" s="244" t="s">
        <v>59</v>
      </c>
      <c r="E244" s="243" t="s">
        <v>60</v>
      </c>
      <c r="F244" s="243" t="s">
        <v>46</v>
      </c>
      <c r="G244" s="245" t="s">
        <v>3144</v>
      </c>
      <c r="H244" s="243" t="s">
        <v>3254</v>
      </c>
      <c r="I244" s="243">
        <v>187876</v>
      </c>
      <c r="J244" s="243" t="s">
        <v>3618</v>
      </c>
      <c r="L244" s="246">
        <v>5400941303</v>
      </c>
      <c r="M244" s="246">
        <v>20</v>
      </c>
      <c r="N244" s="243" t="s">
        <v>1930</v>
      </c>
      <c r="O244" s="243" t="s">
        <v>6109</v>
      </c>
      <c r="P244" s="22" t="s">
        <v>1930</v>
      </c>
      <c r="Q244" s="243" t="s">
        <v>3114</v>
      </c>
      <c r="R244" s="243" t="s">
        <v>3098</v>
      </c>
      <c r="S244" s="247">
        <v>750000</v>
      </c>
      <c r="T244" s="247">
        <v>750000</v>
      </c>
      <c r="U244" s="247">
        <f t="shared" si="8"/>
        <v>0</v>
      </c>
      <c r="V244" s="248">
        <v>692311.1</v>
      </c>
      <c r="X244" s="243" t="str">
        <f t="shared" si="9"/>
        <v>ServiceNow</v>
      </c>
      <c r="Y244" s="243" t="s">
        <v>5794</v>
      </c>
    </row>
    <row r="245" spans="1:25" hidden="1" x14ac:dyDescent="0.25">
      <c r="A245" s="243" t="s">
        <v>3657</v>
      </c>
      <c r="B245" s="243" t="s">
        <v>6144</v>
      </c>
      <c r="C245" s="243">
        <v>68427709</v>
      </c>
      <c r="D245" s="244" t="s">
        <v>59</v>
      </c>
      <c r="E245" s="243" t="s">
        <v>60</v>
      </c>
      <c r="F245" s="243" t="s">
        <v>46</v>
      </c>
      <c r="G245" s="245"/>
      <c r="H245" s="243" t="s">
        <v>3659</v>
      </c>
      <c r="I245" s="243">
        <v>117570</v>
      </c>
      <c r="J245" s="243" t="s">
        <v>633</v>
      </c>
      <c r="L245" s="246">
        <v>5400913334</v>
      </c>
      <c r="M245" s="246">
        <v>30</v>
      </c>
      <c r="N245" s="243" t="s">
        <v>2870</v>
      </c>
      <c r="O245" s="243" t="s">
        <v>6109</v>
      </c>
      <c r="P245" s="22" t="s">
        <v>2870</v>
      </c>
      <c r="Q245" s="22" t="s">
        <v>3114</v>
      </c>
      <c r="R245" s="243" t="s">
        <v>3136</v>
      </c>
      <c r="S245" s="247">
        <v>562000</v>
      </c>
      <c r="T245" s="247">
        <v>606000</v>
      </c>
      <c r="U245" s="247">
        <f t="shared" si="8"/>
        <v>44000</v>
      </c>
      <c r="V245" s="248">
        <v>559387.36</v>
      </c>
      <c r="X245" s="243" t="str">
        <f t="shared" si="9"/>
        <v>Successfactors</v>
      </c>
      <c r="Y245" s="243" t="s">
        <v>5793</v>
      </c>
    </row>
    <row r="246" spans="1:25" hidden="1" x14ac:dyDescent="0.25">
      <c r="A246" s="22" t="s">
        <v>3146</v>
      </c>
      <c r="B246" s="243" t="s">
        <v>3147</v>
      </c>
      <c r="C246" s="243">
        <v>68427709</v>
      </c>
      <c r="D246" s="244" t="s">
        <v>59</v>
      </c>
      <c r="E246" s="243" t="s">
        <v>60</v>
      </c>
      <c r="F246" s="243" t="s">
        <v>46</v>
      </c>
      <c r="G246" s="245"/>
      <c r="H246" s="243" t="s">
        <v>2288</v>
      </c>
      <c r="I246" s="243">
        <v>200133</v>
      </c>
      <c r="J246" s="22" t="s">
        <v>1488</v>
      </c>
      <c r="K246" s="22"/>
      <c r="L246" s="262">
        <v>5400942942</v>
      </c>
      <c r="M246" s="246">
        <v>30</v>
      </c>
      <c r="N246" s="22" t="s">
        <v>2870</v>
      </c>
      <c r="O246" s="22" t="s">
        <v>6109</v>
      </c>
      <c r="P246" s="22" t="s">
        <v>3149</v>
      </c>
      <c r="Q246" s="243" t="s">
        <v>3150</v>
      </c>
      <c r="R246" s="243" t="s">
        <v>1046</v>
      </c>
      <c r="S246" s="247">
        <v>380000</v>
      </c>
      <c r="T246" s="247">
        <v>560000</v>
      </c>
      <c r="U246" s="247">
        <f t="shared" ref="U246:U309" si="10">T246-S246</f>
        <v>180000</v>
      </c>
      <c r="V246" s="248">
        <v>516925.62</v>
      </c>
      <c r="X246" s="243" t="str">
        <f t="shared" si="9"/>
        <v xml:space="preserve">AlteryX </v>
      </c>
      <c r="Y246" s="243" t="s">
        <v>5793</v>
      </c>
    </row>
    <row r="247" spans="1:25" hidden="1" x14ac:dyDescent="0.25">
      <c r="A247" s="92" t="s">
        <v>1816</v>
      </c>
      <c r="C247" s="243">
        <v>68427709</v>
      </c>
      <c r="D247" s="244" t="s">
        <v>59</v>
      </c>
      <c r="E247" s="243" t="s">
        <v>60</v>
      </c>
      <c r="F247" s="92" t="s">
        <v>46</v>
      </c>
      <c r="G247" s="245"/>
      <c r="H247" s="243" t="s">
        <v>3288</v>
      </c>
      <c r="I247" s="243">
        <v>210633</v>
      </c>
      <c r="J247" s="92" t="s">
        <v>3289</v>
      </c>
      <c r="K247" s="92"/>
      <c r="L247" s="243">
        <v>5400949579</v>
      </c>
      <c r="M247" s="246">
        <v>20</v>
      </c>
      <c r="N247" s="92" t="s">
        <v>2870</v>
      </c>
      <c r="O247" s="92" t="s">
        <v>2864</v>
      </c>
      <c r="P247" s="92" t="s">
        <v>3195</v>
      </c>
      <c r="Q247" s="243" t="s">
        <v>3124</v>
      </c>
      <c r="R247" s="243" t="s">
        <v>3125</v>
      </c>
      <c r="S247" s="247">
        <v>482000</v>
      </c>
      <c r="T247" s="247">
        <v>552000</v>
      </c>
      <c r="U247" s="247">
        <f t="shared" si="10"/>
        <v>70000</v>
      </c>
      <c r="V247" s="248">
        <v>533293.78</v>
      </c>
      <c r="X247" s="243" t="str">
        <f t="shared" si="9"/>
        <v>Digital MOS</v>
      </c>
      <c r="Y247" s="243" t="s">
        <v>5793</v>
      </c>
    </row>
    <row r="248" spans="1:25" hidden="1" x14ac:dyDescent="0.25">
      <c r="A248" s="243" t="s">
        <v>1789</v>
      </c>
      <c r="C248" s="243">
        <v>68427709</v>
      </c>
      <c r="D248" s="244" t="s">
        <v>59</v>
      </c>
      <c r="E248" s="243" t="s">
        <v>60</v>
      </c>
      <c r="F248" s="92" t="s">
        <v>46</v>
      </c>
      <c r="G248" s="245"/>
      <c r="H248" s="243" t="s">
        <v>3513</v>
      </c>
      <c r="I248" s="92">
        <v>200670</v>
      </c>
      <c r="J248" s="92" t="s">
        <v>243</v>
      </c>
      <c r="K248" s="92"/>
      <c r="L248" s="246">
        <v>5400910709</v>
      </c>
      <c r="M248" s="246">
        <v>10</v>
      </c>
      <c r="N248" s="92" t="s">
        <v>2870</v>
      </c>
      <c r="O248" s="92" t="s">
        <v>2864</v>
      </c>
      <c r="P248" s="92" t="s">
        <v>3183</v>
      </c>
      <c r="Q248" s="243" t="s">
        <v>3170</v>
      </c>
      <c r="R248" s="243" t="s">
        <v>3120</v>
      </c>
      <c r="S248" s="247">
        <v>410000</v>
      </c>
      <c r="T248" s="247">
        <v>485000</v>
      </c>
      <c r="U248" s="247">
        <f t="shared" si="10"/>
        <v>75000</v>
      </c>
      <c r="V248" s="248">
        <v>468564.28</v>
      </c>
      <c r="X248" s="243" t="str">
        <f t="shared" si="9"/>
        <v>PLM Hamilton Grand</v>
      </c>
      <c r="Y248" s="243" t="s">
        <v>5793</v>
      </c>
    </row>
    <row r="249" spans="1:25" hidden="1" x14ac:dyDescent="0.25">
      <c r="A249" s="243" t="s">
        <v>1978</v>
      </c>
      <c r="C249" s="243">
        <v>68427709</v>
      </c>
      <c r="D249" s="244" t="s">
        <v>59</v>
      </c>
      <c r="E249" s="243" t="s">
        <v>60</v>
      </c>
      <c r="F249" s="243" t="s">
        <v>46</v>
      </c>
      <c r="G249" s="245" t="s">
        <v>3144</v>
      </c>
      <c r="H249" s="243" t="s">
        <v>3688</v>
      </c>
      <c r="I249" s="244">
        <v>210312</v>
      </c>
      <c r="J249" s="92" t="s">
        <v>1508</v>
      </c>
      <c r="K249" s="92"/>
      <c r="L249" s="243">
        <v>5400935485</v>
      </c>
      <c r="M249" s="246">
        <v>10</v>
      </c>
      <c r="N249" s="22" t="s">
        <v>2870</v>
      </c>
      <c r="O249" s="22" t="s">
        <v>6109</v>
      </c>
      <c r="P249" s="22" t="s">
        <v>2510</v>
      </c>
      <c r="Q249" s="243" t="s">
        <v>3114</v>
      </c>
      <c r="R249" s="243" t="s">
        <v>3098</v>
      </c>
      <c r="S249" s="247">
        <v>100000</v>
      </c>
      <c r="T249" s="247">
        <v>470000</v>
      </c>
      <c r="U249" s="247">
        <f t="shared" si="10"/>
        <v>370000</v>
      </c>
      <c r="V249" s="248">
        <v>433848.29</v>
      </c>
      <c r="X249" s="243" t="str">
        <f t="shared" si="9"/>
        <v>Uipath licenses</v>
      </c>
      <c r="Y249" s="243" t="s">
        <v>5793</v>
      </c>
    </row>
    <row r="250" spans="1:25" hidden="1" x14ac:dyDescent="0.25">
      <c r="A250" s="22" t="s">
        <v>2760</v>
      </c>
      <c r="C250" s="243">
        <v>68427709</v>
      </c>
      <c r="D250" s="244" t="s">
        <v>59</v>
      </c>
      <c r="E250" s="243" t="s">
        <v>60</v>
      </c>
      <c r="F250" s="243" t="s">
        <v>46</v>
      </c>
      <c r="G250" s="245"/>
      <c r="H250" s="243" t="s">
        <v>3236</v>
      </c>
      <c r="I250" s="92">
        <v>196055</v>
      </c>
      <c r="J250" s="22" t="s">
        <v>1459</v>
      </c>
      <c r="K250" s="22"/>
      <c r="L250" s="249"/>
      <c r="M250" s="246"/>
      <c r="N250" s="92" t="s">
        <v>2870</v>
      </c>
      <c r="O250" s="92" t="s">
        <v>2500</v>
      </c>
      <c r="P250" s="22" t="s">
        <v>2500</v>
      </c>
      <c r="Q250" s="253" t="s">
        <v>3184</v>
      </c>
      <c r="R250" s="243" t="s">
        <v>517</v>
      </c>
      <c r="S250" s="247"/>
      <c r="T250" s="247">
        <v>385000</v>
      </c>
      <c r="U250" s="247">
        <f t="shared" si="10"/>
        <v>385000</v>
      </c>
      <c r="V250" s="248">
        <v>330916.46000000002</v>
      </c>
      <c r="W250" s="251" t="s">
        <v>6145</v>
      </c>
      <c r="X250" s="243" t="str">
        <f t="shared" si="9"/>
        <v>Cognizant business services support</v>
      </c>
      <c r="Y250" s="243" t="s">
        <v>1829</v>
      </c>
    </row>
    <row r="251" spans="1:25" hidden="1" x14ac:dyDescent="0.25">
      <c r="A251" s="22" t="s">
        <v>2368</v>
      </c>
      <c r="C251" s="243">
        <v>68427719</v>
      </c>
      <c r="D251" s="244" t="s">
        <v>59</v>
      </c>
      <c r="E251" s="243" t="s">
        <v>60</v>
      </c>
      <c r="F251" s="243" t="s">
        <v>46</v>
      </c>
      <c r="G251" s="245"/>
      <c r="H251" s="243" t="s">
        <v>3694</v>
      </c>
      <c r="I251" s="22">
        <v>208282</v>
      </c>
      <c r="J251" s="22" t="s">
        <v>251</v>
      </c>
      <c r="K251" s="22"/>
      <c r="L251" s="246">
        <v>5400938326</v>
      </c>
      <c r="M251" s="246"/>
      <c r="N251" s="265" t="s">
        <v>6109</v>
      </c>
      <c r="O251" s="265" t="s">
        <v>6109</v>
      </c>
      <c r="P251" s="22" t="s">
        <v>3695</v>
      </c>
      <c r="Q251" s="243" t="s">
        <v>3114</v>
      </c>
      <c r="R251" s="254" t="s">
        <v>3098</v>
      </c>
      <c r="S251" s="247">
        <v>145000</v>
      </c>
      <c r="T251" s="247">
        <v>362000</v>
      </c>
      <c r="U251" s="247">
        <f t="shared" si="10"/>
        <v>217000</v>
      </c>
      <c r="V251" s="257">
        <f>S251</f>
        <v>145000</v>
      </c>
      <c r="W251" s="243" t="s">
        <v>6122</v>
      </c>
      <c r="X251" s="243" t="str">
        <f t="shared" si="9"/>
        <v>Vonage</v>
      </c>
      <c r="Y251" s="243" t="s">
        <v>5793</v>
      </c>
    </row>
    <row r="252" spans="1:25" hidden="1" x14ac:dyDescent="0.25">
      <c r="A252" s="22" t="s">
        <v>2705</v>
      </c>
      <c r="C252" s="243">
        <v>68427709</v>
      </c>
      <c r="D252" s="244" t="s">
        <v>59</v>
      </c>
      <c r="E252" s="243" t="s">
        <v>60</v>
      </c>
      <c r="F252" s="243" t="s">
        <v>46</v>
      </c>
      <c r="G252" s="245"/>
      <c r="H252" s="243" t="s">
        <v>3498</v>
      </c>
      <c r="I252" s="243">
        <v>212251</v>
      </c>
      <c r="J252" s="22" t="s">
        <v>271</v>
      </c>
      <c r="K252" s="22"/>
      <c r="L252" s="249">
        <v>5400997364</v>
      </c>
      <c r="M252" s="246">
        <v>10</v>
      </c>
      <c r="N252" s="92" t="s">
        <v>2870</v>
      </c>
      <c r="O252" s="92" t="s">
        <v>2864</v>
      </c>
      <c r="P252" s="22" t="s">
        <v>3195</v>
      </c>
      <c r="Q252" s="243" t="s">
        <v>3124</v>
      </c>
      <c r="R252" s="243" t="s">
        <v>3125</v>
      </c>
      <c r="S252" s="247">
        <v>190000</v>
      </c>
      <c r="T252" s="247">
        <v>360000</v>
      </c>
      <c r="U252" s="247">
        <f t="shared" si="10"/>
        <v>170000</v>
      </c>
      <c r="V252" s="248">
        <v>347800.29</v>
      </c>
      <c r="X252" s="243" t="str">
        <f t="shared" si="9"/>
        <v>Planisware</v>
      </c>
      <c r="Y252" s="243" t="s">
        <v>5793</v>
      </c>
    </row>
    <row r="253" spans="1:25" hidden="1" x14ac:dyDescent="0.25">
      <c r="A253" s="243" t="s">
        <v>2636</v>
      </c>
      <c r="B253" s="243" t="s">
        <v>3400</v>
      </c>
      <c r="C253" s="243">
        <v>68427709</v>
      </c>
      <c r="D253" s="244" t="s">
        <v>59</v>
      </c>
      <c r="E253" s="243" t="s">
        <v>60</v>
      </c>
      <c r="F253" s="92" t="s">
        <v>46</v>
      </c>
      <c r="G253" s="245"/>
      <c r="H253" s="243" t="s">
        <v>3282</v>
      </c>
      <c r="I253" s="22">
        <v>209478</v>
      </c>
      <c r="J253" s="22" t="s">
        <v>3283</v>
      </c>
      <c r="K253" s="22"/>
      <c r="L253" s="249">
        <v>5400912153</v>
      </c>
      <c r="M253" s="246">
        <v>30</v>
      </c>
      <c r="N253" s="22" t="s">
        <v>2870</v>
      </c>
      <c r="O253" s="22" t="s">
        <v>6109</v>
      </c>
      <c r="P253" s="22" t="s">
        <v>1984</v>
      </c>
      <c r="Q253" s="92" t="s">
        <v>3104</v>
      </c>
      <c r="R253" s="243" t="s">
        <v>3284</v>
      </c>
      <c r="S253" s="247">
        <v>352000</v>
      </c>
      <c r="T253" s="247">
        <v>352000</v>
      </c>
      <c r="U253" s="247">
        <f t="shared" si="10"/>
        <v>0</v>
      </c>
      <c r="V253" s="248">
        <v>324924.67</v>
      </c>
      <c r="X253" s="243" t="str">
        <f t="shared" si="9"/>
        <v>iPaaS DellBoomi Licenses</v>
      </c>
      <c r="Y253" s="243" t="s">
        <v>5794</v>
      </c>
    </row>
    <row r="254" spans="1:25" hidden="1" x14ac:dyDescent="0.25">
      <c r="A254" s="22" t="s">
        <v>2971</v>
      </c>
      <c r="C254" s="243">
        <v>68427709</v>
      </c>
      <c r="D254" s="244" t="s">
        <v>59</v>
      </c>
      <c r="E254" s="243" t="s">
        <v>60</v>
      </c>
      <c r="F254" s="243" t="s">
        <v>46</v>
      </c>
      <c r="G254" s="245" t="s">
        <v>3096</v>
      </c>
      <c r="H254" s="243" t="s">
        <v>3152</v>
      </c>
      <c r="J254" s="22" t="s">
        <v>3022</v>
      </c>
      <c r="K254" s="22"/>
      <c r="L254" s="249"/>
      <c r="M254" s="246"/>
      <c r="N254" s="92" t="s">
        <v>2410</v>
      </c>
      <c r="O254" s="92" t="s">
        <v>6109</v>
      </c>
      <c r="P254" s="22" t="s">
        <v>2870</v>
      </c>
      <c r="Q254" s="92" t="s">
        <v>3104</v>
      </c>
      <c r="R254" s="243" t="s">
        <v>3133</v>
      </c>
      <c r="S254" s="247"/>
      <c r="T254" s="247">
        <v>350000</v>
      </c>
      <c r="U254" s="247">
        <f t="shared" si="10"/>
        <v>350000</v>
      </c>
      <c r="V254" s="248">
        <v>323078.51</v>
      </c>
      <c r="X254" s="243" t="str">
        <f t="shared" si="9"/>
        <v>SAP hosting in India</v>
      </c>
      <c r="Y254" s="243" t="s">
        <v>5794</v>
      </c>
    </row>
    <row r="255" spans="1:25" hidden="1" x14ac:dyDescent="0.25">
      <c r="A255" s="243" t="s">
        <v>2157</v>
      </c>
      <c r="C255" s="243">
        <v>68427709</v>
      </c>
      <c r="D255" s="244" t="s">
        <v>59</v>
      </c>
      <c r="E255" s="243" t="s">
        <v>60</v>
      </c>
      <c r="F255" s="243" t="s">
        <v>46</v>
      </c>
      <c r="G255" s="245"/>
      <c r="H255" s="243" t="s">
        <v>3386</v>
      </c>
      <c r="I255" s="243">
        <v>209378</v>
      </c>
      <c r="J255" s="92" t="s">
        <v>257</v>
      </c>
      <c r="K255" s="92"/>
      <c r="L255" s="246">
        <v>5400909342</v>
      </c>
      <c r="M255" s="246">
        <v>40</v>
      </c>
      <c r="N255" s="243" t="s">
        <v>2870</v>
      </c>
      <c r="O255" s="243" t="s">
        <v>2864</v>
      </c>
      <c r="P255" s="92" t="s">
        <v>423</v>
      </c>
      <c r="Q255" s="243" t="s">
        <v>3170</v>
      </c>
      <c r="R255" s="243" t="s">
        <v>3230</v>
      </c>
      <c r="S255" s="247">
        <v>329000</v>
      </c>
      <c r="T255" s="247">
        <v>329000</v>
      </c>
      <c r="U255" s="247">
        <f t="shared" si="10"/>
        <v>0</v>
      </c>
      <c r="V255" s="248">
        <v>317850.82</v>
      </c>
      <c r="X255" s="243" t="str">
        <f t="shared" si="9"/>
        <v>Icron</v>
      </c>
      <c r="Y255" s="243" t="s">
        <v>5794</v>
      </c>
    </row>
    <row r="256" spans="1:25" hidden="1" x14ac:dyDescent="0.25">
      <c r="A256" s="243" t="s">
        <v>2178</v>
      </c>
      <c r="C256" s="243">
        <v>68427709</v>
      </c>
      <c r="D256" s="244" t="s">
        <v>59</v>
      </c>
      <c r="E256" s="243" t="s">
        <v>60</v>
      </c>
      <c r="F256" s="243" t="s">
        <v>46</v>
      </c>
      <c r="G256" s="245"/>
      <c r="H256" s="243" t="s">
        <v>3627</v>
      </c>
      <c r="I256" s="22">
        <v>208280</v>
      </c>
      <c r="J256" s="243" t="s">
        <v>3628</v>
      </c>
      <c r="L256" s="246">
        <v>5401000420</v>
      </c>
      <c r="M256" s="246">
        <v>10</v>
      </c>
      <c r="N256" s="243" t="s">
        <v>2870</v>
      </c>
      <c r="O256" s="243" t="s">
        <v>2500</v>
      </c>
      <c r="P256" s="92" t="s">
        <v>2500</v>
      </c>
      <c r="Q256" s="253" t="s">
        <v>3184</v>
      </c>
      <c r="R256" s="243" t="s">
        <v>3175</v>
      </c>
      <c r="S256" s="247">
        <v>290000</v>
      </c>
      <c r="T256" s="247">
        <v>316000</v>
      </c>
      <c r="U256" s="247">
        <f t="shared" si="10"/>
        <v>26000</v>
      </c>
      <c r="V256" s="248">
        <v>271609.34999999998</v>
      </c>
      <c r="X256" s="243" t="str">
        <f t="shared" si="9"/>
        <v>Sitecore licences</v>
      </c>
      <c r="Y256" s="243" t="s">
        <v>5793</v>
      </c>
    </row>
    <row r="257" spans="1:25" hidden="1" x14ac:dyDescent="0.25">
      <c r="A257" s="92" t="s">
        <v>3239</v>
      </c>
      <c r="B257" s="243" t="s">
        <v>3240</v>
      </c>
      <c r="C257" s="243">
        <v>68427709</v>
      </c>
      <c r="D257" s="244" t="s">
        <v>59</v>
      </c>
      <c r="E257" s="92" t="s">
        <v>60</v>
      </c>
      <c r="F257" s="92" t="s">
        <v>46</v>
      </c>
      <c r="G257" s="245"/>
      <c r="H257" s="243" t="s">
        <v>2207</v>
      </c>
      <c r="I257" s="92">
        <v>168291</v>
      </c>
      <c r="J257" s="92" t="s">
        <v>3241</v>
      </c>
      <c r="K257" s="92"/>
      <c r="L257" s="243">
        <v>5400970737</v>
      </c>
      <c r="M257" s="93">
        <v>10</v>
      </c>
      <c r="N257" s="92" t="s">
        <v>2870</v>
      </c>
      <c r="O257" s="92" t="s">
        <v>2864</v>
      </c>
      <c r="P257" s="22" t="s">
        <v>1421</v>
      </c>
      <c r="Q257" s="92" t="s">
        <v>3114</v>
      </c>
      <c r="R257" s="92" t="s">
        <v>3141</v>
      </c>
      <c r="S257" s="247">
        <v>276000</v>
      </c>
      <c r="T257" s="247">
        <v>304000</v>
      </c>
      <c r="U257" s="247">
        <f t="shared" si="10"/>
        <v>28000</v>
      </c>
      <c r="V257" s="248">
        <v>293698.02</v>
      </c>
      <c r="X257" s="243" t="str">
        <f t="shared" ref="X257:X320" si="11">A257</f>
        <v>Concur T&amp;E Tool</v>
      </c>
      <c r="Y257" s="243" t="s">
        <v>5793</v>
      </c>
    </row>
    <row r="258" spans="1:25" hidden="1" x14ac:dyDescent="0.25">
      <c r="A258" s="243" t="s">
        <v>1423</v>
      </c>
      <c r="C258" s="243">
        <v>68427709</v>
      </c>
      <c r="D258" s="244" t="s">
        <v>59</v>
      </c>
      <c r="E258" s="243" t="s">
        <v>60</v>
      </c>
      <c r="F258" s="243" t="s">
        <v>46</v>
      </c>
      <c r="G258" s="245"/>
      <c r="H258" s="243" t="s">
        <v>3138</v>
      </c>
      <c r="I258" s="243">
        <v>204773</v>
      </c>
      <c r="J258" s="243" t="s">
        <v>3139</v>
      </c>
      <c r="L258" s="246">
        <v>5401038265</v>
      </c>
      <c r="M258" s="246">
        <v>10</v>
      </c>
      <c r="N258" s="22" t="s">
        <v>2870</v>
      </c>
      <c r="O258" s="22" t="s">
        <v>2864</v>
      </c>
      <c r="P258" s="22" t="s">
        <v>1421</v>
      </c>
      <c r="Q258" s="253" t="s">
        <v>3140</v>
      </c>
      <c r="R258" s="243" t="s">
        <v>3141</v>
      </c>
      <c r="S258" s="247">
        <v>297000</v>
      </c>
      <c r="T258" s="247">
        <v>300000</v>
      </c>
      <c r="U258" s="247">
        <f t="shared" si="10"/>
        <v>3000</v>
      </c>
      <c r="V258" s="248">
        <v>289833.58</v>
      </c>
      <c r="X258" s="243" t="str">
        <f t="shared" si="11"/>
        <v>Aico</v>
      </c>
      <c r="Y258" s="243" t="s">
        <v>5793</v>
      </c>
    </row>
    <row r="259" spans="1:25" hidden="1" x14ac:dyDescent="0.25">
      <c r="A259" s="22" t="s">
        <v>2818</v>
      </c>
      <c r="C259" s="243">
        <v>68427709</v>
      </c>
      <c r="D259" s="244" t="s">
        <v>59</v>
      </c>
      <c r="E259" s="243" t="s">
        <v>60</v>
      </c>
      <c r="F259" s="243" t="s">
        <v>46</v>
      </c>
      <c r="G259" s="245"/>
      <c r="H259" s="243" t="s">
        <v>3649</v>
      </c>
      <c r="J259" s="22"/>
      <c r="K259" s="22"/>
      <c r="L259" s="249"/>
      <c r="M259" s="246"/>
      <c r="N259" s="92" t="s">
        <v>2870</v>
      </c>
      <c r="O259" s="92" t="s">
        <v>2500</v>
      </c>
      <c r="P259" s="22" t="s">
        <v>2500</v>
      </c>
      <c r="Q259" s="243" t="s">
        <v>3114</v>
      </c>
      <c r="R259" s="22" t="s">
        <v>3175</v>
      </c>
      <c r="S259" s="247"/>
      <c r="T259" s="247">
        <v>300000</v>
      </c>
      <c r="U259" s="247">
        <f t="shared" si="10"/>
        <v>300000</v>
      </c>
      <c r="V259" s="248">
        <v>257856.98</v>
      </c>
      <c r="X259" s="243" t="str">
        <f t="shared" si="11"/>
        <v>Sprinklr</v>
      </c>
      <c r="Y259" s="243" t="s">
        <v>1829</v>
      </c>
    </row>
    <row r="260" spans="1:25" hidden="1" x14ac:dyDescent="0.25">
      <c r="A260" s="22" t="s">
        <v>6146</v>
      </c>
      <c r="C260" s="243">
        <v>68427709</v>
      </c>
      <c r="D260" s="244" t="s">
        <v>59</v>
      </c>
      <c r="E260" s="243" t="s">
        <v>60</v>
      </c>
      <c r="F260" s="243" t="s">
        <v>46</v>
      </c>
      <c r="G260" s="245"/>
      <c r="H260" s="254" t="s">
        <v>3563</v>
      </c>
      <c r="J260" s="22"/>
      <c r="K260" s="22"/>
      <c r="L260" s="249"/>
      <c r="M260" s="246"/>
      <c r="N260" s="92" t="s">
        <v>2870</v>
      </c>
      <c r="O260" s="92" t="s">
        <v>2500</v>
      </c>
      <c r="P260" s="22" t="s">
        <v>2500</v>
      </c>
      <c r="Q260" s="254" t="s">
        <v>3170</v>
      </c>
      <c r="R260" s="254" t="s">
        <v>3120</v>
      </c>
      <c r="S260" s="247"/>
      <c r="T260" s="247">
        <v>150000</v>
      </c>
      <c r="U260" s="247">
        <f t="shared" si="10"/>
        <v>150000</v>
      </c>
      <c r="V260" s="250">
        <v>185000</v>
      </c>
      <c r="W260" s="251" t="s">
        <v>6147</v>
      </c>
      <c r="X260" s="243" t="str">
        <f t="shared" si="11"/>
        <v>Salesforce Service Cloud Retail</v>
      </c>
      <c r="Y260" s="243" t="e">
        <v>#N/A</v>
      </c>
    </row>
    <row r="261" spans="1:25" hidden="1" x14ac:dyDescent="0.25">
      <c r="A261" s="22" t="s">
        <v>6146</v>
      </c>
      <c r="C261" s="243">
        <v>68427709</v>
      </c>
      <c r="D261" s="244" t="s">
        <v>59</v>
      </c>
      <c r="E261" s="243" t="s">
        <v>60</v>
      </c>
      <c r="F261" s="243" t="s">
        <v>46</v>
      </c>
      <c r="G261" s="245"/>
      <c r="H261" s="254" t="s">
        <v>3563</v>
      </c>
      <c r="J261" s="22"/>
      <c r="K261" s="22"/>
      <c r="L261" s="249"/>
      <c r="M261" s="246"/>
      <c r="N261" s="92" t="s">
        <v>2870</v>
      </c>
      <c r="O261" s="92" t="s">
        <v>2500</v>
      </c>
      <c r="P261" s="22" t="s">
        <v>2500</v>
      </c>
      <c r="Q261" s="254" t="s">
        <v>3170</v>
      </c>
      <c r="R261" s="254" t="s">
        <v>517</v>
      </c>
      <c r="S261" s="247"/>
      <c r="T261" s="247">
        <v>150000</v>
      </c>
      <c r="U261" s="247">
        <f t="shared" si="10"/>
        <v>150000</v>
      </c>
      <c r="V261" s="250">
        <v>185000</v>
      </c>
      <c r="W261" s="251" t="s">
        <v>6147</v>
      </c>
      <c r="X261" s="243" t="str">
        <f t="shared" si="11"/>
        <v>Salesforce Service Cloud Retail</v>
      </c>
      <c r="Y261" s="243" t="e">
        <v>#N/A</v>
      </c>
    </row>
    <row r="262" spans="1:25" hidden="1" x14ac:dyDescent="0.25">
      <c r="A262" s="243" t="s">
        <v>962</v>
      </c>
      <c r="B262" s="243" t="s">
        <v>6148</v>
      </c>
      <c r="C262" s="243">
        <v>68427709</v>
      </c>
      <c r="D262" s="244" t="s">
        <v>59</v>
      </c>
      <c r="E262" s="243" t="s">
        <v>60</v>
      </c>
      <c r="F262" s="243" t="s">
        <v>46</v>
      </c>
      <c r="G262" s="245"/>
      <c r="H262" s="243" t="s">
        <v>2203</v>
      </c>
      <c r="I262" s="243">
        <v>136544</v>
      </c>
      <c r="J262" s="243" t="s">
        <v>402</v>
      </c>
      <c r="L262" s="246">
        <v>5400963575</v>
      </c>
      <c r="M262" s="246">
        <v>30</v>
      </c>
      <c r="N262" s="243" t="s">
        <v>2870</v>
      </c>
      <c r="O262" s="243" t="s">
        <v>2864</v>
      </c>
      <c r="P262" s="22" t="s">
        <v>423</v>
      </c>
      <c r="Q262" s="243" t="s">
        <v>3114</v>
      </c>
      <c r="R262" s="92" t="s">
        <v>3120</v>
      </c>
      <c r="S262" s="247">
        <v>235000</v>
      </c>
      <c r="T262" s="247">
        <v>290000</v>
      </c>
      <c r="U262" s="247">
        <f t="shared" si="10"/>
        <v>55000</v>
      </c>
      <c r="V262" s="248">
        <v>280172.46000000002</v>
      </c>
      <c r="X262" s="243" t="str">
        <f t="shared" si="11"/>
        <v>Accolade</v>
      </c>
      <c r="Y262" s="243" t="s">
        <v>5793</v>
      </c>
    </row>
    <row r="263" spans="1:25" hidden="1" x14ac:dyDescent="0.25">
      <c r="A263" s="22" t="s">
        <v>3559</v>
      </c>
      <c r="C263" s="243">
        <v>68427709</v>
      </c>
      <c r="D263" s="244" t="s">
        <v>59</v>
      </c>
      <c r="E263" s="243" t="s">
        <v>60</v>
      </c>
      <c r="F263" s="92" t="s">
        <v>46</v>
      </c>
      <c r="G263" s="245"/>
      <c r="H263" s="243" t="s">
        <v>3434</v>
      </c>
      <c r="I263" s="243">
        <v>193275</v>
      </c>
      <c r="J263" s="243" t="s">
        <v>3224</v>
      </c>
      <c r="L263" s="249">
        <v>5401023756</v>
      </c>
      <c r="M263" s="246">
        <v>10</v>
      </c>
      <c r="N263" s="92" t="s">
        <v>2870</v>
      </c>
      <c r="O263" s="92" t="s">
        <v>2500</v>
      </c>
      <c r="P263" s="22" t="s">
        <v>2500</v>
      </c>
      <c r="Q263" s="243" t="s">
        <v>3170</v>
      </c>
      <c r="R263" s="243" t="s">
        <v>517</v>
      </c>
      <c r="S263" s="247">
        <v>260000</v>
      </c>
      <c r="T263" s="247">
        <v>260000</v>
      </c>
      <c r="U263" s="247">
        <f t="shared" si="10"/>
        <v>0</v>
      </c>
      <c r="V263" s="248">
        <v>223476.05</v>
      </c>
      <c r="X263" s="243" t="str">
        <f t="shared" si="11"/>
        <v>Salesforce Order Management</v>
      </c>
      <c r="Y263" s="243" t="s">
        <v>5794</v>
      </c>
    </row>
    <row r="264" spans="1:25" hidden="1" x14ac:dyDescent="0.25">
      <c r="A264" s="92" t="s">
        <v>2889</v>
      </c>
      <c r="C264" s="243">
        <v>68427709</v>
      </c>
      <c r="D264" s="244" t="s">
        <v>59</v>
      </c>
      <c r="E264" s="243" t="s">
        <v>60</v>
      </c>
      <c r="F264" s="92" t="s">
        <v>46</v>
      </c>
      <c r="G264" s="245"/>
      <c r="H264" s="243" t="s">
        <v>3527</v>
      </c>
      <c r="I264" s="92">
        <v>181895</v>
      </c>
      <c r="J264" s="92" t="s">
        <v>3233</v>
      </c>
      <c r="K264" s="92"/>
      <c r="L264" s="246">
        <v>5400816292</v>
      </c>
      <c r="M264" s="246">
        <v>90</v>
      </c>
      <c r="N264" s="92" t="s">
        <v>2870</v>
      </c>
      <c r="O264" s="92" t="s">
        <v>2864</v>
      </c>
      <c r="P264" s="22" t="s">
        <v>423</v>
      </c>
      <c r="Q264" s="253" t="s">
        <v>3114</v>
      </c>
      <c r="R264" s="243" t="s">
        <v>3120</v>
      </c>
      <c r="S264" s="247">
        <v>158000</v>
      </c>
      <c r="T264" s="247">
        <v>236000</v>
      </c>
      <c r="U264" s="247">
        <f t="shared" si="10"/>
        <v>78000</v>
      </c>
      <c r="V264" s="248">
        <v>228002.41</v>
      </c>
      <c r="X264" s="243" t="str">
        <f t="shared" si="11"/>
        <v>Project Link (Pega) + BIX</v>
      </c>
      <c r="Y264" s="243" t="s">
        <v>5793</v>
      </c>
    </row>
    <row r="265" spans="1:25" hidden="1" x14ac:dyDescent="0.25">
      <c r="A265" s="243" t="s">
        <v>2052</v>
      </c>
      <c r="B265" s="243" t="s">
        <v>3130</v>
      </c>
      <c r="C265" s="243">
        <v>68427709</v>
      </c>
      <c r="D265" s="244" t="s">
        <v>59</v>
      </c>
      <c r="E265" s="243" t="s">
        <v>60</v>
      </c>
      <c r="F265" s="243" t="s">
        <v>46</v>
      </c>
      <c r="G265" s="245"/>
      <c r="H265" s="243" t="s">
        <v>3131</v>
      </c>
      <c r="I265" s="22">
        <v>152539</v>
      </c>
      <c r="J265" s="22" t="s">
        <v>125</v>
      </c>
      <c r="K265" s="22"/>
      <c r="L265" s="246">
        <v>5400945464</v>
      </c>
      <c r="M265" s="246">
        <v>20</v>
      </c>
      <c r="N265" s="243" t="s">
        <v>2410</v>
      </c>
      <c r="O265" s="243" t="s">
        <v>6109</v>
      </c>
      <c r="P265" s="22" t="s">
        <v>3132</v>
      </c>
      <c r="Q265" s="243" t="s">
        <v>3114</v>
      </c>
      <c r="R265" s="243" t="s">
        <v>3133</v>
      </c>
      <c r="S265" s="247">
        <v>200000</v>
      </c>
      <c r="T265" s="247">
        <v>200000</v>
      </c>
      <c r="U265" s="247">
        <f t="shared" si="10"/>
        <v>0</v>
      </c>
      <c r="V265" s="248">
        <v>184616.29</v>
      </c>
      <c r="X265" s="243" t="str">
        <f t="shared" si="11"/>
        <v>Adobe Design</v>
      </c>
      <c r="Y265" s="243" t="s">
        <v>5794</v>
      </c>
    </row>
    <row r="266" spans="1:25" hidden="1" x14ac:dyDescent="0.25">
      <c r="A266" s="243" t="s">
        <v>1197</v>
      </c>
      <c r="B266" s="243" t="s">
        <v>3281</v>
      </c>
      <c r="C266" s="243">
        <v>68427709</v>
      </c>
      <c r="D266" s="244" t="s">
        <v>59</v>
      </c>
      <c r="E266" s="243" t="s">
        <v>60</v>
      </c>
      <c r="F266" s="243" t="s">
        <v>46</v>
      </c>
      <c r="G266" s="245"/>
      <c r="H266" s="243" t="s">
        <v>3282</v>
      </c>
      <c r="I266" s="22">
        <v>209478</v>
      </c>
      <c r="J266" s="22" t="s">
        <v>3283</v>
      </c>
      <c r="K266" s="22"/>
      <c r="L266" s="246">
        <v>5400912153</v>
      </c>
      <c r="M266" s="246">
        <v>30</v>
      </c>
      <c r="N266" s="243" t="s">
        <v>2870</v>
      </c>
      <c r="O266" s="243" t="s">
        <v>6109</v>
      </c>
      <c r="P266" s="22" t="s">
        <v>1984</v>
      </c>
      <c r="Q266" s="92" t="s">
        <v>3104</v>
      </c>
      <c r="R266" s="243" t="s">
        <v>3284</v>
      </c>
      <c r="S266" s="247">
        <v>157000</v>
      </c>
      <c r="T266" s="247">
        <v>187000</v>
      </c>
      <c r="U266" s="247">
        <f t="shared" si="10"/>
        <v>30000</v>
      </c>
      <c r="V266" s="248">
        <v>172616.23</v>
      </c>
      <c r="X266" s="243" t="str">
        <f t="shared" si="11"/>
        <v>Dell Boomi MCS</v>
      </c>
      <c r="Y266" s="243" t="s">
        <v>5793</v>
      </c>
    </row>
    <row r="267" spans="1:25" hidden="1" x14ac:dyDescent="0.25">
      <c r="A267" s="243" t="s">
        <v>3499</v>
      </c>
      <c r="B267" s="243" t="s">
        <v>3500</v>
      </c>
      <c r="C267" s="243">
        <v>68427709</v>
      </c>
      <c r="D267" s="244" t="s">
        <v>59</v>
      </c>
      <c r="E267" s="243" t="s">
        <v>60</v>
      </c>
      <c r="F267" s="243" t="s">
        <v>46</v>
      </c>
      <c r="G267" s="245" t="s">
        <v>3144</v>
      </c>
      <c r="H267" s="243" t="s">
        <v>3501</v>
      </c>
      <c r="I267" s="92">
        <v>203647</v>
      </c>
      <c r="J267" s="92" t="s">
        <v>3502</v>
      </c>
      <c r="K267" s="92"/>
      <c r="L267" s="246">
        <v>5400940618</v>
      </c>
      <c r="M267" s="246">
        <v>20</v>
      </c>
      <c r="N267" s="22" t="s">
        <v>2870</v>
      </c>
      <c r="O267" s="22" t="s">
        <v>6149</v>
      </c>
      <c r="P267" s="22" t="s">
        <v>3503</v>
      </c>
      <c r="Q267" s="243" t="s">
        <v>3114</v>
      </c>
      <c r="R267" s="243" t="s">
        <v>3504</v>
      </c>
      <c r="S267" s="247">
        <v>176000</v>
      </c>
      <c r="T267" s="247">
        <v>176000</v>
      </c>
      <c r="U267" s="247">
        <f t="shared" si="10"/>
        <v>0</v>
      </c>
      <c r="V267" s="248">
        <v>165440</v>
      </c>
      <c r="X267" s="243" t="str">
        <f t="shared" si="11"/>
        <v>PlanView (iPPM)</v>
      </c>
      <c r="Y267" s="243" t="s">
        <v>5794</v>
      </c>
    </row>
    <row r="268" spans="1:25" hidden="1" x14ac:dyDescent="0.25">
      <c r="A268" s="92" t="s">
        <v>3690</v>
      </c>
      <c r="C268" s="243">
        <v>68427709</v>
      </c>
      <c r="D268" s="244" t="s">
        <v>59</v>
      </c>
      <c r="E268" s="243" t="s">
        <v>60</v>
      </c>
      <c r="F268" s="243" t="s">
        <v>46</v>
      </c>
      <c r="G268" s="245"/>
      <c r="H268" s="243" t="s">
        <v>3692</v>
      </c>
      <c r="I268" s="243">
        <v>211572</v>
      </c>
      <c r="J268" s="243" t="s">
        <v>265</v>
      </c>
      <c r="L268" s="243">
        <v>5400975278</v>
      </c>
      <c r="M268" s="246">
        <v>20</v>
      </c>
      <c r="N268" s="22" t="s">
        <v>2870</v>
      </c>
      <c r="O268" s="22" t="s">
        <v>2864</v>
      </c>
      <c r="P268" s="22" t="s">
        <v>2781</v>
      </c>
      <c r="Q268" s="243" t="s">
        <v>3114</v>
      </c>
      <c r="R268" s="243" t="s">
        <v>3136</v>
      </c>
      <c r="S268" s="247">
        <v>155000</v>
      </c>
      <c r="T268" s="247">
        <v>168000</v>
      </c>
      <c r="U268" s="247">
        <f t="shared" si="10"/>
        <v>13000</v>
      </c>
      <c r="V268" s="248">
        <v>162306.79999999999</v>
      </c>
      <c r="X268" s="243" t="str">
        <f t="shared" si="11"/>
        <v>Visier licences &amp; support</v>
      </c>
      <c r="Y268" s="243" t="s">
        <v>5793</v>
      </c>
    </row>
    <row r="269" spans="1:25" hidden="1" x14ac:dyDescent="0.25">
      <c r="A269" s="243" t="s">
        <v>2479</v>
      </c>
      <c r="B269" s="243" t="s">
        <v>6150</v>
      </c>
      <c r="C269" s="243">
        <v>68427709</v>
      </c>
      <c r="D269" s="244" t="s">
        <v>59</v>
      </c>
      <c r="E269" s="243" t="s">
        <v>60</v>
      </c>
      <c r="F269" s="243" t="s">
        <v>46</v>
      </c>
      <c r="G269" s="245"/>
      <c r="H269" s="243" t="s">
        <v>3182</v>
      </c>
      <c r="I269" s="243">
        <v>197093</v>
      </c>
      <c r="J269" s="243" t="s">
        <v>6151</v>
      </c>
      <c r="L269" s="246">
        <v>5400912389</v>
      </c>
      <c r="M269" s="246">
        <v>30</v>
      </c>
      <c r="N269" s="243" t="s">
        <v>2870</v>
      </c>
      <c r="O269" s="243" t="s">
        <v>2864</v>
      </c>
      <c r="P269" s="22" t="s">
        <v>3183</v>
      </c>
      <c r="Q269" s="243" t="s">
        <v>3184</v>
      </c>
      <c r="R269" s="22" t="s">
        <v>3120</v>
      </c>
      <c r="S269" s="247">
        <v>199000</v>
      </c>
      <c r="T269" s="247">
        <v>167500</v>
      </c>
      <c r="U269" s="247">
        <f t="shared" si="10"/>
        <v>-31500</v>
      </c>
      <c r="V269" s="248">
        <v>161823.75</v>
      </c>
      <c r="X269" s="243" t="str">
        <f t="shared" si="11"/>
        <v>Autocad</v>
      </c>
      <c r="Y269" s="243" t="s">
        <v>5792</v>
      </c>
    </row>
    <row r="270" spans="1:25" hidden="1" x14ac:dyDescent="0.25">
      <c r="A270" s="243" t="s">
        <v>2556</v>
      </c>
      <c r="C270" s="243">
        <v>68427709</v>
      </c>
      <c r="D270" s="244" t="s">
        <v>59</v>
      </c>
      <c r="E270" s="243" t="s">
        <v>60</v>
      </c>
      <c r="F270" s="243" t="s">
        <v>46</v>
      </c>
      <c r="G270" s="245"/>
      <c r="H270" s="243" t="s">
        <v>3165</v>
      </c>
      <c r="I270" s="92">
        <v>209152</v>
      </c>
      <c r="J270" s="243" t="s">
        <v>3166</v>
      </c>
      <c r="L270" s="246">
        <v>5400938430</v>
      </c>
      <c r="M270" s="246">
        <v>20</v>
      </c>
      <c r="N270" s="243" t="s">
        <v>2870</v>
      </c>
      <c r="O270" s="243" t="s">
        <v>2864</v>
      </c>
      <c r="P270" s="22" t="s">
        <v>1479</v>
      </c>
      <c r="Q270" s="243" t="s">
        <v>3114</v>
      </c>
      <c r="R270" s="243" t="s">
        <v>3136</v>
      </c>
      <c r="S270" s="247">
        <v>157000</v>
      </c>
      <c r="T270" s="247">
        <v>164500</v>
      </c>
      <c r="U270" s="247">
        <f t="shared" si="10"/>
        <v>7500</v>
      </c>
      <c r="V270" s="248">
        <v>158925.41</v>
      </c>
      <c r="X270" s="243" t="str">
        <f t="shared" si="11"/>
        <v>Aravo</v>
      </c>
      <c r="Y270" s="243" t="s">
        <v>5793</v>
      </c>
    </row>
    <row r="271" spans="1:25" hidden="1" x14ac:dyDescent="0.25">
      <c r="A271" s="22" t="s">
        <v>1991</v>
      </c>
      <c r="C271" s="243">
        <v>68427709</v>
      </c>
      <c r="D271" s="244" t="s">
        <v>59</v>
      </c>
      <c r="E271" s="243" t="s">
        <v>60</v>
      </c>
      <c r="F271" s="92" t="s">
        <v>46</v>
      </c>
      <c r="G271" s="245"/>
      <c r="H271" s="243" t="s">
        <v>3638</v>
      </c>
      <c r="I271" s="22">
        <v>209478</v>
      </c>
      <c r="J271" s="22" t="s">
        <v>3283</v>
      </c>
      <c r="K271" s="22"/>
      <c r="L271" s="246">
        <v>5400917805</v>
      </c>
      <c r="M271" s="246">
        <v>30</v>
      </c>
      <c r="N271" s="22" t="s">
        <v>2870</v>
      </c>
      <c r="O271" s="22" t="s">
        <v>6109</v>
      </c>
      <c r="P271" s="22" t="s">
        <v>1984</v>
      </c>
      <c r="Q271" s="243" t="s">
        <v>3114</v>
      </c>
      <c r="R271" s="243" t="s">
        <v>3284</v>
      </c>
      <c r="S271" s="247">
        <v>160000</v>
      </c>
      <c r="T271" s="247">
        <v>160000</v>
      </c>
      <c r="U271" s="247">
        <f t="shared" si="10"/>
        <v>0</v>
      </c>
      <c r="V271" s="248">
        <v>147693.03</v>
      </c>
      <c r="X271" s="243" t="str">
        <f t="shared" si="11"/>
        <v>Solace</v>
      </c>
      <c r="Y271" s="243" t="s">
        <v>5794</v>
      </c>
    </row>
    <row r="272" spans="1:25" hidden="1" x14ac:dyDescent="0.25">
      <c r="A272" s="243" t="s">
        <v>3409</v>
      </c>
      <c r="B272" s="243" t="s">
        <v>3410</v>
      </c>
      <c r="C272" s="243">
        <v>68427709</v>
      </c>
      <c r="D272" s="244" t="s">
        <v>59</v>
      </c>
      <c r="E272" s="243" t="s">
        <v>60</v>
      </c>
      <c r="F272" s="243" t="s">
        <v>46</v>
      </c>
      <c r="G272" s="245" t="s">
        <v>3144</v>
      </c>
      <c r="H272" s="243" t="s">
        <v>3411</v>
      </c>
      <c r="I272" s="243">
        <v>189448</v>
      </c>
      <c r="J272" s="243" t="s">
        <v>3412</v>
      </c>
      <c r="L272" s="246">
        <v>5401041462</v>
      </c>
      <c r="M272" s="246">
        <v>20</v>
      </c>
      <c r="N272" s="243" t="s">
        <v>2870</v>
      </c>
      <c r="O272" s="243" t="s">
        <v>6109</v>
      </c>
      <c r="P272" s="22" t="s">
        <v>2344</v>
      </c>
      <c r="Q272" s="243" t="s">
        <v>3114</v>
      </c>
      <c r="R272" s="22" t="s">
        <v>3098</v>
      </c>
      <c r="S272" s="247">
        <v>150000</v>
      </c>
      <c r="T272" s="247">
        <v>150000</v>
      </c>
      <c r="U272" s="247">
        <f t="shared" si="10"/>
        <v>0</v>
      </c>
      <c r="V272" s="248">
        <v>138462.22</v>
      </c>
      <c r="X272" s="243" t="str">
        <f t="shared" si="11"/>
        <v>Jira Licenses</v>
      </c>
      <c r="Y272" s="243" t="s">
        <v>5794</v>
      </c>
    </row>
    <row r="273" spans="1:25" hidden="1" x14ac:dyDescent="0.25">
      <c r="A273" s="22" t="s">
        <v>3462</v>
      </c>
      <c r="B273" s="243" t="s">
        <v>3463</v>
      </c>
      <c r="C273" s="243">
        <v>68427709</v>
      </c>
      <c r="D273" s="244" t="s">
        <v>59</v>
      </c>
      <c r="E273" s="243" t="s">
        <v>60</v>
      </c>
      <c r="F273" s="243" t="s">
        <v>46</v>
      </c>
      <c r="G273" s="245"/>
      <c r="H273" s="243" t="s">
        <v>3451</v>
      </c>
      <c r="I273" s="243">
        <v>166304</v>
      </c>
      <c r="J273" s="92" t="s">
        <v>97</v>
      </c>
      <c r="K273" s="92"/>
      <c r="L273" s="243">
        <v>5400878308</v>
      </c>
      <c r="M273" s="246">
        <v>40</v>
      </c>
      <c r="N273" s="22" t="s">
        <v>3149</v>
      </c>
      <c r="O273" s="22" t="s">
        <v>6109</v>
      </c>
      <c r="P273" s="22" t="s">
        <v>3149</v>
      </c>
      <c r="Q273" s="243" t="s">
        <v>3114</v>
      </c>
      <c r="R273" s="243" t="s">
        <v>1046</v>
      </c>
      <c r="S273" s="247">
        <v>137500</v>
      </c>
      <c r="T273" s="247">
        <v>137500</v>
      </c>
      <c r="U273" s="247">
        <f t="shared" si="10"/>
        <v>0</v>
      </c>
      <c r="V273" s="248">
        <v>126923.7</v>
      </c>
      <c r="X273" s="243" t="str">
        <f t="shared" si="11"/>
        <v>Microsoft PowerBI</v>
      </c>
      <c r="Y273" s="243" t="s">
        <v>5794</v>
      </c>
    </row>
    <row r="274" spans="1:25" hidden="1" x14ac:dyDescent="0.25">
      <c r="A274" s="22" t="s">
        <v>3631</v>
      </c>
      <c r="B274" s="243" t="s">
        <v>3632</v>
      </c>
      <c r="C274" s="243">
        <v>68427709</v>
      </c>
      <c r="D274" s="244" t="s">
        <v>59</v>
      </c>
      <c r="E274" s="243" t="s">
        <v>60</v>
      </c>
      <c r="F274" s="243" t="s">
        <v>46</v>
      </c>
      <c r="G274" s="245"/>
      <c r="H274" s="243" t="s">
        <v>3633</v>
      </c>
      <c r="I274" s="22">
        <v>197078</v>
      </c>
      <c r="J274" s="22" t="s">
        <v>3631</v>
      </c>
      <c r="K274" s="22"/>
      <c r="L274" s="246">
        <v>5400871022</v>
      </c>
      <c r="M274" s="246">
        <v>30</v>
      </c>
      <c r="N274" s="22" t="s">
        <v>2870</v>
      </c>
      <c r="O274" s="22" t="s">
        <v>2864</v>
      </c>
      <c r="P274" s="22" t="s">
        <v>2781</v>
      </c>
      <c r="Q274" s="243" t="s">
        <v>3114</v>
      </c>
      <c r="R274" s="243" t="s">
        <v>3136</v>
      </c>
      <c r="S274" s="247">
        <v>135000</v>
      </c>
      <c r="T274" s="247">
        <v>135000</v>
      </c>
      <c r="U274" s="247">
        <f t="shared" si="10"/>
        <v>0</v>
      </c>
      <c r="V274" s="248">
        <v>130425.11</v>
      </c>
      <c r="X274" s="243" t="str">
        <f t="shared" si="11"/>
        <v>SmartRecruiters</v>
      </c>
      <c r="Y274" s="243" t="s">
        <v>5794</v>
      </c>
    </row>
    <row r="275" spans="1:25" hidden="1" x14ac:dyDescent="0.25">
      <c r="A275" s="22" t="s">
        <v>970</v>
      </c>
      <c r="B275" s="243" t="s">
        <v>3401</v>
      </c>
      <c r="C275" s="243">
        <v>68427709</v>
      </c>
      <c r="D275" s="244" t="s">
        <v>59</v>
      </c>
      <c r="E275" s="22" t="s">
        <v>60</v>
      </c>
      <c r="F275" s="22" t="s">
        <v>46</v>
      </c>
      <c r="G275" s="245"/>
      <c r="H275" s="243" t="s">
        <v>3402</v>
      </c>
      <c r="I275" s="243">
        <v>188518</v>
      </c>
      <c r="J275" s="243" t="s">
        <v>225</v>
      </c>
      <c r="L275" s="24">
        <v>5400938331</v>
      </c>
      <c r="M275" s="24">
        <v>30</v>
      </c>
      <c r="N275" s="22" t="s">
        <v>2870</v>
      </c>
      <c r="O275" s="22" t="s">
        <v>2864</v>
      </c>
      <c r="P275" s="22" t="s">
        <v>3403</v>
      </c>
      <c r="Q275" s="22" t="s">
        <v>3114</v>
      </c>
      <c r="R275" s="22" t="s">
        <v>3141</v>
      </c>
      <c r="S275" s="247">
        <v>111000</v>
      </c>
      <c r="T275" s="247">
        <v>131000</v>
      </c>
      <c r="U275" s="247">
        <f t="shared" si="10"/>
        <v>20000</v>
      </c>
      <c r="V275" s="248">
        <v>126560.66</v>
      </c>
      <c r="X275" s="243" t="str">
        <f t="shared" si="11"/>
        <v>IT2</v>
      </c>
      <c r="Y275" s="243" t="s">
        <v>5793</v>
      </c>
    </row>
    <row r="276" spans="1:25" hidden="1" x14ac:dyDescent="0.25">
      <c r="A276" s="22" t="s">
        <v>2777</v>
      </c>
      <c r="C276" s="243">
        <v>68427709</v>
      </c>
      <c r="D276" s="244" t="s">
        <v>59</v>
      </c>
      <c r="E276" s="243" t="s">
        <v>60</v>
      </c>
      <c r="F276" s="243" t="s">
        <v>46</v>
      </c>
      <c r="G276" s="245"/>
      <c r="H276" s="243" t="s">
        <v>3236</v>
      </c>
      <c r="J276" s="22"/>
      <c r="K276" s="22"/>
      <c r="L276" s="249"/>
      <c r="M276" s="246"/>
      <c r="N276" s="92" t="s">
        <v>2870</v>
      </c>
      <c r="O276" s="92" t="s">
        <v>2500</v>
      </c>
      <c r="P276" s="22" t="s">
        <v>2500</v>
      </c>
      <c r="Q276" s="253" t="s">
        <v>3184</v>
      </c>
      <c r="R276" s="22" t="s">
        <v>3175</v>
      </c>
      <c r="S276" s="247"/>
      <c r="T276" s="247">
        <v>150000</v>
      </c>
      <c r="U276" s="247">
        <f t="shared" si="10"/>
        <v>150000</v>
      </c>
      <c r="V276" s="248">
        <v>128928.49</v>
      </c>
      <c r="X276" s="243" t="str">
        <f t="shared" si="11"/>
        <v>Optimizely</v>
      </c>
      <c r="Y276" s="243" t="s">
        <v>1829</v>
      </c>
    </row>
    <row r="277" spans="1:25" hidden="1" x14ac:dyDescent="0.25">
      <c r="A277" s="22" t="s">
        <v>3196</v>
      </c>
      <c r="C277" s="243">
        <v>68427709</v>
      </c>
      <c r="D277" s="244" t="s">
        <v>59</v>
      </c>
      <c r="E277" s="243" t="s">
        <v>60</v>
      </c>
      <c r="F277" s="92" t="s">
        <v>46</v>
      </c>
      <c r="G277" s="245"/>
      <c r="H277" s="243" t="s">
        <v>3192</v>
      </c>
      <c r="I277" s="243">
        <v>193317</v>
      </c>
      <c r="J277" s="22" t="s">
        <v>161</v>
      </c>
      <c r="K277" s="22"/>
      <c r="L277" s="249">
        <v>5401033424</v>
      </c>
      <c r="M277" s="246">
        <v>10</v>
      </c>
      <c r="N277" s="92" t="s">
        <v>2870</v>
      </c>
      <c r="O277" s="92" t="s">
        <v>2864</v>
      </c>
      <c r="P277" s="22" t="s">
        <v>1819</v>
      </c>
      <c r="Q277" s="243" t="s">
        <v>3124</v>
      </c>
      <c r="R277" s="243" t="s">
        <v>3125</v>
      </c>
      <c r="S277" s="247">
        <v>162000</v>
      </c>
      <c r="T277" s="247">
        <v>128700</v>
      </c>
      <c r="U277" s="247">
        <f t="shared" si="10"/>
        <v>-33300</v>
      </c>
      <c r="V277" s="248">
        <v>124338.6</v>
      </c>
      <c r="X277" s="243" t="str">
        <f t="shared" si="11"/>
        <v>Aveva- Licences</v>
      </c>
      <c r="Y277" s="243" t="s">
        <v>5792</v>
      </c>
    </row>
    <row r="278" spans="1:25" hidden="1" x14ac:dyDescent="0.25">
      <c r="A278" s="22" t="s">
        <v>2469</v>
      </c>
      <c r="B278" s="243" t="s">
        <v>3661</v>
      </c>
      <c r="C278" s="243">
        <v>68427709</v>
      </c>
      <c r="D278" s="244" t="s">
        <v>59</v>
      </c>
      <c r="E278" s="22" t="s">
        <v>60</v>
      </c>
      <c r="F278" s="22" t="s">
        <v>46</v>
      </c>
      <c r="G278" s="245"/>
      <c r="H278" s="243" t="s">
        <v>3662</v>
      </c>
      <c r="I278" s="22">
        <v>127376</v>
      </c>
      <c r="J278" s="22" t="s">
        <v>3663</v>
      </c>
      <c r="K278" s="22"/>
      <c r="L278" s="24">
        <v>5401006905</v>
      </c>
      <c r="M278" s="24">
        <v>20</v>
      </c>
      <c r="N278" s="22" t="s">
        <v>2870</v>
      </c>
      <c r="O278" s="22" t="s">
        <v>2864</v>
      </c>
      <c r="P278" s="22" t="s">
        <v>1479</v>
      </c>
      <c r="Q278" s="22" t="s">
        <v>3104</v>
      </c>
      <c r="R278" s="22" t="s">
        <v>3125</v>
      </c>
      <c r="S278" s="247">
        <v>126000</v>
      </c>
      <c r="T278" s="247">
        <v>126000</v>
      </c>
      <c r="U278" s="247">
        <f t="shared" si="10"/>
        <v>0</v>
      </c>
      <c r="V278" s="248">
        <v>121730.1</v>
      </c>
      <c r="X278" s="243" t="str">
        <f t="shared" si="11"/>
        <v>SUMI Business SLA SIX-MIX</v>
      </c>
      <c r="Y278" s="243" t="s">
        <v>5794</v>
      </c>
    </row>
    <row r="279" spans="1:25" hidden="1" x14ac:dyDescent="0.25">
      <c r="A279" s="22" t="s">
        <v>2094</v>
      </c>
      <c r="C279" s="243">
        <v>68427719</v>
      </c>
      <c r="D279" s="244" t="s">
        <v>59</v>
      </c>
      <c r="E279" s="243" t="s">
        <v>60</v>
      </c>
      <c r="F279" s="92" t="s">
        <v>46</v>
      </c>
      <c r="G279" s="245"/>
      <c r="H279" s="243" t="s">
        <v>3238</v>
      </c>
      <c r="I279" s="22">
        <v>192010</v>
      </c>
      <c r="J279" s="22" t="s">
        <v>2094</v>
      </c>
      <c r="K279" s="22"/>
      <c r="L279" s="246">
        <v>5400982329</v>
      </c>
      <c r="M279" s="246">
        <v>10</v>
      </c>
      <c r="N279" s="92" t="s">
        <v>2800</v>
      </c>
      <c r="O279" s="92" t="s">
        <v>2800</v>
      </c>
      <c r="P279" s="92" t="s">
        <v>2800</v>
      </c>
      <c r="Q279" s="243" t="s">
        <v>3206</v>
      </c>
      <c r="R279" s="243" t="s">
        <v>3207</v>
      </c>
      <c r="S279" s="247">
        <v>60000</v>
      </c>
      <c r="T279" s="247">
        <v>120000</v>
      </c>
      <c r="U279" s="247">
        <f t="shared" si="10"/>
        <v>60000</v>
      </c>
      <c r="V279" s="257">
        <f>S279</f>
        <v>60000</v>
      </c>
      <c r="W279" s="243" t="s">
        <v>6122</v>
      </c>
      <c r="X279" s="243" t="str">
        <f t="shared" si="11"/>
        <v>Company.info</v>
      </c>
      <c r="Y279" s="243" t="s">
        <v>5793</v>
      </c>
    </row>
    <row r="280" spans="1:25" hidden="1" x14ac:dyDescent="0.25">
      <c r="A280" s="243" t="s">
        <v>2467</v>
      </c>
      <c r="B280" s="243" t="s">
        <v>3371</v>
      </c>
      <c r="C280" s="243">
        <v>68427709</v>
      </c>
      <c r="D280" s="244" t="s">
        <v>59</v>
      </c>
      <c r="E280" s="243" t="s">
        <v>60</v>
      </c>
      <c r="F280" s="243" t="s">
        <v>46</v>
      </c>
      <c r="G280" s="245"/>
      <c r="H280" s="243" t="s">
        <v>3681</v>
      </c>
      <c r="I280" s="22">
        <v>181857</v>
      </c>
      <c r="J280" s="243" t="s">
        <v>3682</v>
      </c>
      <c r="L280" s="246">
        <v>5400976225</v>
      </c>
      <c r="M280" s="246">
        <v>20</v>
      </c>
      <c r="N280" s="243" t="s">
        <v>2870</v>
      </c>
      <c r="O280" s="243" t="s">
        <v>2864</v>
      </c>
      <c r="P280" s="22" t="s">
        <v>423</v>
      </c>
      <c r="Q280" s="243" t="s">
        <v>3114</v>
      </c>
      <c r="R280" s="243" t="s">
        <v>3120</v>
      </c>
      <c r="S280" s="247">
        <v>104000</v>
      </c>
      <c r="T280" s="247">
        <v>115000</v>
      </c>
      <c r="U280" s="247">
        <f t="shared" si="10"/>
        <v>11000</v>
      </c>
      <c r="V280" s="248">
        <v>111102.87</v>
      </c>
      <c r="X280" s="243" t="str">
        <f t="shared" si="11"/>
        <v>Thinkstep - Sofi</v>
      </c>
      <c r="Y280" s="243" t="s">
        <v>5793</v>
      </c>
    </row>
    <row r="281" spans="1:25" hidden="1" x14ac:dyDescent="0.25">
      <c r="A281" s="22" t="s">
        <v>2733</v>
      </c>
      <c r="C281" s="243">
        <v>68427709</v>
      </c>
      <c r="D281" s="244" t="s">
        <v>59</v>
      </c>
      <c r="E281" s="243" t="s">
        <v>60</v>
      </c>
      <c r="F281" s="243" t="s">
        <v>46</v>
      </c>
      <c r="G281" s="245"/>
      <c r="H281" s="243" t="s">
        <v>3203</v>
      </c>
      <c r="J281" s="22"/>
      <c r="K281" s="22"/>
      <c r="L281" s="249"/>
      <c r="M281" s="246"/>
      <c r="N281" s="92" t="s">
        <v>2870</v>
      </c>
      <c r="O281" s="92" t="s">
        <v>2800</v>
      </c>
      <c r="P281" s="22" t="s">
        <v>3205</v>
      </c>
      <c r="Q281" s="243" t="s">
        <v>3206</v>
      </c>
      <c r="R281" s="243" t="s">
        <v>3207</v>
      </c>
      <c r="S281" s="247"/>
      <c r="T281" s="247">
        <v>110000</v>
      </c>
      <c r="U281" s="247">
        <f t="shared" si="10"/>
        <v>110000</v>
      </c>
      <c r="V281" s="257">
        <f>S281</f>
        <v>0</v>
      </c>
      <c r="W281" s="243" t="s">
        <v>6122</v>
      </c>
      <c r="X281" s="243" t="str">
        <f t="shared" si="11"/>
        <v>Billtrust E-Invoicing</v>
      </c>
      <c r="Y281" s="243" t="s">
        <v>1829</v>
      </c>
    </row>
    <row r="282" spans="1:25" hidden="1" x14ac:dyDescent="0.25">
      <c r="A282" s="243" t="s">
        <v>3532</v>
      </c>
      <c r="B282" s="243" t="s">
        <v>3533</v>
      </c>
      <c r="C282" s="243">
        <v>68427709</v>
      </c>
      <c r="D282" s="244" t="s">
        <v>59</v>
      </c>
      <c r="E282" s="243" t="s">
        <v>60</v>
      </c>
      <c r="F282" s="243" t="s">
        <v>46</v>
      </c>
      <c r="G282" s="245"/>
      <c r="H282" s="243" t="s">
        <v>2209</v>
      </c>
      <c r="I282" s="243">
        <v>199680</v>
      </c>
      <c r="J282" s="243" t="s">
        <v>327</v>
      </c>
      <c r="L282" s="246">
        <v>5401023844</v>
      </c>
      <c r="M282" s="246">
        <v>10</v>
      </c>
      <c r="N282" s="243" t="s">
        <v>2870</v>
      </c>
      <c r="O282" s="243" t="s">
        <v>2864</v>
      </c>
      <c r="P282" s="22" t="s">
        <v>3183</v>
      </c>
      <c r="Q282" s="243" t="s">
        <v>3114</v>
      </c>
      <c r="R282" s="22" t="s">
        <v>3120</v>
      </c>
      <c r="S282" s="247">
        <v>103000</v>
      </c>
      <c r="T282" s="247">
        <v>103000</v>
      </c>
      <c r="U282" s="247">
        <f t="shared" si="10"/>
        <v>0</v>
      </c>
      <c r="V282" s="248">
        <v>99509.53</v>
      </c>
      <c r="X282" s="243" t="str">
        <f t="shared" si="11"/>
        <v>PS Support (Zylab)</v>
      </c>
      <c r="Y282" s="243" t="s">
        <v>5794</v>
      </c>
    </row>
    <row r="283" spans="1:25" hidden="1" x14ac:dyDescent="0.25">
      <c r="A283" s="22" t="s">
        <v>2604</v>
      </c>
      <c r="C283" s="243">
        <v>68427709</v>
      </c>
      <c r="D283" s="244" t="s">
        <v>59</v>
      </c>
      <c r="E283" s="243" t="s">
        <v>60</v>
      </c>
      <c r="F283" s="92" t="s">
        <v>46</v>
      </c>
      <c r="G283" s="245"/>
      <c r="H283" s="243" t="s">
        <v>3446</v>
      </c>
      <c r="I283" s="22">
        <v>208526</v>
      </c>
      <c r="J283" s="22" t="s">
        <v>3447</v>
      </c>
      <c r="K283" s="22"/>
      <c r="L283" s="246">
        <v>5400948082</v>
      </c>
      <c r="M283" s="246">
        <v>20</v>
      </c>
      <c r="N283" s="22" t="s">
        <v>2870</v>
      </c>
      <c r="O283" s="22" t="s">
        <v>2500</v>
      </c>
      <c r="P283" s="22" t="s">
        <v>2500</v>
      </c>
      <c r="Q283" s="243" t="s">
        <v>3170</v>
      </c>
      <c r="R283" s="243" t="s">
        <v>517</v>
      </c>
      <c r="S283" s="247">
        <v>102000</v>
      </c>
      <c r="T283" s="247">
        <v>102000</v>
      </c>
      <c r="U283" s="247">
        <f t="shared" si="10"/>
        <v>0</v>
      </c>
      <c r="V283" s="248">
        <v>87671.37</v>
      </c>
      <c r="X283" s="243" t="str">
        <f t="shared" si="11"/>
        <v>Metapack for Pudo services (Pick up points)</v>
      </c>
      <c r="Y283" s="243" t="s">
        <v>5794</v>
      </c>
    </row>
    <row r="284" spans="1:25" hidden="1" x14ac:dyDescent="0.25">
      <c r="A284" s="243" t="s">
        <v>907</v>
      </c>
      <c r="B284" s="243" t="s">
        <v>3488</v>
      </c>
      <c r="C284" s="253">
        <v>68427709</v>
      </c>
      <c r="D284" s="244" t="s">
        <v>59</v>
      </c>
      <c r="E284" s="243" t="s">
        <v>60</v>
      </c>
      <c r="F284" s="22" t="s">
        <v>46</v>
      </c>
      <c r="G284" s="245"/>
      <c r="H284" s="243" t="s">
        <v>3489</v>
      </c>
      <c r="I284" s="243">
        <v>199977</v>
      </c>
      <c r="J284" s="22" t="s">
        <v>3490</v>
      </c>
      <c r="K284" s="22"/>
      <c r="L284" s="93">
        <v>5400976352</v>
      </c>
      <c r="M284" s="93">
        <v>10</v>
      </c>
      <c r="N284" s="22" t="s">
        <v>2870</v>
      </c>
      <c r="O284" s="92" t="s">
        <v>2800</v>
      </c>
      <c r="P284" s="22" t="s">
        <v>2344</v>
      </c>
      <c r="Q284" s="92" t="s">
        <v>3206</v>
      </c>
      <c r="R284" s="92" t="s">
        <v>3207</v>
      </c>
      <c r="S284" s="247">
        <v>100000</v>
      </c>
      <c r="T284" s="247">
        <v>100000</v>
      </c>
      <c r="U284" s="247">
        <f t="shared" si="10"/>
        <v>0</v>
      </c>
      <c r="V284" s="257">
        <f>S284</f>
        <v>100000</v>
      </c>
      <c r="W284" s="243" t="s">
        <v>6122</v>
      </c>
      <c r="X284" s="243" t="str">
        <f t="shared" si="11"/>
        <v>OwnBackup</v>
      </c>
      <c r="Y284" s="243" t="s">
        <v>5794</v>
      </c>
    </row>
    <row r="285" spans="1:25" hidden="1" x14ac:dyDescent="0.25">
      <c r="A285" s="243" t="s">
        <v>3634</v>
      </c>
      <c r="B285" s="243" t="s">
        <v>3635</v>
      </c>
      <c r="C285" s="243">
        <v>68427709</v>
      </c>
      <c r="D285" s="244" t="s">
        <v>59</v>
      </c>
      <c r="E285" s="243" t="s">
        <v>60</v>
      </c>
      <c r="F285" s="243" t="s">
        <v>46</v>
      </c>
      <c r="G285" s="245" t="s">
        <v>3144</v>
      </c>
      <c r="H285" s="243" t="s">
        <v>2270</v>
      </c>
      <c r="I285" s="243">
        <v>189203</v>
      </c>
      <c r="J285" s="243" t="s">
        <v>153</v>
      </c>
      <c r="L285" s="246">
        <v>5400904915</v>
      </c>
      <c r="M285" s="246">
        <v>40</v>
      </c>
      <c r="N285" s="243" t="s">
        <v>2994</v>
      </c>
      <c r="O285" s="243" t="s">
        <v>6109</v>
      </c>
      <c r="P285" s="22" t="s">
        <v>2843</v>
      </c>
      <c r="Q285" s="243" t="s">
        <v>3114</v>
      </c>
      <c r="R285" s="243" t="s">
        <v>42</v>
      </c>
      <c r="S285" s="247">
        <v>82000</v>
      </c>
      <c r="T285" s="247">
        <v>98400</v>
      </c>
      <c r="U285" s="247">
        <f t="shared" si="10"/>
        <v>16400</v>
      </c>
      <c r="V285" s="248">
        <v>90831.22</v>
      </c>
      <c r="X285" s="243" t="str">
        <f t="shared" si="11"/>
        <v>Snow Licenses</v>
      </c>
      <c r="Y285" s="243" t="s">
        <v>5793</v>
      </c>
    </row>
    <row r="286" spans="1:25" hidden="1" x14ac:dyDescent="0.25">
      <c r="A286" s="22" t="s">
        <v>2353</v>
      </c>
      <c r="C286" s="243">
        <v>68427709</v>
      </c>
      <c r="D286" s="244" t="s">
        <v>59</v>
      </c>
      <c r="E286" s="243" t="s">
        <v>60</v>
      </c>
      <c r="F286" s="243" t="s">
        <v>46</v>
      </c>
      <c r="G286" s="245"/>
      <c r="H286" s="243" t="s">
        <v>3331</v>
      </c>
      <c r="I286" s="22">
        <v>207958</v>
      </c>
      <c r="J286" s="22" t="s">
        <v>3332</v>
      </c>
      <c r="K286" s="22"/>
      <c r="L286" s="249">
        <v>5401024588</v>
      </c>
      <c r="M286" s="246">
        <v>10</v>
      </c>
      <c r="N286" s="22" t="s">
        <v>2870</v>
      </c>
      <c r="O286" s="22" t="s">
        <v>2864</v>
      </c>
      <c r="P286" s="22" t="s">
        <v>2731</v>
      </c>
      <c r="Q286" s="22" t="s">
        <v>3104</v>
      </c>
      <c r="R286" s="243" t="s">
        <v>3333</v>
      </c>
      <c r="S286" s="247">
        <v>81000</v>
      </c>
      <c r="T286" s="247">
        <v>81000</v>
      </c>
      <c r="U286" s="247">
        <f t="shared" si="10"/>
        <v>0</v>
      </c>
      <c r="V286" s="248">
        <v>78255.070000000007</v>
      </c>
      <c r="X286" s="243" t="str">
        <f t="shared" si="11"/>
        <v>Garvis</v>
      </c>
      <c r="Y286" s="243" t="s">
        <v>5794</v>
      </c>
    </row>
    <row r="287" spans="1:25" hidden="1" x14ac:dyDescent="0.25">
      <c r="A287" s="243" t="s">
        <v>667</v>
      </c>
      <c r="B287" s="243" t="s">
        <v>3143</v>
      </c>
      <c r="C287" s="243">
        <v>68427709</v>
      </c>
      <c r="D287" s="244" t="s">
        <v>59</v>
      </c>
      <c r="E287" s="243" t="s">
        <v>60</v>
      </c>
      <c r="F287" s="243" t="s">
        <v>46</v>
      </c>
      <c r="G287" s="245" t="s">
        <v>3144</v>
      </c>
      <c r="H287" s="243" t="s">
        <v>3373</v>
      </c>
      <c r="I287" s="243">
        <v>187516</v>
      </c>
      <c r="J287" s="243" t="s">
        <v>799</v>
      </c>
      <c r="L287" s="246">
        <v>5401023574</v>
      </c>
      <c r="M287" s="246">
        <v>10</v>
      </c>
      <c r="N287" s="243" t="s">
        <v>2870</v>
      </c>
      <c r="O287" s="243" t="s">
        <v>6109</v>
      </c>
      <c r="P287" s="22" t="s">
        <v>2510</v>
      </c>
      <c r="Q287" s="243" t="s">
        <v>3114</v>
      </c>
      <c r="R287" s="243" t="s">
        <v>3098</v>
      </c>
      <c r="S287" s="247">
        <v>80000</v>
      </c>
      <c r="T287" s="247">
        <v>80000</v>
      </c>
      <c r="U287" s="247">
        <f t="shared" si="10"/>
        <v>0</v>
      </c>
      <c r="V287" s="248">
        <v>73846.52</v>
      </c>
      <c r="X287" s="243" t="str">
        <f t="shared" si="11"/>
        <v>HP ALM</v>
      </c>
      <c r="Y287" s="243" t="s">
        <v>5794</v>
      </c>
    </row>
    <row r="288" spans="1:25" hidden="1" x14ac:dyDescent="0.25">
      <c r="A288" s="22" t="s">
        <v>2587</v>
      </c>
      <c r="C288" s="243">
        <v>68427709</v>
      </c>
      <c r="D288" s="244" t="s">
        <v>59</v>
      </c>
      <c r="E288" s="243" t="s">
        <v>60</v>
      </c>
      <c r="F288" s="92" t="s">
        <v>46</v>
      </c>
      <c r="G288" s="245"/>
      <c r="H288" s="243" t="s">
        <v>3527</v>
      </c>
      <c r="I288" s="92">
        <v>181895</v>
      </c>
      <c r="J288" s="92" t="s">
        <v>3233</v>
      </c>
      <c r="K288" s="92"/>
      <c r="L288" s="249">
        <v>5400966895</v>
      </c>
      <c r="M288" s="246">
        <v>20</v>
      </c>
      <c r="N288" s="92" t="s">
        <v>2870</v>
      </c>
      <c r="O288" s="92" t="s">
        <v>2864</v>
      </c>
      <c r="P288" s="22" t="s">
        <v>3528</v>
      </c>
      <c r="Q288" s="243" t="s">
        <v>3114</v>
      </c>
      <c r="R288" s="243" t="s">
        <v>3120</v>
      </c>
      <c r="S288" s="247">
        <v>78000</v>
      </c>
      <c r="T288" s="247">
        <v>78000</v>
      </c>
      <c r="U288" s="247">
        <f t="shared" si="10"/>
        <v>0</v>
      </c>
      <c r="V288" s="248">
        <v>75356.73</v>
      </c>
      <c r="X288" s="243" t="str">
        <f t="shared" si="11"/>
        <v>Project Link (Pega) + BIX - Markets</v>
      </c>
      <c r="Y288" s="243" t="s">
        <v>5794</v>
      </c>
    </row>
    <row r="289" spans="1:25" hidden="1" x14ac:dyDescent="0.25">
      <c r="A289" s="22" t="s">
        <v>2904</v>
      </c>
      <c r="C289" s="243">
        <v>68427709</v>
      </c>
      <c r="D289" s="244" t="s">
        <v>59</v>
      </c>
      <c r="E289" s="243" t="s">
        <v>60</v>
      </c>
      <c r="F289" s="243" t="s">
        <v>46</v>
      </c>
      <c r="G289" s="245"/>
      <c r="H289" s="243" t="s">
        <v>3414</v>
      </c>
      <c r="J289" s="22"/>
      <c r="K289" s="22"/>
      <c r="L289" s="249"/>
      <c r="M289" s="246"/>
      <c r="N289" s="92" t="s">
        <v>2870</v>
      </c>
      <c r="O289" s="92" t="s">
        <v>2864</v>
      </c>
      <c r="P289" s="22" t="s">
        <v>1819</v>
      </c>
      <c r="Q289" s="243" t="s">
        <v>3170</v>
      </c>
      <c r="R289" s="243" t="s">
        <v>3120</v>
      </c>
      <c r="S289" s="247"/>
      <c r="T289" s="247">
        <v>73000</v>
      </c>
      <c r="U289" s="247">
        <f t="shared" si="10"/>
        <v>73000</v>
      </c>
      <c r="V289" s="248">
        <v>70526.17</v>
      </c>
      <c r="X289" s="243" t="str">
        <f t="shared" si="11"/>
        <v>Jmp Statistical Discovery Llc</v>
      </c>
      <c r="Y289" s="243" t="s">
        <v>1829</v>
      </c>
    </row>
    <row r="290" spans="1:25" hidden="1" x14ac:dyDescent="0.25">
      <c r="A290" s="243" t="s">
        <v>3382</v>
      </c>
      <c r="C290" s="243">
        <v>68427709</v>
      </c>
      <c r="D290" s="244" t="s">
        <v>59</v>
      </c>
      <c r="E290" s="243" t="s">
        <v>60</v>
      </c>
      <c r="F290" s="243" t="s">
        <v>46</v>
      </c>
      <c r="G290" s="245"/>
      <c r="H290" s="254" t="s">
        <v>6152</v>
      </c>
      <c r="I290" s="243">
        <v>211753</v>
      </c>
      <c r="J290" s="243" t="s">
        <v>267</v>
      </c>
      <c r="L290" s="243">
        <v>5400976828</v>
      </c>
      <c r="M290" s="246">
        <v>20</v>
      </c>
      <c r="N290" s="22" t="s">
        <v>2870</v>
      </c>
      <c r="O290" s="22" t="s">
        <v>6109</v>
      </c>
      <c r="P290" s="22" t="s">
        <v>1984</v>
      </c>
      <c r="Q290" s="243" t="s">
        <v>3114</v>
      </c>
      <c r="R290" s="243" t="s">
        <v>3284</v>
      </c>
      <c r="S290" s="247">
        <v>70000</v>
      </c>
      <c r="T290" s="247">
        <v>70000</v>
      </c>
      <c r="U290" s="247">
        <f t="shared" si="10"/>
        <v>0</v>
      </c>
      <c r="V290" s="248">
        <v>64615.7</v>
      </c>
      <c r="X290" s="243" t="str">
        <f t="shared" si="11"/>
        <v>IBM API Management tool</v>
      </c>
      <c r="Y290" s="243" t="s">
        <v>5794</v>
      </c>
    </row>
    <row r="291" spans="1:25" hidden="1" x14ac:dyDescent="0.25">
      <c r="A291" s="22" t="s">
        <v>2793</v>
      </c>
      <c r="C291" s="243">
        <v>68427709</v>
      </c>
      <c r="D291" s="244" t="s">
        <v>59</v>
      </c>
      <c r="E291" s="243" t="s">
        <v>60</v>
      </c>
      <c r="F291" s="243" t="s">
        <v>46</v>
      </c>
      <c r="G291" s="245"/>
      <c r="H291" s="243" t="s">
        <v>3421</v>
      </c>
      <c r="J291" s="22"/>
      <c r="K291" s="22"/>
      <c r="L291" s="249"/>
      <c r="M291" s="246"/>
      <c r="N291" s="92" t="s">
        <v>2870</v>
      </c>
      <c r="O291" s="92" t="s">
        <v>2864</v>
      </c>
      <c r="P291" s="22" t="s">
        <v>2781</v>
      </c>
      <c r="Q291" s="161" t="s">
        <v>3114</v>
      </c>
      <c r="R291" s="243" t="s">
        <v>3136</v>
      </c>
      <c r="S291" s="247"/>
      <c r="T291" s="247">
        <v>70000</v>
      </c>
      <c r="U291" s="247">
        <f t="shared" si="10"/>
        <v>70000</v>
      </c>
      <c r="V291" s="248">
        <v>67627.83</v>
      </c>
      <c r="X291" s="243" t="str">
        <f t="shared" si="11"/>
        <v>Legal Privacy management tool</v>
      </c>
      <c r="Y291" s="243" t="s">
        <v>1829</v>
      </c>
    </row>
    <row r="292" spans="1:25" hidden="1" x14ac:dyDescent="0.25">
      <c r="A292" s="22" t="s">
        <v>815</v>
      </c>
      <c r="B292" s="243" t="s">
        <v>3654</v>
      </c>
      <c r="C292" s="243">
        <v>68427709</v>
      </c>
      <c r="D292" s="244" t="s">
        <v>59</v>
      </c>
      <c r="E292" s="243" t="s">
        <v>60</v>
      </c>
      <c r="F292" s="243" t="s">
        <v>46</v>
      </c>
      <c r="G292" s="245"/>
      <c r="H292" s="243" t="s">
        <v>3655</v>
      </c>
      <c r="I292" s="145">
        <v>197617</v>
      </c>
      <c r="J292" s="22" t="s">
        <v>3656</v>
      </c>
      <c r="K292" s="22"/>
      <c r="L292" s="246">
        <v>5400860691</v>
      </c>
      <c r="M292" s="246">
        <v>30</v>
      </c>
      <c r="N292" s="22" t="s">
        <v>2870</v>
      </c>
      <c r="O292" s="22" t="s">
        <v>2864</v>
      </c>
      <c r="P292" s="22" t="s">
        <v>3183</v>
      </c>
      <c r="Q292" s="243" t="s">
        <v>3170</v>
      </c>
      <c r="R292" s="243" t="s">
        <v>3120</v>
      </c>
      <c r="S292" s="247">
        <v>67000</v>
      </c>
      <c r="T292" s="247">
        <v>66000</v>
      </c>
      <c r="U292" s="247">
        <f t="shared" si="10"/>
        <v>-1000</v>
      </c>
      <c r="V292" s="248">
        <v>63763.39</v>
      </c>
      <c r="X292" s="243" t="str">
        <f t="shared" si="11"/>
        <v>Star LIMS</v>
      </c>
      <c r="Y292" s="243" t="s">
        <v>5792</v>
      </c>
    </row>
    <row r="293" spans="1:25" hidden="1" x14ac:dyDescent="0.25">
      <c r="A293" s="243" t="s">
        <v>3054</v>
      </c>
      <c r="B293" s="243" t="s">
        <v>3253</v>
      </c>
      <c r="C293" s="243">
        <v>68427709</v>
      </c>
      <c r="D293" s="244" t="s">
        <v>59</v>
      </c>
      <c r="E293" s="243" t="s">
        <v>60</v>
      </c>
      <c r="F293" s="243" t="s">
        <v>46</v>
      </c>
      <c r="G293" s="245"/>
      <c r="H293" s="243" t="s">
        <v>3254</v>
      </c>
      <c r="I293" s="243">
        <v>199582</v>
      </c>
      <c r="J293" s="22" t="s">
        <v>169</v>
      </c>
      <c r="K293" s="22"/>
      <c r="L293" s="246">
        <v>5400937409</v>
      </c>
      <c r="M293" s="246">
        <v>30</v>
      </c>
      <c r="N293" s="243" t="s">
        <v>2870</v>
      </c>
      <c r="O293" s="243" t="s">
        <v>6109</v>
      </c>
      <c r="P293" s="22" t="s">
        <v>2870</v>
      </c>
      <c r="Q293" s="243" t="s">
        <v>3114</v>
      </c>
      <c r="R293" s="243" t="s">
        <v>3098</v>
      </c>
      <c r="S293" s="247">
        <v>66000</v>
      </c>
      <c r="T293" s="247">
        <v>66000</v>
      </c>
      <c r="U293" s="247">
        <f t="shared" si="10"/>
        <v>0</v>
      </c>
      <c r="V293" s="248">
        <v>60923.38</v>
      </c>
      <c r="X293" s="243" t="str">
        <f t="shared" si="11"/>
        <v>Connector4U Pro Licenses</v>
      </c>
      <c r="Y293" s="243" t="s">
        <v>5794</v>
      </c>
    </row>
    <row r="294" spans="1:25" hidden="1" x14ac:dyDescent="0.25">
      <c r="A294" s="243" t="s">
        <v>2529</v>
      </c>
      <c r="C294" s="243">
        <v>68427709</v>
      </c>
      <c r="D294" s="244" t="s">
        <v>59</v>
      </c>
      <c r="E294" s="243" t="s">
        <v>60</v>
      </c>
      <c r="F294" s="243" t="s">
        <v>46</v>
      </c>
      <c r="G294" s="245"/>
      <c r="H294" s="243" t="s">
        <v>3135</v>
      </c>
      <c r="I294" s="22">
        <v>193714</v>
      </c>
      <c r="J294" s="22" t="s">
        <v>2529</v>
      </c>
      <c r="K294" s="22"/>
      <c r="L294" s="246"/>
      <c r="M294" s="246"/>
      <c r="N294" s="22" t="s">
        <v>2870</v>
      </c>
      <c r="O294" s="22" t="s">
        <v>2864</v>
      </c>
      <c r="P294" s="22" t="s">
        <v>2781</v>
      </c>
      <c r="Q294" s="243" t="s">
        <v>3114</v>
      </c>
      <c r="R294" s="243" t="s">
        <v>3136</v>
      </c>
      <c r="S294" s="247">
        <v>0</v>
      </c>
      <c r="T294" s="247">
        <v>65000</v>
      </c>
      <c r="U294" s="247">
        <f t="shared" si="10"/>
        <v>65000</v>
      </c>
      <c r="V294" s="248">
        <v>62797.27</v>
      </c>
      <c r="X294" s="243" t="str">
        <f t="shared" si="11"/>
        <v>AG5</v>
      </c>
      <c r="Y294" s="243" t="s">
        <v>1829</v>
      </c>
    </row>
    <row r="295" spans="1:25" hidden="1" x14ac:dyDescent="0.25">
      <c r="A295" s="22" t="s">
        <v>1626</v>
      </c>
      <c r="B295" s="243" t="s">
        <v>3448</v>
      </c>
      <c r="C295" s="243">
        <v>68427709</v>
      </c>
      <c r="D295" s="244" t="s">
        <v>59</v>
      </c>
      <c r="E295" s="243" t="s">
        <v>60</v>
      </c>
      <c r="F295" s="243" t="s">
        <v>46</v>
      </c>
      <c r="G295" s="245" t="s">
        <v>3177</v>
      </c>
      <c r="H295" s="243" t="s">
        <v>3178</v>
      </c>
      <c r="I295" s="243">
        <v>187516</v>
      </c>
      <c r="J295" s="243" t="s">
        <v>799</v>
      </c>
      <c r="M295" s="246"/>
      <c r="N295" s="22" t="s">
        <v>2410</v>
      </c>
      <c r="O295" s="22" t="s">
        <v>6109</v>
      </c>
      <c r="P295" s="22" t="s">
        <v>2410</v>
      </c>
      <c r="Q295" s="243" t="s">
        <v>3114</v>
      </c>
      <c r="R295" s="243" t="s">
        <v>3133</v>
      </c>
      <c r="S295" s="247">
        <v>60000</v>
      </c>
      <c r="T295" s="247">
        <v>60000</v>
      </c>
      <c r="U295" s="247">
        <f t="shared" si="10"/>
        <v>0</v>
      </c>
      <c r="V295" s="248">
        <v>55384.89</v>
      </c>
      <c r="X295" s="243" t="str">
        <f t="shared" si="11"/>
        <v>MICR support fee (Data protector)</v>
      </c>
      <c r="Y295" s="243" t="s">
        <v>5794</v>
      </c>
    </row>
    <row r="296" spans="1:25" hidden="1" x14ac:dyDescent="0.25">
      <c r="A296" s="22" t="s">
        <v>3676</v>
      </c>
      <c r="C296" s="243">
        <v>68427709</v>
      </c>
      <c r="D296" s="244" t="s">
        <v>59</v>
      </c>
      <c r="E296" s="243" t="s">
        <v>60</v>
      </c>
      <c r="F296" s="243" t="s">
        <v>46</v>
      </c>
      <c r="G296" s="245"/>
      <c r="H296" s="254" t="s">
        <v>6153</v>
      </c>
      <c r="J296" s="22"/>
      <c r="K296" s="22"/>
      <c r="L296" s="249"/>
      <c r="M296" s="246"/>
      <c r="N296" s="92" t="s">
        <v>2870</v>
      </c>
      <c r="O296" s="92" t="s">
        <v>2135</v>
      </c>
      <c r="P296" s="22" t="s">
        <v>2135</v>
      </c>
      <c r="Q296" s="254" t="s">
        <v>6154</v>
      </c>
      <c r="R296" s="92" t="s">
        <v>3574</v>
      </c>
      <c r="S296" s="247"/>
      <c r="T296" s="247">
        <v>60000</v>
      </c>
      <c r="U296" s="247">
        <f t="shared" si="10"/>
        <v>60000</v>
      </c>
      <c r="V296" s="248">
        <v>55560.42</v>
      </c>
      <c r="X296" s="243" t="str">
        <f t="shared" si="11"/>
        <v>Telus</v>
      </c>
      <c r="Y296" s="243" t="s">
        <v>1829</v>
      </c>
    </row>
    <row r="297" spans="1:25" hidden="1" x14ac:dyDescent="0.25">
      <c r="A297" s="92" t="s">
        <v>2475</v>
      </c>
      <c r="C297" s="243">
        <v>68427709</v>
      </c>
      <c r="D297" s="244" t="s">
        <v>59</v>
      </c>
      <c r="E297" s="243" t="s">
        <v>60</v>
      </c>
      <c r="F297" s="92" t="s">
        <v>46</v>
      </c>
      <c r="G297" s="245"/>
      <c r="H297" s="243" t="s">
        <v>3552</v>
      </c>
      <c r="I297" s="92">
        <v>205988</v>
      </c>
      <c r="J297" s="92" t="s">
        <v>3553</v>
      </c>
      <c r="K297" s="92"/>
      <c r="L297" s="243">
        <v>5401017893</v>
      </c>
      <c r="M297" s="246">
        <v>10</v>
      </c>
      <c r="N297" s="92" t="s">
        <v>2870</v>
      </c>
      <c r="O297" s="92" t="s">
        <v>2864</v>
      </c>
      <c r="P297" s="92" t="s">
        <v>3183</v>
      </c>
      <c r="Q297" s="243" t="s">
        <v>3170</v>
      </c>
      <c r="R297" s="243" t="s">
        <v>3120</v>
      </c>
      <c r="S297" s="247">
        <v>52000</v>
      </c>
      <c r="T297" s="247">
        <v>57400</v>
      </c>
      <c r="U297" s="247">
        <f t="shared" si="10"/>
        <v>5400</v>
      </c>
      <c r="V297" s="248">
        <v>55454.82</v>
      </c>
      <c r="X297" s="243" t="str">
        <f t="shared" si="11"/>
        <v>Safefood 360</v>
      </c>
      <c r="Y297" s="243" t="s">
        <v>5793</v>
      </c>
    </row>
    <row r="298" spans="1:25" hidden="1" x14ac:dyDescent="0.25">
      <c r="A298" s="22" t="s">
        <v>3476</v>
      </c>
      <c r="C298" s="243">
        <v>68427709</v>
      </c>
      <c r="D298" s="244" t="s">
        <v>59</v>
      </c>
      <c r="E298" s="243" t="s">
        <v>60</v>
      </c>
      <c r="F298" s="92" t="s">
        <v>46</v>
      </c>
      <c r="G298" s="245"/>
      <c r="H298" s="243" t="s">
        <v>3477</v>
      </c>
      <c r="I298" s="92"/>
      <c r="J298" s="92"/>
      <c r="K298" s="92"/>
      <c r="L298" s="249"/>
      <c r="M298" s="246"/>
      <c r="N298" s="92" t="s">
        <v>2870</v>
      </c>
      <c r="O298" s="92" t="s">
        <v>2500</v>
      </c>
      <c r="P298" s="22" t="s">
        <v>2500</v>
      </c>
      <c r="Q298" s="243" t="s">
        <v>3114</v>
      </c>
      <c r="R298" s="243" t="s">
        <v>517</v>
      </c>
      <c r="S298" s="247">
        <v>56200</v>
      </c>
      <c r="T298" s="247">
        <v>56200</v>
      </c>
      <c r="U298" s="247">
        <f t="shared" si="10"/>
        <v>0</v>
      </c>
      <c r="V298" s="248">
        <v>48305.21</v>
      </c>
      <c r="X298" s="243" t="str">
        <f t="shared" si="11"/>
        <v>Onetrust</v>
      </c>
      <c r="Y298" s="243" t="s">
        <v>5794</v>
      </c>
    </row>
    <row r="299" spans="1:25" hidden="1" x14ac:dyDescent="0.25">
      <c r="A299" s="22" t="s">
        <v>3363</v>
      </c>
      <c r="C299" s="243">
        <v>68427709</v>
      </c>
      <c r="D299" s="244" t="s">
        <v>59</v>
      </c>
      <c r="E299" s="243" t="s">
        <v>60</v>
      </c>
      <c r="F299" s="92" t="s">
        <v>46</v>
      </c>
      <c r="G299" s="245"/>
      <c r="H299" s="243" t="s">
        <v>3174</v>
      </c>
      <c r="I299" s="170">
        <v>197254</v>
      </c>
      <c r="J299" s="170" t="s">
        <v>167</v>
      </c>
      <c r="K299" s="170"/>
      <c r="L299" s="246">
        <v>5401044163</v>
      </c>
      <c r="M299" s="246"/>
      <c r="N299" s="92" t="s">
        <v>2870</v>
      </c>
      <c r="O299" s="92" t="s">
        <v>2500</v>
      </c>
      <c r="P299" s="22" t="s">
        <v>2500</v>
      </c>
      <c r="Q299" s="243" t="s">
        <v>3114</v>
      </c>
      <c r="R299" s="243" t="s">
        <v>3175</v>
      </c>
      <c r="S299" s="247">
        <v>56200</v>
      </c>
      <c r="T299" s="247">
        <v>56200</v>
      </c>
      <c r="U299" s="247">
        <f t="shared" si="10"/>
        <v>0</v>
      </c>
      <c r="V299" s="248">
        <v>48305.21</v>
      </c>
      <c r="X299" s="243" t="str">
        <f t="shared" si="11"/>
        <v>Google Analytics /GTM contract</v>
      </c>
      <c r="Y299" s="243" t="s">
        <v>5794</v>
      </c>
    </row>
    <row r="300" spans="1:25" hidden="1" x14ac:dyDescent="0.25">
      <c r="A300" s="243" t="s">
        <v>3142</v>
      </c>
      <c r="C300" s="243">
        <v>68427709</v>
      </c>
      <c r="D300" s="244" t="s">
        <v>59</v>
      </c>
      <c r="E300" s="243" t="s">
        <v>60</v>
      </c>
      <c r="F300" s="243" t="s">
        <v>46</v>
      </c>
      <c r="G300" s="245" t="s">
        <v>3144</v>
      </c>
      <c r="H300" s="243" t="s">
        <v>3145</v>
      </c>
      <c r="I300" s="243">
        <v>187516</v>
      </c>
      <c r="J300" s="243" t="s">
        <v>799</v>
      </c>
      <c r="L300" s="246">
        <v>5401023574</v>
      </c>
      <c r="M300" s="246">
        <v>10</v>
      </c>
      <c r="N300" s="22" t="s">
        <v>2870</v>
      </c>
      <c r="O300" s="22" t="s">
        <v>6109</v>
      </c>
      <c r="P300" s="22" t="s">
        <v>2510</v>
      </c>
      <c r="Q300" s="243" t="s">
        <v>3114</v>
      </c>
      <c r="R300" s="243" t="s">
        <v>3098</v>
      </c>
      <c r="S300" s="247">
        <v>50000</v>
      </c>
      <c r="T300" s="247">
        <v>50000</v>
      </c>
      <c r="U300" s="247">
        <f t="shared" si="10"/>
        <v>0</v>
      </c>
      <c r="V300" s="248">
        <v>46154.07</v>
      </c>
      <c r="X300" s="243" t="str">
        <f t="shared" si="11"/>
        <v>ALM Octane</v>
      </c>
      <c r="Y300" s="243" t="s">
        <v>5794</v>
      </c>
    </row>
    <row r="301" spans="1:25" hidden="1" x14ac:dyDescent="0.25">
      <c r="A301" s="243" t="s">
        <v>1105</v>
      </c>
      <c r="C301" s="243">
        <v>68427709</v>
      </c>
      <c r="D301" s="244" t="s">
        <v>59</v>
      </c>
      <c r="E301" s="243" t="s">
        <v>60</v>
      </c>
      <c r="F301" s="243" t="s">
        <v>46</v>
      </c>
      <c r="G301" s="245"/>
      <c r="H301" s="243" t="s">
        <v>3464</v>
      </c>
      <c r="I301" s="243">
        <v>123087</v>
      </c>
      <c r="J301" s="243" t="s">
        <v>3465</v>
      </c>
      <c r="L301" s="246">
        <v>5400938327</v>
      </c>
      <c r="M301" s="246">
        <v>20</v>
      </c>
      <c r="N301" s="243" t="s">
        <v>2870</v>
      </c>
      <c r="O301" s="243" t="s">
        <v>2864</v>
      </c>
      <c r="P301" s="22" t="s">
        <v>3183</v>
      </c>
      <c r="Q301" s="243" t="s">
        <v>3114</v>
      </c>
      <c r="R301" s="243" t="s">
        <v>3125</v>
      </c>
      <c r="S301" s="247">
        <v>50000</v>
      </c>
      <c r="T301" s="247">
        <v>50000</v>
      </c>
      <c r="U301" s="247">
        <f t="shared" si="10"/>
        <v>0</v>
      </c>
      <c r="V301" s="248">
        <v>48305.599999999999</v>
      </c>
      <c r="X301" s="243" t="str">
        <f t="shared" si="11"/>
        <v>Minitab</v>
      </c>
      <c r="Y301" s="243" t="s">
        <v>5794</v>
      </c>
    </row>
    <row r="302" spans="1:25" hidden="1" x14ac:dyDescent="0.25">
      <c r="A302" s="92" t="s">
        <v>3193</v>
      </c>
      <c r="C302" s="243">
        <v>68427709</v>
      </c>
      <c r="D302" s="244" t="s">
        <v>59</v>
      </c>
      <c r="E302" s="243" t="s">
        <v>60</v>
      </c>
      <c r="F302" s="92" t="s">
        <v>46</v>
      </c>
      <c r="G302" s="245"/>
      <c r="H302" s="243" t="s">
        <v>3192</v>
      </c>
      <c r="I302" s="243">
        <v>193317</v>
      </c>
      <c r="J302" s="22" t="s">
        <v>161</v>
      </c>
      <c r="K302" s="22"/>
      <c r="L302" s="259">
        <v>5401023809</v>
      </c>
      <c r="M302" s="246">
        <v>10</v>
      </c>
      <c r="N302" s="92" t="s">
        <v>2870</v>
      </c>
      <c r="O302" s="92" t="s">
        <v>2864</v>
      </c>
      <c r="P302" s="92" t="s">
        <v>3195</v>
      </c>
      <c r="Q302" s="243" t="s">
        <v>3124</v>
      </c>
      <c r="R302" s="243" t="s">
        <v>3125</v>
      </c>
      <c r="S302" s="247">
        <v>50000</v>
      </c>
      <c r="T302" s="247">
        <v>50000</v>
      </c>
      <c r="U302" s="247">
        <f t="shared" si="10"/>
        <v>0</v>
      </c>
      <c r="V302" s="248">
        <v>48305.599999999999</v>
      </c>
      <c r="X302" s="243" t="str">
        <f t="shared" si="11"/>
        <v>Aveva - template maintenance</v>
      </c>
      <c r="Y302" s="243" t="s">
        <v>5794</v>
      </c>
    </row>
    <row r="303" spans="1:25" hidden="1" x14ac:dyDescent="0.25">
      <c r="A303" s="243" t="s">
        <v>1477</v>
      </c>
      <c r="C303" s="243">
        <v>68427709</v>
      </c>
      <c r="D303" s="244" t="s">
        <v>59</v>
      </c>
      <c r="E303" s="243" t="s">
        <v>60</v>
      </c>
      <c r="F303" s="243" t="s">
        <v>46</v>
      </c>
      <c r="G303" s="245"/>
      <c r="H303" s="243" t="s">
        <v>3228</v>
      </c>
      <c r="I303" s="243">
        <v>143600</v>
      </c>
      <c r="J303" s="92" t="s">
        <v>6155</v>
      </c>
      <c r="K303" s="92"/>
      <c r="L303" s="243">
        <v>5400978055</v>
      </c>
      <c r="M303" s="246">
        <v>20</v>
      </c>
      <c r="N303" s="22" t="s">
        <v>2870</v>
      </c>
      <c r="O303" s="22" t="s">
        <v>2864</v>
      </c>
      <c r="P303" s="22" t="s">
        <v>1479</v>
      </c>
      <c r="Q303" s="243" t="s">
        <v>3170</v>
      </c>
      <c r="R303" s="243" t="s">
        <v>3230</v>
      </c>
      <c r="S303" s="247">
        <v>45000</v>
      </c>
      <c r="T303" s="247">
        <v>45000</v>
      </c>
      <c r="U303" s="247">
        <f t="shared" si="10"/>
        <v>0</v>
      </c>
      <c r="V303" s="248">
        <v>43475.040000000001</v>
      </c>
      <c r="X303" s="243" t="str">
        <f t="shared" si="11"/>
        <v>Coffee &amp; Tea Sourcing tool Cargoo</v>
      </c>
      <c r="Y303" s="243" t="s">
        <v>5794</v>
      </c>
    </row>
    <row r="304" spans="1:25" hidden="1" x14ac:dyDescent="0.25">
      <c r="A304" s="22" t="s">
        <v>808</v>
      </c>
      <c r="B304" s="243" t="s">
        <v>3702</v>
      </c>
      <c r="C304" s="243">
        <v>68427709</v>
      </c>
      <c r="D304" s="244" t="s">
        <v>59</v>
      </c>
      <c r="E304" s="243" t="s">
        <v>60</v>
      </c>
      <c r="F304" s="243" t="s">
        <v>46</v>
      </c>
      <c r="G304" s="245"/>
      <c r="H304" s="243" t="s">
        <v>3703</v>
      </c>
      <c r="I304" s="22">
        <v>197331</v>
      </c>
      <c r="J304" s="22" t="s">
        <v>810</v>
      </c>
      <c r="K304" s="22"/>
      <c r="L304" s="249">
        <v>5401018982</v>
      </c>
      <c r="M304" s="246">
        <v>20</v>
      </c>
      <c r="N304" s="22" t="s">
        <v>2870</v>
      </c>
      <c r="O304" s="22" t="s">
        <v>2864</v>
      </c>
      <c r="P304" s="22" t="s">
        <v>3244</v>
      </c>
      <c r="Q304" s="243" t="s">
        <v>3114</v>
      </c>
      <c r="R304" s="243" t="s">
        <v>3136</v>
      </c>
      <c r="S304" s="247">
        <v>240000</v>
      </c>
      <c r="T304" s="247">
        <v>40000</v>
      </c>
      <c r="U304" s="247">
        <f t="shared" si="10"/>
        <v>-200000</v>
      </c>
      <c r="V304" s="248">
        <v>38644.480000000003</v>
      </c>
      <c r="X304" s="243" t="str">
        <f t="shared" si="11"/>
        <v>Workplace Licenses</v>
      </c>
      <c r="Y304" s="243" t="s">
        <v>5792</v>
      </c>
    </row>
    <row r="305" spans="1:25" hidden="1" x14ac:dyDescent="0.25">
      <c r="A305" s="243" t="s">
        <v>3059</v>
      </c>
      <c r="C305" s="243">
        <v>68427709</v>
      </c>
      <c r="D305" s="244" t="s">
        <v>59</v>
      </c>
      <c r="E305" s="243" t="s">
        <v>60</v>
      </c>
      <c r="F305" s="243" t="s">
        <v>46</v>
      </c>
      <c r="G305" s="245" t="s">
        <v>3144</v>
      </c>
      <c r="H305" s="243" t="s">
        <v>3506</v>
      </c>
      <c r="I305" s="243">
        <v>199582</v>
      </c>
      <c r="J305" s="22" t="s">
        <v>169</v>
      </c>
      <c r="K305" s="22"/>
      <c r="L305" s="246">
        <v>5401023531</v>
      </c>
      <c r="M305" s="246">
        <v>10</v>
      </c>
      <c r="N305" s="22" t="s">
        <v>2870</v>
      </c>
      <c r="O305" s="22" t="s">
        <v>6109</v>
      </c>
      <c r="P305" s="22" t="s">
        <v>2870</v>
      </c>
      <c r="Q305" s="243" t="s">
        <v>3114</v>
      </c>
      <c r="R305" s="243" t="s">
        <v>3098</v>
      </c>
      <c r="S305" s="247">
        <v>40000</v>
      </c>
      <c r="T305" s="247">
        <v>40000</v>
      </c>
      <c r="U305" s="247">
        <f t="shared" si="10"/>
        <v>0</v>
      </c>
      <c r="V305" s="248">
        <v>36923.26</v>
      </c>
      <c r="X305" s="243" t="str">
        <f t="shared" si="11"/>
        <v>Plat4mation Enhancement budget</v>
      </c>
      <c r="Y305" s="243" t="s">
        <v>5794</v>
      </c>
    </row>
    <row r="306" spans="1:25" hidden="1" x14ac:dyDescent="0.25">
      <c r="A306" s="92" t="s">
        <v>3319</v>
      </c>
      <c r="C306" s="243">
        <v>68427709</v>
      </c>
      <c r="D306" s="244" t="s">
        <v>59</v>
      </c>
      <c r="E306" s="243" t="s">
        <v>60</v>
      </c>
      <c r="F306" s="92" t="s">
        <v>46</v>
      </c>
      <c r="G306" s="245"/>
      <c r="H306" s="243" t="s">
        <v>3321</v>
      </c>
      <c r="J306" s="92"/>
      <c r="K306" s="92"/>
      <c r="L306" s="246"/>
      <c r="M306" s="246"/>
      <c r="N306" s="92" t="s">
        <v>2870</v>
      </c>
      <c r="O306" s="92" t="s">
        <v>2864</v>
      </c>
      <c r="P306" s="92" t="s">
        <v>3195</v>
      </c>
      <c r="Q306" s="253" t="s">
        <v>3124</v>
      </c>
      <c r="R306" s="243" t="s">
        <v>3125</v>
      </c>
      <c r="S306" s="247">
        <v>40000</v>
      </c>
      <c r="T306" s="247">
        <v>40000</v>
      </c>
      <c r="U306" s="247">
        <f t="shared" si="10"/>
        <v>0</v>
      </c>
      <c r="V306" s="248">
        <v>38644.480000000003</v>
      </c>
      <c r="X306" s="243" t="str">
        <f t="shared" si="11"/>
        <v>Error Proof Loading (EPL)</v>
      </c>
      <c r="Y306" s="243" t="s">
        <v>5794</v>
      </c>
    </row>
    <row r="307" spans="1:25" hidden="1" x14ac:dyDescent="0.25">
      <c r="A307" s="22" t="s">
        <v>3514</v>
      </c>
      <c r="B307" s="243" t="s">
        <v>3515</v>
      </c>
      <c r="C307" s="243">
        <v>68427709</v>
      </c>
      <c r="D307" s="244" t="s">
        <v>59</v>
      </c>
      <c r="E307" s="243" t="s">
        <v>60</v>
      </c>
      <c r="F307" s="243" t="s">
        <v>46</v>
      </c>
      <c r="G307" s="245"/>
      <c r="H307" s="243" t="s">
        <v>2280</v>
      </c>
      <c r="I307" s="145">
        <v>172149</v>
      </c>
      <c r="J307" s="22" t="s">
        <v>219</v>
      </c>
      <c r="K307" s="22"/>
      <c r="L307" s="249">
        <v>5401024372</v>
      </c>
      <c r="M307" s="246">
        <v>10</v>
      </c>
      <c r="N307" s="22" t="s">
        <v>2870</v>
      </c>
      <c r="O307" s="22" t="s">
        <v>2864</v>
      </c>
      <c r="P307" s="22" t="s">
        <v>1819</v>
      </c>
      <c r="Q307" s="253" t="s">
        <v>3124</v>
      </c>
      <c r="R307" s="243" t="s">
        <v>3125</v>
      </c>
      <c r="S307" s="247">
        <v>39000</v>
      </c>
      <c r="T307" s="247">
        <v>39000</v>
      </c>
      <c r="U307" s="247">
        <f t="shared" si="10"/>
        <v>0</v>
      </c>
      <c r="V307" s="248">
        <v>37678.36</v>
      </c>
      <c r="X307" s="243" t="str">
        <f t="shared" si="11"/>
        <v>Point.X Licenses</v>
      </c>
      <c r="Y307" s="243" t="s">
        <v>5794</v>
      </c>
    </row>
    <row r="308" spans="1:25" hidden="1" x14ac:dyDescent="0.25">
      <c r="A308" s="22" t="s">
        <v>3664</v>
      </c>
      <c r="B308" s="243" t="s">
        <v>3661</v>
      </c>
      <c r="C308" s="243">
        <v>68427709</v>
      </c>
      <c r="D308" s="244" t="s">
        <v>59</v>
      </c>
      <c r="E308" s="22" t="s">
        <v>60</v>
      </c>
      <c r="F308" s="22" t="s">
        <v>46</v>
      </c>
      <c r="G308" s="245"/>
      <c r="H308" s="243" t="s">
        <v>3662</v>
      </c>
      <c r="I308" s="22">
        <v>127376</v>
      </c>
      <c r="J308" s="22" t="s">
        <v>3663</v>
      </c>
      <c r="K308" s="22"/>
      <c r="L308" s="24">
        <v>5401006905</v>
      </c>
      <c r="M308" s="24">
        <v>10</v>
      </c>
      <c r="N308" s="22" t="s">
        <v>2870</v>
      </c>
      <c r="O308" s="22" t="s">
        <v>2864</v>
      </c>
      <c r="P308" s="22" t="s">
        <v>1479</v>
      </c>
      <c r="Q308" s="22" t="s">
        <v>3104</v>
      </c>
      <c r="R308" s="22" t="s">
        <v>3230</v>
      </c>
      <c r="S308" s="247">
        <v>36000</v>
      </c>
      <c r="T308" s="247">
        <v>36000</v>
      </c>
      <c r="U308" s="247">
        <f t="shared" si="10"/>
        <v>0</v>
      </c>
      <c r="V308" s="248">
        <v>34780.03</v>
      </c>
      <c r="X308" s="243" t="str">
        <f t="shared" si="11"/>
        <v>SUMI Technical SLA</v>
      </c>
      <c r="Y308" s="243" t="s">
        <v>5794</v>
      </c>
    </row>
    <row r="309" spans="1:25" hidden="1" x14ac:dyDescent="0.25">
      <c r="A309" s="243" t="s">
        <v>1387</v>
      </c>
      <c r="C309" s="243">
        <v>68427709</v>
      </c>
      <c r="D309" s="244" t="s">
        <v>59</v>
      </c>
      <c r="E309" s="243" t="s">
        <v>60</v>
      </c>
      <c r="F309" s="243" t="s">
        <v>46</v>
      </c>
      <c r="G309" s="245" t="s">
        <v>3144</v>
      </c>
      <c r="H309" s="243" t="s">
        <v>3517</v>
      </c>
      <c r="I309" s="243">
        <v>203475</v>
      </c>
      <c r="J309" s="22" t="s">
        <v>1387</v>
      </c>
      <c r="K309" s="22"/>
      <c r="L309" s="246">
        <v>5401030696</v>
      </c>
      <c r="M309" s="246">
        <v>10</v>
      </c>
      <c r="N309" s="22" t="s">
        <v>2870</v>
      </c>
      <c r="O309" s="22" t="s">
        <v>6109</v>
      </c>
      <c r="P309" s="22" t="s">
        <v>2510</v>
      </c>
      <c r="Q309" s="243" t="s">
        <v>3114</v>
      </c>
      <c r="R309" s="243" t="s">
        <v>3098</v>
      </c>
      <c r="S309" s="247">
        <v>35000</v>
      </c>
      <c r="T309" s="247">
        <v>35000</v>
      </c>
      <c r="U309" s="247">
        <f t="shared" si="10"/>
        <v>0</v>
      </c>
      <c r="V309" s="248">
        <v>32307.85</v>
      </c>
      <c r="X309" s="243" t="str">
        <f t="shared" si="11"/>
        <v>Practitest</v>
      </c>
      <c r="Y309" s="243" t="s">
        <v>5794</v>
      </c>
    </row>
    <row r="310" spans="1:25" hidden="1" x14ac:dyDescent="0.25">
      <c r="A310" s="92" t="s">
        <v>2538</v>
      </c>
      <c r="C310" s="243">
        <v>68427709</v>
      </c>
      <c r="D310" s="244" t="s">
        <v>59</v>
      </c>
      <c r="E310" s="243" t="s">
        <v>60</v>
      </c>
      <c r="F310" s="243" t="s">
        <v>46</v>
      </c>
      <c r="G310" s="245"/>
      <c r="H310" s="243" t="s">
        <v>3535</v>
      </c>
      <c r="I310" s="243">
        <v>204075</v>
      </c>
      <c r="J310" s="243" t="s">
        <v>171</v>
      </c>
      <c r="L310" s="243">
        <v>5401030709</v>
      </c>
      <c r="M310" s="246">
        <v>10</v>
      </c>
      <c r="N310" s="22" t="s">
        <v>2870</v>
      </c>
      <c r="O310" s="22" t="s">
        <v>2864</v>
      </c>
      <c r="P310" s="22" t="s">
        <v>2781</v>
      </c>
      <c r="Q310" s="243" t="s">
        <v>3114</v>
      </c>
      <c r="R310" s="243" t="s">
        <v>3136</v>
      </c>
      <c r="S310" s="247">
        <v>35000</v>
      </c>
      <c r="T310" s="247">
        <v>35000</v>
      </c>
      <c r="U310" s="247">
        <f t="shared" ref="U310:U373" si="12">T310-S310</f>
        <v>0</v>
      </c>
      <c r="V310" s="248">
        <v>33813.919999999998</v>
      </c>
      <c r="X310" s="243" t="str">
        <f t="shared" si="11"/>
        <v>Qualtrics licences</v>
      </c>
      <c r="Y310" s="243" t="s">
        <v>5794</v>
      </c>
    </row>
    <row r="311" spans="1:25" hidden="1" x14ac:dyDescent="0.25">
      <c r="A311" s="22" t="s">
        <v>3374</v>
      </c>
      <c r="C311" s="243">
        <v>68427709</v>
      </c>
      <c r="D311" s="244" t="s">
        <v>59</v>
      </c>
      <c r="E311" s="243" t="s">
        <v>60</v>
      </c>
      <c r="F311" s="243" t="s">
        <v>46</v>
      </c>
      <c r="G311" s="245"/>
      <c r="H311" s="243" t="s">
        <v>3376</v>
      </c>
      <c r="J311" s="22"/>
      <c r="K311" s="22"/>
      <c r="L311" s="249"/>
      <c r="M311" s="246"/>
      <c r="N311" s="92" t="s">
        <v>2870</v>
      </c>
      <c r="O311" s="92" t="s">
        <v>2864</v>
      </c>
      <c r="P311" s="22" t="s">
        <v>2781</v>
      </c>
      <c r="Q311" s="161" t="s">
        <v>3114</v>
      </c>
      <c r="R311" s="243" t="s">
        <v>3136</v>
      </c>
      <c r="S311" s="247"/>
      <c r="T311" s="247">
        <v>35000</v>
      </c>
      <c r="U311" s="247">
        <f t="shared" si="12"/>
        <v>35000</v>
      </c>
      <c r="V311" s="248">
        <v>33813.919999999998</v>
      </c>
      <c r="X311" s="243" t="str">
        <f t="shared" si="11"/>
        <v>HURIS Doc managemnt</v>
      </c>
      <c r="Y311" s="243" t="s">
        <v>1829</v>
      </c>
    </row>
    <row r="312" spans="1:25" hidden="1" x14ac:dyDescent="0.25">
      <c r="A312" s="22" t="s">
        <v>1925</v>
      </c>
      <c r="C312" s="243">
        <v>68427709</v>
      </c>
      <c r="D312" s="244" t="s">
        <v>59</v>
      </c>
      <c r="E312" s="243" t="s">
        <v>60</v>
      </c>
      <c r="F312" s="92" t="s">
        <v>46</v>
      </c>
      <c r="G312" s="245"/>
      <c r="H312" s="243" t="s">
        <v>2225</v>
      </c>
      <c r="I312" s="243">
        <v>167422</v>
      </c>
      <c r="J312" s="243" t="s">
        <v>3219</v>
      </c>
      <c r="L312" s="246">
        <v>5401017907</v>
      </c>
      <c r="M312" s="246">
        <v>10</v>
      </c>
      <c r="N312" s="22" t="s">
        <v>2870</v>
      </c>
      <c r="O312" s="22" t="s">
        <v>2864</v>
      </c>
      <c r="P312" s="22" t="s">
        <v>3183</v>
      </c>
      <c r="Q312" s="243" t="s">
        <v>3170</v>
      </c>
      <c r="R312" s="243" t="s">
        <v>3120</v>
      </c>
      <c r="S312" s="247">
        <v>30000</v>
      </c>
      <c r="T312" s="247">
        <v>33000</v>
      </c>
      <c r="U312" s="247">
        <f t="shared" si="12"/>
        <v>3000</v>
      </c>
      <c r="V312" s="248">
        <v>31881.69</v>
      </c>
      <c r="X312" s="243" t="str">
        <f t="shared" si="11"/>
        <v>Capepack</v>
      </c>
      <c r="Y312" s="243" t="s">
        <v>5793</v>
      </c>
    </row>
    <row r="313" spans="1:25" hidden="1" x14ac:dyDescent="0.25">
      <c r="A313" s="22" t="s">
        <v>2474</v>
      </c>
      <c r="B313" s="243" t="s">
        <v>3323</v>
      </c>
      <c r="C313" s="243">
        <v>68427709</v>
      </c>
      <c r="D313" s="244" t="s">
        <v>59</v>
      </c>
      <c r="E313" s="22" t="s">
        <v>60</v>
      </c>
      <c r="F313" s="22" t="s">
        <v>46</v>
      </c>
      <c r="G313" s="245"/>
      <c r="H313" s="243" t="s">
        <v>3324</v>
      </c>
      <c r="I313" s="22">
        <v>156247</v>
      </c>
      <c r="J313" s="22" t="s">
        <v>3325</v>
      </c>
      <c r="K313" s="22"/>
      <c r="L313" s="24">
        <v>5401004143</v>
      </c>
      <c r="M313" s="24">
        <v>10</v>
      </c>
      <c r="N313" s="22" t="s">
        <v>2870</v>
      </c>
      <c r="O313" s="22" t="s">
        <v>2864</v>
      </c>
      <c r="P313" s="22" t="s">
        <v>423</v>
      </c>
      <c r="Q313" s="218" t="s">
        <v>3170</v>
      </c>
      <c r="R313" s="22" t="s">
        <v>3120</v>
      </c>
      <c r="S313" s="247">
        <v>33000</v>
      </c>
      <c r="T313" s="247">
        <v>33000</v>
      </c>
      <c r="U313" s="247">
        <f t="shared" si="12"/>
        <v>0</v>
      </c>
      <c r="V313" s="248">
        <v>31881.69</v>
      </c>
      <c r="X313" s="243" t="str">
        <f t="shared" si="11"/>
        <v>EyeQuestion SAAS</v>
      </c>
      <c r="Y313" s="243" t="s">
        <v>5794</v>
      </c>
    </row>
    <row r="314" spans="1:25" hidden="1" x14ac:dyDescent="0.25">
      <c r="A314" s="243" t="s">
        <v>3426</v>
      </c>
      <c r="C314" s="243">
        <v>68427709</v>
      </c>
      <c r="D314" s="244" t="s">
        <v>59</v>
      </c>
      <c r="E314" s="243" t="s">
        <v>60</v>
      </c>
      <c r="F314" s="243" t="s">
        <v>46</v>
      </c>
      <c r="G314" s="245"/>
      <c r="H314" s="243" t="s">
        <v>3428</v>
      </c>
      <c r="I314" s="243">
        <v>204439</v>
      </c>
      <c r="J314" s="22" t="s">
        <v>3429</v>
      </c>
      <c r="K314" s="22"/>
      <c r="L314" s="246">
        <v>5401011379</v>
      </c>
      <c r="M314" s="246">
        <v>10</v>
      </c>
      <c r="N314" s="22" t="s">
        <v>2870</v>
      </c>
      <c r="O314" s="22" t="s">
        <v>2500</v>
      </c>
      <c r="P314" s="22" t="s">
        <v>2500</v>
      </c>
      <c r="Q314" s="243" t="s">
        <v>3170</v>
      </c>
      <c r="R314" s="243" t="s">
        <v>517</v>
      </c>
      <c r="S314" s="247">
        <v>32000</v>
      </c>
      <c r="T314" s="247">
        <v>32000</v>
      </c>
      <c r="U314" s="247">
        <f t="shared" si="12"/>
        <v>0</v>
      </c>
      <c r="V314" s="248">
        <v>27504.74</v>
      </c>
      <c r="X314" s="243" t="str">
        <f t="shared" si="11"/>
        <v>Loqate</v>
      </c>
      <c r="Y314" s="243" t="s">
        <v>5794</v>
      </c>
    </row>
    <row r="315" spans="1:25" hidden="1" x14ac:dyDescent="0.25">
      <c r="A315" s="22" t="s">
        <v>3540</v>
      </c>
      <c r="C315" s="243">
        <v>68427709</v>
      </c>
      <c r="D315" s="244" t="s">
        <v>59</v>
      </c>
      <c r="E315" s="243" t="s">
        <v>60</v>
      </c>
      <c r="F315" s="243" t="s">
        <v>46</v>
      </c>
      <c r="G315" s="245"/>
      <c r="H315" s="22" t="s">
        <v>3542</v>
      </c>
      <c r="I315" s="22">
        <v>166010</v>
      </c>
      <c r="J315" s="22" t="s">
        <v>207</v>
      </c>
      <c r="K315" s="22"/>
      <c r="L315" s="246">
        <v>5400986623</v>
      </c>
      <c r="M315" s="246">
        <v>20</v>
      </c>
      <c r="N315" s="22" t="s">
        <v>2870</v>
      </c>
      <c r="O315" s="22" t="s">
        <v>2864</v>
      </c>
      <c r="P315" s="22" t="s">
        <v>1479</v>
      </c>
      <c r="Q315" s="243" t="s">
        <v>3114</v>
      </c>
      <c r="R315" s="243" t="s">
        <v>3136</v>
      </c>
      <c r="S315" s="247">
        <v>30500</v>
      </c>
      <c r="T315" s="247">
        <v>30500</v>
      </c>
      <c r="U315" s="247">
        <f t="shared" si="12"/>
        <v>0</v>
      </c>
      <c r="V315" s="248">
        <v>29466.41</v>
      </c>
      <c r="X315" s="243" t="str">
        <f t="shared" si="11"/>
        <v>Refinitiv</v>
      </c>
      <c r="Y315" s="243" t="s">
        <v>5794</v>
      </c>
    </row>
    <row r="316" spans="1:25" hidden="1" x14ac:dyDescent="0.25">
      <c r="A316" s="22" t="s">
        <v>2463</v>
      </c>
      <c r="C316" s="243">
        <v>68427709</v>
      </c>
      <c r="D316" s="244" t="s">
        <v>59</v>
      </c>
      <c r="E316" s="243" t="s">
        <v>60</v>
      </c>
      <c r="F316" s="243" t="s">
        <v>46</v>
      </c>
      <c r="G316" s="245"/>
      <c r="H316" s="243" t="s">
        <v>3291</v>
      </c>
      <c r="I316" s="243">
        <v>210633</v>
      </c>
      <c r="J316" s="92" t="s">
        <v>3292</v>
      </c>
      <c r="K316" s="92"/>
      <c r="L316" s="243">
        <v>5400945790</v>
      </c>
      <c r="M316" s="246">
        <v>20</v>
      </c>
      <c r="N316" s="22" t="s">
        <v>2870</v>
      </c>
      <c r="O316" s="22" t="s">
        <v>2864</v>
      </c>
      <c r="P316" s="22" t="s">
        <v>3195</v>
      </c>
      <c r="Q316" s="253" t="s">
        <v>3124</v>
      </c>
      <c r="R316" s="243" t="s">
        <v>3125</v>
      </c>
      <c r="S316" s="247">
        <v>26000</v>
      </c>
      <c r="T316" s="247">
        <v>30000</v>
      </c>
      <c r="U316" s="247">
        <f t="shared" si="12"/>
        <v>4000</v>
      </c>
      <c r="V316" s="248">
        <v>28983.360000000001</v>
      </c>
      <c r="X316" s="243" t="str">
        <f t="shared" si="11"/>
        <v>Digital MOS SHE Module</v>
      </c>
      <c r="Y316" s="243" t="s">
        <v>5793</v>
      </c>
    </row>
    <row r="317" spans="1:25" hidden="1" x14ac:dyDescent="0.25">
      <c r="A317" s="92" t="s">
        <v>2628</v>
      </c>
      <c r="B317" s="243" t="s">
        <v>3112</v>
      </c>
      <c r="C317" s="243">
        <v>68427709</v>
      </c>
      <c r="D317" s="96" t="s">
        <v>59</v>
      </c>
      <c r="E317" s="92" t="s">
        <v>60</v>
      </c>
      <c r="F317" s="92" t="s">
        <v>46</v>
      </c>
      <c r="G317" s="245"/>
      <c r="H317" s="243" t="s">
        <v>3113</v>
      </c>
      <c r="I317" s="92">
        <v>118054</v>
      </c>
      <c r="J317" s="92" t="s">
        <v>1096</v>
      </c>
      <c r="K317" s="92"/>
      <c r="L317" s="93">
        <v>5401014591</v>
      </c>
      <c r="M317" s="93">
        <v>10</v>
      </c>
      <c r="N317" s="92" t="s">
        <v>2870</v>
      </c>
      <c r="O317" s="92" t="s">
        <v>6109</v>
      </c>
      <c r="P317" s="22" t="s">
        <v>2870</v>
      </c>
      <c r="Q317" s="92" t="s">
        <v>3114</v>
      </c>
      <c r="R317" s="92" t="s">
        <v>3098</v>
      </c>
      <c r="S317" s="247">
        <v>30000</v>
      </c>
      <c r="T317" s="247">
        <v>30000</v>
      </c>
      <c r="U317" s="247">
        <f t="shared" si="12"/>
        <v>0</v>
      </c>
      <c r="V317" s="248">
        <v>27692.44</v>
      </c>
      <c r="X317" s="243" t="str">
        <f t="shared" si="11"/>
        <v>8308059 Oracle EBS Transportation Management</v>
      </c>
      <c r="Y317" s="243" t="s">
        <v>5794</v>
      </c>
    </row>
    <row r="318" spans="1:25" hidden="1" x14ac:dyDescent="0.25">
      <c r="A318" s="22" t="s">
        <v>2795</v>
      </c>
      <c r="C318" s="243">
        <v>68427709</v>
      </c>
      <c r="D318" s="244" t="s">
        <v>59</v>
      </c>
      <c r="E318" s="243" t="s">
        <v>60</v>
      </c>
      <c r="F318" s="243" t="s">
        <v>46</v>
      </c>
      <c r="G318" s="245"/>
      <c r="H318" s="243" t="s">
        <v>3418</v>
      </c>
      <c r="J318" s="22"/>
      <c r="K318" s="22"/>
      <c r="L318" s="249"/>
      <c r="M318" s="246"/>
      <c r="N318" s="92" t="s">
        <v>2870</v>
      </c>
      <c r="O318" s="92" t="s">
        <v>2864</v>
      </c>
      <c r="P318" s="22" t="s">
        <v>2781</v>
      </c>
      <c r="Q318" s="161" t="s">
        <v>3114</v>
      </c>
      <c r="R318" s="243" t="s">
        <v>3136</v>
      </c>
      <c r="S318" s="247"/>
      <c r="T318" s="247">
        <v>30000</v>
      </c>
      <c r="U318" s="247">
        <f t="shared" si="12"/>
        <v>30000</v>
      </c>
      <c r="V318" s="248">
        <v>28983.360000000001</v>
      </c>
      <c r="X318" s="243" t="str">
        <f t="shared" si="11"/>
        <v>Legal COI tool</v>
      </c>
      <c r="Y318" s="243" t="s">
        <v>1829</v>
      </c>
    </row>
    <row r="319" spans="1:25" hidden="1" x14ac:dyDescent="0.25">
      <c r="A319" s="22" t="s">
        <v>2901</v>
      </c>
      <c r="C319" s="243">
        <v>68427709</v>
      </c>
      <c r="D319" s="244" t="s">
        <v>59</v>
      </c>
      <c r="E319" s="243" t="s">
        <v>60</v>
      </c>
      <c r="F319" s="243" t="s">
        <v>46</v>
      </c>
      <c r="G319" s="245" t="s">
        <v>2448</v>
      </c>
      <c r="H319" s="243" t="s">
        <v>3326</v>
      </c>
      <c r="J319" s="22"/>
      <c r="K319" s="22"/>
      <c r="L319" s="249"/>
      <c r="M319" s="246"/>
      <c r="N319" s="92" t="s">
        <v>2410</v>
      </c>
      <c r="O319" s="92" t="s">
        <v>6109</v>
      </c>
      <c r="P319" s="22"/>
      <c r="Q319" s="243" t="s">
        <v>3124</v>
      </c>
      <c r="R319" s="243" t="s">
        <v>3125</v>
      </c>
      <c r="S319" s="247"/>
      <c r="T319" s="247">
        <v>30000</v>
      </c>
      <c r="U319" s="247">
        <f t="shared" si="12"/>
        <v>30000</v>
      </c>
      <c r="V319" s="248">
        <v>27692.44</v>
      </c>
      <c r="X319" s="243" t="str">
        <f t="shared" si="11"/>
        <v>FACTS Platform (OT Data Foundation)</v>
      </c>
      <c r="Y319" s="243" t="s">
        <v>1829</v>
      </c>
    </row>
    <row r="320" spans="1:25" hidden="1" x14ac:dyDescent="0.25">
      <c r="A320" s="22" t="s">
        <v>2736</v>
      </c>
      <c r="C320" s="243">
        <v>68427709</v>
      </c>
      <c r="D320" s="244" t="s">
        <v>59</v>
      </c>
      <c r="E320" s="243" t="s">
        <v>60</v>
      </c>
      <c r="F320" s="243" t="s">
        <v>46</v>
      </c>
      <c r="G320" s="245"/>
      <c r="H320" s="243" t="s">
        <v>3397</v>
      </c>
      <c r="J320" s="22"/>
      <c r="K320" s="22"/>
      <c r="L320" s="249"/>
      <c r="M320" s="246"/>
      <c r="N320" s="92" t="s">
        <v>2870</v>
      </c>
      <c r="O320" s="92" t="s">
        <v>2800</v>
      </c>
      <c r="P320" s="22" t="s">
        <v>3205</v>
      </c>
      <c r="Q320" s="243" t="s">
        <v>3114</v>
      </c>
      <c r="R320" s="243" t="s">
        <v>3207</v>
      </c>
      <c r="S320" s="247"/>
      <c r="T320" s="247">
        <v>28000</v>
      </c>
      <c r="U320" s="247">
        <f t="shared" si="12"/>
        <v>28000</v>
      </c>
      <c r="V320" s="257">
        <f>S320</f>
        <v>0</v>
      </c>
      <c r="W320" s="243" t="s">
        <v>6122</v>
      </c>
      <c r="X320" s="243" t="str">
        <f t="shared" si="11"/>
        <v>Insta Punch out</v>
      </c>
      <c r="Y320" s="243" t="s">
        <v>1829</v>
      </c>
    </row>
    <row r="321" spans="1:25" hidden="1" x14ac:dyDescent="0.25">
      <c r="A321" s="22" t="s">
        <v>1152</v>
      </c>
      <c r="B321" s="243" t="s">
        <v>6156</v>
      </c>
      <c r="C321" s="243">
        <v>68427709</v>
      </c>
      <c r="D321" s="244" t="s">
        <v>59</v>
      </c>
      <c r="E321" s="243" t="s">
        <v>60</v>
      </c>
      <c r="F321" s="243" t="s">
        <v>46</v>
      </c>
      <c r="G321" s="245"/>
      <c r="H321" s="243" t="s">
        <v>3294</v>
      </c>
      <c r="I321" s="145">
        <v>212793</v>
      </c>
      <c r="J321" s="22" t="s">
        <v>277</v>
      </c>
      <c r="K321" s="22"/>
      <c r="L321" s="249">
        <v>5401006578</v>
      </c>
      <c r="M321" s="246">
        <v>10</v>
      </c>
      <c r="N321" s="22" t="s">
        <v>2870</v>
      </c>
      <c r="O321" s="22" t="s">
        <v>6149</v>
      </c>
      <c r="P321" s="22" t="s">
        <v>2994</v>
      </c>
      <c r="Q321" s="243" t="s">
        <v>3114</v>
      </c>
      <c r="R321" s="243" t="s">
        <v>3098</v>
      </c>
      <c r="S321" s="247">
        <v>27000</v>
      </c>
      <c r="T321" s="247">
        <v>27000</v>
      </c>
      <c r="U321" s="247">
        <f t="shared" si="12"/>
        <v>0</v>
      </c>
      <c r="V321" s="248">
        <v>25380</v>
      </c>
      <c r="X321" s="243" t="str">
        <f t="shared" ref="X321:X384" si="13">A321</f>
        <v>Docusign</v>
      </c>
      <c r="Y321" s="243" t="s">
        <v>5794</v>
      </c>
    </row>
    <row r="322" spans="1:25" hidden="1" x14ac:dyDescent="0.25">
      <c r="A322" s="243" t="s">
        <v>1481</v>
      </c>
      <c r="C322" s="243">
        <v>68427709</v>
      </c>
      <c r="D322" s="244" t="s">
        <v>59</v>
      </c>
      <c r="E322" s="243" t="s">
        <v>60</v>
      </c>
      <c r="F322" s="243" t="s">
        <v>46</v>
      </c>
      <c r="G322" s="245"/>
      <c r="H322" s="243" t="s">
        <v>3708</v>
      </c>
      <c r="I322" s="243">
        <v>212788</v>
      </c>
      <c r="J322" s="243" t="s">
        <v>3709</v>
      </c>
      <c r="L322" s="246">
        <v>5401006858</v>
      </c>
      <c r="M322" s="246">
        <v>10</v>
      </c>
      <c r="N322" s="22" t="s">
        <v>2870</v>
      </c>
      <c r="O322" s="22" t="s">
        <v>2500</v>
      </c>
      <c r="P322" s="22" t="s">
        <v>2500</v>
      </c>
      <c r="Q322" s="243" t="s">
        <v>3114</v>
      </c>
      <c r="R322" s="243" t="s">
        <v>3175</v>
      </c>
      <c r="S322" s="247">
        <v>25000</v>
      </c>
      <c r="T322" s="247">
        <v>25000</v>
      </c>
      <c r="U322" s="247">
        <f t="shared" si="12"/>
        <v>0</v>
      </c>
      <c r="V322" s="248">
        <v>21488.080000000002</v>
      </c>
      <c r="X322" s="243" t="str">
        <f t="shared" si="13"/>
        <v>Zoovu</v>
      </c>
      <c r="Y322" s="243" t="s">
        <v>5794</v>
      </c>
    </row>
    <row r="323" spans="1:25" hidden="1" x14ac:dyDescent="0.25">
      <c r="A323" s="243" t="s">
        <v>3548</v>
      </c>
      <c r="C323" s="243">
        <v>68427709</v>
      </c>
      <c r="D323" s="244" t="s">
        <v>59</v>
      </c>
      <c r="E323" s="243" t="s">
        <v>60</v>
      </c>
      <c r="F323" s="243" t="s">
        <v>46</v>
      </c>
      <c r="G323" s="245"/>
      <c r="H323" s="243" t="s">
        <v>3550</v>
      </c>
      <c r="I323" s="243">
        <v>209341</v>
      </c>
      <c r="J323" s="92" t="s">
        <v>255</v>
      </c>
      <c r="K323" s="92"/>
      <c r="L323" s="243">
        <v>5400915466</v>
      </c>
      <c r="M323" s="246">
        <v>20</v>
      </c>
      <c r="N323" s="22" t="s">
        <v>2870</v>
      </c>
      <c r="O323" s="22" t="s">
        <v>6109</v>
      </c>
      <c r="P323" s="22" t="s">
        <v>1984</v>
      </c>
      <c r="Q323" s="243" t="s">
        <v>3114</v>
      </c>
      <c r="R323" s="243" t="s">
        <v>3284</v>
      </c>
      <c r="S323" s="247">
        <v>24000</v>
      </c>
      <c r="T323" s="247">
        <v>24000</v>
      </c>
      <c r="U323" s="247">
        <f t="shared" si="12"/>
        <v>0</v>
      </c>
      <c r="V323" s="248">
        <v>22153.96</v>
      </c>
      <c r="X323" s="243" t="str">
        <f t="shared" si="13"/>
        <v>ROJO Middleware Monitoring Tool</v>
      </c>
      <c r="Y323" s="243" t="s">
        <v>5794</v>
      </c>
    </row>
    <row r="324" spans="1:25" hidden="1" x14ac:dyDescent="0.25">
      <c r="A324" s="264" t="s">
        <v>3336</v>
      </c>
      <c r="B324" s="243" t="s">
        <v>3337</v>
      </c>
      <c r="C324" s="253">
        <v>68427709</v>
      </c>
      <c r="D324" s="244" t="s">
        <v>59</v>
      </c>
      <c r="E324" s="243" t="s">
        <v>60</v>
      </c>
      <c r="F324" s="243" t="s">
        <v>46</v>
      </c>
      <c r="G324" s="245"/>
      <c r="H324" s="243" t="s">
        <v>3338</v>
      </c>
      <c r="I324" s="243">
        <v>208651</v>
      </c>
      <c r="J324" s="243" t="s">
        <v>3339</v>
      </c>
      <c r="L324" s="243">
        <v>5401001826</v>
      </c>
      <c r="M324" s="246">
        <v>10</v>
      </c>
      <c r="N324" s="22" t="s">
        <v>2870</v>
      </c>
      <c r="O324" s="92" t="s">
        <v>2800</v>
      </c>
      <c r="P324" s="22" t="s">
        <v>2344</v>
      </c>
      <c r="Q324" s="243" t="s">
        <v>3206</v>
      </c>
      <c r="R324" s="92" t="s">
        <v>3207</v>
      </c>
      <c r="S324" s="247">
        <v>23000</v>
      </c>
      <c r="T324" s="247">
        <v>23000</v>
      </c>
      <c r="U324" s="247">
        <f t="shared" si="12"/>
        <v>0</v>
      </c>
      <c r="V324" s="257">
        <f>S324</f>
        <v>23000</v>
      </c>
      <c r="W324" s="243" t="s">
        <v>6122</v>
      </c>
      <c r="X324" s="243" t="str">
        <f t="shared" si="13"/>
        <v xml:space="preserve">Gearset </v>
      </c>
      <c r="Y324" s="243" t="s">
        <v>5794</v>
      </c>
    </row>
    <row r="325" spans="1:25" hidden="1" x14ac:dyDescent="0.25">
      <c r="A325" s="243" t="s">
        <v>2440</v>
      </c>
      <c r="C325" s="243">
        <v>68427709</v>
      </c>
      <c r="D325" s="244" t="s">
        <v>59</v>
      </c>
      <c r="E325" s="243" t="s">
        <v>60</v>
      </c>
      <c r="F325" s="243" t="s">
        <v>46</v>
      </c>
      <c r="G325" s="245"/>
      <c r="H325" s="243" t="s">
        <v>3440</v>
      </c>
      <c r="I325" s="243">
        <v>167606</v>
      </c>
      <c r="J325" s="243" t="s">
        <v>213</v>
      </c>
      <c r="L325" s="246">
        <v>5401032327</v>
      </c>
      <c r="M325" s="246">
        <v>10</v>
      </c>
      <c r="N325" s="243" t="s">
        <v>2410</v>
      </c>
      <c r="O325" s="243" t="s">
        <v>6109</v>
      </c>
      <c r="P325" s="22" t="s">
        <v>3132</v>
      </c>
      <c r="Q325" s="243" t="s">
        <v>3114</v>
      </c>
      <c r="R325" s="243" t="s">
        <v>3133</v>
      </c>
      <c r="S325" s="247">
        <v>25000</v>
      </c>
      <c r="T325" s="247">
        <v>23000</v>
      </c>
      <c r="U325" s="247">
        <f t="shared" si="12"/>
        <v>-2000</v>
      </c>
      <c r="V325" s="248">
        <v>21230.87</v>
      </c>
      <c r="X325" s="243" t="str">
        <f t="shared" si="13"/>
        <v>Mekko</v>
      </c>
      <c r="Y325" s="243" t="s">
        <v>5792</v>
      </c>
    </row>
    <row r="326" spans="1:25" hidden="1" x14ac:dyDescent="0.25">
      <c r="A326" s="261" t="s">
        <v>2703</v>
      </c>
      <c r="C326" s="243">
        <v>68427709</v>
      </c>
      <c r="D326" s="244" t="s">
        <v>59</v>
      </c>
      <c r="E326" s="243" t="s">
        <v>60</v>
      </c>
      <c r="F326" s="243" t="s">
        <v>46</v>
      </c>
      <c r="G326" s="245"/>
      <c r="H326" s="243" t="s">
        <v>3519</v>
      </c>
      <c r="L326" s="249"/>
      <c r="M326" s="246"/>
      <c r="N326" s="92" t="s">
        <v>2870</v>
      </c>
      <c r="O326" s="92" t="s">
        <v>6109</v>
      </c>
      <c r="P326" s="22" t="s">
        <v>3123</v>
      </c>
      <c r="Q326" s="253" t="s">
        <v>3124</v>
      </c>
      <c r="R326" s="243" t="s">
        <v>3125</v>
      </c>
      <c r="S326" s="247">
        <v>42000</v>
      </c>
      <c r="T326" s="247">
        <v>22000</v>
      </c>
      <c r="U326" s="247">
        <f t="shared" si="12"/>
        <v>-20000</v>
      </c>
      <c r="V326" s="248">
        <v>20307.79</v>
      </c>
      <c r="X326" s="243" t="str">
        <f t="shared" si="13"/>
        <v>Pro.File</v>
      </c>
      <c r="Y326" s="243" t="s">
        <v>5792</v>
      </c>
    </row>
    <row r="327" spans="1:25" hidden="1" x14ac:dyDescent="0.25">
      <c r="A327" s="243" t="s">
        <v>3639</v>
      </c>
      <c r="B327" s="243" t="s">
        <v>3640</v>
      </c>
      <c r="C327" s="243">
        <v>68427709</v>
      </c>
      <c r="D327" s="244" t="s">
        <v>59</v>
      </c>
      <c r="E327" s="243" t="s">
        <v>60</v>
      </c>
      <c r="F327" s="243" t="s">
        <v>46</v>
      </c>
      <c r="G327" s="245" t="s">
        <v>3144</v>
      </c>
      <c r="H327" s="243" t="s">
        <v>3641</v>
      </c>
      <c r="I327" s="243">
        <v>165943</v>
      </c>
      <c r="J327" s="243" t="s">
        <v>205</v>
      </c>
      <c r="L327" s="246">
        <v>5401028886</v>
      </c>
      <c r="M327" s="246">
        <v>10</v>
      </c>
      <c r="N327" s="243" t="s">
        <v>2410</v>
      </c>
      <c r="O327" s="243" t="s">
        <v>6109</v>
      </c>
      <c r="P327" s="22" t="s">
        <v>2410</v>
      </c>
      <c r="Q327" s="243" t="s">
        <v>3114</v>
      </c>
      <c r="R327" s="243" t="s">
        <v>3133</v>
      </c>
      <c r="S327" s="247">
        <v>20000</v>
      </c>
      <c r="T327" s="247">
        <v>20000</v>
      </c>
      <c r="U327" s="247">
        <f t="shared" si="12"/>
        <v>0</v>
      </c>
      <c r="V327" s="248">
        <v>18461.63</v>
      </c>
      <c r="X327" s="243" t="str">
        <f t="shared" si="13"/>
        <v>Solarwinds Maintenance</v>
      </c>
      <c r="Y327" s="243" t="s">
        <v>5794</v>
      </c>
    </row>
    <row r="328" spans="1:25" hidden="1" x14ac:dyDescent="0.25">
      <c r="A328" s="22" t="s">
        <v>2885</v>
      </c>
      <c r="B328" s="243" t="s">
        <v>3360</v>
      </c>
      <c r="C328" s="243">
        <v>68427709</v>
      </c>
      <c r="D328" s="244" t="s">
        <v>59</v>
      </c>
      <c r="E328" s="22" t="s">
        <v>60</v>
      </c>
      <c r="F328" s="22" t="s">
        <v>46</v>
      </c>
      <c r="G328" s="245"/>
      <c r="H328" s="243" t="s">
        <v>2211</v>
      </c>
      <c r="I328" s="22">
        <v>212341</v>
      </c>
      <c r="J328" s="22" t="s">
        <v>3361</v>
      </c>
      <c r="K328" s="22"/>
      <c r="L328" s="24">
        <v>5400997187</v>
      </c>
      <c r="M328" s="24">
        <v>10</v>
      </c>
      <c r="N328" s="22" t="s">
        <v>2870</v>
      </c>
      <c r="O328" s="22" t="s">
        <v>2864</v>
      </c>
      <c r="P328" s="22" t="s">
        <v>423</v>
      </c>
      <c r="Q328" s="218" t="s">
        <v>3170</v>
      </c>
      <c r="R328" s="22" t="s">
        <v>3362</v>
      </c>
      <c r="S328" s="247">
        <v>16000</v>
      </c>
      <c r="T328" s="247">
        <v>18000</v>
      </c>
      <c r="U328" s="247">
        <f t="shared" si="12"/>
        <v>2000</v>
      </c>
      <c r="V328" s="248">
        <v>17390.009999999998</v>
      </c>
      <c r="X328" s="243" t="str">
        <f t="shared" si="13"/>
        <v>Goldfire Application</v>
      </c>
      <c r="Y328" s="243" t="s">
        <v>5793</v>
      </c>
    </row>
    <row r="329" spans="1:25" hidden="1" x14ac:dyDescent="0.25">
      <c r="A329" s="243" t="s">
        <v>3334</v>
      </c>
      <c r="C329" s="243">
        <v>68427709</v>
      </c>
      <c r="D329" s="244" t="s">
        <v>59</v>
      </c>
      <c r="E329" s="243" t="s">
        <v>60</v>
      </c>
      <c r="F329" s="243" t="s">
        <v>46</v>
      </c>
      <c r="G329" s="245"/>
      <c r="H329" s="243" t="s">
        <v>3335</v>
      </c>
      <c r="J329" s="22"/>
      <c r="K329" s="22"/>
      <c r="L329" s="249"/>
      <c r="M329" s="246"/>
      <c r="N329" s="92" t="s">
        <v>2870</v>
      </c>
      <c r="O329" s="92" t="s">
        <v>2864</v>
      </c>
      <c r="P329" s="22" t="s">
        <v>3195</v>
      </c>
      <c r="Q329" s="243" t="s">
        <v>3124</v>
      </c>
      <c r="R329" s="243" t="s">
        <v>3125</v>
      </c>
      <c r="S329" s="247">
        <v>23000</v>
      </c>
      <c r="T329" s="247">
        <v>15000</v>
      </c>
      <c r="U329" s="247">
        <f t="shared" si="12"/>
        <v>-8000</v>
      </c>
      <c r="V329" s="248">
        <v>14491.68</v>
      </c>
      <c r="X329" s="243" t="str">
        <f t="shared" si="13"/>
        <v>GE Light OEE Toolkit</v>
      </c>
      <c r="Y329" s="243" t="s">
        <v>5792</v>
      </c>
    </row>
    <row r="330" spans="1:25" hidden="1" x14ac:dyDescent="0.25">
      <c r="A330" s="243" t="s">
        <v>2563</v>
      </c>
      <c r="B330" s="243" t="s">
        <v>3619</v>
      </c>
      <c r="C330" s="243">
        <v>68427709</v>
      </c>
      <c r="D330" s="244" t="s">
        <v>59</v>
      </c>
      <c r="E330" s="243" t="s">
        <v>60</v>
      </c>
      <c r="F330" s="243" t="s">
        <v>46</v>
      </c>
      <c r="G330" s="245"/>
      <c r="H330" s="243" t="s">
        <v>3620</v>
      </c>
      <c r="I330" s="243">
        <v>168847</v>
      </c>
      <c r="J330" s="243" t="s">
        <v>6157</v>
      </c>
      <c r="L330" s="246">
        <v>5400972348</v>
      </c>
      <c r="M330" s="246">
        <v>10</v>
      </c>
      <c r="N330" s="243" t="s">
        <v>2870</v>
      </c>
      <c r="O330" s="243" t="s">
        <v>2864</v>
      </c>
      <c r="P330" s="22" t="s">
        <v>3244</v>
      </c>
      <c r="Q330" s="243" t="s">
        <v>3114</v>
      </c>
      <c r="R330" s="22" t="s">
        <v>3136</v>
      </c>
      <c r="S330" s="247">
        <v>14300</v>
      </c>
      <c r="T330" s="247">
        <v>14300</v>
      </c>
      <c r="U330" s="247">
        <f t="shared" si="12"/>
        <v>0</v>
      </c>
      <c r="V330" s="248">
        <v>13815.4</v>
      </c>
      <c r="X330" s="243" t="str">
        <f t="shared" si="13"/>
        <v>Sharegate</v>
      </c>
      <c r="Y330" s="243" t="s">
        <v>5794</v>
      </c>
    </row>
    <row r="331" spans="1:25" hidden="1" x14ac:dyDescent="0.25">
      <c r="A331" s="22" t="s">
        <v>3441</v>
      </c>
      <c r="B331" s="243" t="s">
        <v>3442</v>
      </c>
      <c r="C331" s="243">
        <v>68427709</v>
      </c>
      <c r="D331" s="244" t="s">
        <v>59</v>
      </c>
      <c r="E331" s="22" t="s">
        <v>60</v>
      </c>
      <c r="F331" s="22" t="s">
        <v>46</v>
      </c>
      <c r="G331" s="245"/>
      <c r="H331" s="243" t="s">
        <v>3443</v>
      </c>
      <c r="I331" s="22">
        <v>166023</v>
      </c>
      <c r="J331" s="22" t="s">
        <v>3444</v>
      </c>
      <c r="K331" s="22"/>
      <c r="L331" s="24">
        <v>5401024305</v>
      </c>
      <c r="M331" s="24">
        <v>10</v>
      </c>
      <c r="N331" s="22" t="s">
        <v>2870</v>
      </c>
      <c r="O331" s="22" t="s">
        <v>2864</v>
      </c>
      <c r="P331" s="22" t="s">
        <v>3158</v>
      </c>
      <c r="Q331" s="22" t="s">
        <v>3104</v>
      </c>
      <c r="R331" s="22" t="s">
        <v>3141</v>
      </c>
      <c r="S331" s="247">
        <v>14000</v>
      </c>
      <c r="T331" s="247">
        <v>14000</v>
      </c>
      <c r="U331" s="247">
        <f t="shared" si="12"/>
        <v>0</v>
      </c>
      <c r="V331" s="248">
        <v>13525.57</v>
      </c>
      <c r="X331" s="243" t="str">
        <f t="shared" si="13"/>
        <v>Meridian VAT Application</v>
      </c>
      <c r="Y331" s="243" t="s">
        <v>5794</v>
      </c>
    </row>
    <row r="332" spans="1:25" hidden="1" x14ac:dyDescent="0.25">
      <c r="A332" s="243" t="s">
        <v>2193</v>
      </c>
      <c r="C332" s="243">
        <v>68427709</v>
      </c>
      <c r="D332" s="244" t="s">
        <v>59</v>
      </c>
      <c r="E332" s="243" t="s">
        <v>60</v>
      </c>
      <c r="F332" s="243" t="s">
        <v>46</v>
      </c>
      <c r="G332" s="245" t="s">
        <v>3144</v>
      </c>
      <c r="H332" s="243" t="s">
        <v>3408</v>
      </c>
      <c r="I332" s="243">
        <v>209507</v>
      </c>
      <c r="J332" s="243" t="s">
        <v>261</v>
      </c>
      <c r="L332" s="246">
        <v>5400933615</v>
      </c>
      <c r="M332" s="246">
        <v>10</v>
      </c>
      <c r="N332" s="243" t="s">
        <v>2870</v>
      </c>
      <c r="O332" s="243" t="s">
        <v>6109</v>
      </c>
      <c r="P332" s="92" t="s">
        <v>2510</v>
      </c>
      <c r="Q332" s="243" t="s">
        <v>3114</v>
      </c>
      <c r="R332" s="243" t="s">
        <v>3098</v>
      </c>
      <c r="S332" s="247">
        <v>14000</v>
      </c>
      <c r="T332" s="247">
        <v>14000</v>
      </c>
      <c r="U332" s="247">
        <f t="shared" si="12"/>
        <v>0</v>
      </c>
      <c r="V332" s="248">
        <v>12923.14</v>
      </c>
      <c r="X332" s="243" t="str">
        <f t="shared" si="13"/>
        <v>Jenkins</v>
      </c>
      <c r="Y332" s="243" t="s">
        <v>5794</v>
      </c>
    </row>
    <row r="333" spans="1:25" hidden="1" x14ac:dyDescent="0.25">
      <c r="A333" s="22" t="s">
        <v>1913</v>
      </c>
      <c r="C333" s="243">
        <v>68427709</v>
      </c>
      <c r="D333" s="244" t="s">
        <v>59</v>
      </c>
      <c r="E333" s="243" t="s">
        <v>60</v>
      </c>
      <c r="F333" s="92" t="s">
        <v>46</v>
      </c>
      <c r="G333" s="245"/>
      <c r="H333" s="243" t="s">
        <v>1914</v>
      </c>
      <c r="I333" s="243">
        <v>208269</v>
      </c>
      <c r="J333" s="92" t="s">
        <v>3256</v>
      </c>
      <c r="K333" s="92"/>
      <c r="L333" s="246">
        <v>5400934222</v>
      </c>
      <c r="M333" s="246">
        <v>20</v>
      </c>
      <c r="N333" s="22" t="s">
        <v>2870</v>
      </c>
      <c r="O333" s="22" t="s">
        <v>2864</v>
      </c>
      <c r="P333" s="22" t="s">
        <v>1479</v>
      </c>
      <c r="Q333" s="243" t="s">
        <v>3114</v>
      </c>
      <c r="R333" s="243" t="s">
        <v>3136</v>
      </c>
      <c r="S333" s="247">
        <v>12500</v>
      </c>
      <c r="T333" s="247">
        <v>12500</v>
      </c>
      <c r="U333" s="247">
        <f t="shared" si="12"/>
        <v>0</v>
      </c>
      <c r="V333" s="248">
        <v>12076.4</v>
      </c>
      <c r="X333" s="243" t="str">
        <f t="shared" si="13"/>
        <v>Convercent (helpline)</v>
      </c>
      <c r="Y333" s="243" t="s">
        <v>5794</v>
      </c>
    </row>
    <row r="334" spans="1:25" x14ac:dyDescent="0.25">
      <c r="A334" s="22" t="s">
        <v>2958</v>
      </c>
      <c r="B334"/>
      <c r="C334">
        <v>68427709</v>
      </c>
      <c r="D334" s="91" t="s">
        <v>40</v>
      </c>
      <c r="E334" t="s">
        <v>42</v>
      </c>
      <c r="F334" t="s">
        <v>42</v>
      </c>
      <c r="G334" s="266" t="s">
        <v>2448</v>
      </c>
      <c r="H334" t="s">
        <v>2903</v>
      </c>
      <c r="I334">
        <v>166304</v>
      </c>
      <c r="J334" s="92" t="s">
        <v>97</v>
      </c>
      <c r="K334" s="92"/>
      <c r="L334" s="203"/>
      <c r="M334" s="20"/>
      <c r="N334" s="267" t="s">
        <v>2843</v>
      </c>
      <c r="O334" t="s">
        <v>2903</v>
      </c>
      <c r="P334" t="s">
        <v>2843</v>
      </c>
      <c r="Q334" t="s">
        <v>3124</v>
      </c>
      <c r="R334" t="s">
        <v>2903</v>
      </c>
      <c r="S334" s="7"/>
      <c r="T334" s="7">
        <v>150000</v>
      </c>
      <c r="U334" s="247">
        <f t="shared" si="12"/>
        <v>150000</v>
      </c>
      <c r="V334" s="248">
        <v>150000</v>
      </c>
      <c r="W334"/>
      <c r="X334" s="243" t="str">
        <f t="shared" si="13"/>
        <v>OT SOC support</v>
      </c>
      <c r="Y334" s="243" t="s">
        <v>1829</v>
      </c>
    </row>
    <row r="335" spans="1:25" hidden="1" x14ac:dyDescent="0.25">
      <c r="A335" s="22" t="s">
        <v>453</v>
      </c>
      <c r="B335" s="243" t="s">
        <v>3371</v>
      </c>
      <c r="C335" s="243">
        <v>68427709</v>
      </c>
      <c r="D335" s="244" t="s">
        <v>59</v>
      </c>
      <c r="E335" s="22" t="s">
        <v>60</v>
      </c>
      <c r="F335" s="22" t="s">
        <v>46</v>
      </c>
      <c r="G335" s="245" t="s">
        <v>3096</v>
      </c>
      <c r="H335" s="243" t="s">
        <v>3372</v>
      </c>
      <c r="I335" s="22">
        <v>117570</v>
      </c>
      <c r="J335" s="22" t="s">
        <v>633</v>
      </c>
      <c r="K335" s="22"/>
      <c r="L335" s="264">
        <v>5401024359</v>
      </c>
      <c r="M335" s="24">
        <v>240</v>
      </c>
      <c r="N335" s="22" t="s">
        <v>2870</v>
      </c>
      <c r="O335" s="22" t="s">
        <v>6109</v>
      </c>
      <c r="P335" s="22" t="s">
        <v>3149</v>
      </c>
      <c r="Q335" s="22" t="s">
        <v>3104</v>
      </c>
      <c r="R335" s="22" t="s">
        <v>1046</v>
      </c>
      <c r="S335" s="247">
        <v>11000</v>
      </c>
      <c r="T335" s="247">
        <v>11000</v>
      </c>
      <c r="U335" s="247">
        <f t="shared" si="12"/>
        <v>0</v>
      </c>
      <c r="V335" s="248">
        <v>10153.9</v>
      </c>
      <c r="X335" s="243" t="str">
        <f t="shared" si="13"/>
        <v>Hana Cloud Platform</v>
      </c>
      <c r="Y335" s="243" t="s">
        <v>5794</v>
      </c>
    </row>
    <row r="336" spans="1:25" hidden="1" x14ac:dyDescent="0.25">
      <c r="A336" s="22" t="s">
        <v>2100</v>
      </c>
      <c r="C336" s="253">
        <v>68427709</v>
      </c>
      <c r="D336" s="244" t="s">
        <v>59</v>
      </c>
      <c r="E336" s="243" t="s">
        <v>60</v>
      </c>
      <c r="F336" s="92" t="s">
        <v>46</v>
      </c>
      <c r="G336" s="245" t="s">
        <v>3144</v>
      </c>
      <c r="H336" s="243" t="s">
        <v>3416</v>
      </c>
      <c r="I336" s="22">
        <v>208176</v>
      </c>
      <c r="J336" s="22" t="s">
        <v>2100</v>
      </c>
      <c r="K336" s="22"/>
      <c r="L336" s="249">
        <v>5400990793</v>
      </c>
      <c r="M336" s="246">
        <v>10</v>
      </c>
      <c r="N336" s="22" t="s">
        <v>2870</v>
      </c>
      <c r="O336" s="22" t="s">
        <v>6109</v>
      </c>
      <c r="P336" s="22" t="s">
        <v>2344</v>
      </c>
      <c r="Q336" s="243" t="s">
        <v>3114</v>
      </c>
      <c r="R336" s="243" t="s">
        <v>3098</v>
      </c>
      <c r="S336" s="247">
        <v>10000</v>
      </c>
      <c r="T336" s="247">
        <v>10000</v>
      </c>
      <c r="U336" s="247">
        <f t="shared" si="12"/>
        <v>0</v>
      </c>
      <c r="V336" s="248">
        <v>9230.81</v>
      </c>
      <c r="X336" s="243" t="str">
        <f t="shared" si="13"/>
        <v>Kendis</v>
      </c>
      <c r="Y336" s="243" t="s">
        <v>5794</v>
      </c>
    </row>
    <row r="337" spans="1:25" hidden="1" x14ac:dyDescent="0.25">
      <c r="A337" s="243" t="s">
        <v>3645</v>
      </c>
      <c r="B337" s="243" t="s">
        <v>3646</v>
      </c>
      <c r="C337" s="243">
        <v>68427709</v>
      </c>
      <c r="D337" s="244" t="s">
        <v>59</v>
      </c>
      <c r="E337" s="243" t="s">
        <v>60</v>
      </c>
      <c r="F337" s="243" t="s">
        <v>46</v>
      </c>
      <c r="G337" s="245"/>
      <c r="H337" s="243" t="s">
        <v>3647</v>
      </c>
      <c r="I337" s="243">
        <v>209546</v>
      </c>
      <c r="J337" s="243" t="s">
        <v>6158</v>
      </c>
      <c r="L337" s="243">
        <v>5400914770</v>
      </c>
      <c r="M337" s="246">
        <v>10</v>
      </c>
      <c r="N337" s="243" t="s">
        <v>2870</v>
      </c>
      <c r="O337" s="243" t="s">
        <v>2864</v>
      </c>
      <c r="P337" s="22" t="s">
        <v>2731</v>
      </c>
      <c r="Q337" s="22" t="s">
        <v>3104</v>
      </c>
      <c r="R337" s="243" t="s">
        <v>3333</v>
      </c>
      <c r="S337" s="247">
        <v>10000</v>
      </c>
      <c r="T337" s="247">
        <v>10000</v>
      </c>
      <c r="U337" s="247">
        <f t="shared" si="12"/>
        <v>0</v>
      </c>
      <c r="V337" s="248">
        <v>9661.1200000000008</v>
      </c>
      <c r="X337" s="243" t="str">
        <f t="shared" si="13"/>
        <v>Sposea Brightprice</v>
      </c>
      <c r="Y337" s="243" t="s">
        <v>5794</v>
      </c>
    </row>
    <row r="338" spans="1:25" hidden="1" x14ac:dyDescent="0.25">
      <c r="A338" s="243" t="s">
        <v>864</v>
      </c>
      <c r="B338" s="243" t="s">
        <v>3215</v>
      </c>
      <c r="C338" s="243">
        <v>68427709</v>
      </c>
      <c r="D338" s="244" t="s">
        <v>59</v>
      </c>
      <c r="E338" s="243" t="s">
        <v>60</v>
      </c>
      <c r="F338" s="243" t="s">
        <v>46</v>
      </c>
      <c r="G338" s="245" t="s">
        <v>3144</v>
      </c>
      <c r="H338" s="243" t="s">
        <v>3216</v>
      </c>
      <c r="I338" s="243">
        <v>198968</v>
      </c>
      <c r="J338" s="243" t="s">
        <v>3217</v>
      </c>
      <c r="L338" s="246">
        <v>5400941634</v>
      </c>
      <c r="M338" s="246">
        <v>10</v>
      </c>
      <c r="N338" s="22" t="s">
        <v>2870</v>
      </c>
      <c r="O338" s="22" t="s">
        <v>6109</v>
      </c>
      <c r="P338" s="22" t="s">
        <v>2510</v>
      </c>
      <c r="Q338" s="243" t="s">
        <v>3114</v>
      </c>
      <c r="R338" s="243" t="s">
        <v>3098</v>
      </c>
      <c r="S338" s="247">
        <v>9000</v>
      </c>
      <c r="T338" s="247">
        <v>9000</v>
      </c>
      <c r="U338" s="247">
        <f t="shared" si="12"/>
        <v>0</v>
      </c>
      <c r="V338" s="248">
        <v>8307.73</v>
      </c>
      <c r="X338" s="243" t="str">
        <f t="shared" si="13"/>
        <v>BrowserStack</v>
      </c>
      <c r="Y338" s="243" t="s">
        <v>5794</v>
      </c>
    </row>
    <row r="339" spans="1:25" hidden="1" x14ac:dyDescent="0.25">
      <c r="A339" s="243" t="s">
        <v>2439</v>
      </c>
      <c r="B339" s="243" t="s">
        <v>3328</v>
      </c>
      <c r="C339" s="243">
        <v>68427709</v>
      </c>
      <c r="D339" s="244" t="s">
        <v>59</v>
      </c>
      <c r="E339" s="243" t="s">
        <v>60</v>
      </c>
      <c r="F339" s="243" t="s">
        <v>46</v>
      </c>
      <c r="G339" s="245" t="s">
        <v>3144</v>
      </c>
      <c r="H339" s="243" t="s">
        <v>3329</v>
      </c>
      <c r="I339" s="243">
        <v>187516</v>
      </c>
      <c r="J339" s="243" t="s">
        <v>799</v>
      </c>
      <c r="L339" s="246">
        <v>5400965893</v>
      </c>
      <c r="M339" s="246">
        <v>30</v>
      </c>
      <c r="N339" s="243" t="s">
        <v>2410</v>
      </c>
      <c r="O339" s="243" t="s">
        <v>6109</v>
      </c>
      <c r="P339" s="22" t="s">
        <v>3132</v>
      </c>
      <c r="Q339" s="243" t="s">
        <v>3114</v>
      </c>
      <c r="R339" s="243" t="s">
        <v>3133</v>
      </c>
      <c r="S339" s="247">
        <v>7000</v>
      </c>
      <c r="T339" s="247">
        <v>7000</v>
      </c>
      <c r="U339" s="247">
        <f t="shared" si="12"/>
        <v>0</v>
      </c>
      <c r="V339" s="248">
        <v>6461.57</v>
      </c>
      <c r="X339" s="243" t="str">
        <f t="shared" si="13"/>
        <v>Flexera Adminstudio</v>
      </c>
      <c r="Y339" s="243" t="s">
        <v>5794</v>
      </c>
    </row>
    <row r="340" spans="1:25" hidden="1" x14ac:dyDescent="0.25">
      <c r="A340" s="22" t="s">
        <v>3613</v>
      </c>
      <c r="C340" s="243">
        <v>68427709</v>
      </c>
      <c r="D340" s="244" t="s">
        <v>59</v>
      </c>
      <c r="E340" s="243" t="s">
        <v>60</v>
      </c>
      <c r="F340" s="92" t="s">
        <v>46</v>
      </c>
      <c r="G340" s="245"/>
      <c r="H340" s="243" t="s">
        <v>3614</v>
      </c>
      <c r="I340" s="22">
        <v>166304</v>
      </c>
      <c r="J340" s="92" t="s">
        <v>97</v>
      </c>
      <c r="K340" s="92"/>
      <c r="L340" s="243">
        <v>5400878308</v>
      </c>
      <c r="M340" s="246">
        <v>20</v>
      </c>
      <c r="N340" s="22" t="s">
        <v>2410</v>
      </c>
      <c r="O340" s="22" t="s">
        <v>6109</v>
      </c>
      <c r="P340" s="22" t="s">
        <v>2410</v>
      </c>
      <c r="Q340" s="243" t="s">
        <v>3114</v>
      </c>
      <c r="R340" s="243" t="s">
        <v>3133</v>
      </c>
      <c r="S340" s="247">
        <v>7000</v>
      </c>
      <c r="T340" s="247">
        <v>7000</v>
      </c>
      <c r="U340" s="247">
        <f t="shared" si="12"/>
        <v>0</v>
      </c>
      <c r="V340" s="248">
        <v>6461.57</v>
      </c>
      <c r="X340" s="243" t="str">
        <f t="shared" si="13"/>
        <v xml:space="preserve">Sendgrid </v>
      </c>
      <c r="Y340" s="243" t="s">
        <v>5794</v>
      </c>
    </row>
    <row r="341" spans="1:25" hidden="1" x14ac:dyDescent="0.25">
      <c r="A341" s="22" t="s">
        <v>2116</v>
      </c>
      <c r="C341" s="243">
        <v>68427719</v>
      </c>
      <c r="D341" s="244" t="s">
        <v>59</v>
      </c>
      <c r="E341" s="243" t="s">
        <v>60</v>
      </c>
      <c r="F341" s="92" t="s">
        <v>46</v>
      </c>
      <c r="G341" s="245"/>
      <c r="H341" s="243" t="s">
        <v>3424</v>
      </c>
      <c r="I341" s="22">
        <v>210828</v>
      </c>
      <c r="J341" s="92" t="s">
        <v>3425</v>
      </c>
      <c r="K341" s="92"/>
      <c r="L341" s="249">
        <v>5401010161</v>
      </c>
      <c r="M341" s="246">
        <v>10</v>
      </c>
      <c r="N341" s="22" t="s">
        <v>2870</v>
      </c>
      <c r="O341" s="22" t="s">
        <v>2800</v>
      </c>
      <c r="P341" s="22" t="s">
        <v>2356</v>
      </c>
      <c r="Q341" s="243" t="s">
        <v>3206</v>
      </c>
      <c r="R341" s="243" t="s">
        <v>3207</v>
      </c>
      <c r="S341" s="247">
        <v>2980</v>
      </c>
      <c r="T341" s="247">
        <v>2980</v>
      </c>
      <c r="U341" s="247">
        <f t="shared" si="12"/>
        <v>0</v>
      </c>
      <c r="V341" s="257">
        <f>S341</f>
        <v>2980</v>
      </c>
      <c r="W341" s="243" t="s">
        <v>6122</v>
      </c>
      <c r="X341" s="243" t="str">
        <f t="shared" si="13"/>
        <v>Litmus / E-mail on Acid</v>
      </c>
      <c r="Y341" s="243" t="s">
        <v>5794</v>
      </c>
    </row>
    <row r="342" spans="1:25" hidden="1" x14ac:dyDescent="0.25">
      <c r="A342" s="243" t="s">
        <v>3554</v>
      </c>
      <c r="B342" s="243" t="s">
        <v>3555</v>
      </c>
      <c r="C342" s="243">
        <v>68427709</v>
      </c>
      <c r="D342" s="97" t="s">
        <v>59</v>
      </c>
      <c r="E342" s="22" t="s">
        <v>60</v>
      </c>
      <c r="F342" s="22" t="s">
        <v>46</v>
      </c>
      <c r="G342" s="245" t="s">
        <v>3096</v>
      </c>
      <c r="H342" s="22" t="s">
        <v>3556</v>
      </c>
      <c r="I342" s="145">
        <v>193309</v>
      </c>
      <c r="J342" s="22" t="s">
        <v>3557</v>
      </c>
      <c r="K342" s="22"/>
      <c r="L342" s="24">
        <v>5400998489</v>
      </c>
      <c r="M342" s="24">
        <v>10</v>
      </c>
      <c r="N342" s="22" t="s">
        <v>2870</v>
      </c>
      <c r="O342" s="22" t="s">
        <v>6109</v>
      </c>
      <c r="P342" s="22" t="s">
        <v>2870</v>
      </c>
      <c r="Q342" s="22" t="s">
        <v>3104</v>
      </c>
      <c r="R342" s="22" t="s">
        <v>3098</v>
      </c>
      <c r="S342" s="247">
        <v>2000</v>
      </c>
      <c r="T342" s="247">
        <v>2000</v>
      </c>
      <c r="U342" s="247">
        <f t="shared" si="12"/>
        <v>0</v>
      </c>
      <c r="V342" s="248">
        <v>1846.16</v>
      </c>
      <c r="X342" s="243" t="str">
        <f t="shared" si="13"/>
        <v>Salesforce Adapters SDS / Salesforce</v>
      </c>
      <c r="Y342" s="243" t="s">
        <v>5794</v>
      </c>
    </row>
    <row r="343" spans="1:25" hidden="1" x14ac:dyDescent="0.25">
      <c r="A343" s="22" t="s">
        <v>2780</v>
      </c>
      <c r="B343" s="243" t="s">
        <v>3543</v>
      </c>
      <c r="C343" s="243">
        <v>68427709</v>
      </c>
      <c r="D343" s="97" t="s">
        <v>59</v>
      </c>
      <c r="E343" s="22" t="s">
        <v>60</v>
      </c>
      <c r="F343" s="22" t="s">
        <v>46</v>
      </c>
      <c r="G343" s="245"/>
      <c r="H343" s="243" t="s">
        <v>3544</v>
      </c>
      <c r="I343" s="22">
        <v>168949</v>
      </c>
      <c r="J343" s="22" t="s">
        <v>2406</v>
      </c>
      <c r="K343" s="22"/>
      <c r="L343" s="24"/>
      <c r="M343" s="24">
        <v>30</v>
      </c>
      <c r="N343" s="22" t="s">
        <v>2870</v>
      </c>
      <c r="O343" s="22" t="s">
        <v>2864</v>
      </c>
      <c r="P343" s="22" t="s">
        <v>1479</v>
      </c>
      <c r="Q343" s="22" t="s">
        <v>3114</v>
      </c>
      <c r="R343" s="22" t="s">
        <v>3136</v>
      </c>
      <c r="S343" s="247">
        <v>23000</v>
      </c>
      <c r="T343" s="247">
        <v>0</v>
      </c>
      <c r="U343" s="247">
        <f t="shared" si="12"/>
        <v>-23000</v>
      </c>
      <c r="V343" s="248">
        <v>0</v>
      </c>
      <c r="X343" s="243" t="str">
        <f t="shared" si="13"/>
        <v>Restricted Party Screening (RPS)</v>
      </c>
      <c r="Y343" s="243" t="s">
        <v>1800</v>
      </c>
    </row>
    <row r="344" spans="1:25" hidden="1" x14ac:dyDescent="0.25">
      <c r="A344" s="243" t="s">
        <v>717</v>
      </c>
      <c r="B344" s="243" t="s">
        <v>3155</v>
      </c>
      <c r="C344" s="243">
        <v>68427709</v>
      </c>
      <c r="D344" s="244" t="s">
        <v>59</v>
      </c>
      <c r="E344" s="243" t="s">
        <v>60</v>
      </c>
      <c r="F344" s="243" t="s">
        <v>46</v>
      </c>
      <c r="G344" s="245" t="s">
        <v>3144</v>
      </c>
      <c r="H344" s="243" t="s">
        <v>3156</v>
      </c>
      <c r="I344" s="22">
        <v>198049</v>
      </c>
      <c r="J344" s="243" t="s">
        <v>3157</v>
      </c>
      <c r="L344" s="249">
        <v>5400867960</v>
      </c>
      <c r="M344" s="246">
        <v>30</v>
      </c>
      <c r="N344" s="22" t="s">
        <v>2870</v>
      </c>
      <c r="O344" s="22" t="s">
        <v>2864</v>
      </c>
      <c r="P344" s="22" t="s">
        <v>3158</v>
      </c>
      <c r="Q344" s="243" t="s">
        <v>3114</v>
      </c>
      <c r="R344" s="243" t="s">
        <v>3098</v>
      </c>
      <c r="S344" s="247">
        <v>30000</v>
      </c>
      <c r="T344" s="247">
        <v>0</v>
      </c>
      <c r="U344" s="247">
        <f t="shared" si="12"/>
        <v>-30000</v>
      </c>
      <c r="V344" s="248">
        <v>0</v>
      </c>
      <c r="X344" s="243" t="str">
        <f t="shared" si="13"/>
        <v>Apptio</v>
      </c>
      <c r="Y344" s="243" t="s">
        <v>1800</v>
      </c>
    </row>
    <row r="345" spans="1:25" hidden="1" x14ac:dyDescent="0.25">
      <c r="A345" s="22" t="s">
        <v>2110</v>
      </c>
      <c r="C345" s="243">
        <v>68427709</v>
      </c>
      <c r="D345" s="244" t="s">
        <v>59</v>
      </c>
      <c r="E345" s="243" t="s">
        <v>60</v>
      </c>
      <c r="F345" s="92" t="s">
        <v>46</v>
      </c>
      <c r="G345" s="245"/>
      <c r="H345" s="243" t="s">
        <v>3210</v>
      </c>
      <c r="I345" s="22">
        <v>207943</v>
      </c>
      <c r="J345" s="22" t="s">
        <v>3211</v>
      </c>
      <c r="K345" s="22"/>
      <c r="L345" s="246">
        <v>5400994224</v>
      </c>
      <c r="M345" s="246">
        <v>10</v>
      </c>
      <c r="N345" s="22" t="s">
        <v>2870</v>
      </c>
      <c r="O345" s="22" t="s">
        <v>2500</v>
      </c>
      <c r="P345" s="22" t="s">
        <v>2500</v>
      </c>
      <c r="Q345" s="243" t="s">
        <v>3170</v>
      </c>
      <c r="R345" s="243" t="s">
        <v>517</v>
      </c>
      <c r="S345" s="247">
        <v>162000</v>
      </c>
      <c r="T345" s="247">
        <v>0</v>
      </c>
      <c r="U345" s="247">
        <f t="shared" si="12"/>
        <v>-162000</v>
      </c>
      <c r="V345" s="248">
        <v>0</v>
      </c>
      <c r="X345" s="243" t="str">
        <f t="shared" si="13"/>
        <v>Boost.AI</v>
      </c>
      <c r="Y345" s="243" t="s">
        <v>1800</v>
      </c>
    </row>
    <row r="346" spans="1:25" hidden="1" x14ac:dyDescent="0.25">
      <c r="A346" s="92" t="s">
        <v>1763</v>
      </c>
      <c r="C346" s="243">
        <v>68427709</v>
      </c>
      <c r="D346" s="244" t="s">
        <v>59</v>
      </c>
      <c r="E346" s="243" t="s">
        <v>60</v>
      </c>
      <c r="F346" s="92" t="s">
        <v>46</v>
      </c>
      <c r="G346" s="245"/>
      <c r="H346" s="243" t="s">
        <v>3243</v>
      </c>
      <c r="I346" s="188">
        <v>205719</v>
      </c>
      <c r="J346" s="188" t="s">
        <v>1763</v>
      </c>
      <c r="K346" s="188"/>
      <c r="L346" s="246"/>
      <c r="M346" s="246">
        <v>70</v>
      </c>
      <c r="N346" s="92" t="s">
        <v>2870</v>
      </c>
      <c r="O346" s="92" t="s">
        <v>2864</v>
      </c>
      <c r="P346" s="92" t="s">
        <v>3244</v>
      </c>
      <c r="Q346" s="243" t="s">
        <v>3114</v>
      </c>
      <c r="R346" s="92" t="s">
        <v>3136</v>
      </c>
      <c r="S346" s="247">
        <v>0</v>
      </c>
      <c r="T346" s="247">
        <v>0</v>
      </c>
      <c r="U346" s="247">
        <f t="shared" si="12"/>
        <v>0</v>
      </c>
      <c r="V346" s="248">
        <v>0</v>
      </c>
      <c r="X346" s="243" t="str">
        <f t="shared" si="13"/>
        <v>Condeco</v>
      </c>
      <c r="Y346" s="243" t="s">
        <v>5794</v>
      </c>
    </row>
    <row r="347" spans="1:25" hidden="1" x14ac:dyDescent="0.25">
      <c r="A347" s="22" t="s">
        <v>3262</v>
      </c>
      <c r="B347" s="243" t="s">
        <v>3263</v>
      </c>
      <c r="C347" s="243">
        <v>68427709</v>
      </c>
      <c r="D347" s="244" t="s">
        <v>59</v>
      </c>
      <c r="E347" s="22" t="s">
        <v>60</v>
      </c>
      <c r="F347" s="22" t="s">
        <v>46</v>
      </c>
      <c r="G347" s="245"/>
      <c r="H347" s="243" t="s">
        <v>3264</v>
      </c>
      <c r="I347" s="22">
        <v>193327</v>
      </c>
      <c r="J347" s="22" t="s">
        <v>3265</v>
      </c>
      <c r="K347" s="22"/>
      <c r="L347" s="24"/>
      <c r="M347" s="24">
        <v>10</v>
      </c>
      <c r="N347" s="22" t="s">
        <v>2870</v>
      </c>
      <c r="O347" s="22" t="s">
        <v>2864</v>
      </c>
      <c r="P347" s="22" t="s">
        <v>2781</v>
      </c>
      <c r="Q347" s="22" t="s">
        <v>3114</v>
      </c>
      <c r="R347" s="22" t="s">
        <v>3136</v>
      </c>
      <c r="S347" s="247">
        <v>0</v>
      </c>
      <c r="T347" s="247">
        <v>0</v>
      </c>
      <c r="U347" s="247">
        <f t="shared" si="12"/>
        <v>0</v>
      </c>
      <c r="V347" s="248">
        <v>0</v>
      </c>
      <c r="X347" s="243" t="str">
        <f t="shared" si="13"/>
        <v>Cornerstone Performance and Talent</v>
      </c>
      <c r="Y347" s="243" t="s">
        <v>5794</v>
      </c>
    </row>
    <row r="348" spans="1:25" hidden="1" x14ac:dyDescent="0.25">
      <c r="A348" s="243" t="s">
        <v>2377</v>
      </c>
      <c r="B348" s="243" t="s">
        <v>3271</v>
      </c>
      <c r="C348" s="243">
        <v>68427709</v>
      </c>
      <c r="D348" s="244" t="s">
        <v>59</v>
      </c>
      <c r="E348" s="243" t="s">
        <v>60</v>
      </c>
      <c r="F348" s="243" t="s">
        <v>46</v>
      </c>
      <c r="G348" s="245"/>
      <c r="H348" s="243" t="s">
        <v>3272</v>
      </c>
      <c r="I348" s="243">
        <v>188862</v>
      </c>
      <c r="J348" s="243" t="s">
        <v>3273</v>
      </c>
      <c r="L348" s="246">
        <v>5401025057</v>
      </c>
      <c r="M348" s="246">
        <v>10</v>
      </c>
      <c r="N348" s="243" t="s">
        <v>2870</v>
      </c>
      <c r="O348" s="243" t="s">
        <v>2500</v>
      </c>
      <c r="P348" s="22" t="s">
        <v>2500</v>
      </c>
      <c r="Q348" s="243" t="s">
        <v>3114</v>
      </c>
      <c r="R348" s="22" t="s">
        <v>3175</v>
      </c>
      <c r="S348" s="247">
        <v>307000</v>
      </c>
      <c r="T348" s="247">
        <v>0</v>
      </c>
      <c r="U348" s="247">
        <f t="shared" si="12"/>
        <v>-307000</v>
      </c>
      <c r="V348" s="248">
        <v>0</v>
      </c>
      <c r="X348" s="243" t="str">
        <f t="shared" si="13"/>
        <v>CX Social</v>
      </c>
      <c r="Y348" s="243" t="s">
        <v>1800</v>
      </c>
    </row>
    <row r="349" spans="1:25" hidden="1" x14ac:dyDescent="0.25">
      <c r="A349" s="22" t="s">
        <v>2745</v>
      </c>
      <c r="B349" s="243" t="s">
        <v>3310</v>
      </c>
      <c r="C349" s="243">
        <v>68427709</v>
      </c>
      <c r="D349" s="244" t="s">
        <v>59</v>
      </c>
      <c r="E349" s="22" t="s">
        <v>60</v>
      </c>
      <c r="F349" s="22" t="s">
        <v>46</v>
      </c>
      <c r="G349" s="245"/>
      <c r="H349" s="243" t="s">
        <v>3153</v>
      </c>
      <c r="I349" s="22">
        <v>166095</v>
      </c>
      <c r="J349" s="22" t="s">
        <v>3311</v>
      </c>
      <c r="K349" s="22"/>
      <c r="L349" s="24">
        <v>5401024378</v>
      </c>
      <c r="M349" s="24">
        <v>20</v>
      </c>
      <c r="N349" s="22" t="s">
        <v>2870</v>
      </c>
      <c r="O349" s="22" t="s">
        <v>2500</v>
      </c>
      <c r="P349" s="22" t="s">
        <v>2500</v>
      </c>
      <c r="Q349" s="22" t="s">
        <v>3114</v>
      </c>
      <c r="R349" s="22" t="s">
        <v>3175</v>
      </c>
      <c r="S349" s="247">
        <v>79000</v>
      </c>
      <c r="T349" s="247">
        <v>0</v>
      </c>
      <c r="U349" s="247">
        <f t="shared" si="12"/>
        <v>-79000</v>
      </c>
      <c r="V349" s="248">
        <v>0</v>
      </c>
      <c r="X349" s="243" t="str">
        <f t="shared" si="13"/>
        <v>EPI Server licenses</v>
      </c>
      <c r="Y349" s="243" t="s">
        <v>1800</v>
      </c>
    </row>
    <row r="350" spans="1:25" hidden="1" x14ac:dyDescent="0.25">
      <c r="A350" s="22" t="s">
        <v>2365</v>
      </c>
      <c r="B350" s="243" t="s">
        <v>3312</v>
      </c>
      <c r="C350" s="243">
        <v>68427709</v>
      </c>
      <c r="D350" s="244" t="s">
        <v>59</v>
      </c>
      <c r="E350" s="22" t="s">
        <v>60</v>
      </c>
      <c r="F350" s="22" t="s">
        <v>46</v>
      </c>
      <c r="G350" s="245"/>
      <c r="H350" s="243" t="s">
        <v>3313</v>
      </c>
      <c r="I350" s="22">
        <v>166095</v>
      </c>
      <c r="J350" s="22" t="s">
        <v>3311</v>
      </c>
      <c r="K350" s="22"/>
      <c r="L350" s="24">
        <v>5401024378</v>
      </c>
      <c r="M350" s="24">
        <v>10</v>
      </c>
      <c r="N350" s="22" t="s">
        <v>2870</v>
      </c>
      <c r="O350" s="22" t="s">
        <v>2800</v>
      </c>
      <c r="P350" s="22" t="s">
        <v>2356</v>
      </c>
      <c r="Q350" s="22" t="s">
        <v>3114</v>
      </c>
      <c r="R350" s="22" t="s">
        <v>3207</v>
      </c>
      <c r="S350" s="247">
        <v>113000</v>
      </c>
      <c r="T350" s="247">
        <v>0</v>
      </c>
      <c r="U350" s="247">
        <f t="shared" si="12"/>
        <v>-113000</v>
      </c>
      <c r="V350" s="257">
        <v>0</v>
      </c>
      <c r="W350" s="243" t="s">
        <v>6122</v>
      </c>
      <c r="X350" s="243" t="str">
        <f t="shared" si="13"/>
        <v>EpiFind licenses</v>
      </c>
      <c r="Y350" s="243" t="s">
        <v>1800</v>
      </c>
    </row>
    <row r="351" spans="1:25" hidden="1" x14ac:dyDescent="0.25">
      <c r="A351" s="22" t="s">
        <v>3266</v>
      </c>
      <c r="B351" s="243" t="s">
        <v>3267</v>
      </c>
      <c r="C351" s="243">
        <v>68427709</v>
      </c>
      <c r="D351" s="244" t="s">
        <v>59</v>
      </c>
      <c r="E351" s="243" t="s">
        <v>60</v>
      </c>
      <c r="F351" s="243" t="s">
        <v>46</v>
      </c>
      <c r="G351" s="245"/>
      <c r="H351" s="243" t="s">
        <v>3268</v>
      </c>
      <c r="I351" s="243">
        <v>198518</v>
      </c>
      <c r="J351" s="97" t="s">
        <v>3269</v>
      </c>
      <c r="K351" s="97"/>
      <c r="L351" s="246"/>
      <c r="M351" s="246">
        <v>10</v>
      </c>
      <c r="N351" s="22" t="s">
        <v>2870</v>
      </c>
      <c r="O351" s="22" t="s">
        <v>2864</v>
      </c>
      <c r="P351" s="22" t="s">
        <v>2781</v>
      </c>
      <c r="Q351" s="243" t="s">
        <v>3114</v>
      </c>
      <c r="R351" s="243" t="s">
        <v>3136</v>
      </c>
      <c r="S351" s="247">
        <v>0</v>
      </c>
      <c r="T351" s="247">
        <v>0</v>
      </c>
      <c r="U351" s="247">
        <f t="shared" si="12"/>
        <v>0</v>
      </c>
      <c r="V351" s="248">
        <v>0</v>
      </c>
      <c r="X351" s="243" t="str">
        <f t="shared" si="13"/>
        <v>Crunchr Licenses + Support</v>
      </c>
      <c r="Y351" s="243" t="s">
        <v>5794</v>
      </c>
    </row>
    <row r="352" spans="1:25" hidden="1" x14ac:dyDescent="0.25">
      <c r="A352" s="243" t="s">
        <v>2785</v>
      </c>
      <c r="B352" s="243" t="s">
        <v>6135</v>
      </c>
      <c r="C352" s="243">
        <v>68427709</v>
      </c>
      <c r="D352" s="244" t="s">
        <v>59</v>
      </c>
      <c r="E352" s="243" t="s">
        <v>60</v>
      </c>
      <c r="F352" s="243" t="s">
        <v>46</v>
      </c>
      <c r="G352" s="245"/>
      <c r="H352" s="243" t="s">
        <v>3343</v>
      </c>
      <c r="I352" s="243">
        <v>3000002</v>
      </c>
      <c r="J352" s="243" t="s">
        <v>3344</v>
      </c>
      <c r="L352" s="243">
        <v>5401018969</v>
      </c>
      <c r="M352" s="246">
        <v>10</v>
      </c>
      <c r="N352" s="243" t="s">
        <v>2870</v>
      </c>
      <c r="O352" s="243" t="s">
        <v>2864</v>
      </c>
      <c r="P352" s="22" t="s">
        <v>3244</v>
      </c>
      <c r="Q352" s="243" t="s">
        <v>3114</v>
      </c>
      <c r="R352" s="22" t="s">
        <v>3136</v>
      </c>
      <c r="S352" s="247">
        <v>157000</v>
      </c>
      <c r="T352" s="247">
        <v>0</v>
      </c>
      <c r="U352" s="247">
        <f t="shared" si="12"/>
        <v>-157000</v>
      </c>
      <c r="V352" s="248">
        <v>0</v>
      </c>
      <c r="X352" s="243" t="str">
        <f t="shared" si="13"/>
        <v>Nintex Workflow Complete Pack</v>
      </c>
      <c r="Y352" s="243" t="s">
        <v>1800</v>
      </c>
    </row>
    <row r="353" spans="1:25" hidden="1" x14ac:dyDescent="0.25">
      <c r="A353" s="243" t="s">
        <v>780</v>
      </c>
      <c r="B353" s="243" t="s">
        <v>3469</v>
      </c>
      <c r="C353" s="243">
        <v>68427709</v>
      </c>
      <c r="D353" s="244" t="s">
        <v>59</v>
      </c>
      <c r="E353" s="243" t="s">
        <v>60</v>
      </c>
      <c r="F353" s="22" t="s">
        <v>46</v>
      </c>
      <c r="G353" s="245" t="s">
        <v>3144</v>
      </c>
      <c r="H353" s="243" t="s">
        <v>3470</v>
      </c>
      <c r="I353" s="22">
        <v>152539</v>
      </c>
      <c r="J353" s="22" t="s">
        <v>125</v>
      </c>
      <c r="K353" s="22"/>
      <c r="M353" s="246"/>
      <c r="N353" s="22" t="s">
        <v>2410</v>
      </c>
      <c r="O353" s="22" t="s">
        <v>6109</v>
      </c>
      <c r="P353" s="22" t="s">
        <v>3132</v>
      </c>
      <c r="Q353" s="243" t="s">
        <v>3114</v>
      </c>
      <c r="R353" s="243" t="s">
        <v>3133</v>
      </c>
      <c r="S353" s="247">
        <v>54000</v>
      </c>
      <c r="T353" s="247">
        <v>0</v>
      </c>
      <c r="U353" s="247">
        <f t="shared" si="12"/>
        <v>-54000</v>
      </c>
      <c r="V353" s="248">
        <v>0</v>
      </c>
      <c r="X353" s="243" t="str">
        <f t="shared" si="13"/>
        <v>Netwrix Subscription</v>
      </c>
      <c r="Y353" s="243" t="s">
        <v>1800</v>
      </c>
    </row>
    <row r="354" spans="1:25" hidden="1" x14ac:dyDescent="0.25">
      <c r="A354" s="243" t="s">
        <v>2373</v>
      </c>
      <c r="B354" s="243" t="s">
        <v>3430</v>
      </c>
      <c r="C354" s="243">
        <v>68427709</v>
      </c>
      <c r="D354" s="244" t="s">
        <v>59</v>
      </c>
      <c r="E354" s="243" t="s">
        <v>60</v>
      </c>
      <c r="F354" s="243" t="s">
        <v>46</v>
      </c>
      <c r="G354" s="245"/>
      <c r="H354" s="243" t="s">
        <v>3296</v>
      </c>
      <c r="I354" s="22">
        <v>197081</v>
      </c>
      <c r="J354" s="22" t="s">
        <v>586</v>
      </c>
      <c r="K354" s="22"/>
      <c r="M354" s="246"/>
      <c r="N354" s="22" t="s">
        <v>2870</v>
      </c>
      <c r="O354" s="22" t="s">
        <v>2500</v>
      </c>
      <c r="P354" s="22" t="s">
        <v>2500</v>
      </c>
      <c r="Q354" s="243" t="s">
        <v>3170</v>
      </c>
      <c r="R354" s="243" t="s">
        <v>517</v>
      </c>
      <c r="S354" s="247">
        <v>0</v>
      </c>
      <c r="T354" s="247">
        <v>0</v>
      </c>
      <c r="U354" s="247">
        <f t="shared" si="12"/>
        <v>0</v>
      </c>
      <c r="V354" s="248">
        <v>0</v>
      </c>
      <c r="X354" s="243" t="str">
        <f t="shared" si="13"/>
        <v>Magento Commerce</v>
      </c>
      <c r="Y354" s="243" t="s">
        <v>5794</v>
      </c>
    </row>
    <row r="355" spans="1:25" hidden="1" x14ac:dyDescent="0.25">
      <c r="A355" s="243" t="s">
        <v>2601</v>
      </c>
      <c r="B355" s="243" t="s">
        <v>3433</v>
      </c>
      <c r="C355" s="243">
        <v>68427709</v>
      </c>
      <c r="D355" s="244" t="s">
        <v>59</v>
      </c>
      <c r="E355" s="243" t="s">
        <v>60</v>
      </c>
      <c r="F355" s="243" t="s">
        <v>46</v>
      </c>
      <c r="G355" s="245"/>
      <c r="H355" s="243" t="s">
        <v>3434</v>
      </c>
      <c r="I355" s="22">
        <v>197081</v>
      </c>
      <c r="J355" s="22" t="s">
        <v>586</v>
      </c>
      <c r="K355" s="22"/>
      <c r="M355" s="246"/>
      <c r="N355" s="22" t="s">
        <v>2870</v>
      </c>
      <c r="O355" s="22" t="s">
        <v>2500</v>
      </c>
      <c r="P355" s="22" t="s">
        <v>2500</v>
      </c>
      <c r="Q355" s="243" t="s">
        <v>3170</v>
      </c>
      <c r="R355" s="243" t="s">
        <v>517</v>
      </c>
      <c r="S355" s="247">
        <v>0</v>
      </c>
      <c r="T355" s="247">
        <v>0</v>
      </c>
      <c r="U355" s="247">
        <f t="shared" si="12"/>
        <v>0</v>
      </c>
      <c r="V355" s="248">
        <v>0</v>
      </c>
      <c r="X355" s="243" t="str">
        <f t="shared" si="13"/>
        <v>Magento Order Management</v>
      </c>
      <c r="Y355" s="243" t="s">
        <v>5794</v>
      </c>
    </row>
    <row r="356" spans="1:25" hidden="1" x14ac:dyDescent="0.25">
      <c r="A356" s="92" t="s">
        <v>2187</v>
      </c>
      <c r="C356" s="243">
        <v>68427709</v>
      </c>
      <c r="D356" s="244" t="s">
        <v>59</v>
      </c>
      <c r="E356" s="243" t="s">
        <v>60</v>
      </c>
      <c r="F356" s="243" t="s">
        <v>46</v>
      </c>
      <c r="G356" s="245"/>
      <c r="H356" s="243" t="s">
        <v>3467</v>
      </c>
      <c r="I356" s="92">
        <v>209658</v>
      </c>
      <c r="J356" s="92" t="s">
        <v>3468</v>
      </c>
      <c r="K356" s="92"/>
      <c r="L356" s="32">
        <v>5401019427</v>
      </c>
      <c r="M356" s="94" t="s">
        <v>3746</v>
      </c>
      <c r="N356" s="243" t="s">
        <v>2870</v>
      </c>
      <c r="O356" s="243" t="s">
        <v>2864</v>
      </c>
      <c r="P356" s="92" t="s">
        <v>3244</v>
      </c>
      <c r="Q356" s="243" t="s">
        <v>3114</v>
      </c>
      <c r="R356" s="243" t="s">
        <v>3136</v>
      </c>
      <c r="S356" s="247">
        <v>15000</v>
      </c>
      <c r="T356" s="247">
        <v>0</v>
      </c>
      <c r="U356" s="247">
        <f t="shared" si="12"/>
        <v>-15000</v>
      </c>
      <c r="V356" s="248">
        <v>0</v>
      </c>
      <c r="X356" s="243" t="str">
        <f t="shared" si="13"/>
        <v>Mural</v>
      </c>
      <c r="Y356" s="243" t="s">
        <v>1800</v>
      </c>
    </row>
    <row r="357" spans="1:25" hidden="1" x14ac:dyDescent="0.25">
      <c r="A357" s="243" t="s">
        <v>1994</v>
      </c>
      <c r="C357" s="243">
        <v>68427709</v>
      </c>
      <c r="D357" s="244" t="s">
        <v>59</v>
      </c>
      <c r="E357" s="243" t="s">
        <v>60</v>
      </c>
      <c r="F357" s="243" t="s">
        <v>46</v>
      </c>
      <c r="G357" s="245"/>
      <c r="H357" s="243" t="s">
        <v>3472</v>
      </c>
      <c r="I357" s="243">
        <v>203848</v>
      </c>
      <c r="J357" s="22" t="s">
        <v>3473</v>
      </c>
      <c r="K357" s="22"/>
      <c r="L357" s="246"/>
      <c r="M357" s="246">
        <v>10</v>
      </c>
      <c r="N357" s="22" t="s">
        <v>2870</v>
      </c>
      <c r="O357" s="22" t="s">
        <v>2500</v>
      </c>
      <c r="P357" s="22" t="s">
        <v>2500</v>
      </c>
      <c r="Q357" s="243" t="s">
        <v>3170</v>
      </c>
      <c r="R357" s="243" t="s">
        <v>517</v>
      </c>
      <c r="S357" s="247">
        <v>0</v>
      </c>
      <c r="T357" s="247">
        <v>0</v>
      </c>
      <c r="U357" s="247">
        <f t="shared" si="12"/>
        <v>0</v>
      </c>
      <c r="V357" s="248">
        <v>0</v>
      </c>
      <c r="X357" s="243" t="str">
        <f t="shared" si="13"/>
        <v>NewRelic</v>
      </c>
      <c r="Y357" s="243" t="s">
        <v>5794</v>
      </c>
    </row>
    <row r="358" spans="1:25" hidden="1" x14ac:dyDescent="0.25">
      <c r="A358" s="243" t="s">
        <v>1703</v>
      </c>
      <c r="C358" s="243">
        <v>68427709</v>
      </c>
      <c r="D358" s="244" t="s">
        <v>59</v>
      </c>
      <c r="E358" s="243" t="s">
        <v>60</v>
      </c>
      <c r="F358" s="244" t="s">
        <v>46</v>
      </c>
      <c r="G358" s="245" t="s">
        <v>2445</v>
      </c>
      <c r="H358" s="243" t="s">
        <v>3116</v>
      </c>
      <c r="I358" s="243">
        <v>118054</v>
      </c>
      <c r="J358" s="243" t="s">
        <v>1096</v>
      </c>
      <c r="M358" s="246"/>
      <c r="N358" s="22" t="s">
        <v>2410</v>
      </c>
      <c r="O358" s="22" t="s">
        <v>6109</v>
      </c>
      <c r="P358" s="22" t="s">
        <v>2410</v>
      </c>
      <c r="Q358" s="243" t="s">
        <v>3114</v>
      </c>
      <c r="R358" s="243" t="s">
        <v>3133</v>
      </c>
      <c r="S358" s="247">
        <v>75000</v>
      </c>
      <c r="T358" s="247">
        <v>0</v>
      </c>
      <c r="U358" s="247">
        <f t="shared" si="12"/>
        <v>-75000</v>
      </c>
      <c r="V358" s="248">
        <v>0</v>
      </c>
      <c r="X358" s="243" t="str">
        <f t="shared" si="13"/>
        <v>Oracle: Java components coming under licenses</v>
      </c>
      <c r="Y358" s="243" t="s">
        <v>1800</v>
      </c>
    </row>
    <row r="359" spans="1:25" hidden="1" x14ac:dyDescent="0.25">
      <c r="A359" s="92" t="s">
        <v>2583</v>
      </c>
      <c r="B359" s="243" t="s">
        <v>3231</v>
      </c>
      <c r="C359" s="243">
        <v>68427709</v>
      </c>
      <c r="D359" s="244" t="s">
        <v>59</v>
      </c>
      <c r="E359" s="92" t="s">
        <v>60</v>
      </c>
      <c r="F359" s="92" t="s">
        <v>46</v>
      </c>
      <c r="G359" s="245"/>
      <c r="H359" s="243" t="s">
        <v>3232</v>
      </c>
      <c r="I359" s="92">
        <v>181895</v>
      </c>
      <c r="J359" s="92" t="s">
        <v>3233</v>
      </c>
      <c r="K359" s="92"/>
      <c r="L359" s="93">
        <v>5401032935</v>
      </c>
      <c r="M359" s="93">
        <v>10</v>
      </c>
      <c r="N359" s="92" t="s">
        <v>2870</v>
      </c>
      <c r="O359" s="92" t="s">
        <v>2864</v>
      </c>
      <c r="P359" s="22" t="s">
        <v>423</v>
      </c>
      <c r="Q359" s="92" t="s">
        <v>3170</v>
      </c>
      <c r="R359" s="92" t="s">
        <v>3120</v>
      </c>
      <c r="S359" s="247">
        <v>432000</v>
      </c>
      <c r="T359" s="247">
        <v>0</v>
      </c>
      <c r="U359" s="247">
        <f t="shared" si="12"/>
        <v>-432000</v>
      </c>
      <c r="V359" s="248">
        <v>0</v>
      </c>
      <c r="X359" s="243" t="str">
        <f t="shared" si="13"/>
        <v>Coffee Care licenses</v>
      </c>
      <c r="Y359" s="243" t="s">
        <v>1800</v>
      </c>
    </row>
    <row r="360" spans="1:25" hidden="1" x14ac:dyDescent="0.25">
      <c r="A360" s="22" t="s">
        <v>2607</v>
      </c>
      <c r="C360" s="243">
        <v>68427709</v>
      </c>
      <c r="D360" s="244" t="s">
        <v>59</v>
      </c>
      <c r="E360" s="243" t="s">
        <v>60</v>
      </c>
      <c r="F360" s="243" t="s">
        <v>46</v>
      </c>
      <c r="G360" s="245"/>
      <c r="H360" s="243" t="s">
        <v>3698</v>
      </c>
      <c r="I360" s="22">
        <v>209836</v>
      </c>
      <c r="J360" s="22" t="s">
        <v>3699</v>
      </c>
      <c r="K360" s="22"/>
      <c r="L360" s="249"/>
      <c r="M360" s="246"/>
      <c r="N360" s="22" t="s">
        <v>2870</v>
      </c>
      <c r="O360" s="22" t="s">
        <v>2500</v>
      </c>
      <c r="P360" s="22" t="s">
        <v>2500</v>
      </c>
      <c r="Q360" s="243" t="s">
        <v>3114</v>
      </c>
      <c r="R360" s="243" t="s">
        <v>517</v>
      </c>
      <c r="S360" s="247">
        <v>70000</v>
      </c>
      <c r="T360" s="247">
        <v>0</v>
      </c>
      <c r="U360" s="247">
        <f t="shared" si="12"/>
        <v>-70000</v>
      </c>
      <c r="V360" s="248">
        <v>0</v>
      </c>
      <c r="X360" s="243" t="str">
        <f t="shared" si="13"/>
        <v>WeGrow licences + upgrade</v>
      </c>
      <c r="Y360" s="243" t="s">
        <v>1800</v>
      </c>
    </row>
    <row r="361" spans="1:25" hidden="1" x14ac:dyDescent="0.25">
      <c r="A361" s="243" t="s">
        <v>1327</v>
      </c>
      <c r="C361" s="243">
        <v>68427719</v>
      </c>
      <c r="D361" s="244" t="s">
        <v>59</v>
      </c>
      <c r="E361" s="243" t="s">
        <v>60</v>
      </c>
      <c r="F361" s="243" t="s">
        <v>46</v>
      </c>
      <c r="G361" s="245"/>
      <c r="H361" s="243" t="s">
        <v>3625</v>
      </c>
      <c r="I361" s="243">
        <v>201096</v>
      </c>
      <c r="J361" s="243" t="s">
        <v>1327</v>
      </c>
      <c r="L361" s="243">
        <v>5400985273</v>
      </c>
      <c r="M361" s="246">
        <v>10</v>
      </c>
      <c r="N361" s="22" t="s">
        <v>2870</v>
      </c>
      <c r="O361" s="22" t="s">
        <v>2800</v>
      </c>
      <c r="P361" s="22" t="s">
        <v>2356</v>
      </c>
      <c r="Q361" s="243" t="s">
        <v>3114</v>
      </c>
      <c r="R361" s="243" t="s">
        <v>3207</v>
      </c>
      <c r="S361" s="247">
        <v>24000</v>
      </c>
      <c r="T361" s="247">
        <v>0</v>
      </c>
      <c r="U361" s="247">
        <f t="shared" si="12"/>
        <v>-24000</v>
      </c>
      <c r="V361" s="257"/>
      <c r="W361" s="243" t="s">
        <v>6122</v>
      </c>
      <c r="X361" s="243" t="str">
        <f t="shared" si="13"/>
        <v>Shopspray</v>
      </c>
      <c r="Y361" s="243" t="s">
        <v>1800</v>
      </c>
    </row>
    <row r="362" spans="1:25" hidden="1" x14ac:dyDescent="0.25">
      <c r="A362" s="22" t="s">
        <v>357</v>
      </c>
      <c r="B362" s="243" t="s">
        <v>3670</v>
      </c>
      <c r="C362" s="243">
        <v>68427709</v>
      </c>
      <c r="D362" s="244" t="s">
        <v>59</v>
      </c>
      <c r="E362" s="22" t="s">
        <v>60</v>
      </c>
      <c r="F362" s="22" t="s">
        <v>46</v>
      </c>
      <c r="G362" s="245"/>
      <c r="H362" s="243" t="s">
        <v>3492</v>
      </c>
      <c r="I362" s="22">
        <v>169113</v>
      </c>
      <c r="J362" s="22" t="s">
        <v>3493</v>
      </c>
      <c r="K362" s="22"/>
      <c r="L362" s="24">
        <v>5400984016</v>
      </c>
      <c r="M362" s="24">
        <v>10</v>
      </c>
      <c r="N362" s="22" t="s">
        <v>2870</v>
      </c>
      <c r="O362" s="22" t="s">
        <v>2864</v>
      </c>
      <c r="P362" s="22" t="s">
        <v>3183</v>
      </c>
      <c r="Q362" s="22" t="s">
        <v>3114</v>
      </c>
      <c r="R362" s="22" t="s">
        <v>3125</v>
      </c>
      <c r="S362" s="247">
        <v>0</v>
      </c>
      <c r="T362" s="247">
        <v>0</v>
      </c>
      <c r="U362" s="247">
        <f t="shared" si="12"/>
        <v>0</v>
      </c>
      <c r="V362" s="248">
        <v>0</v>
      </c>
      <c r="X362" s="243" t="str">
        <f t="shared" si="13"/>
        <v>Packflow</v>
      </c>
      <c r="Y362" s="243" t="s">
        <v>5794</v>
      </c>
    </row>
    <row r="363" spans="1:25" hidden="1" x14ac:dyDescent="0.25">
      <c r="A363" s="22" t="s">
        <v>2543</v>
      </c>
      <c r="C363" s="243">
        <v>68427719</v>
      </c>
      <c r="D363" s="244" t="s">
        <v>59</v>
      </c>
      <c r="E363" s="243" t="s">
        <v>60</v>
      </c>
      <c r="F363" s="243" t="s">
        <v>46</v>
      </c>
      <c r="G363" s="245"/>
      <c r="H363" s="243" t="s">
        <v>3346</v>
      </c>
      <c r="I363" s="22">
        <v>204549</v>
      </c>
      <c r="J363" s="22" t="s">
        <v>3347</v>
      </c>
      <c r="K363" s="22"/>
      <c r="L363" s="249">
        <v>5400980472</v>
      </c>
      <c r="M363" s="246">
        <v>10</v>
      </c>
      <c r="N363" s="92" t="s">
        <v>2800</v>
      </c>
      <c r="O363" s="92" t="s">
        <v>2800</v>
      </c>
      <c r="P363" s="92" t="s">
        <v>2800</v>
      </c>
      <c r="Q363" s="243" t="s">
        <v>3206</v>
      </c>
      <c r="R363" s="243" t="s">
        <v>3207</v>
      </c>
      <c r="S363" s="247">
        <v>16000</v>
      </c>
      <c r="T363" s="247">
        <v>0</v>
      </c>
      <c r="U363" s="247">
        <f t="shared" si="12"/>
        <v>-16000</v>
      </c>
      <c r="V363" s="257"/>
      <c r="W363" s="243" t="s">
        <v>6122</v>
      </c>
      <c r="X363" s="243" t="str">
        <f t="shared" si="13"/>
        <v>Getfeedback</v>
      </c>
      <c r="Y363" s="243" t="s">
        <v>1800</v>
      </c>
    </row>
    <row r="364" spans="1:25" hidden="1" x14ac:dyDescent="0.25">
      <c r="A364" s="22" t="s">
        <v>2893</v>
      </c>
      <c r="C364" s="243">
        <v>68427709</v>
      </c>
      <c r="D364" s="244" t="s">
        <v>59</v>
      </c>
      <c r="E364" s="243" t="s">
        <v>60</v>
      </c>
      <c r="F364" s="243" t="s">
        <v>46</v>
      </c>
      <c r="G364" s="245"/>
      <c r="H364" s="243" t="s">
        <v>3508</v>
      </c>
      <c r="I364" s="243">
        <v>199582</v>
      </c>
      <c r="J364" s="22" t="s">
        <v>169</v>
      </c>
      <c r="K364" s="22"/>
      <c r="L364" s="249"/>
      <c r="M364" s="246"/>
      <c r="N364" s="22" t="s">
        <v>2870</v>
      </c>
      <c r="O364" s="22" t="s">
        <v>2864</v>
      </c>
      <c r="P364" s="22" t="s">
        <v>1479</v>
      </c>
      <c r="Q364" s="243" t="s">
        <v>3170</v>
      </c>
      <c r="R364" s="243" t="s">
        <v>3120</v>
      </c>
      <c r="S364" s="247">
        <v>76000</v>
      </c>
      <c r="T364" s="247">
        <v>0</v>
      </c>
      <c r="U364" s="247">
        <f t="shared" si="12"/>
        <v>-76000</v>
      </c>
      <c r="V364" s="248">
        <v>0</v>
      </c>
      <c r="X364" s="243" t="str">
        <f t="shared" si="13"/>
        <v>Plat4mation Hospitality App</v>
      </c>
      <c r="Y364" s="243" t="s">
        <v>1800</v>
      </c>
    </row>
    <row r="365" spans="1:25" hidden="1" x14ac:dyDescent="0.25">
      <c r="A365" s="22" t="s">
        <v>3348</v>
      </c>
      <c r="C365" s="243">
        <v>68427709</v>
      </c>
      <c r="D365" s="244" t="s">
        <v>59</v>
      </c>
      <c r="E365" s="243" t="s">
        <v>60</v>
      </c>
      <c r="F365" s="92" t="s">
        <v>46</v>
      </c>
      <c r="G365" s="245"/>
      <c r="H365" s="243" t="s">
        <v>3349</v>
      </c>
      <c r="J365" s="22"/>
      <c r="K365" s="22"/>
      <c r="L365" s="249"/>
      <c r="M365" s="246"/>
      <c r="N365" s="92" t="s">
        <v>2870</v>
      </c>
      <c r="O365" s="92" t="s">
        <v>2500</v>
      </c>
      <c r="P365" s="22" t="s">
        <v>2500</v>
      </c>
      <c r="Q365" s="243" t="s">
        <v>3170</v>
      </c>
      <c r="R365" s="243" t="s">
        <v>517</v>
      </c>
      <c r="S365" s="247">
        <v>11250</v>
      </c>
      <c r="T365" s="247">
        <v>0</v>
      </c>
      <c r="U365" s="247">
        <f t="shared" si="12"/>
        <v>-11250</v>
      </c>
      <c r="V365" s="248">
        <v>0</v>
      </c>
      <c r="X365" s="243" t="str">
        <f t="shared" si="13"/>
        <v>GetFeedback - DTC</v>
      </c>
      <c r="Y365" s="243" t="s">
        <v>1800</v>
      </c>
    </row>
    <row r="366" spans="1:25" customFormat="1" hidden="1" x14ac:dyDescent="0.25">
      <c r="A366" s="22" t="s">
        <v>2949</v>
      </c>
      <c r="C366">
        <v>68427709</v>
      </c>
      <c r="D366" s="91" t="s">
        <v>19</v>
      </c>
      <c r="E366" t="s">
        <v>20</v>
      </c>
      <c r="F366" t="s">
        <v>16</v>
      </c>
      <c r="G366" s="266" t="s">
        <v>2448</v>
      </c>
      <c r="H366" t="s">
        <v>2903</v>
      </c>
      <c r="I366">
        <v>166304</v>
      </c>
      <c r="J366" s="92" t="s">
        <v>97</v>
      </c>
      <c r="K366" s="92"/>
      <c r="L366" s="203"/>
      <c r="M366" s="20"/>
      <c r="N366" s="267" t="s">
        <v>2410</v>
      </c>
      <c r="O366" t="s">
        <v>2903</v>
      </c>
      <c r="P366" t="s">
        <v>2410</v>
      </c>
      <c r="Q366" t="s">
        <v>3124</v>
      </c>
      <c r="R366" t="s">
        <v>2903</v>
      </c>
      <c r="S366" s="7"/>
      <c r="T366" s="7">
        <v>400000</v>
      </c>
      <c r="U366" s="247">
        <f t="shared" si="12"/>
        <v>400000</v>
      </c>
      <c r="V366" s="248">
        <v>400000</v>
      </c>
      <c r="X366" s="243" t="str">
        <f t="shared" si="13"/>
        <v>Microsoft Azure: OT DMZ</v>
      </c>
      <c r="Y366" s="243" t="s">
        <v>1829</v>
      </c>
    </row>
    <row r="367" spans="1:25" customFormat="1" hidden="1" x14ac:dyDescent="0.25">
      <c r="A367" s="22" t="s">
        <v>2957</v>
      </c>
      <c r="C367">
        <v>68427709</v>
      </c>
      <c r="D367" s="91" t="s">
        <v>19</v>
      </c>
      <c r="E367" t="s">
        <v>20</v>
      </c>
      <c r="F367" t="s">
        <v>16</v>
      </c>
      <c r="G367" s="266" t="s">
        <v>2448</v>
      </c>
      <c r="H367" t="s">
        <v>2903</v>
      </c>
      <c r="I367">
        <v>166304</v>
      </c>
      <c r="J367" s="92" t="s">
        <v>97</v>
      </c>
      <c r="K367" s="92"/>
      <c r="L367" s="203"/>
      <c r="M367" s="20"/>
      <c r="N367" s="267" t="s">
        <v>2410</v>
      </c>
      <c r="O367" t="s">
        <v>2903</v>
      </c>
      <c r="P367" t="s">
        <v>2410</v>
      </c>
      <c r="Q367" t="s">
        <v>3124</v>
      </c>
      <c r="R367" t="s">
        <v>2903</v>
      </c>
      <c r="S367" s="7"/>
      <c r="T367" s="7">
        <v>200000</v>
      </c>
      <c r="U367" s="247">
        <f t="shared" si="12"/>
        <v>200000</v>
      </c>
      <c r="V367" s="248">
        <v>200000</v>
      </c>
      <c r="X367" s="243" t="str">
        <f t="shared" si="13"/>
        <v>Microsoft Azure: ACN_SOC-OT</v>
      </c>
      <c r="Y367" s="243" t="s">
        <v>1829</v>
      </c>
    </row>
    <row r="368" spans="1:25" customFormat="1" x14ac:dyDescent="0.25">
      <c r="A368" s="243" t="s">
        <v>3494</v>
      </c>
      <c r="B368" s="243" t="s">
        <v>3495</v>
      </c>
      <c r="C368" s="243">
        <v>68427709</v>
      </c>
      <c r="D368" s="244" t="s">
        <v>40</v>
      </c>
      <c r="E368" s="243" t="s">
        <v>42</v>
      </c>
      <c r="F368" s="243" t="s">
        <v>42</v>
      </c>
      <c r="G368" s="245" t="s">
        <v>2445</v>
      </c>
      <c r="H368" s="243" t="s">
        <v>3116</v>
      </c>
      <c r="I368" s="243">
        <v>187516</v>
      </c>
      <c r="J368" s="22" t="s">
        <v>799</v>
      </c>
      <c r="K368" s="22"/>
      <c r="L368" s="246"/>
      <c r="M368" s="246"/>
      <c r="N368" s="243" t="s">
        <v>2843</v>
      </c>
      <c r="O368" s="243" t="s">
        <v>6109</v>
      </c>
      <c r="P368" s="243" t="s">
        <v>2843</v>
      </c>
      <c r="Q368" s="243" t="s">
        <v>3114</v>
      </c>
      <c r="R368" s="243" t="s">
        <v>42</v>
      </c>
      <c r="S368" s="247">
        <v>200000</v>
      </c>
      <c r="T368" s="247">
        <v>200000</v>
      </c>
      <c r="U368" s="247">
        <f t="shared" si="12"/>
        <v>0</v>
      </c>
      <c r="V368" s="248">
        <v>184616.29</v>
      </c>
      <c r="W368" s="243"/>
      <c r="X368" s="243" t="str">
        <f t="shared" si="13"/>
        <v>Penetration Testing SAP / Sales Force /Web</v>
      </c>
      <c r="Y368" s="243" t="s">
        <v>5794</v>
      </c>
    </row>
    <row r="369" spans="1:25" customFormat="1" x14ac:dyDescent="0.25">
      <c r="A369" s="22" t="s">
        <v>2318</v>
      </c>
      <c r="B369" s="243"/>
      <c r="C369" s="243">
        <v>68427709</v>
      </c>
      <c r="D369" s="244" t="s">
        <v>40</v>
      </c>
      <c r="E369" s="243" t="s">
        <v>42</v>
      </c>
      <c r="F369" s="243" t="s">
        <v>42</v>
      </c>
      <c r="G369" s="245" t="s">
        <v>3096</v>
      </c>
      <c r="H369" s="243" t="s">
        <v>3530</v>
      </c>
      <c r="I369" s="22">
        <v>209514</v>
      </c>
      <c r="J369" s="22" t="s">
        <v>3531</v>
      </c>
      <c r="K369" s="22"/>
      <c r="L369" s="249">
        <v>5400978265</v>
      </c>
      <c r="M369" s="246">
        <v>10</v>
      </c>
      <c r="N369" s="243" t="s">
        <v>2843</v>
      </c>
      <c r="O369" s="243" t="s">
        <v>6109</v>
      </c>
      <c r="P369" s="92" t="s">
        <v>2843</v>
      </c>
      <c r="Q369" s="243" t="s">
        <v>3104</v>
      </c>
      <c r="R369" s="92" t="s">
        <v>42</v>
      </c>
      <c r="S369" s="247">
        <v>85000</v>
      </c>
      <c r="T369" s="247">
        <v>85000</v>
      </c>
      <c r="U369" s="247">
        <f t="shared" si="12"/>
        <v>0</v>
      </c>
      <c r="V369" s="248">
        <v>78461.919999999998</v>
      </c>
      <c r="W369" s="243"/>
      <c r="X369" s="243" t="str">
        <f t="shared" si="13"/>
        <v>Protect4S</v>
      </c>
      <c r="Y369" s="243" t="s">
        <v>5794</v>
      </c>
    </row>
    <row r="370" spans="1:25" customFormat="1" x14ac:dyDescent="0.25">
      <c r="A370" s="243" t="s">
        <v>1146</v>
      </c>
      <c r="B370" s="243"/>
      <c r="C370" s="243">
        <v>68427709</v>
      </c>
      <c r="D370" s="244" t="s">
        <v>40</v>
      </c>
      <c r="E370" s="243" t="s">
        <v>42</v>
      </c>
      <c r="F370" s="243" t="s">
        <v>42</v>
      </c>
      <c r="G370" s="245" t="s">
        <v>2445</v>
      </c>
      <c r="H370" s="243" t="s">
        <v>3116</v>
      </c>
      <c r="I370" s="243">
        <v>181508</v>
      </c>
      <c r="J370" s="243" t="s">
        <v>129</v>
      </c>
      <c r="K370" s="243"/>
      <c r="L370" s="246">
        <v>5400976383</v>
      </c>
      <c r="M370" s="246">
        <v>10</v>
      </c>
      <c r="N370" s="243" t="s">
        <v>2843</v>
      </c>
      <c r="O370" s="243" t="s">
        <v>6109</v>
      </c>
      <c r="P370" s="243" t="s">
        <v>2843</v>
      </c>
      <c r="Q370" s="243" t="s">
        <v>3114</v>
      </c>
      <c r="R370" s="243" t="s">
        <v>42</v>
      </c>
      <c r="S370" s="247">
        <v>50000</v>
      </c>
      <c r="T370" s="247">
        <v>50000</v>
      </c>
      <c r="U370" s="247">
        <f t="shared" si="12"/>
        <v>0</v>
      </c>
      <c r="V370" s="248">
        <v>46154.07</v>
      </c>
      <c r="W370" s="243"/>
      <c r="X370" s="243" t="str">
        <f t="shared" si="13"/>
        <v>Recurring Security Assessments</v>
      </c>
      <c r="Y370" s="243" t="s">
        <v>5794</v>
      </c>
    </row>
    <row r="371" spans="1:25" customFormat="1" x14ac:dyDescent="0.25">
      <c r="A371" s="92" t="s">
        <v>3605</v>
      </c>
      <c r="B371" s="243"/>
      <c r="C371" s="243">
        <v>68427709</v>
      </c>
      <c r="D371" s="244" t="s">
        <v>44</v>
      </c>
      <c r="E371" s="92" t="s">
        <v>75</v>
      </c>
      <c r="F371" s="92" t="s">
        <v>46</v>
      </c>
      <c r="G371" s="245"/>
      <c r="H371" s="243" t="s">
        <v>3388</v>
      </c>
      <c r="I371" s="243">
        <v>187516</v>
      </c>
      <c r="J371" s="22" t="s">
        <v>799</v>
      </c>
      <c r="K371" s="22"/>
      <c r="L371" s="259">
        <v>5401001779</v>
      </c>
      <c r="M371" s="93">
        <v>10</v>
      </c>
      <c r="N371" s="243" t="s">
        <v>2843</v>
      </c>
      <c r="O371" s="243" t="s">
        <v>6109</v>
      </c>
      <c r="P371" s="92" t="s">
        <v>2843</v>
      </c>
      <c r="Q371" s="243" t="s">
        <v>3114</v>
      </c>
      <c r="R371" s="92" t="s">
        <v>42</v>
      </c>
      <c r="S371" s="247">
        <v>130000</v>
      </c>
      <c r="T371" s="247">
        <v>130000</v>
      </c>
      <c r="U371" s="247">
        <f t="shared" si="12"/>
        <v>0</v>
      </c>
      <c r="V371" s="248">
        <v>120000.59</v>
      </c>
      <c r="W371" s="243"/>
      <c r="X371" s="243" t="str">
        <f t="shared" si="13"/>
        <v>Saviynt dedicated support team (EUC)</v>
      </c>
      <c r="Y371" s="243" t="s">
        <v>5794</v>
      </c>
    </row>
    <row r="372" spans="1:25" customFormat="1" x14ac:dyDescent="0.25">
      <c r="A372" s="22" t="s">
        <v>2986</v>
      </c>
      <c r="C372">
        <v>68427709</v>
      </c>
      <c r="D372" s="91" t="s">
        <v>40</v>
      </c>
      <c r="E372" t="s">
        <v>42</v>
      </c>
      <c r="F372" t="s">
        <v>42</v>
      </c>
      <c r="G372" s="266" t="s">
        <v>2448</v>
      </c>
      <c r="H372" t="s">
        <v>2903</v>
      </c>
      <c r="J372" s="22"/>
      <c r="K372" s="22"/>
      <c r="L372" s="203"/>
      <c r="M372" s="20"/>
      <c r="N372" s="268" t="s">
        <v>2843</v>
      </c>
      <c r="O372" t="s">
        <v>2903</v>
      </c>
      <c r="P372" t="s">
        <v>2843</v>
      </c>
      <c r="Q372" t="s">
        <v>3124</v>
      </c>
      <c r="R372" t="s">
        <v>2903</v>
      </c>
      <c r="S372" s="7"/>
      <c r="T372" s="7">
        <v>62500</v>
      </c>
      <c r="U372" s="247">
        <f t="shared" si="12"/>
        <v>62500</v>
      </c>
      <c r="V372" s="248">
        <v>62500</v>
      </c>
      <c r="X372" s="243" t="str">
        <f t="shared" si="13"/>
        <v>SoftwareOne</v>
      </c>
      <c r="Y372" s="243" t="s">
        <v>1829</v>
      </c>
    </row>
    <row r="373" spans="1:25" customFormat="1" x14ac:dyDescent="0.25">
      <c r="A373" s="243" t="s">
        <v>1964</v>
      </c>
      <c r="B373" s="243" t="s">
        <v>3668</v>
      </c>
      <c r="C373" s="243">
        <v>68427709</v>
      </c>
      <c r="D373" s="244" t="s">
        <v>40</v>
      </c>
      <c r="E373" s="243" t="s">
        <v>42</v>
      </c>
      <c r="F373" s="243" t="s">
        <v>42</v>
      </c>
      <c r="G373" s="245"/>
      <c r="H373" s="243" t="s">
        <v>3669</v>
      </c>
      <c r="I373" s="22">
        <v>152539</v>
      </c>
      <c r="J373" s="22" t="s">
        <v>125</v>
      </c>
      <c r="K373" s="22"/>
      <c r="L373" s="249">
        <v>5400922801</v>
      </c>
      <c r="M373" s="246">
        <v>20</v>
      </c>
      <c r="N373" s="243" t="s">
        <v>2843</v>
      </c>
      <c r="O373" s="243" t="s">
        <v>6109</v>
      </c>
      <c r="P373" s="243" t="s">
        <v>2843</v>
      </c>
      <c r="Q373" s="243" t="s">
        <v>3114</v>
      </c>
      <c r="R373" s="243" t="s">
        <v>42</v>
      </c>
      <c r="S373" s="247">
        <v>45000</v>
      </c>
      <c r="T373" s="247">
        <v>45000</v>
      </c>
      <c r="U373" s="247">
        <f t="shared" si="12"/>
        <v>0</v>
      </c>
      <c r="V373" s="248">
        <v>41538.67</v>
      </c>
      <c r="W373" s="243"/>
      <c r="X373" s="243" t="str">
        <f t="shared" si="13"/>
        <v>Symantec Advanced Threat Protection</v>
      </c>
      <c r="Y373" s="243" t="s">
        <v>5794</v>
      </c>
    </row>
    <row r="374" spans="1:25" customFormat="1" x14ac:dyDescent="0.25">
      <c r="A374" s="243" t="s">
        <v>3696</v>
      </c>
      <c r="B374" s="243" t="s">
        <v>6120</v>
      </c>
      <c r="C374" s="243">
        <v>68427709</v>
      </c>
      <c r="D374" s="244" t="s">
        <v>40</v>
      </c>
      <c r="E374" s="243" t="s">
        <v>42</v>
      </c>
      <c r="F374" s="243" t="s">
        <v>42</v>
      </c>
      <c r="G374" s="245"/>
      <c r="H374" s="243" t="s">
        <v>3254</v>
      </c>
      <c r="I374" s="22"/>
      <c r="J374" s="22"/>
      <c r="K374" s="22"/>
      <c r="L374" s="249"/>
      <c r="M374" s="246"/>
      <c r="N374" s="243" t="s">
        <v>2843</v>
      </c>
      <c r="O374" s="243" t="s">
        <v>6109</v>
      </c>
      <c r="P374" s="243" t="s">
        <v>2843</v>
      </c>
      <c r="Q374" s="243" t="s">
        <v>3114</v>
      </c>
      <c r="R374" s="243" t="s">
        <v>42</v>
      </c>
      <c r="S374" s="247">
        <v>0</v>
      </c>
      <c r="T374" s="247">
        <v>0</v>
      </c>
      <c r="U374" s="247">
        <f t="shared" ref="U374:U395" si="14">T374-S374</f>
        <v>0</v>
      </c>
      <c r="V374" s="248">
        <v>0</v>
      </c>
      <c r="W374" s="243"/>
      <c r="X374" s="243" t="str">
        <f t="shared" si="13"/>
        <v>Vulnerability scanning: Qualys Run Support</v>
      </c>
      <c r="Y374" s="243" t="s">
        <v>5794</v>
      </c>
    </row>
    <row r="375" spans="1:25" customFormat="1" hidden="1" x14ac:dyDescent="0.25">
      <c r="A375" s="22" t="s">
        <v>2956</v>
      </c>
      <c r="C375">
        <v>68427709</v>
      </c>
      <c r="D375" s="91" t="s">
        <v>59</v>
      </c>
      <c r="E375" t="s">
        <v>60</v>
      </c>
      <c r="F375" t="s">
        <v>46</v>
      </c>
      <c r="G375" s="266" t="s">
        <v>2448</v>
      </c>
      <c r="H375" t="s">
        <v>2903</v>
      </c>
      <c r="J375" s="22"/>
      <c r="K375" s="22"/>
      <c r="L375" s="203"/>
      <c r="M375" s="20"/>
      <c r="N375" s="267" t="s">
        <v>2410</v>
      </c>
      <c r="O375" t="s">
        <v>2903</v>
      </c>
      <c r="P375" t="s">
        <v>2410</v>
      </c>
      <c r="Q375" t="s">
        <v>3124</v>
      </c>
      <c r="R375" t="s">
        <v>2903</v>
      </c>
      <c r="S375" s="7"/>
      <c r="T375" s="7">
        <v>194400</v>
      </c>
      <c r="U375" s="247">
        <f t="shared" si="14"/>
        <v>194400</v>
      </c>
      <c r="V375" s="248">
        <v>194400</v>
      </c>
      <c r="X375" s="243" t="str">
        <f t="shared" si="13"/>
        <v>OT Governance &amp; Service Delivery</v>
      </c>
      <c r="Y375" s="243" t="s">
        <v>1829</v>
      </c>
    </row>
    <row r="376" spans="1:25" customFormat="1" hidden="1" x14ac:dyDescent="0.25">
      <c r="A376" s="22" t="s">
        <v>2990</v>
      </c>
      <c r="C376">
        <v>68427709</v>
      </c>
      <c r="D376" s="91" t="s">
        <v>59</v>
      </c>
      <c r="E376" t="s">
        <v>60</v>
      </c>
      <c r="F376" t="s">
        <v>46</v>
      </c>
      <c r="G376" s="266" t="s">
        <v>2448</v>
      </c>
      <c r="H376" t="s">
        <v>2903</v>
      </c>
      <c r="J376" s="22"/>
      <c r="K376" s="22"/>
      <c r="L376" s="203"/>
      <c r="M376" s="20"/>
      <c r="N376" s="268" t="s">
        <v>2410</v>
      </c>
      <c r="O376" t="s">
        <v>2903</v>
      </c>
      <c r="P376" t="s">
        <v>2410</v>
      </c>
      <c r="Q376" t="s">
        <v>3124</v>
      </c>
      <c r="R376" t="s">
        <v>2903</v>
      </c>
      <c r="S376" s="7"/>
      <c r="T376" s="7">
        <v>0</v>
      </c>
      <c r="U376" s="247">
        <f t="shared" si="14"/>
        <v>0</v>
      </c>
      <c r="V376" s="248">
        <v>0</v>
      </c>
      <c r="X376" s="243" t="str">
        <f t="shared" si="13"/>
        <v>Opswat</v>
      </c>
      <c r="Y376" s="243" t="s">
        <v>1829</v>
      </c>
    </row>
    <row r="377" spans="1:25" customFormat="1" hidden="1" x14ac:dyDescent="0.25">
      <c r="A377" s="22" t="s">
        <v>2969</v>
      </c>
      <c r="C377">
        <v>68427709</v>
      </c>
      <c r="D377" s="91" t="s">
        <v>59</v>
      </c>
      <c r="E377" t="s">
        <v>60</v>
      </c>
      <c r="F377" t="s">
        <v>46</v>
      </c>
      <c r="G377" s="266" t="s">
        <v>2448</v>
      </c>
      <c r="H377" t="s">
        <v>2903</v>
      </c>
      <c r="J377" s="22"/>
      <c r="K377" s="22"/>
      <c r="L377" s="203"/>
      <c r="M377" s="20"/>
      <c r="N377" s="267" t="s">
        <v>2410</v>
      </c>
      <c r="O377" t="s">
        <v>2903</v>
      </c>
      <c r="P377" t="s">
        <v>2410</v>
      </c>
      <c r="Q377" t="s">
        <v>3124</v>
      </c>
      <c r="R377" t="s">
        <v>2903</v>
      </c>
      <c r="S377" s="7"/>
      <c r="T377" s="7">
        <v>0</v>
      </c>
      <c r="U377" s="247">
        <f t="shared" si="14"/>
        <v>0</v>
      </c>
      <c r="V377" s="248">
        <v>0</v>
      </c>
      <c r="X377" s="243" t="str">
        <f t="shared" si="13"/>
        <v>RDS service (Beyond Trust)</v>
      </c>
      <c r="Y377" s="243" t="s">
        <v>5794</v>
      </c>
    </row>
    <row r="378" spans="1:25" customFormat="1" hidden="1" x14ac:dyDescent="0.25">
      <c r="A378" s="22" t="s">
        <v>2959</v>
      </c>
      <c r="C378">
        <v>68427709</v>
      </c>
      <c r="D378" s="91" t="s">
        <v>59</v>
      </c>
      <c r="E378" t="s">
        <v>60</v>
      </c>
      <c r="F378" t="s">
        <v>46</v>
      </c>
      <c r="G378" s="266" t="s">
        <v>2448</v>
      </c>
      <c r="H378" t="s">
        <v>2903</v>
      </c>
      <c r="J378" s="22"/>
      <c r="K378" s="22"/>
      <c r="L378" s="203"/>
      <c r="M378" s="20"/>
      <c r="N378" s="267" t="s">
        <v>2410</v>
      </c>
      <c r="O378" t="s">
        <v>2903</v>
      </c>
      <c r="P378" t="s">
        <v>2410</v>
      </c>
      <c r="Q378" t="s">
        <v>3124</v>
      </c>
      <c r="R378" t="s">
        <v>2903</v>
      </c>
      <c r="S378" s="7"/>
      <c r="T378" s="7">
        <v>97200</v>
      </c>
      <c r="U378" s="247">
        <f t="shared" si="14"/>
        <v>97200</v>
      </c>
      <c r="V378" s="248">
        <v>97200</v>
      </c>
      <c r="X378" s="243" t="str">
        <f t="shared" si="13"/>
        <v>Microsoft Hybrid Server, Cloud Enrollment, Basic user license - For OT</v>
      </c>
      <c r="Y378" s="243" t="s">
        <v>1829</v>
      </c>
    </row>
    <row r="379" spans="1:25" customFormat="1" hidden="1" x14ac:dyDescent="0.25">
      <c r="A379" s="22" t="s">
        <v>2966</v>
      </c>
      <c r="C379">
        <v>68427709</v>
      </c>
      <c r="D379" s="91" t="s">
        <v>59</v>
      </c>
      <c r="E379" t="s">
        <v>60</v>
      </c>
      <c r="F379" t="s">
        <v>46</v>
      </c>
      <c r="G379" s="266" t="s">
        <v>2448</v>
      </c>
      <c r="H379" t="s">
        <v>2903</v>
      </c>
      <c r="J379" s="22"/>
      <c r="K379" s="22"/>
      <c r="L379" s="203"/>
      <c r="M379" s="20"/>
      <c r="N379" s="267" t="s">
        <v>2410</v>
      </c>
      <c r="O379" t="s">
        <v>2903</v>
      </c>
      <c r="P379" t="s">
        <v>2410</v>
      </c>
      <c r="Q379" t="s">
        <v>3124</v>
      </c>
      <c r="R379" t="s">
        <v>2903</v>
      </c>
      <c r="S379" s="7"/>
      <c r="T379" s="7">
        <v>96000</v>
      </c>
      <c r="U379" s="247">
        <f t="shared" si="14"/>
        <v>96000</v>
      </c>
      <c r="V379" s="248">
        <v>96000</v>
      </c>
      <c r="X379" s="243" t="str">
        <f t="shared" si="13"/>
        <v>OT Azure Tennant support</v>
      </c>
      <c r="Y379" s="243" t="s">
        <v>1829</v>
      </c>
    </row>
    <row r="380" spans="1:25" customFormat="1" hidden="1" x14ac:dyDescent="0.25">
      <c r="A380" s="22" t="s">
        <v>2963</v>
      </c>
      <c r="C380">
        <v>68427709</v>
      </c>
      <c r="D380" s="91" t="s">
        <v>59</v>
      </c>
      <c r="E380" t="s">
        <v>60</v>
      </c>
      <c r="F380" t="s">
        <v>46</v>
      </c>
      <c r="G380" s="266" t="s">
        <v>2448</v>
      </c>
      <c r="H380" t="s">
        <v>2903</v>
      </c>
      <c r="J380" s="22"/>
      <c r="K380" s="22"/>
      <c r="L380" s="203"/>
      <c r="M380" s="20"/>
      <c r="N380" s="267" t="s">
        <v>2410</v>
      </c>
      <c r="O380" t="s">
        <v>2903</v>
      </c>
      <c r="P380" t="s">
        <v>2410</v>
      </c>
      <c r="Q380" t="s">
        <v>3124</v>
      </c>
      <c r="R380" t="s">
        <v>2903</v>
      </c>
      <c r="S380" s="7"/>
      <c r="T380" s="7">
        <v>40000</v>
      </c>
      <c r="U380" s="247">
        <f t="shared" si="14"/>
        <v>40000</v>
      </c>
      <c r="V380" s="248">
        <v>40000</v>
      </c>
      <c r="X380" s="243" t="str">
        <f t="shared" si="13"/>
        <v>Redhat Enterprise linux licenses (per MU)</v>
      </c>
      <c r="Y380" s="243" t="s">
        <v>1829</v>
      </c>
    </row>
    <row r="381" spans="1:25" customFormat="1" hidden="1" x14ac:dyDescent="0.25">
      <c r="A381" s="22" t="s">
        <v>2961</v>
      </c>
      <c r="C381">
        <v>68427709</v>
      </c>
      <c r="D381" s="91" t="s">
        <v>59</v>
      </c>
      <c r="E381" t="s">
        <v>60</v>
      </c>
      <c r="F381" t="s">
        <v>46</v>
      </c>
      <c r="G381" s="266" t="s">
        <v>2448</v>
      </c>
      <c r="H381" t="s">
        <v>2903</v>
      </c>
      <c r="J381" s="22"/>
      <c r="K381" s="22"/>
      <c r="L381" s="203"/>
      <c r="M381" s="20"/>
      <c r="N381" s="267" t="s">
        <v>2410</v>
      </c>
      <c r="O381" t="s">
        <v>2903</v>
      </c>
      <c r="P381" t="s">
        <v>2410</v>
      </c>
      <c r="Q381" t="s">
        <v>3124</v>
      </c>
      <c r="R381" t="s">
        <v>2903</v>
      </c>
      <c r="S381" s="7"/>
      <c r="T381" s="7">
        <v>43529</v>
      </c>
      <c r="U381" s="247">
        <f t="shared" si="14"/>
        <v>43529</v>
      </c>
      <c r="V381" s="248">
        <v>43529</v>
      </c>
      <c r="X381" s="243" t="str">
        <f t="shared" si="13"/>
        <v>Managed OT RAS Service</v>
      </c>
      <c r="Y381" s="243" t="s">
        <v>1829</v>
      </c>
    </row>
    <row r="382" spans="1:25" customFormat="1" hidden="1" x14ac:dyDescent="0.25">
      <c r="A382" s="22" t="s">
        <v>2955</v>
      </c>
      <c r="C382">
        <v>68427709</v>
      </c>
      <c r="D382" s="91" t="s">
        <v>59</v>
      </c>
      <c r="E382" t="s">
        <v>60</v>
      </c>
      <c r="F382" t="s">
        <v>46</v>
      </c>
      <c r="G382" s="266" t="s">
        <v>2448</v>
      </c>
      <c r="H382" t="s">
        <v>2903</v>
      </c>
      <c r="J382" s="22"/>
      <c r="K382" s="22"/>
      <c r="L382" s="203"/>
      <c r="M382" s="20"/>
      <c r="N382" s="268" t="s">
        <v>2410</v>
      </c>
      <c r="O382" t="s">
        <v>2903</v>
      </c>
      <c r="P382" t="s">
        <v>2410</v>
      </c>
      <c r="Q382" t="s">
        <v>3124</v>
      </c>
      <c r="R382" t="s">
        <v>2903</v>
      </c>
      <c r="S382" s="7"/>
      <c r="T382" s="7">
        <v>0</v>
      </c>
      <c r="U382" s="247">
        <f t="shared" si="14"/>
        <v>0</v>
      </c>
      <c r="V382" s="248">
        <v>0</v>
      </c>
      <c r="X382" s="243" t="str">
        <f t="shared" si="13"/>
        <v>Network operations improvement</v>
      </c>
      <c r="Y382" s="243" t="s">
        <v>1829</v>
      </c>
    </row>
    <row r="383" spans="1:25" customFormat="1" hidden="1" x14ac:dyDescent="0.25">
      <c r="A383" s="22" t="s">
        <v>2967</v>
      </c>
      <c r="C383">
        <v>68427709</v>
      </c>
      <c r="D383" s="91" t="s">
        <v>59</v>
      </c>
      <c r="E383" t="s">
        <v>60</v>
      </c>
      <c r="F383" t="s">
        <v>46</v>
      </c>
      <c r="G383" s="266" t="s">
        <v>2448</v>
      </c>
      <c r="H383" t="s">
        <v>2903</v>
      </c>
      <c r="J383" s="22"/>
      <c r="K383" s="22"/>
      <c r="L383" s="203"/>
      <c r="M383" s="20"/>
      <c r="N383" s="267" t="s">
        <v>2410</v>
      </c>
      <c r="O383" t="s">
        <v>2903</v>
      </c>
      <c r="P383" t="s">
        <v>2410</v>
      </c>
      <c r="Q383" t="s">
        <v>3124</v>
      </c>
      <c r="R383" t="s">
        <v>2903</v>
      </c>
      <c r="S383" s="7"/>
      <c r="T383" s="7"/>
      <c r="U383" s="247">
        <f t="shared" si="14"/>
        <v>0</v>
      </c>
      <c r="V383" s="248">
        <v>0</v>
      </c>
      <c r="X383" s="243" t="str">
        <f t="shared" si="13"/>
        <v>Veeam Licenses (Advanced)</v>
      </c>
      <c r="Y383" s="243" t="s">
        <v>5794</v>
      </c>
    </row>
    <row r="384" spans="1:25" customFormat="1" hidden="1" x14ac:dyDescent="0.25">
      <c r="A384" s="22" t="s">
        <v>2954</v>
      </c>
      <c r="C384">
        <v>68427709</v>
      </c>
      <c r="D384" s="91" t="s">
        <v>59</v>
      </c>
      <c r="E384" t="s">
        <v>60</v>
      </c>
      <c r="F384" t="s">
        <v>46</v>
      </c>
      <c r="G384" s="266" t="s">
        <v>2448</v>
      </c>
      <c r="H384" t="s">
        <v>2903</v>
      </c>
      <c r="J384" s="22"/>
      <c r="K384" s="22"/>
      <c r="L384" s="203"/>
      <c r="M384" s="20"/>
      <c r="N384" s="268" t="s">
        <v>2410</v>
      </c>
      <c r="O384" t="s">
        <v>2903</v>
      </c>
      <c r="P384" t="s">
        <v>2410</v>
      </c>
      <c r="Q384" t="s">
        <v>3124</v>
      </c>
      <c r="R384" t="s">
        <v>2903</v>
      </c>
      <c r="S384" s="7"/>
      <c r="T384" s="7">
        <v>0</v>
      </c>
      <c r="U384" s="247">
        <f t="shared" si="14"/>
        <v>0</v>
      </c>
      <c r="V384" s="248">
        <v>0</v>
      </c>
      <c r="X384" s="243" t="str">
        <f t="shared" si="13"/>
        <v>Cloud network elements support</v>
      </c>
      <c r="Y384" s="243" t="s">
        <v>1829</v>
      </c>
    </row>
    <row r="385" spans="1:25" customFormat="1" hidden="1" x14ac:dyDescent="0.25">
      <c r="A385" s="22" t="s">
        <v>2950</v>
      </c>
      <c r="C385">
        <v>68427709</v>
      </c>
      <c r="D385" s="91" t="s">
        <v>59</v>
      </c>
      <c r="E385" t="s">
        <v>60</v>
      </c>
      <c r="F385" t="s">
        <v>46</v>
      </c>
      <c r="G385" s="266" t="s">
        <v>2448</v>
      </c>
      <c r="H385" t="s">
        <v>2903</v>
      </c>
      <c r="I385">
        <v>187516</v>
      </c>
      <c r="J385" t="s">
        <v>799</v>
      </c>
      <c r="L385" s="203"/>
      <c r="M385" s="20"/>
      <c r="N385" s="267" t="s">
        <v>2410</v>
      </c>
      <c r="O385" t="s">
        <v>2903</v>
      </c>
      <c r="P385" t="s">
        <v>2410</v>
      </c>
      <c r="Q385" t="s">
        <v>3124</v>
      </c>
      <c r="R385" t="s">
        <v>2903</v>
      </c>
      <c r="S385" s="7"/>
      <c r="T385" s="7">
        <v>16000</v>
      </c>
      <c r="U385" s="247">
        <f t="shared" si="14"/>
        <v>16000</v>
      </c>
      <c r="V385" s="248">
        <v>16000</v>
      </c>
      <c r="X385" s="243" t="str">
        <f t="shared" ref="X385:X395" si="15">A385</f>
        <v>ISE support for factories (central and local)</v>
      </c>
      <c r="Y385" s="243" t="s">
        <v>1829</v>
      </c>
    </row>
    <row r="386" spans="1:25" customFormat="1" hidden="1" x14ac:dyDescent="0.25">
      <c r="A386" s="22" t="s">
        <v>2960</v>
      </c>
      <c r="C386">
        <v>68427709</v>
      </c>
      <c r="D386" s="91" t="s">
        <v>59</v>
      </c>
      <c r="E386" t="s">
        <v>60</v>
      </c>
      <c r="F386" t="s">
        <v>46</v>
      </c>
      <c r="G386" s="266" t="s">
        <v>2448</v>
      </c>
      <c r="H386" t="s">
        <v>2903</v>
      </c>
      <c r="J386" s="22"/>
      <c r="K386" s="22"/>
      <c r="L386" s="203"/>
      <c r="M386" s="20"/>
      <c r="N386" s="267" t="s">
        <v>2410</v>
      </c>
      <c r="O386" t="s">
        <v>2903</v>
      </c>
      <c r="P386" t="s">
        <v>2410</v>
      </c>
      <c r="Q386" t="s">
        <v>3124</v>
      </c>
      <c r="R386" t="s">
        <v>2903</v>
      </c>
      <c r="S386" s="7"/>
      <c r="T386" s="7">
        <v>31560</v>
      </c>
      <c r="U386" s="247">
        <f t="shared" si="14"/>
        <v>31560</v>
      </c>
      <c r="V386" s="248">
        <v>31560</v>
      </c>
      <c r="X386" s="243" t="str">
        <f t="shared" si="15"/>
        <v>PKI service</v>
      </c>
      <c r="Y386" s="243" t="s">
        <v>1829</v>
      </c>
    </row>
    <row r="387" spans="1:25" customFormat="1" hidden="1" x14ac:dyDescent="0.25">
      <c r="A387" s="22" t="s">
        <v>2970</v>
      </c>
      <c r="C387">
        <v>68427709</v>
      </c>
      <c r="D387" s="91" t="s">
        <v>59</v>
      </c>
      <c r="E387" t="s">
        <v>60</v>
      </c>
      <c r="F387" t="s">
        <v>46</v>
      </c>
      <c r="G387" s="266" t="s">
        <v>2448</v>
      </c>
      <c r="H387" t="s">
        <v>2903</v>
      </c>
      <c r="J387" s="22"/>
      <c r="K387" s="22"/>
      <c r="L387" s="203"/>
      <c r="M387" s="20"/>
      <c r="N387" s="267" t="s">
        <v>2410</v>
      </c>
      <c r="O387" t="s">
        <v>2903</v>
      </c>
      <c r="P387" t="s">
        <v>2410</v>
      </c>
      <c r="Q387" t="s">
        <v>3124</v>
      </c>
      <c r="R387" t="s">
        <v>2903</v>
      </c>
      <c r="S387" s="7"/>
      <c r="T387" s="7">
        <v>20000</v>
      </c>
      <c r="U387" s="247">
        <f t="shared" si="14"/>
        <v>20000</v>
      </c>
      <c r="V387" s="248">
        <v>20000</v>
      </c>
      <c r="X387" s="243" t="str">
        <f t="shared" si="15"/>
        <v>VMWare licenses</v>
      </c>
      <c r="Y387" s="243" t="s">
        <v>1829</v>
      </c>
    </row>
    <row r="388" spans="1:25" customFormat="1" hidden="1" x14ac:dyDescent="0.25">
      <c r="A388" s="22" t="s">
        <v>2952</v>
      </c>
      <c r="C388">
        <v>68427709</v>
      </c>
      <c r="D388" s="91" t="s">
        <v>59</v>
      </c>
      <c r="E388" t="s">
        <v>60</v>
      </c>
      <c r="F388" t="s">
        <v>46</v>
      </c>
      <c r="G388" s="266" t="s">
        <v>2448</v>
      </c>
      <c r="H388" t="s">
        <v>2903</v>
      </c>
      <c r="J388" s="22"/>
      <c r="K388" s="22"/>
      <c r="L388" s="203"/>
      <c r="M388" s="20"/>
      <c r="N388" s="267" t="s">
        <v>2410</v>
      </c>
      <c r="O388" t="s">
        <v>2903</v>
      </c>
      <c r="P388" t="s">
        <v>2410</v>
      </c>
      <c r="Q388" t="s">
        <v>3124</v>
      </c>
      <c r="R388" t="s">
        <v>2903</v>
      </c>
      <c r="S388" s="7"/>
      <c r="T388" s="7">
        <v>13000</v>
      </c>
      <c r="U388" s="247">
        <f t="shared" si="14"/>
        <v>13000</v>
      </c>
      <c r="V388" s="248">
        <v>13000</v>
      </c>
      <c r="X388" s="243" t="str">
        <f t="shared" si="15"/>
        <v>Checkpoint firewall (Cloudguard) on OT DMZ support</v>
      </c>
      <c r="Y388" s="243" t="s">
        <v>1829</v>
      </c>
    </row>
    <row r="389" spans="1:25" customFormat="1" hidden="1" x14ac:dyDescent="0.25">
      <c r="A389" s="22" t="s">
        <v>2951</v>
      </c>
      <c r="C389">
        <v>68427709</v>
      </c>
      <c r="D389" s="91" t="s">
        <v>59</v>
      </c>
      <c r="E389" t="s">
        <v>60</v>
      </c>
      <c r="F389" t="s">
        <v>46</v>
      </c>
      <c r="G389" s="266" t="s">
        <v>2448</v>
      </c>
      <c r="H389" t="s">
        <v>2903</v>
      </c>
      <c r="J389" s="22"/>
      <c r="K389" s="22"/>
      <c r="L389" s="203"/>
      <c r="M389" s="20"/>
      <c r="N389" s="267" t="s">
        <v>2410</v>
      </c>
      <c r="O389" t="s">
        <v>2903</v>
      </c>
      <c r="P389" t="s">
        <v>2410</v>
      </c>
      <c r="Q389" t="s">
        <v>3124</v>
      </c>
      <c r="R389" t="s">
        <v>2903</v>
      </c>
      <c r="S389" s="7"/>
      <c r="T389" s="7">
        <v>7000</v>
      </c>
      <c r="U389" s="247">
        <f t="shared" si="14"/>
        <v>7000</v>
      </c>
      <c r="V389" s="248">
        <v>7000</v>
      </c>
      <c r="X389" s="243" t="str">
        <f t="shared" si="15"/>
        <v>Checkpoint APPSEC support for factories</v>
      </c>
      <c r="Y389" s="243" t="s">
        <v>1829</v>
      </c>
    </row>
    <row r="390" spans="1:25" customFormat="1" hidden="1" x14ac:dyDescent="0.25">
      <c r="A390" s="22" t="s">
        <v>2968</v>
      </c>
      <c r="C390">
        <v>68427709</v>
      </c>
      <c r="D390" s="91" t="s">
        <v>59</v>
      </c>
      <c r="E390" t="s">
        <v>60</v>
      </c>
      <c r="F390" t="s">
        <v>46</v>
      </c>
      <c r="G390" s="266" t="s">
        <v>2448</v>
      </c>
      <c r="H390" t="s">
        <v>2903</v>
      </c>
      <c r="J390" s="22"/>
      <c r="K390" s="22"/>
      <c r="L390" s="203"/>
      <c r="M390" s="20"/>
      <c r="N390" s="267" t="s">
        <v>2410</v>
      </c>
      <c r="O390" t="s">
        <v>2903</v>
      </c>
      <c r="P390" t="s">
        <v>2410</v>
      </c>
      <c r="Q390" t="s">
        <v>3124</v>
      </c>
      <c r="R390" t="s">
        <v>2903</v>
      </c>
      <c r="S390" s="7"/>
      <c r="T390" s="7">
        <v>7000</v>
      </c>
      <c r="U390" s="247">
        <f t="shared" si="14"/>
        <v>7000</v>
      </c>
      <c r="V390" s="248">
        <v>7000</v>
      </c>
      <c r="X390" s="243" t="str">
        <f t="shared" si="15"/>
        <v>OT file share service</v>
      </c>
      <c r="Y390" s="243" t="s">
        <v>1829</v>
      </c>
    </row>
    <row r="391" spans="1:25" customFormat="1" hidden="1" x14ac:dyDescent="0.25">
      <c r="A391" s="22" t="s">
        <v>2964</v>
      </c>
      <c r="C391">
        <v>68427709</v>
      </c>
      <c r="D391" s="91" t="s">
        <v>59</v>
      </c>
      <c r="E391" t="s">
        <v>60</v>
      </c>
      <c r="F391" t="s">
        <v>46</v>
      </c>
      <c r="G391" s="266" t="s">
        <v>2448</v>
      </c>
      <c r="H391" t="s">
        <v>2903</v>
      </c>
      <c r="J391" s="22"/>
      <c r="K391" s="22"/>
      <c r="L391" s="203"/>
      <c r="M391" s="20"/>
      <c r="N391" s="268" t="s">
        <v>2410</v>
      </c>
      <c r="O391" t="s">
        <v>2903</v>
      </c>
      <c r="P391" t="s">
        <v>2410</v>
      </c>
      <c r="Q391" t="s">
        <v>3124</v>
      </c>
      <c r="R391" t="s">
        <v>2903</v>
      </c>
      <c r="S391" s="7"/>
      <c r="T391" s="7">
        <v>828</v>
      </c>
      <c r="U391" s="247">
        <f t="shared" si="14"/>
        <v>828</v>
      </c>
      <c r="V391" s="248">
        <v>828</v>
      </c>
      <c r="X391" s="243" t="str">
        <f t="shared" si="15"/>
        <v>Redhat Enterprise linux licenses (DMZ)</v>
      </c>
      <c r="Y391" s="243" t="s">
        <v>1829</v>
      </c>
    </row>
    <row r="392" spans="1:25" customFormat="1" hidden="1" x14ac:dyDescent="0.25">
      <c r="A392" s="22" t="s">
        <v>2953</v>
      </c>
      <c r="C392">
        <v>68427709</v>
      </c>
      <c r="D392" s="91" t="s">
        <v>59</v>
      </c>
      <c r="E392" t="s">
        <v>60</v>
      </c>
      <c r="F392" t="s">
        <v>46</v>
      </c>
      <c r="G392" s="266" t="s">
        <v>2448</v>
      </c>
      <c r="H392" t="s">
        <v>2903</v>
      </c>
      <c r="J392" s="22"/>
      <c r="K392" s="22"/>
      <c r="L392" s="203"/>
      <c r="M392" s="20"/>
      <c r="N392" s="267" t="s">
        <v>2410</v>
      </c>
      <c r="O392" t="s">
        <v>2903</v>
      </c>
      <c r="P392" t="s">
        <v>2410</v>
      </c>
      <c r="Q392" t="s">
        <v>3124</v>
      </c>
      <c r="R392" t="s">
        <v>2903</v>
      </c>
      <c r="S392" s="7"/>
      <c r="T392" s="7">
        <v>2500</v>
      </c>
      <c r="U392" s="247">
        <f t="shared" si="14"/>
        <v>2500</v>
      </c>
      <c r="V392" s="248">
        <v>2500</v>
      </c>
      <c r="X392" s="243" t="str">
        <f t="shared" si="15"/>
        <v xml:space="preserve">WLC support for factories </v>
      </c>
      <c r="Y392" s="243" t="s">
        <v>1829</v>
      </c>
    </row>
    <row r="393" spans="1:25" customFormat="1" hidden="1" x14ac:dyDescent="0.25">
      <c r="A393" s="22" t="s">
        <v>2988</v>
      </c>
      <c r="C393">
        <v>68427709</v>
      </c>
      <c r="D393" s="91" t="s">
        <v>59</v>
      </c>
      <c r="E393" t="s">
        <v>60</v>
      </c>
      <c r="F393" t="s">
        <v>46</v>
      </c>
      <c r="G393" s="266" t="s">
        <v>2448</v>
      </c>
      <c r="H393" t="s">
        <v>2903</v>
      </c>
      <c r="J393" s="22"/>
      <c r="K393" s="22"/>
      <c r="L393" s="203"/>
      <c r="M393" s="20"/>
      <c r="N393" s="268" t="s">
        <v>2410</v>
      </c>
      <c r="O393" t="s">
        <v>2903</v>
      </c>
      <c r="P393" t="s">
        <v>2410</v>
      </c>
      <c r="Q393" t="s">
        <v>3124</v>
      </c>
      <c r="R393" t="s">
        <v>2903</v>
      </c>
      <c r="S393" s="7"/>
      <c r="T393" s="7">
        <v>0</v>
      </c>
      <c r="U393" s="247">
        <f t="shared" si="14"/>
        <v>0</v>
      </c>
      <c r="V393" s="248">
        <v>0</v>
      </c>
      <c r="X393" s="243" t="str">
        <f t="shared" si="15"/>
        <v>Avensus</v>
      </c>
      <c r="Y393" s="243" t="s">
        <v>1829</v>
      </c>
    </row>
    <row r="394" spans="1:25" customFormat="1" hidden="1" x14ac:dyDescent="0.25">
      <c r="A394" s="22" t="s">
        <v>2965</v>
      </c>
      <c r="C394">
        <v>68427709</v>
      </c>
      <c r="D394" s="91" t="s">
        <v>59</v>
      </c>
      <c r="E394" t="s">
        <v>60</v>
      </c>
      <c r="F394" t="s">
        <v>46</v>
      </c>
      <c r="G394" s="266" t="s">
        <v>2448</v>
      </c>
      <c r="H394" t="s">
        <v>2903</v>
      </c>
      <c r="J394" s="22"/>
      <c r="K394" s="22"/>
      <c r="L394" s="203"/>
      <c r="M394" s="20"/>
      <c r="N394" s="267" t="s">
        <v>2410</v>
      </c>
      <c r="O394" t="s">
        <v>2903</v>
      </c>
      <c r="P394" t="s">
        <v>2410</v>
      </c>
      <c r="Q394" t="s">
        <v>3124</v>
      </c>
      <c r="R394" t="s">
        <v>2903</v>
      </c>
      <c r="S394" s="7"/>
      <c r="T394" s="7">
        <v>600</v>
      </c>
      <c r="U394" s="247">
        <f t="shared" si="14"/>
        <v>600</v>
      </c>
      <c r="V394" s="248">
        <v>600</v>
      </c>
      <c r="X394" s="243" t="str">
        <f t="shared" si="15"/>
        <v>Redhat Enterprise linux satellite licenses (DMZ)</v>
      </c>
      <c r="Y394" s="243" t="s">
        <v>1829</v>
      </c>
    </row>
    <row r="395" spans="1:25" customFormat="1" hidden="1" x14ac:dyDescent="0.25">
      <c r="A395" s="22" t="s">
        <v>6159</v>
      </c>
      <c r="C395">
        <v>68427709</v>
      </c>
      <c r="D395" s="91" t="s">
        <v>59</v>
      </c>
      <c r="E395" t="s">
        <v>60</v>
      </c>
      <c r="F395" t="s">
        <v>46</v>
      </c>
      <c r="G395" s="266" t="s">
        <v>2448</v>
      </c>
      <c r="H395" t="s">
        <v>2903</v>
      </c>
      <c r="J395" s="22"/>
      <c r="K395" s="22"/>
      <c r="L395" s="203"/>
      <c r="M395" s="20"/>
      <c r="N395" s="268" t="s">
        <v>1984</v>
      </c>
      <c r="O395" t="s">
        <v>2903</v>
      </c>
      <c r="P395" t="s">
        <v>1984</v>
      </c>
      <c r="Q395" t="s">
        <v>3124</v>
      </c>
      <c r="R395" t="s">
        <v>2903</v>
      </c>
      <c r="S395" s="269"/>
      <c r="T395" s="269">
        <v>40000</v>
      </c>
      <c r="U395" s="247">
        <f t="shared" si="14"/>
        <v>40000</v>
      </c>
      <c r="V395" s="248">
        <v>40000</v>
      </c>
      <c r="X395" s="243" t="str">
        <f t="shared" si="15"/>
        <v>Seeburger service cost</v>
      </c>
      <c r="Y395" s="243" t="s">
        <v>1829</v>
      </c>
    </row>
    <row r="396" spans="1:25" x14ac:dyDescent="0.25">
      <c r="S396" s="270">
        <f>SUBTOTAL(9,S2:S395)</f>
        <v>1772700</v>
      </c>
      <c r="T396" s="270">
        <f>SUBTOTAL(9,T2:T395)</f>
        <v>2307003</v>
      </c>
      <c r="U396" s="270">
        <f>SUBTOTAL(9,U2:U395)</f>
        <v>534303</v>
      </c>
      <c r="V396" s="248">
        <f>SUBTOTAL(9,V2:V395)</f>
        <v>2153589</v>
      </c>
    </row>
  </sheetData>
  <autoFilter ref="A1:X395" xr:uid="{D741DD8D-F667-4402-91E6-6AE06AB61456}">
    <filterColumn colId="13">
      <filters>
        <filter val="Diego"/>
      </filters>
    </filterColumn>
  </autoFilter>
  <sortState xmlns:xlrd2="http://schemas.microsoft.com/office/spreadsheetml/2017/richdata2" ref="A1:Y396">
    <sortCondition ref="A111:A396"/>
  </sortState>
  <pageMargins left="0.7" right="0.7" top="0.75" bottom="0.75" header="0.3" footer="0.3"/>
  <customProperties>
    <customPr name="_pios_id"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2C5FC-DDCE-4C1E-8C31-57FC9E803250}">
  <dimension ref="A1"/>
  <sheetViews>
    <sheetView workbookViewId="0"/>
  </sheetViews>
  <sheetFormatPr defaultColWidth="8.85546875" defaultRowHeight="15" x14ac:dyDescent="0.25"/>
  <sheetData/>
  <pageMargins left="0.7" right="0.7" top="0.75" bottom="0.75" header="0.3" footer="0.3"/>
  <customProperties>
    <customPr name="_pios_id"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Application xmlns="http://www.sap.com/cof/excel/application">
  <Version>2</Version>
  <Revision>2.8.1000.96894</Revision>
</Application>
</file>

<file path=customXml/item2.xml><?xml version="1.0" encoding="utf-8"?>
<?mso-contentType ?>
<SharedContentType xmlns="Microsoft.SharePoint.Taxonomy.ContentTypeSync" SourceId="00b5f185-b19a-4336-a4ec-f1b99802f1ef" ContentTypeId="0x01" PreviousValue="false"/>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SharedWithUsers xmlns="a48fe159-de10-4fbe-bf63-7d15f6aa84d6">
      <UserInfo>
        <DisplayName>Uppal, Rohan</DisplayName>
        <AccountId>4887</AccountId>
        <AccountType/>
      </UserInfo>
      <UserInfo>
        <DisplayName>Hryb, Tamara</DisplayName>
        <AccountId>4704</AccountId>
        <AccountType/>
      </UserInfo>
      <UserInfo>
        <DisplayName>Rodrigues, Oscar</DisplayName>
        <AccountId>19291</AccountId>
        <AccountType/>
      </UserInfo>
      <UserInfo>
        <DisplayName>Gaysinsky Segura, Sylvia</DisplayName>
        <AccountId>130</AccountId>
        <AccountType/>
      </UserInfo>
    </SharedWithUsers>
    <lcf76f155ced4ddcb4097134ff3c332f xmlns="7fcfb2eb-ffd0-4b03-a124-a152ea7aad25">
      <Terms xmlns="http://schemas.microsoft.com/office/infopath/2007/PartnerControls"/>
    </lcf76f155ced4ddcb4097134ff3c332f>
    <TaxCatchAll xmlns="07e397c1-4dcd-4254-bcef-c5032c2d906f" xsi:nil="true"/>
    <ArchiverLinkFileType xmlns="7fcfb2eb-ffd0-4b03-a124-a152ea7aad25"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0A60ACD97A97374B8788FEB381C2CCBE" ma:contentTypeVersion="360" ma:contentTypeDescription="Create a new document." ma:contentTypeScope="" ma:versionID="cc27437ccc5e81a48793c7a8ec0db86b">
  <xsd:schema xmlns:xsd="http://www.w3.org/2001/XMLSchema" xmlns:xs="http://www.w3.org/2001/XMLSchema" xmlns:p="http://schemas.microsoft.com/office/2006/metadata/properties" xmlns:ns1="http://schemas.microsoft.com/sharepoint/v3" xmlns:ns2="7fcfb2eb-ffd0-4b03-a124-a152ea7aad25" xmlns:ns3="a48fe159-de10-4fbe-bf63-7d15f6aa84d6" xmlns:ns4="07e397c1-4dcd-4254-bcef-c5032c2d906f" targetNamespace="http://schemas.microsoft.com/office/2006/metadata/properties" ma:root="true" ma:fieldsID="452f9ae77fdbc0a7bf486f42c222a1e0" ns1:_="" ns2:_="" ns3:_="" ns4:_="">
    <xsd:import namespace="http://schemas.microsoft.com/sharepoint/v3"/>
    <xsd:import namespace="7fcfb2eb-ffd0-4b03-a124-a152ea7aad25"/>
    <xsd:import namespace="a48fe159-de10-4fbe-bf63-7d15f6aa84d6"/>
    <xsd:import namespace="07e397c1-4dcd-4254-bcef-c5032c2d906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1:_ip_UnifiedCompliancePolicyProperties" minOccurs="0"/>
                <xsd:element ref="ns1:_ip_UnifiedCompliancePolicyUIAction" minOccurs="0"/>
                <xsd:element ref="ns2:MediaServiceAutoTags" minOccurs="0"/>
                <xsd:element ref="ns2:MediaServiceOCR" minOccurs="0"/>
                <xsd:element ref="ns2:MediaServiceAutoKeyPoints" minOccurs="0"/>
                <xsd:element ref="ns2:MediaServiceKeyPoints" minOccurs="0"/>
                <xsd:element ref="ns2:MediaServiceGenerationTime" minOccurs="0"/>
                <xsd:element ref="ns2:MediaServiceEventHashCode" minOccurs="0"/>
                <xsd:element ref="ns2:MediaServiceDateTaken" minOccurs="0"/>
                <xsd:element ref="ns2:MediaLengthInSeconds" minOccurs="0"/>
                <xsd:element ref="ns2:MediaServiceObjectDetectorVersions" minOccurs="0"/>
                <xsd:element ref="ns2:lcf76f155ced4ddcb4097134ff3c332f" minOccurs="0"/>
                <xsd:element ref="ns4:TaxCatchAll" minOccurs="0"/>
                <xsd:element ref="ns2:ArchiverLinkFileTyp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hidden="true" ma:internalName="_ip_UnifiedCompliancePolicyProperties">
      <xsd:simpleType>
        <xsd:restriction base="dms:Note"/>
      </xsd:simpleType>
    </xsd:element>
    <xsd:element name="_ip_UnifiedCompliancePolicyUIAction" ma:index="1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fcfb2eb-ffd0-4b03-a124-a152ea7aad25"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00b5f185-b19a-4336-a4ec-f1b99802f1ef" ma:termSetId="09814cd3-568e-fe90-9814-8d621ff8fb84" ma:anchorId="fba54fb3-c3e1-fe81-a776-ca4b69148c4d" ma:open="true" ma:isKeyword="false">
      <xsd:complexType>
        <xsd:sequence>
          <xsd:element ref="pc:Terms" minOccurs="0" maxOccurs="1"/>
        </xsd:sequence>
      </xsd:complexType>
    </xsd:element>
    <xsd:element name="ArchiverLinkFileType" ma:index="26" nillable="true" ma:displayName="ArchiverLinkFileType" ma:hidden="true" ma:internalName="ArchiverLinkFileTyp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48fe159-de10-4fbe-bf63-7d15f6aa84d6"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7e397c1-4dcd-4254-bcef-c5032c2d906f"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02ea1edc-b326-435f-94be-b576db85a731}" ma:internalName="TaxCatchAll" ma:showField="CatchAllData" ma:web="d6f5ce16-57e2-4aab-8a0b-fbed20d92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A24C1E3-DFDB-4F2D-8769-BD657C4BA809}">
  <ds:schemaRefs>
    <ds:schemaRef ds:uri="http://www.sap.com/cof/excel/application"/>
  </ds:schemaRefs>
</ds:datastoreItem>
</file>

<file path=customXml/itemProps2.xml><?xml version="1.0" encoding="utf-8"?>
<ds:datastoreItem xmlns:ds="http://schemas.openxmlformats.org/officeDocument/2006/customXml" ds:itemID="{52DE26F6-82F1-4D2B-8EED-18D475D9523E}">
  <ds:schemaRefs>
    <ds:schemaRef ds:uri="Microsoft.SharePoint.Taxonomy.ContentTypeSync"/>
  </ds:schemaRefs>
</ds:datastoreItem>
</file>

<file path=customXml/itemProps3.xml><?xml version="1.0" encoding="utf-8"?>
<ds:datastoreItem xmlns:ds="http://schemas.openxmlformats.org/officeDocument/2006/customXml" ds:itemID="{4192EE77-7D88-443A-BE73-9ED1294C9EA9}">
  <ds:schemaRefs>
    <ds:schemaRef ds:uri="http://purl.org/dc/terms/"/>
    <ds:schemaRef ds:uri="http://www.w3.org/XML/1998/namespace"/>
    <ds:schemaRef ds:uri="07e397c1-4dcd-4254-bcef-c5032c2d906f"/>
    <ds:schemaRef ds:uri="http://schemas.microsoft.com/sharepoint/v3"/>
    <ds:schemaRef ds:uri="http://purl.org/dc/dcmitype/"/>
    <ds:schemaRef ds:uri="a48fe159-de10-4fbe-bf63-7d15f6aa84d6"/>
    <ds:schemaRef ds:uri="http://schemas.microsoft.com/office/2006/documentManagement/types"/>
    <ds:schemaRef ds:uri="http://purl.org/dc/elements/1.1/"/>
    <ds:schemaRef ds:uri="7fcfb2eb-ffd0-4b03-a124-a152ea7aad25"/>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4.xml><?xml version="1.0" encoding="utf-8"?>
<ds:datastoreItem xmlns:ds="http://schemas.openxmlformats.org/officeDocument/2006/customXml" ds:itemID="{8AD1A18E-91DD-4652-BD2C-5383BFD727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fcfb2eb-ffd0-4b03-a124-a152ea7aad25"/>
    <ds:schemaRef ds:uri="a48fe159-de10-4fbe-bf63-7d15f6aa84d6"/>
    <ds:schemaRef ds:uri="07e397c1-4dcd-4254-bcef-c5032c2d90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44AD7590-A757-4FCB-9785-ED7F564BD16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Summary</vt:lpstr>
      <vt:lpstr>Summary incl price reduction</vt:lpstr>
      <vt:lpstr>LE</vt:lpstr>
      <vt:lpstr>BW Summary</vt:lpstr>
      <vt:lpstr>Change log</vt:lpstr>
      <vt:lpstr>AOP25</vt:lpstr>
      <vt:lpstr>ListBoxValues</vt:lpstr>
      <vt:lpstr>BIdetails</vt:lpstr>
      <vt:lpstr>POs not in AOP</vt:lpstr>
      <vt:lpstr>AOP 2025 Summary</vt:lpstr>
      <vt:lpstr>Cross charge Agreements 2023</vt:lpstr>
      <vt:lpstr>Documentation</vt:lpstr>
      <vt:lpstr>New File Creation</vt:lpstr>
      <vt:lpstr>Improvements 2023</vt:lpstr>
      <vt:lpstr>Infra Cost Non Sap 2024</vt:lpstr>
      <vt:lpstr>Cross charge agreements</vt:lpstr>
      <vt:lpstr>AOP25Reduced</vt:lpstr>
      <vt:lpstr>Sheet1</vt:lpstr>
      <vt:lpstr>'AOP 2025 Summary'!Extract</vt:lpstr>
      <vt:lpstr>ListBoxValues!Extract</vt:lpstr>
      <vt:lpstr>SAPCrosstab2</vt:lpstr>
      <vt:lpstr>SAPCrosstab3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Wormgoor, Mark</dc:creator>
  <cp:keywords/>
  <dc:description/>
  <cp:lastModifiedBy>Cavalari Consolini, Diego</cp:lastModifiedBy>
  <cp:revision/>
  <dcterms:created xsi:type="dcterms:W3CDTF">2017-11-24T10:50:34Z</dcterms:created>
  <dcterms:modified xsi:type="dcterms:W3CDTF">2025-07-28T12:29:42Z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0x0101000A60ACD97A97374B8788FEB381C2CCBE</vt:lpwstr>
  </property>
  <property fmtid="{D5CDD505-2E9C-101B-9397-08002B2CF9AE}" pid="3" name="MSIP_Label_6fd6a3f1-13ee-4193-aae5-4c5d46d7a876_Enabled">
    <vt:lpwstr>True</vt:lpwstr>
  </property>
  <property fmtid="{D5CDD505-2E9C-101B-9397-08002B2CF9AE}" pid="4" name="MSIP_Label_6fd6a3f1-13ee-4193-aae5-4c5d46d7a876_SiteId">
    <vt:lpwstr>22d30701-ec5e-4bdc-ba4f-b9234053b0a9</vt:lpwstr>
  </property>
  <property fmtid="{D5CDD505-2E9C-101B-9397-08002B2CF9AE}" pid="5" name="MSIP_Label_6fd6a3f1-13ee-4193-aae5-4c5d46d7a876_Ref">
    <vt:lpwstr>https://api.informationprotection.azure.com/api/22d30701-ec5e-4bdc-ba4f-b9234053b0a9</vt:lpwstr>
  </property>
  <property fmtid="{D5CDD505-2E9C-101B-9397-08002B2CF9AE}" pid="6" name="MSIP_Label_6fd6a3f1-13ee-4193-aae5-4c5d46d7a876_Owner">
    <vt:lpwstr>mark.wormgoor@jdecoffee.com</vt:lpwstr>
  </property>
  <property fmtid="{D5CDD505-2E9C-101B-9397-08002B2CF9AE}" pid="7" name="MSIP_Label_6fd6a3f1-13ee-4193-aae5-4c5d46d7a876_SetDate">
    <vt:lpwstr>2019-02-04T09:53:20.4403451+01:00</vt:lpwstr>
  </property>
  <property fmtid="{D5CDD505-2E9C-101B-9397-08002B2CF9AE}" pid="8" name="MSIP_Label_6fd6a3f1-13ee-4193-aae5-4c5d46d7a876_Name">
    <vt:lpwstr>JDE Public</vt:lpwstr>
  </property>
  <property fmtid="{D5CDD505-2E9C-101B-9397-08002B2CF9AE}" pid="9" name="MSIP_Label_6fd6a3f1-13ee-4193-aae5-4c5d46d7a876_Application">
    <vt:lpwstr>Microsoft Azure Information Protection</vt:lpwstr>
  </property>
  <property fmtid="{D5CDD505-2E9C-101B-9397-08002B2CF9AE}" pid="10" name="MSIP_Label_6fd6a3f1-13ee-4193-aae5-4c5d46d7a876_Extended_MSFT_Method">
    <vt:lpwstr>Automatic</vt:lpwstr>
  </property>
  <property fmtid="{D5CDD505-2E9C-101B-9397-08002B2CF9AE}" pid="11" name="Sensitivity">
    <vt:lpwstr>JDE Public</vt:lpwstr>
  </property>
  <property fmtid="{D5CDD505-2E9C-101B-9397-08002B2CF9AE}" pid="12" name="AuthorIds_UIVersion_70656">
    <vt:lpwstr>2252</vt:lpwstr>
  </property>
  <property fmtid="{D5CDD505-2E9C-101B-9397-08002B2CF9AE}" pid="13" name="AuthorIds_UIVersion_88064">
    <vt:lpwstr>2252</vt:lpwstr>
  </property>
  <property fmtid="{D5CDD505-2E9C-101B-9397-08002B2CF9AE}" pid="14" name="CustomUiType">
    <vt:lpwstr>2</vt:lpwstr>
  </property>
  <property fmtid="{D5CDD505-2E9C-101B-9397-08002B2CF9AE}" pid="15" name="MediaServiceImageTags">
    <vt:lpwstr/>
  </property>
</Properties>
</file>